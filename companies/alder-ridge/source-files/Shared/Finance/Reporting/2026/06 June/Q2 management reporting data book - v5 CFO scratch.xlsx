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Quarterly KPIs" sheetId="2" state="visible" r:id="rId2"/>
    <sheet xmlns:r="http://schemas.openxmlformats.org/officeDocument/2006/relationships" name="Board Performance" sheetId="3" state="visible" r:id="rId3"/>
    <sheet xmlns:r="http://schemas.openxmlformats.org/officeDocument/2006/relationships" name="Data Checks" sheetId="4" state="visible" r:id="rId4"/>
  </sheets>
  <definedNames>
    <definedName name="_xlnm._FilterDatabase" localSheetId="1" hidden="1">'Quarterly KPIs'!$A$4:$M$40</definedName>
    <definedName name="_xlnm._FilterDatabase" localSheetId="2" hidden="1">'Board Performance'!$A$4:$M$100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9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3" borderId="7" pivotButton="0" quotePrefix="0" xfId="0"/>
    <xf numFmtId="0" fontId="8" fillId="3" borderId="8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Q2 management reporting and investor materials | Quarterly KPIs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RPT-00031</t>
        </is>
      </c>
      <c r="B5" s="27" t="inlineStr">
        <is>
          <t>Create the Q2 investor and lender KPI fact sheet</t>
        </is>
      </c>
      <c r="C5" s="27" t="inlineStr">
        <is>
          <t>Quarterly KPIs</t>
        </is>
      </c>
      <c r="D5" s="27" t="inlineStr">
        <is>
          <t>Alder Ridge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Prior-year comparable revenue</t>
        </is>
      </c>
      <c r="H5" s="44" t="n">
        <v>10506000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5" t="inlineStr">
        <is>
          <t>2026-06-24</t>
        </is>
      </c>
      <c r="M5" s="27" t="inlineStr"/>
    </row>
    <row r="6">
      <c r="A6" s="36" t="inlineStr">
        <is>
          <t>RPT-00032</t>
        </is>
      </c>
      <c r="B6" s="27" t="inlineStr">
        <is>
          <t>Create the Q2 investor and lender KPI fact sheet</t>
        </is>
      </c>
      <c r="C6" s="27" t="inlineStr">
        <is>
          <t>Quarterly KPIs</t>
        </is>
      </c>
      <c r="D6" s="27" t="inlineStr">
        <is>
          <t>Alder Ridge</t>
        </is>
      </c>
      <c r="E6" s="27" t="inlineStr">
        <is>
          <t>2025-Q4</t>
        </is>
      </c>
      <c r="F6" s="27" t="inlineStr">
        <is>
          <t>Management stretch</t>
        </is>
      </c>
      <c r="G6" s="27" t="inlineStr">
        <is>
          <t>Adjusted EBITDA margin</t>
        </is>
      </c>
      <c r="H6" s="44" t="n">
        <v>0.12896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5" t="inlineStr">
        <is>
          <t>2026-06-24</t>
        </is>
      </c>
      <c r="M6" s="27" t="inlineStr"/>
    </row>
    <row r="7">
      <c r="A7" s="36" t="inlineStr">
        <is>
          <t>RPT-00033</t>
        </is>
      </c>
      <c r="B7" s="27" t="inlineStr">
        <is>
          <t>Create the Q2 investor and lender KPI fact sheet</t>
        </is>
      </c>
      <c r="C7" s="27" t="inlineStr">
        <is>
          <t>Quarterly KPIs</t>
        </is>
      </c>
      <c r="D7" s="27" t="inlineStr">
        <is>
          <t>Alder Ridge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Capital expenditure</t>
        </is>
      </c>
      <c r="H7" s="44" t="n">
        <v>724500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5" t="inlineStr">
        <is>
          <t>2026-06-24</t>
        </is>
      </c>
      <c r="M7" s="27" t="inlineStr"/>
    </row>
    <row r="8">
      <c r="A8" s="36" t="inlineStr">
        <is>
          <t>RPT-00034</t>
        </is>
      </c>
      <c r="B8" s="27" t="inlineStr">
        <is>
          <t>Create the Q2 investor and lender KPI fact sheet</t>
        </is>
      </c>
      <c r="C8" s="27" t="inlineStr">
        <is>
          <t>Credit metrics</t>
        </is>
      </c>
      <c r="D8" s="27" t="inlineStr">
        <is>
          <t>Alder Ridge</t>
        </is>
      </c>
      <c r="E8" s="27" t="inlineStr">
        <is>
          <t>2026-06-30</t>
        </is>
      </c>
      <c r="F8" s="27" t="inlineStr">
        <is>
          <t>Management stretch</t>
        </is>
      </c>
      <c r="G8" s="27" t="inlineStr">
        <is>
          <t>Cash interest LTM</t>
        </is>
      </c>
      <c r="H8" s="44" t="n">
        <v>638600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5" t="inlineStr">
        <is>
          <t>2026-06-24</t>
        </is>
      </c>
      <c r="M8" s="27" t="inlineStr"/>
    </row>
    <row r="9">
      <c r="A9" s="36" t="inlineStr">
        <is>
          <t>RPT-00035</t>
        </is>
      </c>
      <c r="B9" s="27" t="inlineStr">
        <is>
          <t>Create the Q2 investor and lender KPI fact sheet</t>
        </is>
      </c>
      <c r="C9" s="27" t="inlineStr">
        <is>
          <t>Quarterly KPIs</t>
        </is>
      </c>
      <c r="D9" s="27" t="inlineStr">
        <is>
          <t>Alder Ridge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Operating cash flow</t>
        </is>
      </c>
      <c r="H9" s="44" t="n">
        <v>1716000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5" t="inlineStr">
        <is>
          <t>2026-06-24</t>
        </is>
      </c>
      <c r="M9" s="27" t="inlineStr"/>
    </row>
    <row r="10">
      <c r="A10" s="36" t="inlineStr">
        <is>
          <t>RPT-00036</t>
        </is>
      </c>
      <c r="B10" s="27" t="inlineStr">
        <is>
          <t>Create the Q2 investor and lender KPI fact sheet</t>
        </is>
      </c>
      <c r="C10" s="27" t="inlineStr">
        <is>
          <t>Quarterly KPIs</t>
        </is>
      </c>
      <c r="D10" s="27" t="inlineStr">
        <is>
          <t>Alder Ridge</t>
        </is>
      </c>
      <c r="E10" s="27" t="inlineStr">
        <is>
          <t>2026-Q1</t>
        </is>
      </c>
      <c r="F10" s="27" t="inlineStr">
        <is>
          <t>Management stretch</t>
        </is>
      </c>
      <c r="G10" s="27" t="inlineStr">
        <is>
          <t>Prior-year comparable revenue</t>
        </is>
      </c>
      <c r="H10" s="44" t="n">
        <v>11550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5" t="inlineStr">
        <is>
          <t>2026-06-24</t>
        </is>
      </c>
      <c r="M10" s="27" t="inlineStr"/>
    </row>
    <row r="11">
      <c r="A11" s="36" t="inlineStr">
        <is>
          <t>RPT-00037</t>
        </is>
      </c>
      <c r="B11" s="27" t="inlineStr">
        <is>
          <t>Create the Q2 investor and lender KPI fact sheet</t>
        </is>
      </c>
      <c r="C11" s="27" t="inlineStr">
        <is>
          <t>Quarterly KPIs</t>
        </is>
      </c>
      <c r="D11" s="27" t="inlineStr">
        <is>
          <t>Alder Ridge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Adjusted EBITDA margin</t>
        </is>
      </c>
      <c r="H11" s="44" t="n">
        <v>0.14008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5" t="inlineStr">
        <is>
          <t>2026-06-24</t>
        </is>
      </c>
      <c r="M11" s="27" t="inlineStr"/>
    </row>
    <row r="12">
      <c r="A12" s="36" t="inlineStr">
        <is>
          <t>RPT-00038</t>
        </is>
      </c>
      <c r="B12" s="27" t="inlineStr">
        <is>
          <t>Create the Q2 investor and lender KPI fact sheet</t>
        </is>
      </c>
      <c r="C12" s="27" t="inlineStr">
        <is>
          <t>Credit metrics</t>
        </is>
      </c>
      <c r="D12" s="27" t="inlineStr">
        <is>
          <t>Alder Ridge</t>
        </is>
      </c>
      <c r="E12" s="27" t="inlineStr">
        <is>
          <t>2026-06-30</t>
        </is>
      </c>
      <c r="F12" s="27" t="inlineStr">
        <is>
          <t>Management stretch</t>
        </is>
      </c>
      <c r="G12" s="27" t="inlineStr">
        <is>
          <t>Distributions LTM</t>
        </is>
      </c>
      <c r="H12" s="44" t="n">
        <v>416000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5" t="inlineStr">
        <is>
          <t>2026-06-24</t>
        </is>
      </c>
      <c r="M12" s="27" t="inlineStr"/>
    </row>
    <row r="13">
      <c r="A13" s="36" t="inlineStr">
        <is>
          <t>RPT-00039</t>
        </is>
      </c>
      <c r="B13" s="27" t="inlineStr">
        <is>
          <t>Create the Q2 investor and lender KPI fact sheet</t>
        </is>
      </c>
      <c r="C13" s="27" t="inlineStr">
        <is>
          <t>Quarterly KPIs</t>
        </is>
      </c>
      <c r="D13" s="27" t="inlineStr">
        <is>
          <t>Alder Ridge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Acquisition revenue</t>
        </is>
      </c>
      <c r="H13" s="44" t="n">
        <v>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5" t="inlineStr">
        <is>
          <t>2026-06-24</t>
        </is>
      </c>
      <c r="M13" s="27" t="inlineStr"/>
    </row>
    <row r="14">
      <c r="A14" s="36" t="inlineStr">
        <is>
          <t>RPT-00040</t>
        </is>
      </c>
      <c r="B14" s="27" t="inlineStr">
        <is>
          <t>Create the Q2 investor and lender KPI fact sheet</t>
        </is>
      </c>
      <c r="C14" s="27" t="inlineStr">
        <is>
          <t>Quarterly KPIs</t>
        </is>
      </c>
      <c r="D14" s="27" t="inlineStr">
        <is>
          <t>Alder Ridge</t>
        </is>
      </c>
      <c r="E14" s="27" t="inlineStr">
        <is>
          <t>2026-Q1</t>
        </is>
      </c>
      <c r="F14" s="27" t="inlineStr">
        <is>
          <t>Management stretch</t>
        </is>
      </c>
      <c r="G14" s="27" t="inlineStr">
        <is>
          <t>Operating cash flow</t>
        </is>
      </c>
      <c r="H14" s="44" t="n">
        <v>1946.7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5" t="inlineStr">
        <is>
          <t>2026-06-24</t>
        </is>
      </c>
      <c r="M14" s="27" t="inlineStr"/>
    </row>
    <row r="15">
      <c r="A15" s="36" t="inlineStr">
        <is>
          <t>RPT-00366</t>
        </is>
      </c>
      <c r="B15" s="27" t="inlineStr">
        <is>
          <t>Create the restated investor KPI fact sheet</t>
        </is>
      </c>
      <c r="C15" s="27" t="inlineStr">
        <is>
          <t>Restated quarterly KPI series</t>
        </is>
      </c>
      <c r="D15" s="27" t="inlineStr">
        <is>
          <t>Alder Ridge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Revenue</t>
        </is>
      </c>
      <c r="H15" s="44" t="n">
        <v>11762600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5" t="inlineStr">
        <is>
          <t>2026-06-24</t>
        </is>
      </c>
      <c r="M15" s="27" t="inlineStr"/>
    </row>
    <row r="16">
      <c r="A16" s="36" t="inlineStr">
        <is>
          <t>RPT-00367</t>
        </is>
      </c>
      <c r="B16" s="27" t="inlineStr">
        <is>
          <t>Create the restated investor KPI fact sheet</t>
        </is>
      </c>
      <c r="C16" s="27" t="inlineStr">
        <is>
          <t>Restated quarterly KPI series</t>
        </is>
      </c>
      <c r="D16" s="27" t="inlineStr">
        <is>
          <t>Alder Ridge</t>
        </is>
      </c>
      <c r="E16" s="27" t="inlineStr">
        <is>
          <t>Q4 FY25</t>
        </is>
      </c>
      <c r="F16" s="27" t="inlineStr">
        <is>
          <t>Management stretch</t>
        </is>
      </c>
      <c r="G16" s="27" t="inlineStr">
        <is>
          <t>Operating cash flow</t>
        </is>
      </c>
      <c r="H16" s="44" t="n">
        <v>1331200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5" t="inlineStr">
        <is>
          <t>2026-06-24</t>
        </is>
      </c>
      <c r="M16" s="27" t="inlineStr"/>
    </row>
    <row r="17">
      <c r="A17" s="36" t="inlineStr">
        <is>
          <t>RPT-00368</t>
        </is>
      </c>
      <c r="B17" s="27" t="inlineStr">
        <is>
          <t>Create the restated investor KPI fact sheet</t>
        </is>
      </c>
      <c r="C17" s="27" t="inlineStr">
        <is>
          <t>Restated quarterly KPI series</t>
        </is>
      </c>
      <c r="D17" s="27" t="inlineStr">
        <is>
          <t>Alder Ridge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Funded debt</t>
        </is>
      </c>
      <c r="H17" s="44" t="n">
        <v>10374000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5" t="inlineStr">
        <is>
          <t>2026-06-24</t>
        </is>
      </c>
      <c r="M17" s="27" t="inlineStr"/>
    </row>
    <row r="18">
      <c r="A18" s="36" t="inlineStr">
        <is>
          <t>RPT-00369</t>
        </is>
      </c>
      <c r="B18" s="27" t="inlineStr">
        <is>
          <t>Create the restated investor KPI fact sheet</t>
        </is>
      </c>
      <c r="C18" s="27" t="inlineStr">
        <is>
          <t>Historical EBITDA definition restatement</t>
        </is>
      </c>
      <c r="D18" s="27" t="inlineStr">
        <is>
          <t>Alder Ridge</t>
        </is>
      </c>
      <c r="E18" s="27" t="inlineStr">
        <is>
          <t>Q4 FY25</t>
        </is>
      </c>
      <c r="F18" s="27" t="inlineStr">
        <is>
          <t>Management stretch</t>
        </is>
      </c>
      <c r="G18" s="27" t="inlineStr">
        <is>
          <t>EBITDA change</t>
        </is>
      </c>
      <c r="H18" s="44" t="n">
        <v>92.7</v>
      </c>
      <c r="I18" s="27" t="inlineStr"/>
      <c r="J18" s="27" t="inlineStr">
        <is>
          <t>USD thousands</t>
        </is>
      </c>
      <c r="K18" s="27" t="inlineStr">
        <is>
          <t>Earlier management working export</t>
        </is>
      </c>
      <c r="L18" s="45" t="inlineStr">
        <is>
          <t>2026-06-24</t>
        </is>
      </c>
      <c r="M18" s="27" t="inlineStr"/>
    </row>
    <row r="19">
      <c r="A19" s="36" t="inlineStr">
        <is>
          <t>RPT-00370</t>
        </is>
      </c>
      <c r="B19" s="27" t="inlineStr">
        <is>
          <t>Create the restated investor KPI fact sheet</t>
        </is>
      </c>
      <c r="C19" s="27" t="inlineStr">
        <is>
          <t>Restated quarterly KPI series</t>
        </is>
      </c>
      <c r="D19" s="27" t="inlineStr">
        <is>
          <t>Alder Ridge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Revenue</t>
        </is>
      </c>
      <c r="H19" s="44" t="n">
        <v>11876800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5" t="inlineStr">
        <is>
          <t>2026-06-24</t>
        </is>
      </c>
      <c r="M19" s="27" t="inlineStr"/>
    </row>
    <row r="20">
      <c r="A20" s="36" t="inlineStr">
        <is>
          <t>RPT-00371</t>
        </is>
      </c>
      <c r="B20" s="27" t="inlineStr">
        <is>
          <t>Create the restated investor KPI fact sheet</t>
        </is>
      </c>
      <c r="C20" s="27" t="inlineStr">
        <is>
          <t>Restated quarterly KPI series</t>
        </is>
      </c>
      <c r="D20" s="27" t="inlineStr">
        <is>
          <t>Alder Ridge</t>
        </is>
      </c>
      <c r="E20" s="27" t="inlineStr">
        <is>
          <t>Q4 FY25</t>
        </is>
      </c>
      <c r="F20" s="27" t="inlineStr">
        <is>
          <t>Management stretch</t>
        </is>
      </c>
      <c r="G20" s="27" t="inlineStr">
        <is>
          <t>Operating cash flow</t>
        </is>
      </c>
      <c r="H20" s="44" t="n">
        <v>1344000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5" t="inlineStr">
        <is>
          <t>2026-06-24</t>
        </is>
      </c>
      <c r="M20" s="27" t="inlineStr"/>
    </row>
    <row r="21">
      <c r="A21" s="36" t="inlineStr">
        <is>
          <t>RPT-00372</t>
        </is>
      </c>
      <c r="B21" s="27" t="inlineStr">
        <is>
          <t>Create the restated investor KPI fact sheet</t>
        </is>
      </c>
      <c r="C21" s="27" t="inlineStr">
        <is>
          <t>Restated quarterly KPI series</t>
        </is>
      </c>
      <c r="D21" s="27" t="inlineStr">
        <is>
          <t>Alder Ridge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Funded debt</t>
        </is>
      </c>
      <c r="H21" s="44" t="n">
        <v>10176400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5" t="inlineStr">
        <is>
          <t>2026-06-24</t>
        </is>
      </c>
      <c r="M21" s="27" t="inlineStr"/>
    </row>
    <row r="22">
      <c r="A22" s="36" t="inlineStr">
        <is>
          <t>RPT-00373</t>
        </is>
      </c>
      <c r="B22" s="27" t="inlineStr">
        <is>
          <t>Create the restated investor KPI fact sheet</t>
        </is>
      </c>
      <c r="C22" s="27" t="inlineStr">
        <is>
          <t>Historical EBITDA definition restatement</t>
        </is>
      </c>
      <c r="D22" s="27" t="inlineStr">
        <is>
          <t>Alder Ridge</t>
        </is>
      </c>
      <c r="E22" s="27" t="inlineStr">
        <is>
          <t>Q4 FY25</t>
        </is>
      </c>
      <c r="F22" s="27" t="inlineStr">
        <is>
          <t>Management stretch</t>
        </is>
      </c>
      <c r="G22" s="27" t="inlineStr">
        <is>
          <t>EBITDA change</t>
        </is>
      </c>
      <c r="H22" s="44" t="n">
        <v>93.59999999999999</v>
      </c>
      <c r="I22" s="27" t="inlineStr"/>
      <c r="J22" s="27" t="inlineStr">
        <is>
          <t>USD thousands</t>
        </is>
      </c>
      <c r="K22" s="27" t="inlineStr">
        <is>
          <t>Earlier management working export</t>
        </is>
      </c>
      <c r="L22" s="45" t="inlineStr">
        <is>
          <t>2026-06-24</t>
        </is>
      </c>
      <c r="M22" s="27" t="inlineStr"/>
    </row>
    <row r="23">
      <c r="A23" s="36" t="inlineStr">
        <is>
          <t>RPT-00374</t>
        </is>
      </c>
      <c r="B23" s="27" t="inlineStr">
        <is>
          <t>Create the restated investor KPI fact sheet</t>
        </is>
      </c>
      <c r="C23" s="27" t="inlineStr">
        <is>
          <t>Restated quarterly KPI series</t>
        </is>
      </c>
      <c r="D23" s="27" t="inlineStr">
        <is>
          <t>Alder Ridge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Revenue</t>
        </is>
      </c>
      <c r="H23" s="44" t="n">
        <v>11991000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5" t="inlineStr">
        <is>
          <t>2026-06-24</t>
        </is>
      </c>
      <c r="M23" s="27" t="inlineStr"/>
    </row>
    <row r="24">
      <c r="A24" s="36" t="inlineStr">
        <is>
          <t>RPT-00375</t>
        </is>
      </c>
      <c r="B24" s="27" t="inlineStr">
        <is>
          <t>Create the restated investor KPI fact sheet</t>
        </is>
      </c>
      <c r="C24" s="27" t="inlineStr">
        <is>
          <t>Restated quarterly KPI series</t>
        </is>
      </c>
      <c r="D24" s="27" t="inlineStr">
        <is>
          <t>Alder Ridge</t>
        </is>
      </c>
      <c r="E24" s="27" t="inlineStr">
        <is>
          <t>Q4 FY25</t>
        </is>
      </c>
      <c r="F24" s="27" t="inlineStr">
        <is>
          <t>Management stretch</t>
        </is>
      </c>
      <c r="G24" s="27" t="inlineStr">
        <is>
          <t>Operating cash flow</t>
        </is>
      </c>
      <c r="H24" s="44" t="n">
        <v>1318400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5" t="inlineStr">
        <is>
          <t>2026-06-24</t>
        </is>
      </c>
      <c r="M24" s="27" t="inlineStr"/>
    </row>
    <row r="25">
      <c r="A25" s="36" t="inlineStr">
        <is>
          <t>RPT-00376</t>
        </is>
      </c>
      <c r="B25" s="27" t="inlineStr">
        <is>
          <t>Create the restated investor KPI fact sheet</t>
        </is>
      </c>
      <c r="C25" s="27" t="inlineStr">
        <is>
          <t>Restated quarterly KPI series</t>
        </is>
      </c>
      <c r="D25" s="27" t="inlineStr">
        <is>
          <t>Alder Ridge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Funded debt</t>
        </is>
      </c>
      <c r="H25" s="44" t="n">
        <v>10275200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5" t="inlineStr">
        <is>
          <t>2026-06-24</t>
        </is>
      </c>
      <c r="M25" s="27" t="inlineStr"/>
    </row>
    <row r="26">
      <c r="A26" s="36" t="inlineStr">
        <is>
          <t>RPT-00377</t>
        </is>
      </c>
      <c r="B26" s="27" t="inlineStr">
        <is>
          <t>Create the restated investor KPI fact sheet</t>
        </is>
      </c>
      <c r="C26" s="27" t="inlineStr">
        <is>
          <t>Historical EBITDA definition restatement</t>
        </is>
      </c>
      <c r="D26" s="27" t="inlineStr">
        <is>
          <t>Alder Ridge</t>
        </is>
      </c>
      <c r="E26" s="27" t="inlineStr">
        <is>
          <t>Q4 FY25</t>
        </is>
      </c>
      <c r="F26" s="27" t="inlineStr">
        <is>
          <t>Management stretch</t>
        </is>
      </c>
      <c r="G26" s="27" t="inlineStr">
        <is>
          <t>EBITDA change</t>
        </is>
      </c>
      <c r="H26" s="44" t="n">
        <v>94.5</v>
      </c>
      <c r="I26" s="27" t="inlineStr"/>
      <c r="J26" s="27" t="inlineStr">
        <is>
          <t>USD thousands</t>
        </is>
      </c>
      <c r="K26" s="27" t="inlineStr">
        <is>
          <t>Earlier management working export</t>
        </is>
      </c>
      <c r="L26" s="45" t="inlineStr">
        <is>
          <t>2026-06-24</t>
        </is>
      </c>
      <c r="M26" s="27" t="inlineStr"/>
    </row>
    <row r="27">
      <c r="A27" s="36" t="inlineStr">
        <is>
          <t>RPT-00389</t>
        </is>
      </c>
      <c r="B27" s="27" t="inlineStr">
        <is>
          <t>Create the restated investor KPI fact sheet</t>
        </is>
      </c>
      <c r="C27" s="27" t="inlineStr">
        <is>
          <t>KPI scope bridge</t>
        </is>
      </c>
      <c r="D27" s="27" t="inlineStr">
        <is>
          <t>Alder Ridge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Acquired revenue</t>
        </is>
      </c>
      <c r="H27" s="44" t="n">
        <v>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5" t="inlineStr">
        <is>
          <t>2026-06-24</t>
        </is>
      </c>
      <c r="M27" s="27" t="inlineStr"/>
    </row>
    <row r="28">
      <c r="A28" s="36" t="inlineStr">
        <is>
          <t>RPT-00390</t>
        </is>
      </c>
      <c r="B28" s="27" t="inlineStr">
        <is>
          <t>Create the restated investor KPI fact sheet</t>
        </is>
      </c>
      <c r="C28" s="27" t="inlineStr">
        <is>
          <t>KPI scope bridge</t>
        </is>
      </c>
      <c r="D28" s="27" t="inlineStr">
        <is>
          <t>Alder Ridge</t>
        </is>
      </c>
      <c r="E28" s="27" t="inlineStr">
        <is>
          <t>Q2 FY26</t>
        </is>
      </c>
      <c r="F28" s="27" t="inlineStr">
        <is>
          <t>Management stretch</t>
        </is>
      </c>
      <c r="G28" s="27" t="inlineStr">
        <is>
          <t>Disposed revenue</t>
        </is>
      </c>
      <c r="H28" s="44" t="n">
        <v>124800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5" t="inlineStr">
        <is>
          <t>2026-06-24</t>
        </is>
      </c>
      <c r="M28" s="27" t="inlineStr"/>
    </row>
    <row r="29">
      <c r="A29" s="36" t="inlineStr">
        <is>
          <t>RPT-00391</t>
        </is>
      </c>
      <c r="B29" s="27" t="inlineStr">
        <is>
          <t>Create the restated investor KPI fact sheet</t>
        </is>
      </c>
      <c r="C29" s="27" t="inlineStr">
        <is>
          <t>KPI scope bridge</t>
        </is>
      </c>
      <c r="D29" s="27" t="inlineStr">
        <is>
          <t>Alder Ridge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Disposed revenue</t>
        </is>
      </c>
      <c r="H29" s="44" t="n">
        <v>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5" t="inlineStr">
        <is>
          <t>2026-06-24</t>
        </is>
      </c>
      <c r="M29" s="27" t="inlineStr"/>
    </row>
    <row r="30">
      <c r="A30" s="36" t="inlineStr">
        <is>
          <t>RPT-00392</t>
        </is>
      </c>
      <c r="B30" s="27" t="inlineStr">
        <is>
          <t>Create the restated investor KPI fact sheet</t>
        </is>
      </c>
      <c r="C30" s="27" t="inlineStr">
        <is>
          <t>Investor KPI controls</t>
        </is>
      </c>
      <c r="D30" s="27" t="inlineStr">
        <is>
          <t>Alder Ridge</t>
        </is>
      </c>
      <c r="E30" s="27" t="inlineStr">
        <is>
          <t>Hardened</t>
        </is>
      </c>
      <c r="F30" s="27" t="inlineStr">
        <is>
          <t>Management stretch</t>
        </is>
      </c>
      <c r="G30" s="27" t="inlineStr">
        <is>
          <t>Restricted cash excluded from covenant net debt</t>
        </is>
      </c>
      <c r="H30" s="44" t="n">
        <v>422300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5" t="inlineStr">
        <is>
          <t>2026-06-24</t>
        </is>
      </c>
      <c r="M30" s="27" t="inlineStr"/>
    </row>
    <row r="31">
      <c r="A31" s="36" t="inlineStr">
        <is>
          <t>RPT-00393</t>
        </is>
      </c>
      <c r="B31" s="27" t="inlineStr">
        <is>
          <t>Create the restated investor KPI fact sheet</t>
        </is>
      </c>
      <c r="C31" s="27" t="inlineStr">
        <is>
          <t>KPI scope bridge</t>
        </is>
      </c>
      <c r="D31" s="27" t="inlineStr">
        <is>
          <t>Alder Ridge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Acquired revenue</t>
        </is>
      </c>
      <c r="H31" s="44" t="n">
        <v>582.4</v>
      </c>
      <c r="I31" s="27" t="inlineStr"/>
      <c r="J31" s="27" t="inlineStr">
        <is>
          <t>USD thousands</t>
        </is>
      </c>
      <c r="K31" s="27" t="inlineStr">
        <is>
          <t>Earlier management working export</t>
        </is>
      </c>
      <c r="L31" s="45" t="inlineStr">
        <is>
          <t>2026-06-24</t>
        </is>
      </c>
      <c r="M31" s="27" t="inlineStr"/>
    </row>
    <row r="32">
      <c r="A32" s="36" t="inlineStr">
        <is>
          <t>RPT-00394</t>
        </is>
      </c>
      <c r="B32" s="27" t="inlineStr">
        <is>
          <t>Create the restated investor KPI fact sheet</t>
        </is>
      </c>
      <c r="C32" s="27" t="inlineStr">
        <is>
          <t>KPI scope bridge</t>
        </is>
      </c>
      <c r="D32" s="27" t="inlineStr">
        <is>
          <t>Alder Ridge</t>
        </is>
      </c>
      <c r="E32" s="27" t="inlineStr">
        <is>
          <t>Q4 FY25</t>
        </is>
      </c>
      <c r="F32" s="27" t="inlineStr">
        <is>
          <t>Management stretch</t>
        </is>
      </c>
      <c r="G32" s="27" t="inlineStr">
        <is>
          <t>Acquired revenue</t>
        </is>
      </c>
      <c r="H32" s="44" t="n">
        <v>231000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5" t="inlineStr">
        <is>
          <t>2026-06-24</t>
        </is>
      </c>
      <c r="M32" s="27" t="inlineStr"/>
    </row>
    <row r="33">
      <c r="A33" s="36" t="inlineStr">
        <is>
          <t>RPT-00399</t>
        </is>
      </c>
      <c r="B33" s="27" t="inlineStr">
        <is>
          <t>Create the restated investor KPI fact sheet</t>
        </is>
      </c>
      <c r="C33" s="27" t="inlineStr">
        <is>
          <t>Investor KPI pending scope review</t>
        </is>
      </c>
      <c r="D33" s="27" t="inlineStr">
        <is>
          <t>Alder Ridge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Pending acquired revenue exclusion</t>
        </is>
      </c>
      <c r="H33" s="44" t="n">
        <v>350200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5" t="inlineStr">
        <is>
          <t>2026-06-24</t>
        </is>
      </c>
      <c r="M33" s="27" t="inlineStr"/>
    </row>
    <row r="34">
      <c r="A34" s="36" t="inlineStr">
        <is>
          <t>RPT-00400</t>
        </is>
      </c>
      <c r="B34" s="27" t="inlineStr">
        <is>
          <t>Create the restated investor KPI fact sheet</t>
        </is>
      </c>
      <c r="C34" s="27" t="inlineStr">
        <is>
          <t>Investor KPI pending scope review</t>
        </is>
      </c>
      <c r="D34" s="27" t="inlineStr">
        <is>
          <t>Alder Ridge</t>
        </is>
      </c>
      <c r="E34" s="27" t="inlineStr">
        <is>
          <t>Management review</t>
        </is>
      </c>
      <c r="F34" s="27" t="inlineStr">
        <is>
          <t>Management stretch</t>
        </is>
      </c>
      <c r="G34" s="27" t="inlineStr">
        <is>
          <t>Additional restricted cash exclusion</t>
        </is>
      </c>
      <c r="H34" s="44" t="n">
        <v>104000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5" t="inlineStr">
        <is>
          <t>2026-06-24</t>
        </is>
      </c>
      <c r="M34" s="27" t="inlineStr"/>
    </row>
    <row r="35">
      <c r="A35" s="36" t="inlineStr">
        <is>
          <t>RPT-00401</t>
        </is>
      </c>
      <c r="B35" s="27" t="inlineStr">
        <is>
          <t>Create the restated investor KPI fact sheet</t>
        </is>
      </c>
      <c r="C35" s="27" t="inlineStr">
        <is>
          <t>Investor KPI pending scope review</t>
        </is>
      </c>
      <c r="D35" s="27" t="inlineStr">
        <is>
          <t>Alder Ridge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Pending adjusted EBITDA reduction</t>
        </is>
      </c>
      <c r="H35" s="44" t="n">
        <v>189000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5" t="inlineStr">
        <is>
          <t>2026-06-24</t>
        </is>
      </c>
      <c r="M35" s="27" t="inlineStr"/>
    </row>
    <row r="36">
      <c r="A36" s="36" t="inlineStr">
        <is>
          <t>RPT-00402</t>
        </is>
      </c>
      <c r="B36" s="27" t="inlineStr">
        <is>
          <t>Create the restated investor KPI fact sheet</t>
        </is>
      </c>
      <c r="C36" s="27" t="inlineStr">
        <is>
          <t>Investor KPI pending scope review</t>
        </is>
      </c>
      <c r="D36" s="27" t="inlineStr">
        <is>
          <t>Alder Ridge</t>
        </is>
      </c>
      <c r="E36" s="27" t="inlineStr">
        <is>
          <t>Management review</t>
        </is>
      </c>
      <c r="F36" s="27" t="inlineStr">
        <is>
          <t>Management stretch</t>
        </is>
      </c>
      <c r="G36" s="27" t="inlineStr">
        <is>
          <t>Pending disposed revenue addback</t>
        </is>
      </c>
      <c r="H36" s="44" t="n">
        <v>92.7</v>
      </c>
      <c r="I36" s="27" t="inlineStr"/>
      <c r="J36" s="27" t="inlineStr">
        <is>
          <t>USD thousands</t>
        </is>
      </c>
      <c r="K36" s="27" t="inlineStr">
        <is>
          <t>Earlier management working export</t>
        </is>
      </c>
      <c r="L36" s="45" t="inlineStr">
        <is>
          <t>2026-06-24</t>
        </is>
      </c>
      <c r="M36" s="27" t="inlineStr"/>
    </row>
    <row r="37">
      <c r="A37" s="36" t="inlineStr">
        <is>
          <t>RPT-00403</t>
        </is>
      </c>
      <c r="B37" s="27" t="inlineStr">
        <is>
          <t>Create the restated investor KPI fact sheet</t>
        </is>
      </c>
      <c r="C37" s="27" t="inlineStr">
        <is>
          <t>Investor KPI pending scope review</t>
        </is>
      </c>
      <c r="D37" s="27" t="inlineStr">
        <is>
          <t>Alder Ridge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Pending acquired revenue exclusion</t>
        </is>
      </c>
      <c r="H37" s="44" t="n">
        <v>353600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5" t="inlineStr">
        <is>
          <t>2026-06-24</t>
        </is>
      </c>
      <c r="M37" s="27" t="inlineStr"/>
    </row>
    <row r="38">
      <c r="A38" s="36" t="inlineStr">
        <is>
          <t>RPT-00404</t>
        </is>
      </c>
      <c r="B38" s="27" t="inlineStr">
        <is>
          <t>Create the restated investor KPI fact sheet</t>
        </is>
      </c>
      <c r="C38" s="27" t="inlineStr">
        <is>
          <t>Investor KPI pending scope review</t>
        </is>
      </c>
      <c r="D38" s="27" t="inlineStr">
        <is>
          <t>Alder Ridge</t>
        </is>
      </c>
      <c r="E38" s="27" t="inlineStr">
        <is>
          <t>Management review</t>
        </is>
      </c>
      <c r="F38" s="27" t="inlineStr">
        <is>
          <t>Management stretch</t>
        </is>
      </c>
      <c r="G38" s="27" t="inlineStr">
        <is>
          <t>Additional restricted cash exclusion</t>
        </is>
      </c>
      <c r="H38" s="44" t="n">
        <v>105000</v>
      </c>
      <c r="I38" s="27" t="inlineStr"/>
      <c r="J38" s="27" t="inlineStr">
        <is>
          <t>USD</t>
        </is>
      </c>
      <c r="K38" s="27" t="inlineStr">
        <is>
          <t>Earlier management working export</t>
        </is>
      </c>
      <c r="L38" s="45" t="inlineStr">
        <is>
          <t>2026-06-24</t>
        </is>
      </c>
      <c r="M38" s="27" t="inlineStr"/>
    </row>
    <row r="39">
      <c r="A39" s="36" t="inlineStr">
        <is>
          <t>RPT-00405</t>
        </is>
      </c>
      <c r="B39" s="27" t="inlineStr">
        <is>
          <t>Create the restated investor KPI fact sheet</t>
        </is>
      </c>
      <c r="C39" s="27" t="inlineStr">
        <is>
          <t>Investor KPI pending scope review</t>
        </is>
      </c>
      <c r="D39" s="27" t="inlineStr">
        <is>
          <t>Alder Ridge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Pending adjusted EBITDA reduction</t>
        </is>
      </c>
      <c r="H39" s="44" t="n">
        <v>185400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5" t="inlineStr">
        <is>
          <t>2026-06-24</t>
        </is>
      </c>
      <c r="M39" s="27" t="inlineStr"/>
    </row>
    <row r="40">
      <c r="A40" s="36" t="inlineStr">
        <is>
          <t>RPT-00406</t>
        </is>
      </c>
      <c r="B40" s="27" t="inlineStr">
        <is>
          <t>Create the restated investor KPI fact sheet</t>
        </is>
      </c>
      <c r="C40" s="27" t="inlineStr">
        <is>
          <t>Investor KPI pending scope review</t>
        </is>
      </c>
      <c r="D40" s="27" t="inlineStr">
        <is>
          <t>Alder Ridge</t>
        </is>
      </c>
      <c r="E40" s="27" t="inlineStr">
        <is>
          <t>Management review</t>
        </is>
      </c>
      <c r="F40" s="27" t="inlineStr">
        <is>
          <t>Management stretch</t>
        </is>
      </c>
      <c r="G40" s="27" t="inlineStr">
        <is>
          <t>Pending disposed revenue addback</t>
        </is>
      </c>
      <c r="H40" s="44" t="n">
        <v>93.59999999999999</v>
      </c>
      <c r="I40" s="27" t="inlineStr"/>
      <c r="J40" s="27" t="inlineStr">
        <is>
          <t>USD thousands</t>
        </is>
      </c>
      <c r="K40" s="27" t="inlineStr">
        <is>
          <t>Earlier management working export</t>
        </is>
      </c>
      <c r="L40" s="45" t="inlineStr">
        <is>
          <t>2026-06-24</t>
        </is>
      </c>
      <c r="M40" s="27" t="inlineStr"/>
    </row>
  </sheetData>
  <autoFilter ref="A4:M40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Q2 management reporting and investor materials | Board Performance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RPT-00086</t>
        </is>
      </c>
      <c r="B5" s="27" t="inlineStr">
        <is>
          <t>Complete the Q2 board performance dashboard</t>
        </is>
      </c>
      <c r="C5" s="27" t="inlineStr">
        <is>
          <t>Full-year outlook</t>
        </is>
      </c>
      <c r="D5" s="27" t="inlineStr">
        <is>
          <t>Board plan</t>
        </is>
      </c>
      <c r="E5" s="27" t="inlineStr">
        <is>
          <t>2025-12-18</t>
        </is>
      </c>
      <c r="F5" s="27" t="inlineStr">
        <is>
          <t>Approved case</t>
        </is>
      </c>
      <c r="G5" s="27" t="inlineStr">
        <is>
          <t>FY26 revenue outlook</t>
        </is>
      </c>
      <c r="H5" s="44" t="n">
        <v>51500000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5" t="inlineStr">
        <is>
          <t>2026-06-30</t>
        </is>
      </c>
      <c r="M5" s="27" t="inlineStr"/>
    </row>
    <row r="6">
      <c r="A6" s="36" t="inlineStr">
        <is>
          <t>RPT-00087</t>
        </is>
      </c>
      <c r="B6" s="27" t="inlineStr">
        <is>
          <t>Complete the Q2 board performance dashboard</t>
        </is>
      </c>
      <c r="C6" s="27" t="inlineStr">
        <is>
          <t>Full-year outlook</t>
        </is>
      </c>
      <c r="D6" s="27" t="inlineStr">
        <is>
          <t>April forecast</t>
        </is>
      </c>
      <c r="E6" s="27" t="inlineStr">
        <is>
          <t>2026-04-28</t>
        </is>
      </c>
      <c r="F6" s="27" t="inlineStr">
        <is>
          <t>Approved case</t>
        </is>
      </c>
      <c r="G6" s="27" t="inlineStr">
        <is>
          <t>FY26 revenue outlook</t>
        </is>
      </c>
      <c r="H6" s="44" t="n">
        <v>52100000</v>
      </c>
      <c r="I6" s="27" t="inlineStr"/>
      <c r="J6" s="27" t="inlineStr">
        <is>
          <t>USD</t>
        </is>
      </c>
      <c r="K6" s="27" t="inlineStr">
        <is>
          <t>Finance operating schedule</t>
        </is>
      </c>
      <c r="L6" s="45" t="inlineStr">
        <is>
          <t>2026-06-30</t>
        </is>
      </c>
      <c r="M6" s="27" t="inlineStr"/>
    </row>
    <row r="7">
      <c r="A7" s="36" t="inlineStr">
        <is>
          <t>RPT-00122</t>
        </is>
      </c>
      <c r="B7" s="27" t="inlineStr">
        <is>
          <t>Complete the Q2 board performance dashboard</t>
        </is>
      </c>
      <c r="C7" s="27" t="inlineStr">
        <is>
          <t>Q2 actual export</t>
        </is>
      </c>
      <c r="D7" s="27" t="inlineStr">
        <is>
          <t>Construction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Adjusted EBITDA margin</t>
        </is>
      </c>
      <c r="H7" s="44" t="n">
        <v>0.09785000000000001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5" t="inlineStr">
        <is>
          <t>2026-06-24</t>
        </is>
      </c>
      <c r="M7" s="27" t="inlineStr"/>
    </row>
    <row r="8">
      <c r="A8" s="36" t="inlineStr">
        <is>
          <t>RPT-00123</t>
        </is>
      </c>
      <c r="B8" s="27" t="inlineStr">
        <is>
          <t>Complete the Q2 board performance dashboard</t>
        </is>
      </c>
      <c r="C8" s="27" t="inlineStr">
        <is>
          <t>Q2 approved plan</t>
        </is>
      </c>
      <c r="D8" s="27" t="inlineStr">
        <is>
          <t>Construction</t>
        </is>
      </c>
      <c r="E8" s="27" t="inlineStr">
        <is>
          <t>2026-06</t>
        </is>
      </c>
      <c r="F8" s="27" t="inlineStr">
        <is>
          <t>Management stretch</t>
        </is>
      </c>
      <c r="G8" s="27" t="inlineStr">
        <is>
          <t>Revenue plan</t>
        </is>
      </c>
      <c r="H8" s="44" t="n">
        <v>2578867.2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5" t="inlineStr">
        <is>
          <t>2026-06-24</t>
        </is>
      </c>
      <c r="M8" s="27" t="inlineStr"/>
    </row>
    <row r="9">
      <c r="A9" s="36" t="inlineStr">
        <is>
          <t>RPT-00124</t>
        </is>
      </c>
      <c r="B9" s="27" t="inlineStr">
        <is>
          <t>Complete the Q2 board performance dashboard</t>
        </is>
      </c>
      <c r="C9" s="27" t="inlineStr">
        <is>
          <t>Q2 approved plan</t>
        </is>
      </c>
      <c r="D9" s="27" t="inlineStr">
        <is>
          <t>Service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EBITDA plan margin</t>
        </is>
      </c>
      <c r="H9" s="44" t="n">
        <v>0.1869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5" t="inlineStr">
        <is>
          <t>2026-06-24</t>
        </is>
      </c>
      <c r="M9" s="27" t="inlineStr"/>
    </row>
    <row r="10">
      <c r="A10" s="36" t="inlineStr">
        <is>
          <t>RPT-00125</t>
        </is>
      </c>
      <c r="B10" s="27" t="inlineStr">
        <is>
          <t>Complete the Q2 board performance dashboard</t>
        </is>
      </c>
      <c r="C10" s="27" t="inlineStr">
        <is>
          <t>Q2 actual export</t>
        </is>
      </c>
      <c r="D10" s="27" t="inlineStr">
        <is>
          <t>Controls</t>
        </is>
      </c>
      <c r="E10" s="27" t="inlineStr">
        <is>
          <t>2026-05</t>
        </is>
      </c>
      <c r="F10" s="27" t="inlineStr">
        <is>
          <t>Management stretch</t>
        </is>
      </c>
      <c r="G10" s="27" t="inlineStr">
        <is>
          <t>Adjusted EBITDA margin</t>
        </is>
      </c>
      <c r="H10" s="44" t="n">
        <v>0.15038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5" t="inlineStr">
        <is>
          <t>2026-06-24</t>
        </is>
      </c>
      <c r="M10" s="27" t="inlineStr"/>
    </row>
    <row r="11">
      <c r="A11" s="36" t="inlineStr">
        <is>
          <t>RPT-00126</t>
        </is>
      </c>
      <c r="B11" s="27" t="inlineStr">
        <is>
          <t>Complete the Q2 board performance dashboard</t>
        </is>
      </c>
      <c r="C11" s="27" t="inlineStr">
        <is>
          <t>Cash and capital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Capital expenditure</t>
        </is>
      </c>
      <c r="H11" s="44" t="n">
        <v>540800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5" t="inlineStr">
        <is>
          <t>2026-06-24</t>
        </is>
      </c>
      <c r="M11" s="27" t="inlineStr"/>
    </row>
    <row r="12">
      <c r="A12" s="36" t="inlineStr">
        <is>
          <t>RPT-00127</t>
        </is>
      </c>
      <c r="B12" s="27" t="inlineStr">
        <is>
          <t>Complete the Q2 board performance dashboard</t>
        </is>
      </c>
      <c r="C12" s="27" t="inlineStr">
        <is>
          <t>Cash and capital</t>
        </is>
      </c>
      <c r="D12" s="27" t="inlineStr">
        <is>
          <t>Consolidated</t>
        </is>
      </c>
      <c r="E12" s="27" t="inlineStr">
        <is>
          <t>2026-06</t>
        </is>
      </c>
      <c r="F12" s="27" t="inlineStr">
        <is>
          <t>Management stretch</t>
        </is>
      </c>
      <c r="G12" s="27" t="inlineStr">
        <is>
          <t>Free cash flow plan</t>
        </is>
      </c>
      <c r="H12" s="44" t="n">
        <v>892500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5" t="inlineStr">
        <is>
          <t>2026-06-24</t>
        </is>
      </c>
      <c r="M12" s="27" t="inlineStr"/>
    </row>
    <row r="13">
      <c r="A13" s="36" t="inlineStr">
        <is>
          <t>RPT-00128</t>
        </is>
      </c>
      <c r="B13" s="27" t="inlineStr">
        <is>
          <t>Complete the Q2 board performance dashboard</t>
        </is>
      </c>
      <c r="C13" s="27" t="inlineStr">
        <is>
          <t>Performance diagnostics</t>
        </is>
      </c>
      <c r="D13" s="27" t="inlineStr">
        <is>
          <t>Controls mix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Unfavorable EBITDA impact</t>
        </is>
      </c>
      <c r="H13" s="44" t="n">
        <v>97.84999999999999</v>
      </c>
      <c r="I13" s="27" t="inlineStr"/>
      <c r="J13" s="27" t="inlineStr">
        <is>
          <t>USD thousands</t>
        </is>
      </c>
      <c r="K13" s="27" t="inlineStr">
        <is>
          <t>Earlier management working export</t>
        </is>
      </c>
      <c r="L13" s="45" t="inlineStr">
        <is>
          <t>2026-06-24</t>
        </is>
      </c>
      <c r="M13" s="27" t="inlineStr"/>
    </row>
    <row r="14">
      <c r="A14" s="36" t="inlineStr">
        <is>
          <t>RPT-00129</t>
        </is>
      </c>
      <c r="B14" s="27" t="inlineStr">
        <is>
          <t>Complete the Q2 board performance dashboard</t>
        </is>
      </c>
      <c r="C14" s="27" t="inlineStr">
        <is>
          <t>Board recovery action register</t>
        </is>
      </c>
      <c r="D14" s="27" t="inlineStr">
        <is>
          <t>Collections timing</t>
        </is>
      </c>
      <c r="E14" s="27" t="inlineStr">
        <is>
          <t>2026-Q2</t>
        </is>
      </c>
      <c r="F14" s="27" t="inlineStr">
        <is>
          <t>Management stretch</t>
        </is>
      </c>
      <c r="G14" s="27" t="inlineStr">
        <is>
          <t>Approved realization probability</t>
        </is>
      </c>
      <c r="H14" s="44" t="n">
        <v>0.8320000000000001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5" t="inlineStr">
        <is>
          <t>2026-06-24</t>
        </is>
      </c>
      <c r="M14" s="27" t="inlineStr"/>
    </row>
    <row r="15">
      <c r="A15" s="36" t="inlineStr">
        <is>
          <t>RPT-00130</t>
        </is>
      </c>
      <c r="B15" s="27" t="inlineStr">
        <is>
          <t>Complete the Q2 board performance dashboard</t>
        </is>
      </c>
      <c r="C15" s="27" t="inlineStr">
        <is>
          <t>Q2 approved plan</t>
        </is>
      </c>
      <c r="D15" s="27" t="inlineStr">
        <is>
          <t>Construction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Revenue plan</t>
        </is>
      </c>
      <c r="H15" s="44" t="n">
        <v>2507232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5" t="inlineStr">
        <is>
          <t>2026-06-24</t>
        </is>
      </c>
      <c r="M15" s="27" t="inlineStr"/>
    </row>
    <row r="16">
      <c r="A16" s="36" t="inlineStr">
        <is>
          <t>RPT-00131</t>
        </is>
      </c>
      <c r="B16" s="27" t="inlineStr">
        <is>
          <t>Complete the Q2 board performance dashboard</t>
        </is>
      </c>
      <c r="C16" s="27" t="inlineStr">
        <is>
          <t>Q2 approved plan</t>
        </is>
      </c>
      <c r="D16" s="27" t="inlineStr">
        <is>
          <t>Service</t>
        </is>
      </c>
      <c r="E16" s="27" t="inlineStr">
        <is>
          <t>2026-04</t>
        </is>
      </c>
      <c r="F16" s="27" t="inlineStr">
        <is>
          <t>Management stretch</t>
        </is>
      </c>
      <c r="G16" s="27" t="inlineStr">
        <is>
          <t>EBITDA plan margin</t>
        </is>
      </c>
      <c r="H16" s="44" t="n">
        <v>0.18334</v>
      </c>
      <c r="I16" s="27" t="inlineStr"/>
      <c r="J16" s="27" t="inlineStr">
        <is>
          <t>decimal ratio</t>
        </is>
      </c>
      <c r="K16" s="27" t="inlineStr">
        <is>
          <t>Earlier management working export</t>
        </is>
      </c>
      <c r="L16" s="45" t="inlineStr">
        <is>
          <t>2026-06-24</t>
        </is>
      </c>
      <c r="M16" s="27" t="inlineStr"/>
    </row>
    <row r="17">
      <c r="A17" s="36" t="inlineStr">
        <is>
          <t>RPT-00177</t>
        </is>
      </c>
      <c r="B17" s="27" t="inlineStr">
        <is>
          <t>Complete the June executive performance review</t>
        </is>
      </c>
      <c r="C17" s="27" t="inlineStr">
        <is>
          <t>Full-year outlook</t>
        </is>
      </c>
      <c r="D17" s="27" t="inlineStr">
        <is>
          <t>Board plan</t>
        </is>
      </c>
      <c r="E17" s="27" t="inlineStr">
        <is>
          <t>2025-12-18</t>
        </is>
      </c>
      <c r="F17" s="27" t="inlineStr">
        <is>
          <t>Approved case</t>
        </is>
      </c>
      <c r="G17" s="27" t="inlineStr">
        <is>
          <t>FY26 revenue outlook</t>
        </is>
      </c>
      <c r="H17" s="44" t="n">
        <v>51500000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5" t="inlineStr">
        <is>
          <t>2026-06-30</t>
        </is>
      </c>
      <c r="M17" s="27" t="inlineStr"/>
    </row>
    <row r="18">
      <c r="A18" s="36" t="inlineStr">
        <is>
          <t>RPT-00178</t>
        </is>
      </c>
      <c r="B18" s="27" t="inlineStr">
        <is>
          <t>Complete the June executive performance review</t>
        </is>
      </c>
      <c r="C18" s="27" t="inlineStr">
        <is>
          <t>Full-year outlook</t>
        </is>
      </c>
      <c r="D18" s="27" t="inlineStr">
        <is>
          <t>April forecast</t>
        </is>
      </c>
      <c r="E18" s="27" t="inlineStr">
        <is>
          <t>2026-04-28</t>
        </is>
      </c>
      <c r="F18" s="27" t="inlineStr">
        <is>
          <t>Approved case</t>
        </is>
      </c>
      <c r="G18" s="27" t="inlineStr">
        <is>
          <t>FY26 revenue outlook</t>
        </is>
      </c>
      <c r="H18" s="44" t="n">
        <v>52100000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5" t="inlineStr">
        <is>
          <t>2026-06-30</t>
        </is>
      </c>
      <c r="M18" s="27" t="inlineStr"/>
    </row>
    <row r="19">
      <c r="A19" s="36" t="inlineStr">
        <is>
          <t>RPT-00187</t>
        </is>
      </c>
      <c r="B19" s="27" t="inlineStr">
        <is>
          <t>Complete the June executive performance review</t>
        </is>
      </c>
      <c r="C19" s="27" t="inlineStr">
        <is>
          <t>Q2 actual export</t>
        </is>
      </c>
      <c r="D19" s="27" t="inlineStr">
        <is>
          <t>Construction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Adjusted EBITDA margin</t>
        </is>
      </c>
      <c r="H19" s="44" t="n">
        <v>0.09785000000000001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5" t="inlineStr">
        <is>
          <t>2026-06-24</t>
        </is>
      </c>
      <c r="M19" s="27" t="inlineStr"/>
    </row>
    <row r="20">
      <c r="A20" s="36" t="inlineStr">
        <is>
          <t>RPT-00188</t>
        </is>
      </c>
      <c r="B20" s="27" t="inlineStr">
        <is>
          <t>Complete the June executive performance review</t>
        </is>
      </c>
      <c r="C20" s="27" t="inlineStr">
        <is>
          <t>Q2 approved plan</t>
        </is>
      </c>
      <c r="D20" s="27" t="inlineStr">
        <is>
          <t>Construction</t>
        </is>
      </c>
      <c r="E20" s="27" t="inlineStr">
        <is>
          <t>2026-06</t>
        </is>
      </c>
      <c r="F20" s="27" t="inlineStr">
        <is>
          <t>Management stretch</t>
        </is>
      </c>
      <c r="G20" s="27" t="inlineStr">
        <is>
          <t>Revenue plan</t>
        </is>
      </c>
      <c r="H20" s="44" t="n">
        <v>2578867.2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5" t="inlineStr">
        <is>
          <t>2026-06-24</t>
        </is>
      </c>
      <c r="M20" s="27" t="inlineStr"/>
    </row>
    <row r="21">
      <c r="A21" s="36" t="inlineStr">
        <is>
          <t>RPT-00189</t>
        </is>
      </c>
      <c r="B21" s="27" t="inlineStr">
        <is>
          <t>Complete the June executive performance review</t>
        </is>
      </c>
      <c r="C21" s="27" t="inlineStr">
        <is>
          <t>Q2 approved plan</t>
        </is>
      </c>
      <c r="D21" s="27" t="inlineStr">
        <is>
          <t>Service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EBITDA plan margin</t>
        </is>
      </c>
      <c r="H21" s="44" t="n">
        <v>0.1869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5" t="inlineStr">
        <is>
          <t>2026-06-24</t>
        </is>
      </c>
      <c r="M21" s="27" t="inlineStr"/>
    </row>
    <row r="22">
      <c r="A22" s="36" t="inlineStr">
        <is>
          <t>RPT-00190</t>
        </is>
      </c>
      <c r="B22" s="27" t="inlineStr">
        <is>
          <t>Complete the June executive performance review</t>
        </is>
      </c>
      <c r="C22" s="27" t="inlineStr">
        <is>
          <t>Q2 actual export</t>
        </is>
      </c>
      <c r="D22" s="27" t="inlineStr">
        <is>
          <t>Controls</t>
        </is>
      </c>
      <c r="E22" s="27" t="inlineStr">
        <is>
          <t>2026-05</t>
        </is>
      </c>
      <c r="F22" s="27" t="inlineStr">
        <is>
          <t>Management stretch</t>
        </is>
      </c>
      <c r="G22" s="27" t="inlineStr">
        <is>
          <t>Adjusted EBITDA margin</t>
        </is>
      </c>
      <c r="H22" s="44" t="n">
        <v>0.15038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5" t="inlineStr">
        <is>
          <t>2026-06-24</t>
        </is>
      </c>
      <c r="M22" s="27" t="inlineStr"/>
    </row>
    <row r="23">
      <c r="A23" s="36" t="inlineStr">
        <is>
          <t>RPT-00191</t>
        </is>
      </c>
      <c r="B23" s="27" t="inlineStr">
        <is>
          <t>Complete the June executive performance review</t>
        </is>
      </c>
      <c r="C23" s="27" t="inlineStr">
        <is>
          <t>Cash and capital</t>
        </is>
      </c>
      <c r="D23" s="27" t="inlineStr">
        <is>
          <t>Consolidated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Capital expenditure</t>
        </is>
      </c>
      <c r="H23" s="44" t="n">
        <v>540.8</v>
      </c>
      <c r="I23" s="27" t="inlineStr"/>
      <c r="J23" s="27" t="inlineStr">
        <is>
          <t>USD thousands</t>
        </is>
      </c>
      <c r="K23" s="27" t="inlineStr">
        <is>
          <t>Earlier management working export</t>
        </is>
      </c>
      <c r="L23" s="45" t="inlineStr">
        <is>
          <t>2026-06-24</t>
        </is>
      </c>
      <c r="M23" s="27" t="inlineStr"/>
    </row>
    <row r="24">
      <c r="A24" s="36" t="inlineStr">
        <is>
          <t>RPT-00192</t>
        </is>
      </c>
      <c r="B24" s="27" t="inlineStr">
        <is>
          <t>Complete the June executive performance review</t>
        </is>
      </c>
      <c r="C24" s="27" t="inlineStr">
        <is>
          <t>Cash and capital</t>
        </is>
      </c>
      <c r="D24" s="27" t="inlineStr">
        <is>
          <t>Consolidated</t>
        </is>
      </c>
      <c r="E24" s="27" t="inlineStr">
        <is>
          <t>2026-06</t>
        </is>
      </c>
      <c r="F24" s="27" t="inlineStr">
        <is>
          <t>Management stretch</t>
        </is>
      </c>
      <c r="G24" s="27" t="inlineStr">
        <is>
          <t>Free cash flow plan</t>
        </is>
      </c>
      <c r="H24" s="44" t="n">
        <v>892500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5" t="inlineStr">
        <is>
          <t>2026-06-24</t>
        </is>
      </c>
      <c r="M24" s="27" t="inlineStr"/>
    </row>
    <row r="25">
      <c r="A25" s="36" t="inlineStr">
        <is>
          <t>RPT-00193</t>
        </is>
      </c>
      <c r="B25" s="27" t="inlineStr">
        <is>
          <t>Complete the June executive performance review</t>
        </is>
      </c>
      <c r="C25" s="27" t="inlineStr">
        <is>
          <t>Performance diagnostics</t>
        </is>
      </c>
      <c r="D25" s="27" t="inlineStr">
        <is>
          <t>Controls mix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Unfavorable EBITDA impact</t>
        </is>
      </c>
      <c r="H25" s="44" t="n">
        <v>97850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5" t="inlineStr">
        <is>
          <t>2026-06-24</t>
        </is>
      </c>
      <c r="M25" s="27" t="inlineStr"/>
    </row>
    <row r="26">
      <c r="A26" s="36" t="inlineStr">
        <is>
          <t>RPT-00194</t>
        </is>
      </c>
      <c r="B26" s="27" t="inlineStr">
        <is>
          <t>Complete the June executive performance review</t>
        </is>
      </c>
      <c r="C26" s="27" t="inlineStr">
        <is>
          <t>Q2 actual export</t>
        </is>
      </c>
      <c r="D26" s="27" t="inlineStr">
        <is>
          <t>Construction</t>
        </is>
      </c>
      <c r="E26" s="27" t="inlineStr">
        <is>
          <t>2026-05</t>
        </is>
      </c>
      <c r="F26" s="27" t="inlineStr">
        <is>
          <t>Management stretch</t>
        </is>
      </c>
      <c r="G26" s="27" t="inlineStr">
        <is>
          <t>Adjusted EBITDA margin</t>
        </is>
      </c>
      <c r="H26" s="44" t="n">
        <v>0.10296</v>
      </c>
      <c r="I26" s="27" t="inlineStr"/>
      <c r="J26" s="27" t="inlineStr">
        <is>
          <t>decimal ratio</t>
        </is>
      </c>
      <c r="K26" s="27" t="inlineStr">
        <is>
          <t>Earlier management working export</t>
        </is>
      </c>
      <c r="L26" s="45" t="inlineStr">
        <is>
          <t>2026-06-24</t>
        </is>
      </c>
      <c r="M26" s="27" t="inlineStr"/>
    </row>
    <row r="27">
      <c r="A27" s="36" t="inlineStr">
        <is>
          <t>RPT-00195</t>
        </is>
      </c>
      <c r="B27" s="27" t="inlineStr">
        <is>
          <t>Complete the June executive performance review</t>
        </is>
      </c>
      <c r="C27" s="27" t="inlineStr">
        <is>
          <t>Q2 approved plan</t>
        </is>
      </c>
      <c r="D27" s="27" t="inlineStr">
        <is>
          <t>Service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Revenue plan</t>
        </is>
      </c>
      <c r="H27" s="44" t="n">
        <v>1205.4</v>
      </c>
      <c r="I27" s="27" t="inlineStr"/>
      <c r="J27" s="27" t="inlineStr">
        <is>
          <t>USD thousands</t>
        </is>
      </c>
      <c r="K27" s="27" t="inlineStr">
        <is>
          <t>Earlier management working export</t>
        </is>
      </c>
      <c r="L27" s="45" t="inlineStr">
        <is>
          <t>2026-06-24</t>
        </is>
      </c>
      <c r="M27" s="27" t="inlineStr"/>
    </row>
    <row r="28">
      <c r="A28" s="36" t="inlineStr">
        <is>
          <t>RPT-00196</t>
        </is>
      </c>
      <c r="B28" s="27" t="inlineStr">
        <is>
          <t>Complete the June executive performance review</t>
        </is>
      </c>
      <c r="C28" s="27" t="inlineStr">
        <is>
          <t>Q2 approved plan</t>
        </is>
      </c>
      <c r="D28" s="27" t="inlineStr">
        <is>
          <t>Service</t>
        </is>
      </c>
      <c r="E28" s="27" t="inlineStr">
        <is>
          <t>2026-06</t>
        </is>
      </c>
      <c r="F28" s="27" t="inlineStr">
        <is>
          <t>Management stretch</t>
        </is>
      </c>
      <c r="G28" s="27" t="inlineStr">
        <is>
          <t>EBITDA plan margin</t>
        </is>
      </c>
      <c r="H28" s="44" t="n">
        <v>0.18334</v>
      </c>
      <c r="I28" s="27" t="inlineStr"/>
      <c r="J28" s="27" t="inlineStr">
        <is>
          <t>decimal ratio</t>
        </is>
      </c>
      <c r="K28" s="27" t="inlineStr">
        <is>
          <t>Earlier management working export</t>
        </is>
      </c>
      <c r="L28" s="45" t="inlineStr">
        <is>
          <t>2026-06-24</t>
        </is>
      </c>
      <c r="M28" s="27" t="inlineStr"/>
    </row>
    <row r="29">
      <c r="A29" s="36" t="inlineStr">
        <is>
          <t>RPT-00258</t>
        </is>
      </c>
      <c r="B29" s="27" t="inlineStr">
        <is>
          <t>Create the Q2 earnings and lender narrative</t>
        </is>
      </c>
      <c r="C29" s="27" t="inlineStr">
        <is>
          <t>Full-year outlook</t>
        </is>
      </c>
      <c r="D29" s="27" t="inlineStr">
        <is>
          <t>Board plan</t>
        </is>
      </c>
      <c r="E29" s="27" t="inlineStr">
        <is>
          <t>2025-12-18</t>
        </is>
      </c>
      <c r="F29" s="27" t="inlineStr">
        <is>
          <t>Approved case</t>
        </is>
      </c>
      <c r="G29" s="27" t="inlineStr">
        <is>
          <t>FY26 revenue outlook</t>
        </is>
      </c>
      <c r="H29" s="44" t="n">
        <v>51500000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5" t="inlineStr">
        <is>
          <t>2026-06-30</t>
        </is>
      </c>
      <c r="M29" s="27" t="inlineStr"/>
    </row>
    <row r="30">
      <c r="A30" s="36" t="inlineStr">
        <is>
          <t>RPT-00259</t>
        </is>
      </c>
      <c r="B30" s="27" t="inlineStr">
        <is>
          <t>Create the Q2 earnings and lender narrative</t>
        </is>
      </c>
      <c r="C30" s="27" t="inlineStr">
        <is>
          <t>Full-year outlook</t>
        </is>
      </c>
      <c r="D30" s="27" t="inlineStr">
        <is>
          <t>April forecast</t>
        </is>
      </c>
      <c r="E30" s="27" t="inlineStr">
        <is>
          <t>2026-04-28</t>
        </is>
      </c>
      <c r="F30" s="27" t="inlineStr">
        <is>
          <t>Approved case</t>
        </is>
      </c>
      <c r="G30" s="27" t="inlineStr">
        <is>
          <t>FY26 revenue outlook</t>
        </is>
      </c>
      <c r="H30" s="44" t="n">
        <v>52100000</v>
      </c>
      <c r="I30" s="27" t="inlineStr"/>
      <c r="J30" s="27" t="inlineStr">
        <is>
          <t>USD</t>
        </is>
      </c>
      <c r="K30" s="27" t="inlineStr">
        <is>
          <t>Finance operating schedule</t>
        </is>
      </c>
      <c r="L30" s="45" t="inlineStr">
        <is>
          <t>2026-06-30</t>
        </is>
      </c>
      <c r="M30" s="27" t="inlineStr"/>
    </row>
    <row r="31">
      <c r="A31" s="36" t="inlineStr">
        <is>
          <t>RPT-00268</t>
        </is>
      </c>
      <c r="B31" s="27" t="inlineStr">
        <is>
          <t>Create the Q2 earnings and lender narrative</t>
        </is>
      </c>
      <c r="C31" s="27" t="inlineStr">
        <is>
          <t>Q2 actual export</t>
        </is>
      </c>
      <c r="D31" s="27" t="inlineStr">
        <is>
          <t>Construction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Adjusted EBITDA margin</t>
        </is>
      </c>
      <c r="H31" s="44" t="n">
        <v>0.09785000000000001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5" t="inlineStr">
        <is>
          <t>2026-06-24</t>
        </is>
      </c>
      <c r="M31" s="27" t="inlineStr"/>
    </row>
    <row r="32">
      <c r="A32" s="36" t="inlineStr">
        <is>
          <t>RPT-00269</t>
        </is>
      </c>
      <c r="B32" s="27" t="inlineStr">
        <is>
          <t>Create the Q2 earnings and lender narrative</t>
        </is>
      </c>
      <c r="C32" s="27" t="inlineStr">
        <is>
          <t>Q2 approved plan</t>
        </is>
      </c>
      <c r="D32" s="27" t="inlineStr">
        <is>
          <t>Construction</t>
        </is>
      </c>
      <c r="E32" s="27" t="inlineStr">
        <is>
          <t>2026-06</t>
        </is>
      </c>
      <c r="F32" s="27" t="inlineStr">
        <is>
          <t>Management stretch</t>
        </is>
      </c>
      <c r="G32" s="27" t="inlineStr">
        <is>
          <t>Revenue plan</t>
        </is>
      </c>
      <c r="H32" s="44" t="n">
        <v>2578867.2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5" t="inlineStr">
        <is>
          <t>2026-06-24</t>
        </is>
      </c>
      <c r="M32" s="27" t="inlineStr"/>
    </row>
    <row r="33">
      <c r="A33" s="36" t="inlineStr">
        <is>
          <t>RPT-00270</t>
        </is>
      </c>
      <c r="B33" s="27" t="inlineStr">
        <is>
          <t>Create the Q2 earnings and lender narrative</t>
        </is>
      </c>
      <c r="C33" s="27" t="inlineStr">
        <is>
          <t>Q2 approved plan</t>
        </is>
      </c>
      <c r="D33" s="27" t="inlineStr">
        <is>
          <t>Service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EBITDA plan margin</t>
        </is>
      </c>
      <c r="H33" s="44" t="n">
        <v>0.1869</v>
      </c>
      <c r="I33" s="27" t="inlineStr"/>
      <c r="J33" s="27" t="inlineStr">
        <is>
          <t>decimal ratio</t>
        </is>
      </c>
      <c r="K33" s="27" t="inlineStr">
        <is>
          <t>Earlier management working export</t>
        </is>
      </c>
      <c r="L33" s="45" t="inlineStr">
        <is>
          <t>2026-06-24</t>
        </is>
      </c>
      <c r="M33" s="27" t="inlineStr"/>
    </row>
    <row r="34">
      <c r="A34" s="36" t="inlineStr">
        <is>
          <t>RPT-00271</t>
        </is>
      </c>
      <c r="B34" s="27" t="inlineStr">
        <is>
          <t>Create the Q2 earnings and lender narrative</t>
        </is>
      </c>
      <c r="C34" s="27" t="inlineStr">
        <is>
          <t>Q2 actual export</t>
        </is>
      </c>
      <c r="D34" s="27" t="inlineStr">
        <is>
          <t>Controls</t>
        </is>
      </c>
      <c r="E34" s="27" t="inlineStr">
        <is>
          <t>2026-05</t>
        </is>
      </c>
      <c r="F34" s="27" t="inlineStr">
        <is>
          <t>Management stretch</t>
        </is>
      </c>
      <c r="G34" s="27" t="inlineStr">
        <is>
          <t>Adjusted EBITDA margin</t>
        </is>
      </c>
      <c r="H34" s="44" t="n">
        <v>0.15038</v>
      </c>
      <c r="I34" s="27" t="inlineStr"/>
      <c r="J34" s="27" t="inlineStr">
        <is>
          <t>decimal ratio</t>
        </is>
      </c>
      <c r="K34" s="27" t="inlineStr">
        <is>
          <t>Earlier management working export</t>
        </is>
      </c>
      <c r="L34" s="45" t="inlineStr">
        <is>
          <t>2026-06-24</t>
        </is>
      </c>
      <c r="M34" s="27" t="inlineStr"/>
    </row>
    <row r="35">
      <c r="A35" s="36" t="inlineStr">
        <is>
          <t>RPT-00272</t>
        </is>
      </c>
      <c r="B35" s="27" t="inlineStr">
        <is>
          <t>Create the Q2 earnings and lender narrative</t>
        </is>
      </c>
      <c r="C35" s="27" t="inlineStr">
        <is>
          <t>Cash and capital</t>
        </is>
      </c>
      <c r="D35" s="27" t="inlineStr">
        <is>
          <t>Consolidated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Capital expenditure</t>
        </is>
      </c>
      <c r="H35" s="44" t="n">
        <v>540.8</v>
      </c>
      <c r="I35" s="27" t="inlineStr"/>
      <c r="J35" s="27" t="inlineStr">
        <is>
          <t>USD thousands</t>
        </is>
      </c>
      <c r="K35" s="27" t="inlineStr">
        <is>
          <t>Earlier management working export</t>
        </is>
      </c>
      <c r="L35" s="45" t="inlineStr">
        <is>
          <t>2026-06-24</t>
        </is>
      </c>
      <c r="M35" s="27" t="inlineStr"/>
    </row>
    <row r="36">
      <c r="A36" s="36" t="inlineStr">
        <is>
          <t>RPT-00273</t>
        </is>
      </c>
      <c r="B36" s="27" t="inlineStr">
        <is>
          <t>Create the Q2 earnings and lender narrative</t>
        </is>
      </c>
      <c r="C36" s="27" t="inlineStr">
        <is>
          <t>Cash and capital</t>
        </is>
      </c>
      <c r="D36" s="27" t="inlineStr">
        <is>
          <t>Consolidated</t>
        </is>
      </c>
      <c r="E36" s="27" t="inlineStr">
        <is>
          <t>2026-06</t>
        </is>
      </c>
      <c r="F36" s="27" t="inlineStr">
        <is>
          <t>Management stretch</t>
        </is>
      </c>
      <c r="G36" s="27" t="inlineStr">
        <is>
          <t>Free cash flow plan</t>
        </is>
      </c>
      <c r="H36" s="44" t="n">
        <v>892500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5" t="inlineStr">
        <is>
          <t>2026-06-24</t>
        </is>
      </c>
      <c r="M36" s="27" t="inlineStr"/>
    </row>
    <row r="37">
      <c r="A37" s="36" t="inlineStr">
        <is>
          <t>RPT-00274</t>
        </is>
      </c>
      <c r="B37" s="27" t="inlineStr">
        <is>
          <t>Create the Q2 earnings and lender narrative</t>
        </is>
      </c>
      <c r="C37" s="27" t="inlineStr">
        <is>
          <t>Performance diagnostics</t>
        </is>
      </c>
      <c r="D37" s="27" t="inlineStr">
        <is>
          <t>Controls mix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Unfavorable EBITDA impact</t>
        </is>
      </c>
      <c r="H37" s="44" t="n">
        <v>97850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5" t="inlineStr">
        <is>
          <t>2026-06-24</t>
        </is>
      </c>
      <c r="M37" s="27" t="inlineStr"/>
    </row>
    <row r="38">
      <c r="A38" s="36" t="inlineStr">
        <is>
          <t>RPT-00275</t>
        </is>
      </c>
      <c r="B38" s="27" t="inlineStr">
        <is>
          <t>Create the Q2 earnings and lender narrative</t>
        </is>
      </c>
      <c r="C38" s="27" t="inlineStr">
        <is>
          <t>Q2 actual export</t>
        </is>
      </c>
      <c r="D38" s="27" t="inlineStr">
        <is>
          <t>Construction</t>
        </is>
      </c>
      <c r="E38" s="27" t="inlineStr">
        <is>
          <t>2026-05</t>
        </is>
      </c>
      <c r="F38" s="27" t="inlineStr">
        <is>
          <t>Management stretch</t>
        </is>
      </c>
      <c r="G38" s="27" t="inlineStr">
        <is>
          <t>Adjusted EBITDA margin</t>
        </is>
      </c>
      <c r="H38" s="44" t="n">
        <v>0.10296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5" t="inlineStr">
        <is>
          <t>2026-06-24</t>
        </is>
      </c>
      <c r="M38" s="27" t="inlineStr"/>
    </row>
    <row r="39">
      <c r="A39" s="36" t="inlineStr">
        <is>
          <t>RPT-00276</t>
        </is>
      </c>
      <c r="B39" s="27" t="inlineStr">
        <is>
          <t>Create the Q2 earnings and lender narrative</t>
        </is>
      </c>
      <c r="C39" s="27" t="inlineStr">
        <is>
          <t>Q2 approved plan</t>
        </is>
      </c>
      <c r="D39" s="27" t="inlineStr">
        <is>
          <t>Service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Revenue plan</t>
        </is>
      </c>
      <c r="H39" s="44" t="n">
        <v>1205.4</v>
      </c>
      <c r="I39" s="27" t="inlineStr"/>
      <c r="J39" s="27" t="inlineStr">
        <is>
          <t>USD thousands</t>
        </is>
      </c>
      <c r="K39" s="27" t="inlineStr">
        <is>
          <t>Earlier management working export</t>
        </is>
      </c>
      <c r="L39" s="45" t="inlineStr">
        <is>
          <t>2026-06-24</t>
        </is>
      </c>
      <c r="M39" s="27" t="inlineStr"/>
    </row>
    <row r="40">
      <c r="A40" s="36" t="inlineStr">
        <is>
          <t>RPT-00277</t>
        </is>
      </c>
      <c r="B40" s="27" t="inlineStr">
        <is>
          <t>Create the Q2 earnings and lender narrative</t>
        </is>
      </c>
      <c r="C40" s="27" t="inlineStr">
        <is>
          <t>Q2 approved plan</t>
        </is>
      </c>
      <c r="D40" s="27" t="inlineStr">
        <is>
          <t>Service</t>
        </is>
      </c>
      <c r="E40" s="27" t="inlineStr">
        <is>
          <t>2026-06</t>
        </is>
      </c>
      <c r="F40" s="27" t="inlineStr">
        <is>
          <t>Management stretch</t>
        </is>
      </c>
      <c r="G40" s="27" t="inlineStr">
        <is>
          <t>EBITDA plan margin</t>
        </is>
      </c>
      <c r="H40" s="44" t="n">
        <v>0.18334</v>
      </c>
      <c r="I40" s="27" t="inlineStr"/>
      <c r="J40" s="27" t="inlineStr">
        <is>
          <t>decimal ratio</t>
        </is>
      </c>
      <c r="K40" s="27" t="inlineStr">
        <is>
          <t>Earlier management working export</t>
        </is>
      </c>
      <c r="L40" s="45" t="inlineStr">
        <is>
          <t>2026-06-24</t>
        </is>
      </c>
      <c r="M40" s="27" t="inlineStr"/>
    </row>
    <row r="41">
      <c r="A41" s="36" t="inlineStr">
        <is>
          <t>RPT-00309</t>
        </is>
      </c>
      <c r="B41" s="27" t="inlineStr">
        <is>
          <t>Earnings guidance range and probability bridge</t>
        </is>
      </c>
      <c r="C41" s="27" t="inlineStr">
        <is>
          <t>Guidance scenarios</t>
        </is>
      </c>
      <c r="D41" s="27" t="inlineStr">
        <is>
          <t>Alder Ridge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Probability</t>
        </is>
      </c>
      <c r="H41" s="44" t="n">
        <v>0.206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5" t="inlineStr">
        <is>
          <t>2026-06-24</t>
        </is>
      </c>
      <c r="M41" s="27" t="inlineStr"/>
    </row>
    <row r="42">
      <c r="A42" s="36" t="inlineStr">
        <is>
          <t>RPT-00310</t>
        </is>
      </c>
      <c r="B42" s="27" t="inlineStr">
        <is>
          <t>Earnings guidance range and probability bridge</t>
        </is>
      </c>
      <c r="C42" s="27" t="inlineStr">
        <is>
          <t>Guidance scenarios</t>
        </is>
      </c>
      <c r="D42" s="27" t="inlineStr">
        <is>
          <t>Alder Ridge</t>
        </is>
      </c>
      <c r="E42" s="27" t="inlineStr">
        <is>
          <t>Base</t>
        </is>
      </c>
      <c r="F42" s="27" t="inlineStr">
        <is>
          <t>Management stretch</t>
        </is>
      </c>
      <c r="G42" s="27" t="inlineStr">
        <is>
          <t>Gross margin</t>
        </is>
      </c>
      <c r="H42" s="44" t="n">
        <v>0.28912</v>
      </c>
      <c r="I42" s="27" t="inlineStr"/>
      <c r="J42" s="27" t="inlineStr">
        <is>
          <t>decimal ratio</t>
        </is>
      </c>
      <c r="K42" s="27" t="inlineStr">
        <is>
          <t>Earlier management working export</t>
        </is>
      </c>
      <c r="L42" s="45" t="inlineStr">
        <is>
          <t>2026-06-24</t>
        </is>
      </c>
      <c r="M42" s="27" t="inlineStr"/>
    </row>
    <row r="43">
      <c r="A43" s="36" t="inlineStr">
        <is>
          <t>RPT-00311</t>
        </is>
      </c>
      <c r="B43" s="27" t="inlineStr">
        <is>
          <t>Earnings guidance range and probability bridge</t>
        </is>
      </c>
      <c r="C43" s="27" t="inlineStr">
        <is>
          <t>Guidance scenarios</t>
        </is>
      </c>
      <c r="D43" s="27" t="inlineStr">
        <is>
          <t>Alder Ridge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Free cash flow</t>
        </is>
      </c>
      <c r="H43" s="44" t="n">
        <v>4357500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5" t="inlineStr">
        <is>
          <t>2026-06-24</t>
        </is>
      </c>
      <c r="M43" s="27" t="inlineStr"/>
    </row>
    <row r="44">
      <c r="A44" s="36" t="inlineStr">
        <is>
          <t>RPT-00312</t>
        </is>
      </c>
      <c r="B44" s="27" t="inlineStr">
        <is>
          <t>Earnings guidance range and probability bridge</t>
        </is>
      </c>
      <c r="C44" s="27" t="inlineStr">
        <is>
          <t>Guidance risk register</t>
        </is>
      </c>
      <c r="D44" s="27" t="inlineStr">
        <is>
          <t>Copper escalation</t>
        </is>
      </c>
      <c r="E44" s="27" t="inlineStr">
        <is>
          <t>FY26</t>
        </is>
      </c>
      <c r="F44" s="27" t="inlineStr">
        <is>
          <t>Management stretch</t>
        </is>
      </c>
      <c r="G44" s="27" t="inlineStr">
        <is>
          <t>Revenue impact</t>
        </is>
      </c>
      <c r="H44" s="44" t="n">
        <v>0</v>
      </c>
      <c r="I44" s="27" t="inlineStr"/>
      <c r="J44" s="27" t="inlineStr">
        <is>
          <t>USD</t>
        </is>
      </c>
      <c r="K44" s="27" t="inlineStr">
        <is>
          <t>Earlier management working export</t>
        </is>
      </c>
      <c r="L44" s="45" t="inlineStr">
        <is>
          <t>2026-06-24</t>
        </is>
      </c>
      <c r="M44" s="27" t="inlineStr"/>
    </row>
    <row r="45">
      <c r="A45" s="36" t="inlineStr">
        <is>
          <t>RPT-00313</t>
        </is>
      </c>
      <c r="B45" s="27" t="inlineStr">
        <is>
          <t>Earnings guidance range and probability bridge</t>
        </is>
      </c>
      <c r="C45" s="27" t="inlineStr">
        <is>
          <t>Investor guidance policy</t>
        </is>
      </c>
      <c r="D45" s="27" t="inlineStr">
        <is>
          <t>Alder Ridge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Revenue rounding increment</t>
        </is>
      </c>
      <c r="H45" s="44" t="n">
        <v>520</v>
      </c>
      <c r="I45" s="27" t="inlineStr"/>
      <c r="J45" s="27" t="inlineStr">
        <is>
          <t>USD thousands</t>
        </is>
      </c>
      <c r="K45" s="27" t="inlineStr">
        <is>
          <t>Earlier management working export</t>
        </is>
      </c>
      <c r="L45" s="45" t="inlineStr">
        <is>
          <t>2026-06-24</t>
        </is>
      </c>
      <c r="M45" s="27" t="inlineStr"/>
    </row>
    <row r="46">
      <c r="A46" s="36" t="inlineStr">
        <is>
          <t>RPT-00314</t>
        </is>
      </c>
      <c r="B46" s="27" t="inlineStr">
        <is>
          <t>Earnings guidance range and probability bridge</t>
        </is>
      </c>
      <c r="C46" s="27" t="inlineStr">
        <is>
          <t>Guidance scenarios</t>
        </is>
      </c>
      <c r="D46" s="27" t="inlineStr">
        <is>
          <t>Alder Ridge</t>
        </is>
      </c>
      <c r="E46" s="27" t="inlineStr">
        <is>
          <t>Base</t>
        </is>
      </c>
      <c r="F46" s="27" t="inlineStr">
        <is>
          <t>Management stretch</t>
        </is>
      </c>
      <c r="G46" s="27" t="inlineStr">
        <is>
          <t>Probability</t>
        </is>
      </c>
      <c r="H46" s="44" t="n">
        <v>0.525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5" t="inlineStr">
        <is>
          <t>2026-06-24</t>
        </is>
      </c>
      <c r="M46" s="27" t="inlineStr"/>
    </row>
    <row r="47">
      <c r="A47" s="36" t="inlineStr">
        <is>
          <t>RPT-00315</t>
        </is>
      </c>
      <c r="B47" s="27" t="inlineStr">
        <is>
          <t>Earnings guidance range and probability bridge</t>
        </is>
      </c>
      <c r="C47" s="27" t="inlineStr">
        <is>
          <t>Guidance scenarios</t>
        </is>
      </c>
      <c r="D47" s="27" t="inlineStr">
        <is>
          <t>Alder Ridge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Gross margin</t>
        </is>
      </c>
      <c r="H47" s="44" t="n">
        <v>0.29973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5" t="inlineStr">
        <is>
          <t>2026-06-24</t>
        </is>
      </c>
      <c r="M47" s="27" t="inlineStr"/>
    </row>
    <row r="48">
      <c r="A48" s="36" t="inlineStr">
        <is>
          <t>RPT-00316</t>
        </is>
      </c>
      <c r="B48" s="27" t="inlineStr">
        <is>
          <t>Earnings guidance range and probability bridge</t>
        </is>
      </c>
      <c r="C48" s="27" t="inlineStr">
        <is>
          <t>Guidance risk register</t>
        </is>
      </c>
      <c r="D48" s="27" t="inlineStr">
        <is>
          <t>Service renewal upside</t>
        </is>
      </c>
      <c r="E48" s="27" t="inlineStr">
        <is>
          <t>FY26</t>
        </is>
      </c>
      <c r="F48" s="27" t="inlineStr">
        <is>
          <t>Management stretch</t>
        </is>
      </c>
      <c r="G48" s="27" t="inlineStr">
        <is>
          <t>EBITDA impact</t>
        </is>
      </c>
      <c r="H48" s="44" t="n">
        <v>343200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5" t="inlineStr">
        <is>
          <t>2026-06-24</t>
        </is>
      </c>
      <c r="M48" s="27" t="inlineStr"/>
    </row>
    <row r="49">
      <c r="A49" s="36" t="inlineStr">
        <is>
          <t>RPT-00317</t>
        </is>
      </c>
      <c r="B49" s="27" t="inlineStr">
        <is>
          <t>Earnings guidance range and probability bridge</t>
        </is>
      </c>
      <c r="C49" s="27" t="inlineStr">
        <is>
          <t>Guidance risk register</t>
        </is>
      </c>
      <c r="D49" s="27" t="inlineStr">
        <is>
          <t>Controls commissioning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Probability</t>
        </is>
      </c>
      <c r="H49" s="44" t="n">
        <v>0.63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5" t="inlineStr">
        <is>
          <t>2026-06-24</t>
        </is>
      </c>
      <c r="M49" s="27" t="inlineStr"/>
    </row>
    <row r="50">
      <c r="A50" s="36" t="inlineStr">
        <is>
          <t>RPT-00318</t>
        </is>
      </c>
      <c r="B50" s="27" t="inlineStr">
        <is>
          <t>Earnings guidance range and probability bridge</t>
        </is>
      </c>
      <c r="C50" s="27" t="inlineStr">
        <is>
          <t>Guidance scenarios</t>
        </is>
      </c>
      <c r="D50" s="27" t="inlineStr">
        <is>
          <t>Alder Ridge</t>
        </is>
      </c>
      <c r="E50" s="27" t="inlineStr">
        <is>
          <t>Low</t>
        </is>
      </c>
      <c r="F50" s="27" t="inlineStr">
        <is>
          <t>Management stretch</t>
        </is>
      </c>
      <c r="G50" s="27" t="inlineStr">
        <is>
          <t>Operating expense</t>
        </is>
      </c>
      <c r="H50" s="44" t="n">
        <v>11690500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5" t="inlineStr">
        <is>
          <t>2026-06-24</t>
        </is>
      </c>
      <c r="M50" s="27" t="inlineStr"/>
    </row>
    <row r="51">
      <c r="A51" s="36" t="inlineStr">
        <is>
          <t>RPT-00319</t>
        </is>
      </c>
      <c r="B51" s="27" t="inlineStr">
        <is>
          <t>Earnings guidance range and probability bridge</t>
        </is>
      </c>
      <c r="C51" s="27" t="inlineStr">
        <is>
          <t>Guidance scenarios</t>
        </is>
      </c>
      <c r="D51" s="27" t="inlineStr">
        <is>
          <t>Alder Ridge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Probability</t>
        </is>
      </c>
      <c r="H51" s="44" t="n">
        <v>0.312</v>
      </c>
      <c r="I51" s="27" t="inlineStr"/>
      <c r="J51" s="27" t="inlineStr">
        <is>
          <t>decimal ratio</t>
        </is>
      </c>
      <c r="K51" s="27" t="inlineStr">
        <is>
          <t>Earlier management working export</t>
        </is>
      </c>
      <c r="L51" s="45" t="inlineStr">
        <is>
          <t>2026-06-24</t>
        </is>
      </c>
      <c r="M51" s="27" t="inlineStr"/>
    </row>
    <row r="52">
      <c r="A52" s="36" t="inlineStr">
        <is>
          <t>RPT-00320</t>
        </is>
      </c>
      <c r="B52" s="27" t="inlineStr">
        <is>
          <t>Earnings guidance range and probability bridge</t>
        </is>
      </c>
      <c r="C52" s="27" t="inlineStr">
        <is>
          <t>Guidance risk register</t>
        </is>
      </c>
      <c r="D52" s="27" t="inlineStr">
        <is>
          <t>Helix schedule slip</t>
        </is>
      </c>
      <c r="E52" s="27" t="inlineStr">
        <is>
          <t>FY26</t>
        </is>
      </c>
      <c r="F52" s="27" t="inlineStr">
        <is>
          <t>Management stretch</t>
        </is>
      </c>
      <c r="G52" s="27" t="inlineStr">
        <is>
          <t>Probability</t>
        </is>
      </c>
      <c r="H52" s="44" t="n">
        <v>0.3675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5" t="inlineStr">
        <is>
          <t>2026-06-24</t>
        </is>
      </c>
      <c r="M52" s="27" t="inlineStr"/>
    </row>
    <row r="53">
      <c r="A53" s="36" t="inlineStr">
        <is>
          <t>RPT-00321</t>
        </is>
      </c>
      <c r="B53" s="27" t="inlineStr">
        <is>
          <t>Earnings guidance range and probability bridge</t>
        </is>
      </c>
      <c r="C53" s="27" t="inlineStr">
        <is>
          <t>Guidance risk register</t>
        </is>
      </c>
      <c r="D53" s="27" t="inlineStr">
        <is>
          <t>Controls commissioning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Revenue impact</t>
        </is>
      </c>
      <c r="H53" s="44" t="n">
        <v>463.5</v>
      </c>
      <c r="I53" s="27" t="inlineStr"/>
      <c r="J53" s="27" t="inlineStr">
        <is>
          <t>USD thousands</t>
        </is>
      </c>
      <c r="K53" s="27" t="inlineStr">
        <is>
          <t>Earlier management working export</t>
        </is>
      </c>
      <c r="L53" s="45" t="inlineStr">
        <is>
          <t>2026-06-24</t>
        </is>
      </c>
      <c r="M53" s="27" t="inlineStr"/>
    </row>
    <row r="54">
      <c r="A54" s="36" t="inlineStr">
        <is>
          <t>RPT-00322</t>
        </is>
      </c>
      <c r="B54" s="27" t="inlineStr">
        <is>
          <t>Earnings guidance range and probability bridge</t>
        </is>
      </c>
      <c r="C54" s="27" t="inlineStr">
        <is>
          <t>Guidance scenarios</t>
        </is>
      </c>
      <c r="D54" s="27" t="inlineStr">
        <is>
          <t>Alder Ridge</t>
        </is>
      </c>
      <c r="E54" s="27" t="inlineStr">
        <is>
          <t>Low</t>
        </is>
      </c>
      <c r="F54" s="27" t="inlineStr">
        <is>
          <t>Management stretch</t>
        </is>
      </c>
      <c r="G54" s="27" t="inlineStr">
        <is>
          <t>Revenue</t>
        </is>
      </c>
      <c r="H54" s="44" t="n">
        <v>51792000</v>
      </c>
      <c r="I54" s="27" t="inlineStr"/>
      <c r="J54" s="27" t="inlineStr">
        <is>
          <t>USD</t>
        </is>
      </c>
      <c r="K54" s="27" t="inlineStr">
        <is>
          <t>Earlier management working export</t>
        </is>
      </c>
      <c r="L54" s="45" t="inlineStr">
        <is>
          <t>2026-06-24</t>
        </is>
      </c>
      <c r="M54" s="27" t="inlineStr"/>
    </row>
    <row r="55">
      <c r="A55" s="36" t="inlineStr">
        <is>
          <t>RPT-00332</t>
        </is>
      </c>
      <c r="B55" s="27" t="inlineStr">
        <is>
          <t>Earnings guidance range and probability bridge</t>
        </is>
      </c>
      <c r="C55" s="27" t="inlineStr">
        <is>
          <t>Guidance combined stress</t>
        </is>
      </c>
      <c r="D55" s="27" t="inlineStr">
        <is>
          <t>Alder Ridge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Incremental revenue shock</t>
        </is>
      </c>
      <c r="H55" s="44" t="n">
        <v>-0.0103</v>
      </c>
      <c r="I55" s="27" t="inlineStr"/>
      <c r="J55" s="27" t="inlineStr">
        <is>
          <t>decimal ratio</t>
        </is>
      </c>
      <c r="K55" s="27" t="inlineStr">
        <is>
          <t>Earlier management working export</t>
        </is>
      </c>
      <c r="L55" s="45" t="inlineStr">
        <is>
          <t>2026-06-24</t>
        </is>
      </c>
      <c r="M55" s="27" t="inlineStr"/>
    </row>
    <row r="56">
      <c r="A56" s="36" t="inlineStr">
        <is>
          <t>RPT-00333</t>
        </is>
      </c>
      <c r="B56" s="27" t="inlineStr">
        <is>
          <t>Earnings guidance range and probability bridge</t>
        </is>
      </c>
      <c r="C56" s="27" t="inlineStr">
        <is>
          <t>Guidance combined stress</t>
        </is>
      </c>
      <c r="D56" s="27" t="inlineStr">
        <is>
          <t>Alder Ridge</t>
        </is>
      </c>
      <c r="E56" s="27" t="inlineStr">
        <is>
          <t>FY26</t>
        </is>
      </c>
      <c r="F56" s="27" t="inlineStr">
        <is>
          <t>Management stretch</t>
        </is>
      </c>
      <c r="G56" s="27" t="inlineStr">
        <is>
          <t>Variable opex response percent</t>
        </is>
      </c>
      <c r="H56" s="44" t="n">
        <v>0.1872</v>
      </c>
      <c r="I56" s="27" t="inlineStr"/>
      <c r="J56" s="27" t="inlineStr">
        <is>
          <t>decimal ratio</t>
        </is>
      </c>
      <c r="K56" s="27" t="inlineStr">
        <is>
          <t>Earlier management working export</t>
        </is>
      </c>
      <c r="L56" s="45" t="inlineStr">
        <is>
          <t>2026-06-24</t>
        </is>
      </c>
      <c r="M56" s="27" t="inlineStr"/>
    </row>
    <row r="57">
      <c r="A57" s="36" t="inlineStr">
        <is>
          <t>RPT-00334</t>
        </is>
      </c>
      <c r="B57" s="27" t="inlineStr">
        <is>
          <t>Earnings guidance range and probability bridge</t>
        </is>
      </c>
      <c r="C57" s="27" t="inlineStr">
        <is>
          <t>Guidance combined stress</t>
        </is>
      </c>
      <c r="D57" s="27" t="inlineStr">
        <is>
          <t>Alder Ridge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Guidance update EBITDA buffer</t>
        </is>
      </c>
      <c r="H57" s="44" t="n">
        <v>262.5</v>
      </c>
      <c r="I57" s="27" t="inlineStr"/>
      <c r="J57" s="27" t="inlineStr">
        <is>
          <t>USD thousands</t>
        </is>
      </c>
      <c r="K57" s="27" t="inlineStr">
        <is>
          <t>Earlier management working export</t>
        </is>
      </c>
      <c r="L57" s="45" t="inlineStr">
        <is>
          <t>2026-06-24</t>
        </is>
      </c>
      <c r="M57" s="27" t="inlineStr"/>
    </row>
    <row r="58">
      <c r="A58" s="36" t="inlineStr">
        <is>
          <t>RPT-00335</t>
        </is>
      </c>
      <c r="B58" s="27" t="inlineStr">
        <is>
          <t>Earnings guidance range and probability bridge</t>
        </is>
      </c>
      <c r="C58" s="27" t="inlineStr">
        <is>
          <t>Guidance combined stress</t>
        </is>
      </c>
      <c r="D58" s="27" t="inlineStr">
        <is>
          <t>Alder Ridge</t>
        </is>
      </c>
      <c r="E58" s="27" t="inlineStr">
        <is>
          <t>FY26</t>
        </is>
      </c>
      <c r="F58" s="27" t="inlineStr">
        <is>
          <t>Management stretch</t>
        </is>
      </c>
      <c r="G58" s="27" t="inlineStr">
        <is>
          <t>Incremental gross margin shock</t>
        </is>
      </c>
      <c r="H58" s="44" t="n">
        <v>-0.003605</v>
      </c>
      <c r="I58" s="27" t="inlineStr"/>
      <c r="J58" s="27" t="inlineStr">
        <is>
          <t>decimal ratio</t>
        </is>
      </c>
      <c r="K58" s="27" t="inlineStr">
        <is>
          <t>Earlier management working export</t>
        </is>
      </c>
      <c r="L58" s="45" t="inlineStr">
        <is>
          <t>2026-06-24</t>
        </is>
      </c>
      <c r="M58" s="27" t="inlineStr"/>
    </row>
    <row r="59">
      <c r="A59" s="36" t="inlineStr">
        <is>
          <t>RPT-00336</t>
        </is>
      </c>
      <c r="B59" s="27" t="inlineStr">
        <is>
          <t>Earnings guidance range and probability bridge</t>
        </is>
      </c>
      <c r="C59" s="27" t="inlineStr">
        <is>
          <t>Guidance combined stress</t>
        </is>
      </c>
      <c r="D59" s="27" t="inlineStr">
        <is>
          <t>Alder Ridge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Stress cash conversion percent</t>
        </is>
      </c>
      <c r="H59" s="44" t="n">
        <v>0.6448</v>
      </c>
      <c r="I59" s="27" t="inlineStr"/>
      <c r="J59" s="27" t="inlineStr">
        <is>
          <t>decimal ratio</t>
        </is>
      </c>
      <c r="K59" s="27" t="inlineStr">
        <is>
          <t>Earlier management working export</t>
        </is>
      </c>
      <c r="L59" s="45" t="inlineStr">
        <is>
          <t>2026-06-24</t>
        </is>
      </c>
      <c r="M59" s="27" t="inlineStr"/>
    </row>
    <row r="60">
      <c r="A60" s="36" t="inlineStr">
        <is>
          <t>RPT-00337</t>
        </is>
      </c>
      <c r="B60" s="27" t="inlineStr">
        <is>
          <t>Earnings guidance range and probability bridge</t>
        </is>
      </c>
      <c r="C60" s="27" t="inlineStr">
        <is>
          <t>Guidance combined stress</t>
        </is>
      </c>
      <c r="D60" s="27" t="inlineStr">
        <is>
          <t>Alder Ridge</t>
        </is>
      </c>
      <c r="E60" s="27" t="inlineStr">
        <is>
          <t>FY26</t>
        </is>
      </c>
      <c r="F60" s="27" t="inlineStr">
        <is>
          <t>Management stretch</t>
        </is>
      </c>
      <c r="G60" s="27" t="inlineStr">
        <is>
          <t>Incremental revenue shock</t>
        </is>
      </c>
      <c r="H60" s="44" t="n">
        <v>-0.0105</v>
      </c>
      <c r="I60" s="27" t="inlineStr"/>
      <c r="J60" s="27" t="inlineStr">
        <is>
          <t>decimal ratio</t>
        </is>
      </c>
      <c r="K60" s="27" t="inlineStr">
        <is>
          <t>Earlier management working export</t>
        </is>
      </c>
      <c r="L60" s="45" t="inlineStr">
        <is>
          <t>2026-06-24</t>
        </is>
      </c>
      <c r="M60" s="27" t="inlineStr"/>
    </row>
    <row r="61">
      <c r="A61" s="36" t="inlineStr">
        <is>
          <t>RPT-097X37</t>
        </is>
      </c>
      <c r="B61" s="27" t="inlineStr">
        <is>
          <t>Earnings guidance range and probability bridge</t>
        </is>
      </c>
      <c r="C61" s="27" t="inlineStr">
        <is>
          <t>Guidance protection action register</t>
        </is>
      </c>
      <c r="D61" s="27" t="inlineStr">
        <is>
          <t>Copper price collar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Cash cost</t>
        </is>
      </c>
      <c r="H61" s="44" t="n">
        <v>149350</v>
      </c>
      <c r="I61" s="27" t="inlineStr"/>
      <c r="J61" s="27" t="inlineStr">
        <is>
          <t>USD</t>
        </is>
      </c>
      <c r="K61" s="27" t="inlineStr">
        <is>
          <t>Earlier management working export</t>
        </is>
      </c>
      <c r="L61" s="45" t="inlineStr">
        <is>
          <t>2026-06-24</t>
        </is>
      </c>
      <c r="M61" s="27" t="inlineStr"/>
    </row>
    <row r="62">
      <c r="A62" s="36" t="inlineStr">
        <is>
          <t>RPT-097X38</t>
        </is>
      </c>
      <c r="B62" s="27" t="inlineStr">
        <is>
          <t>Earnings guidance range and probability bridge</t>
        </is>
      </c>
      <c r="C62" s="27" t="inlineStr">
        <is>
          <t>Guidance protection action register</t>
        </is>
      </c>
      <c r="D62" s="27" t="inlineStr">
        <is>
          <t>Construction buyout reset</t>
        </is>
      </c>
      <c r="E62" s="27" t="inlineStr">
        <is>
          <t>Management review</t>
        </is>
      </c>
      <c r="F62" s="27" t="inlineStr">
        <is>
          <t>Management stretch</t>
        </is>
      </c>
      <c r="G62" s="27" t="inlineStr">
        <is>
          <t>Capacity units</t>
        </is>
      </c>
      <c r="H62" s="44" t="n">
        <v>249.6</v>
      </c>
      <c r="I62" s="27" t="inlineStr"/>
      <c r="J62" s="27" t="inlineStr">
        <is>
          <t>forecast-response points</t>
        </is>
      </c>
      <c r="K62" s="27" t="inlineStr">
        <is>
          <t>Earlier management working export</t>
        </is>
      </c>
      <c r="L62" s="45" t="inlineStr">
        <is>
          <t>2026-06-24</t>
        </is>
      </c>
      <c r="M62" s="27" t="inlineStr"/>
    </row>
    <row r="63">
      <c r="A63" s="36" t="inlineStr">
        <is>
          <t>RPT-097X39</t>
        </is>
      </c>
      <c r="B63" s="27" t="inlineStr">
        <is>
          <t>Earnings guidance range and probability bridge</t>
        </is>
      </c>
      <c r="C63" s="27" t="inlineStr">
        <is>
          <t>Guidance protection action register</t>
        </is>
      </c>
      <c r="D63" s="27" t="inlineStr">
        <is>
          <t>Discretionary opex hold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Realization probability</t>
        </is>
      </c>
      <c r="H63" s="44" t="n">
        <v>0.9660000000000001</v>
      </c>
      <c r="I63" s="27" t="inlineStr"/>
      <c r="J63" s="27" t="inlineStr">
        <is>
          <t>decimal ratio</t>
        </is>
      </c>
      <c r="K63" s="27" t="inlineStr">
        <is>
          <t>Earlier management working export</t>
        </is>
      </c>
      <c r="L63" s="45" t="inlineStr">
        <is>
          <t>2026-06-24</t>
        </is>
      </c>
      <c r="M63" s="27" t="inlineStr"/>
    </row>
    <row r="64">
      <c r="A64" s="36" t="inlineStr">
        <is>
          <t>RPT-097X40</t>
        </is>
      </c>
      <c r="B64" s="27" t="inlineStr">
        <is>
          <t>Earnings guidance range and probability bridge</t>
        </is>
      </c>
      <c r="C64" s="27" t="inlineStr">
        <is>
          <t>Guidance protection action register</t>
        </is>
      </c>
      <c r="D64" s="27" t="inlineStr">
        <is>
          <t>Portfolio policy</t>
        </is>
      </c>
      <c r="E64" s="27" t="inlineStr">
        <is>
          <t>Management review</t>
        </is>
      </c>
      <c r="F64" s="27" t="inlineStr">
        <is>
          <t>Management stretch</t>
        </is>
      </c>
      <c r="G64" s="27" t="inlineStr">
        <is>
          <t>Capacity limit</t>
        </is>
      </c>
      <c r="H64" s="44" t="n">
        <v>968.2</v>
      </c>
      <c r="I64" s="27" t="inlineStr"/>
      <c r="J64" s="27" t="inlineStr">
        <is>
          <t>forecast-response points</t>
        </is>
      </c>
      <c r="K64" s="27" t="inlineStr">
        <is>
          <t>Earlier management working export</t>
        </is>
      </c>
      <c r="L64" s="45" t="inlineStr">
        <is>
          <t>2026-06-24</t>
        </is>
      </c>
      <c r="M64" s="27" t="inlineStr"/>
    </row>
    <row r="65">
      <c r="A65" s="36" t="inlineStr">
        <is>
          <t>RPT-097X41</t>
        </is>
      </c>
      <c r="B65" s="27" t="inlineStr">
        <is>
          <t>Earnings guidance range and probability bridge</t>
        </is>
      </c>
      <c r="C65" s="27" t="inlineStr">
        <is>
          <t>Guidance protection action register</t>
        </is>
      </c>
      <c r="D65" s="27" t="inlineStr">
        <is>
          <t>Construction buyout reset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Cash cost</t>
        </is>
      </c>
      <c r="H65" s="44" t="n">
        <v>140400</v>
      </c>
      <c r="I65" s="27" t="inlineStr"/>
      <c r="J65" s="27" t="inlineStr">
        <is>
          <t>USD</t>
        </is>
      </c>
      <c r="K65" s="27" t="inlineStr">
        <is>
          <t>Earlier management working export</t>
        </is>
      </c>
      <c r="L65" s="45" t="inlineStr">
        <is>
          <t>2026-06-24</t>
        </is>
      </c>
      <c r="M65" s="27" t="inlineStr"/>
    </row>
    <row r="66">
      <c r="A66" s="36" t="inlineStr">
        <is>
          <t>RPT-097X42</t>
        </is>
      </c>
      <c r="B66" s="27" t="inlineStr">
        <is>
          <t>Earnings guidance range and probability bridge</t>
        </is>
      </c>
      <c r="C66" s="27" t="inlineStr">
        <is>
          <t>Guidance protection action register</t>
        </is>
      </c>
      <c r="D66" s="27" t="inlineStr">
        <is>
          <t>Service labor recovery</t>
        </is>
      </c>
      <c r="E66" s="27" t="inlineStr">
        <is>
          <t>Management review</t>
        </is>
      </c>
      <c r="F66" s="27" t="inlineStr">
        <is>
          <t>Management stretch</t>
        </is>
      </c>
      <c r="G66" s="27" t="inlineStr">
        <is>
          <t>Capacity units</t>
        </is>
      </c>
      <c r="H66" s="44" t="n">
        <v>231</v>
      </c>
      <c r="I66" s="27" t="inlineStr"/>
      <c r="J66" s="27" t="inlineStr">
        <is>
          <t>forecast-response points</t>
        </is>
      </c>
      <c r="K66" s="27" t="inlineStr">
        <is>
          <t>Earlier management working export</t>
        </is>
      </c>
      <c r="L66" s="45" t="inlineStr">
        <is>
          <t>2026-06-24</t>
        </is>
      </c>
      <c r="M66" s="27" t="inlineStr"/>
    </row>
    <row r="67">
      <c r="A67" s="36" t="inlineStr">
        <is>
          <t>RPT-097X43</t>
        </is>
      </c>
      <c r="B67" s="27" t="inlineStr">
        <is>
          <t>Earnings guidance range and probability bridge</t>
        </is>
      </c>
      <c r="C67" s="27" t="inlineStr">
        <is>
          <t>Guidance protection action register</t>
        </is>
      </c>
      <c r="D67" s="27" t="inlineStr">
        <is>
          <t>Backlog acceleration program</t>
        </is>
      </c>
      <c r="E67" s="27" t="inlineStr">
        <is>
          <t>2026-05 working copy</t>
        </is>
      </c>
      <c r="F67" s="27" t="inlineStr">
        <is>
          <t>Approved case</t>
        </is>
      </c>
      <c r="G67" s="27" t="inlineStr">
        <is>
          <t>Realization probability</t>
        </is>
      </c>
      <c r="H67" s="44" t="n">
        <v>0.6386000000000001</v>
      </c>
      <c r="I67" s="27" t="inlineStr"/>
      <c r="J67" s="27" t="inlineStr">
        <is>
          <t>decimal ratio</t>
        </is>
      </c>
      <c r="K67" s="27" t="inlineStr">
        <is>
          <t>Earlier management working export</t>
        </is>
      </c>
      <c r="L67" s="45" t="inlineStr">
        <is>
          <t>2026-06-24</t>
        </is>
      </c>
      <c r="M67" s="27" t="inlineStr"/>
    </row>
    <row r="68">
      <c r="A68" s="36" t="inlineStr">
        <is>
          <t>RPT-097X44</t>
        </is>
      </c>
      <c r="B68" s="27" t="inlineStr">
        <is>
          <t>Earnings guidance range and probability bridge</t>
        </is>
      </c>
      <c r="C68" s="27" t="inlineStr">
        <is>
          <t>Guidance protection action register</t>
        </is>
      </c>
      <c r="D68" s="27" t="inlineStr">
        <is>
          <t>Copper price collar</t>
        </is>
      </c>
      <c r="E68" s="27" t="inlineStr">
        <is>
          <t>Management review</t>
        </is>
      </c>
      <c r="F68" s="27" t="inlineStr">
        <is>
          <t>Management stretch</t>
        </is>
      </c>
      <c r="G68" s="27" t="inlineStr">
        <is>
          <t>Gross financial effect</t>
        </is>
      </c>
      <c r="H68" s="44" t="n">
        <v>540.8</v>
      </c>
      <c r="I68" s="27" t="inlineStr"/>
      <c r="J68" s="27" t="inlineStr">
        <is>
          <t>USD thousands</t>
        </is>
      </c>
      <c r="K68" s="27" t="inlineStr">
        <is>
          <t>Earlier management working export</t>
        </is>
      </c>
      <c r="L68" s="45" t="inlineStr">
        <is>
          <t>2026-06-24</t>
        </is>
      </c>
      <c r="M68" s="27" t="inlineStr"/>
    </row>
    <row r="69">
      <c r="A69" s="36" t="inlineStr">
        <is>
          <t>RPT-097X45</t>
        </is>
      </c>
      <c r="B69" s="27" t="inlineStr">
        <is>
          <t>Earnings guidance range and probability bridge</t>
        </is>
      </c>
      <c r="C69" s="27" t="inlineStr">
        <is>
          <t>Guidance protection action register</t>
        </is>
      </c>
      <c r="D69" s="27" t="inlineStr">
        <is>
          <t>Service labor recovery</t>
        </is>
      </c>
      <c r="E69" s="27" t="inlineStr">
        <is>
          <t>2026-05 working copy</t>
        </is>
      </c>
      <c r="F69" s="27" t="inlineStr">
        <is>
          <t>Approved case</t>
        </is>
      </c>
      <c r="G69" s="27" t="inlineStr">
        <is>
          <t>Cash cost</t>
        </is>
      </c>
      <c r="H69" s="44" t="n">
        <v>126000</v>
      </c>
      <c r="I69" s="27" t="inlineStr"/>
      <c r="J69" s="27" t="inlineStr">
        <is>
          <t>USD</t>
        </is>
      </c>
      <c r="K69" s="27" t="inlineStr">
        <is>
          <t>Earlier management working export</t>
        </is>
      </c>
      <c r="L69" s="45" t="inlineStr">
        <is>
          <t>2026-06-24</t>
        </is>
      </c>
      <c r="M69" s="27" t="inlineStr"/>
    </row>
    <row r="70">
      <c r="A70" s="36" t="inlineStr">
        <is>
          <t>RPT-097X46</t>
        </is>
      </c>
      <c r="B70" s="27" t="inlineStr">
        <is>
          <t>Earnings guidance range and probability bridge</t>
        </is>
      </c>
      <c r="C70" s="27" t="inlineStr">
        <is>
          <t>Guidance protection action register</t>
        </is>
      </c>
      <c r="D70" s="27" t="inlineStr">
        <is>
          <t>Discretionary opex hold</t>
        </is>
      </c>
      <c r="E70" s="27" t="inlineStr">
        <is>
          <t>Management review</t>
        </is>
      </c>
      <c r="F70" s="27" t="inlineStr">
        <is>
          <t>Management stretch</t>
        </is>
      </c>
      <c r="G70" s="27" t="inlineStr">
        <is>
          <t>Capacity units</t>
        </is>
      </c>
      <c r="H70" s="44" t="n">
        <v>175.1</v>
      </c>
      <c r="I70" s="27" t="inlineStr"/>
      <c r="J70" s="27" t="inlineStr">
        <is>
          <t>forecast-response points</t>
        </is>
      </c>
      <c r="K70" s="27" t="inlineStr">
        <is>
          <t>Earlier management working export</t>
        </is>
      </c>
      <c r="L70" s="45" t="inlineStr">
        <is>
          <t>2026-06-24</t>
        </is>
      </c>
      <c r="M70" s="27" t="inlineStr"/>
    </row>
    <row r="71">
      <c r="A71" s="36" t="inlineStr">
        <is>
          <t>RPT-097X87</t>
        </is>
      </c>
      <c r="B71" s="27" t="inlineStr">
        <is>
          <t>Earnings guidance range and probability bridge</t>
        </is>
      </c>
      <c r="C71" s="27" t="inlineStr">
        <is>
          <t>Guidance protection action register scenario controls</t>
        </is>
      </c>
      <c r="D71" s="27" t="inlineStr">
        <is>
          <t>Board guidance base</t>
        </is>
      </c>
      <c r="E71" s="27" t="inlineStr">
        <is>
          <t>2026-05 working copy</t>
        </is>
      </c>
      <c r="F71" s="27" t="inlineStr">
        <is>
          <t>Approved case</t>
        </is>
      </c>
      <c r="G71" s="27" t="inlineStr">
        <is>
          <t>Gross effect factor</t>
        </is>
      </c>
      <c r="H71" s="44" t="n">
        <v>1.03</v>
      </c>
      <c r="I71" s="27" t="inlineStr"/>
      <c r="J71" s="27" t="inlineStr">
        <is>
          <t>decimal ratio</t>
        </is>
      </c>
      <c r="K71" s="27" t="inlineStr">
        <is>
          <t>Earlier management working export</t>
        </is>
      </c>
      <c r="L71" s="45" t="inlineStr">
        <is>
          <t>2026-06-24</t>
        </is>
      </c>
      <c r="M71" s="27" t="inlineStr"/>
    </row>
    <row r="72">
      <c r="A72" s="36" t="inlineStr">
        <is>
          <t>RPT-097X88</t>
        </is>
      </c>
      <c r="B72" s="27" t="inlineStr">
        <is>
          <t>Earnings guidance range and probability bridge</t>
        </is>
      </c>
      <c r="C72" s="27" t="inlineStr">
        <is>
          <t>Guidance protection action register scenario controls</t>
        </is>
      </c>
      <c r="D72" s="27" t="inlineStr">
        <is>
          <t>Copper and buyout squeeze</t>
        </is>
      </c>
      <c r="E72" s="27" t="inlineStr">
        <is>
          <t>Management review</t>
        </is>
      </c>
      <c r="F72" s="27" t="inlineStr">
        <is>
          <t>Management stretch</t>
        </is>
      </c>
      <c r="G72" s="27" t="inlineStr">
        <is>
          <t>Gross effect factor</t>
        </is>
      </c>
      <c r="H72" s="44" t="n">
        <v>0.8528</v>
      </c>
      <c r="I72" s="27" t="inlineStr"/>
      <c r="J72" s="27" t="inlineStr">
        <is>
          <t>decimal ratio</t>
        </is>
      </c>
      <c r="K72" s="27" t="inlineStr">
        <is>
          <t>Earlier management working export</t>
        </is>
      </c>
      <c r="L72" s="45" t="inlineStr">
        <is>
          <t>2026-06-24</t>
        </is>
      </c>
      <c r="M72" s="27" t="inlineStr"/>
    </row>
    <row r="73">
      <c r="A73" s="36" t="inlineStr">
        <is>
          <t>RPT-097X89</t>
        </is>
      </c>
      <c r="B73" s="27" t="inlineStr">
        <is>
          <t>Earnings guidance range and probability bridge</t>
        </is>
      </c>
      <c r="C73" s="27" t="inlineStr">
        <is>
          <t>Guidance protection action register scenario controls</t>
        </is>
      </c>
      <c r="D73" s="27" t="inlineStr">
        <is>
          <t>Service labor recovery delay</t>
        </is>
      </c>
      <c r="E73" s="27" t="inlineStr">
        <is>
          <t>2026-05 working copy</t>
        </is>
      </c>
      <c r="F73" s="27" t="inlineStr">
        <is>
          <t>Approved case</t>
        </is>
      </c>
      <c r="G73" s="27" t="inlineStr">
        <is>
          <t>Gross effect factor</t>
        </is>
      </c>
      <c r="H73" s="44" t="n">
        <v>0.903</v>
      </c>
      <c r="I73" s="27" t="inlineStr"/>
      <c r="J73" s="27" t="inlineStr">
        <is>
          <t>decimal ratio</t>
        </is>
      </c>
      <c r="K73" s="27" t="inlineStr">
        <is>
          <t>Earlier management working export</t>
        </is>
      </c>
      <c r="L73" s="45" t="inlineStr">
        <is>
          <t>2026-06-24</t>
        </is>
      </c>
      <c r="M73" s="27" t="inlineStr"/>
    </row>
    <row r="74">
      <c r="A74" s="36" t="inlineStr">
        <is>
          <t>RPT-097X90</t>
        </is>
      </c>
      <c r="B74" s="27" t="inlineStr">
        <is>
          <t>Earnings guidance range and probability bridge</t>
        </is>
      </c>
      <c r="C74" s="27" t="inlineStr">
        <is>
          <t>Guidance protection action register scenario controls</t>
        </is>
      </c>
      <c r="D74" s="27" t="inlineStr">
        <is>
          <t>Backlog conversion shortfall</t>
        </is>
      </c>
      <c r="E74" s="27" t="inlineStr">
        <is>
          <t>Management review</t>
        </is>
      </c>
      <c r="F74" s="27" t="inlineStr">
        <is>
          <t>Management stretch</t>
        </is>
      </c>
      <c r="G74" s="27" t="inlineStr">
        <is>
          <t>Gross effect factor</t>
        </is>
      </c>
      <c r="H74" s="44" t="n">
        <v>0.7416</v>
      </c>
      <c r="I74" s="27" t="inlineStr"/>
      <c r="J74" s="27" t="inlineStr">
        <is>
          <t>decimal ratio</t>
        </is>
      </c>
      <c r="K74" s="27" t="inlineStr">
        <is>
          <t>Earlier management working export</t>
        </is>
      </c>
      <c r="L74" s="45" t="inlineStr">
        <is>
          <t>2026-06-24</t>
        </is>
      </c>
      <c r="M74" s="27" t="inlineStr"/>
    </row>
    <row r="75">
      <c r="A75" s="36" t="inlineStr">
        <is>
          <t>RPT-097X91</t>
        </is>
      </c>
      <c r="B75" s="27" t="inlineStr">
        <is>
          <t>Earnings guidance range and probability bridge</t>
        </is>
      </c>
      <c r="C75" s="27" t="inlineStr">
        <is>
          <t>Guidance protection action register scenario controls</t>
        </is>
      </c>
      <c r="D75" s="27" t="inlineStr">
        <is>
          <t>Combined guidance downside</t>
        </is>
      </c>
      <c r="E75" s="27" t="inlineStr">
        <is>
          <t>2026-05 working copy</t>
        </is>
      </c>
      <c r="F75" s="27" t="inlineStr">
        <is>
          <t>Approved case</t>
        </is>
      </c>
      <c r="G75" s="27" t="inlineStr">
        <is>
          <t>Gross effect factor</t>
        </is>
      </c>
      <c r="H75" s="44" t="n">
        <v>0.624</v>
      </c>
      <c r="I75" s="27" t="inlineStr"/>
      <c r="J75" s="27" t="inlineStr">
        <is>
          <t>decimal ratio</t>
        </is>
      </c>
      <c r="K75" s="27" t="inlineStr">
        <is>
          <t>Earlier management working export</t>
        </is>
      </c>
      <c r="L75" s="45" t="inlineStr">
        <is>
          <t>2026-06-24</t>
        </is>
      </c>
      <c r="M75" s="27" t="inlineStr"/>
    </row>
    <row r="76">
      <c r="A76" s="36" t="inlineStr">
        <is>
          <t>RPT-097X92</t>
        </is>
      </c>
      <c r="B76" s="27" t="inlineStr">
        <is>
          <t>Earnings guidance range and probability bridge</t>
        </is>
      </c>
      <c r="C76" s="27" t="inlineStr">
        <is>
          <t>Guidance protection action register scenario controls</t>
        </is>
      </c>
      <c r="D76" s="27" t="inlineStr">
        <is>
          <t>Board guidance base</t>
        </is>
      </c>
      <c r="E76" s="27" t="inlineStr">
        <is>
          <t>Management review</t>
        </is>
      </c>
      <c r="F76" s="27" t="inlineStr">
        <is>
          <t>Management stretch</t>
        </is>
      </c>
      <c r="G76" s="27" t="inlineStr">
        <is>
          <t>Gross effect factor</t>
        </is>
      </c>
      <c r="H76" s="44" t="n">
        <v>1.05</v>
      </c>
      <c r="I76" s="27" t="inlineStr"/>
      <c r="J76" s="27" t="inlineStr">
        <is>
          <t>decimal ratio</t>
        </is>
      </c>
      <c r="K76" s="27" t="inlineStr">
        <is>
          <t>Earlier management working export</t>
        </is>
      </c>
      <c r="L76" s="45" t="inlineStr">
        <is>
          <t>2026-06-24</t>
        </is>
      </c>
      <c r="M76" s="27" t="inlineStr"/>
    </row>
    <row r="77">
      <c r="A77" s="36" t="inlineStr">
        <is>
          <t>RPT-097X93</t>
        </is>
      </c>
      <c r="B77" s="27" t="inlineStr">
        <is>
          <t>Earnings guidance range and probability bridge</t>
        </is>
      </c>
      <c r="C77" s="27" t="inlineStr">
        <is>
          <t>Guidance protection action register scenario controls</t>
        </is>
      </c>
      <c r="D77" s="27" t="inlineStr">
        <is>
          <t>Copper and buyout squeeze</t>
        </is>
      </c>
      <c r="E77" s="27" t="inlineStr">
        <is>
          <t>2026-05 working copy</t>
        </is>
      </c>
      <c r="F77" s="27" t="inlineStr">
        <is>
          <t>Approved case</t>
        </is>
      </c>
      <c r="G77" s="27" t="inlineStr">
        <is>
          <t>Gross effect factor</t>
        </is>
      </c>
      <c r="H77" s="44" t="n">
        <v>0.8446</v>
      </c>
      <c r="I77" s="27" t="inlineStr"/>
      <c r="J77" s="27" t="inlineStr">
        <is>
          <t>decimal ratio</t>
        </is>
      </c>
      <c r="K77" s="27" t="inlineStr">
        <is>
          <t>Earlier management working export</t>
        </is>
      </c>
      <c r="L77" s="45" t="inlineStr">
        <is>
          <t>2026-06-24</t>
        </is>
      </c>
      <c r="M77" s="27" t="inlineStr"/>
    </row>
    <row r="78">
      <c r="A78" s="36" t="inlineStr">
        <is>
          <t>RPT-097X94</t>
        </is>
      </c>
      <c r="B78" s="27" t="inlineStr">
        <is>
          <t>Earnings guidance range and probability bridge</t>
        </is>
      </c>
      <c r="C78" s="27" t="inlineStr">
        <is>
          <t>Guidance protection action register scenario controls</t>
        </is>
      </c>
      <c r="D78" s="27" t="inlineStr">
        <is>
          <t>Service labor recovery delay</t>
        </is>
      </c>
      <c r="E78" s="27" t="inlineStr">
        <is>
          <t>Management review</t>
        </is>
      </c>
      <c r="F78" s="27" t="inlineStr">
        <is>
          <t>Management stretch</t>
        </is>
      </c>
      <c r="G78" s="27" t="inlineStr">
        <is>
          <t>Gross effect factor</t>
        </is>
      </c>
      <c r="H78" s="44" t="n">
        <v>0.8944</v>
      </c>
      <c r="I78" s="27" t="inlineStr"/>
      <c r="J78" s="27" t="inlineStr">
        <is>
          <t>decimal ratio</t>
        </is>
      </c>
      <c r="K78" s="27" t="inlineStr">
        <is>
          <t>Earlier management working export</t>
        </is>
      </c>
      <c r="L78" s="45" t="inlineStr">
        <is>
          <t>2026-06-24</t>
        </is>
      </c>
      <c r="M78" s="27" t="inlineStr"/>
    </row>
    <row r="79">
      <c r="A79" s="36" t="inlineStr">
        <is>
          <t>RPT-00451</t>
        </is>
      </c>
      <c r="B79" s="27" t="inlineStr">
        <is>
          <t>Create the CFO strategic-finance board deck</t>
        </is>
      </c>
      <c r="C79" s="27" t="inlineStr">
        <is>
          <t>Board operating outlook</t>
        </is>
      </c>
      <c r="D79" s="27" t="inlineStr">
        <is>
          <t>Construction</t>
        </is>
      </c>
      <c r="E79" s="27" t="inlineStr">
        <is>
          <t>2026-05 working copy</t>
        </is>
      </c>
      <c r="F79" s="27" t="inlineStr">
        <is>
          <t>Approved case</t>
        </is>
      </c>
      <c r="G79" s="27" t="inlineStr">
        <is>
          <t>Forecast revenue</t>
        </is>
      </c>
      <c r="H79" s="44" t="n">
        <v>32393500</v>
      </c>
      <c r="I79" s="27" t="inlineStr"/>
      <c r="J79" s="27" t="inlineStr">
        <is>
          <t>USD</t>
        </is>
      </c>
      <c r="K79" s="27" t="inlineStr">
        <is>
          <t>Earlier management working export</t>
        </is>
      </c>
      <c r="L79" s="45" t="inlineStr">
        <is>
          <t>2026-06-24</t>
        </is>
      </c>
      <c r="M79" s="27" t="inlineStr"/>
    </row>
    <row r="80">
      <c r="A80" s="36" t="inlineStr">
        <is>
          <t>RPT-00452</t>
        </is>
      </c>
      <c r="B80" s="27" t="inlineStr">
        <is>
          <t>Create the CFO strategic-finance board deck</t>
        </is>
      </c>
      <c r="C80" s="27" t="inlineStr">
        <is>
          <t>Board operating outlook</t>
        </is>
      </c>
      <c r="D80" s="27" t="inlineStr">
        <is>
          <t>Service</t>
        </is>
      </c>
      <c r="E80" s="27" t="inlineStr">
        <is>
          <t>FY26</t>
        </is>
      </c>
      <c r="F80" s="27" t="inlineStr">
        <is>
          <t>Management stretch</t>
        </is>
      </c>
      <c r="G80" s="27" t="inlineStr">
        <is>
          <t>Plan revenue</t>
        </is>
      </c>
      <c r="H80" s="44" t="n">
        <v>14196000</v>
      </c>
      <c r="I80" s="27" t="inlineStr"/>
      <c r="J80" s="27" t="inlineStr">
        <is>
          <t>USD</t>
        </is>
      </c>
      <c r="K80" s="27" t="inlineStr">
        <is>
          <t>Earlier management working export</t>
        </is>
      </c>
      <c r="L80" s="45" t="inlineStr">
        <is>
          <t>2026-06-24</t>
        </is>
      </c>
      <c r="M80" s="27" t="inlineStr"/>
    </row>
    <row r="81">
      <c r="A81" s="36" t="inlineStr">
        <is>
          <t>RPT-00453</t>
        </is>
      </c>
      <c r="B81" s="27" t="inlineStr">
        <is>
          <t>Create the CFO strategic-finance board deck</t>
        </is>
      </c>
      <c r="C81" s="27" t="inlineStr">
        <is>
          <t>Board operating outlook</t>
        </is>
      </c>
      <c r="D81" s="27" t="inlineStr">
        <is>
          <t>Controls</t>
        </is>
      </c>
      <c r="E81" s="27" t="inlineStr">
        <is>
          <t>2026-05 working copy</t>
        </is>
      </c>
      <c r="F81" s="27" t="inlineStr">
        <is>
          <t>Approved case</t>
        </is>
      </c>
      <c r="G81" s="27" t="inlineStr">
        <is>
          <t>Forecast gross margin</t>
        </is>
      </c>
      <c r="H81" s="44" t="n">
        <v>0.30975</v>
      </c>
      <c r="I81" s="27" t="inlineStr"/>
      <c r="J81" s="27" t="inlineStr">
        <is>
          <t>decimal ratio</t>
        </is>
      </c>
      <c r="K81" s="27" t="inlineStr">
        <is>
          <t>Earlier management working export</t>
        </is>
      </c>
      <c r="L81" s="45" t="inlineStr">
        <is>
          <t>2026-06-24</t>
        </is>
      </c>
      <c r="M81" s="27" t="inlineStr"/>
    </row>
    <row r="82">
      <c r="A82" s="36" t="inlineStr">
        <is>
          <t>RPT-00454</t>
        </is>
      </c>
      <c r="B82" s="27" t="inlineStr">
        <is>
          <t>Create the CFO strategic-finance board deck</t>
        </is>
      </c>
      <c r="C82" s="27" t="inlineStr">
        <is>
          <t>Board risk outlook</t>
        </is>
      </c>
      <c r="D82" s="27" t="inlineStr">
        <is>
          <t>Alder Ridge</t>
        </is>
      </c>
      <c r="E82" s="27" t="inlineStr">
        <is>
          <t>Downside</t>
        </is>
      </c>
      <c r="F82" s="27" t="inlineStr">
        <is>
          <t>Management stretch</t>
        </is>
      </c>
      <c r="G82" s="27" t="inlineStr">
        <is>
          <t>Covenant EBITDA</t>
        </is>
      </c>
      <c r="H82" s="44" t="n">
        <v>3893.4</v>
      </c>
      <c r="I82" s="27" t="inlineStr"/>
      <c r="J82" s="27" t="inlineStr">
        <is>
          <t>USD thousands</t>
        </is>
      </c>
      <c r="K82" s="27" t="inlineStr">
        <is>
          <t>Earlier management working export</t>
        </is>
      </c>
      <c r="L82" s="45" t="inlineStr">
        <is>
          <t>2026-06-24</t>
        </is>
      </c>
      <c r="M82" s="27" t="inlineStr"/>
    </row>
    <row r="83">
      <c r="A83" s="36" t="inlineStr">
        <is>
          <t>RPT-00455</t>
        </is>
      </c>
      <c r="B83" s="27" t="inlineStr">
        <is>
          <t>Create the CFO strategic-finance board deck</t>
        </is>
      </c>
      <c r="C83" s="27" t="inlineStr">
        <is>
          <t>Board strategic priorities</t>
        </is>
      </c>
      <c r="D83" s="27" t="inlineStr">
        <is>
          <t>Procurement program</t>
        </is>
      </c>
      <c r="E83" s="27" t="inlineStr">
        <is>
          <t>2026-05 working copy</t>
        </is>
      </c>
      <c r="F83" s="27" t="inlineStr">
        <is>
          <t>Approved case</t>
        </is>
      </c>
      <c r="G83" s="27" t="inlineStr">
        <is>
          <t>Realization probability</t>
        </is>
      </c>
      <c r="H83" s="44" t="n">
        <v>0.8320000000000001</v>
      </c>
      <c r="I83" s="27" t="inlineStr"/>
      <c r="J83" s="27" t="inlineStr">
        <is>
          <t>decimal ratio</t>
        </is>
      </c>
      <c r="K83" s="27" t="inlineStr">
        <is>
          <t>Earlier management working export</t>
        </is>
      </c>
      <c r="L83" s="45" t="inlineStr">
        <is>
          <t>2026-06-24</t>
        </is>
      </c>
      <c r="M83" s="27" t="inlineStr"/>
    </row>
    <row r="84">
      <c r="A84" s="36" t="inlineStr">
        <is>
          <t>RPT-00456</t>
        </is>
      </c>
      <c r="B84" s="27" t="inlineStr">
        <is>
          <t>Create the CFO strategic-finance board deck</t>
        </is>
      </c>
      <c r="C84" s="27" t="inlineStr">
        <is>
          <t>Board presentation controls</t>
        </is>
      </c>
      <c r="D84" s="27" t="inlineStr">
        <is>
          <t>Alder Ridge</t>
        </is>
      </c>
      <c r="E84" s="27" t="inlineStr">
        <is>
          <t>FY26</t>
        </is>
      </c>
      <c r="F84" s="27" t="inlineStr">
        <is>
          <t>Management stretch</t>
        </is>
      </c>
      <c r="G84" s="27" t="inlineStr">
        <is>
          <t>Minimum cash</t>
        </is>
      </c>
      <c r="H84" s="44" t="n">
        <v>2362500</v>
      </c>
      <c r="I84" s="27" t="inlineStr"/>
      <c r="J84" s="27" t="inlineStr">
        <is>
          <t>USD</t>
        </is>
      </c>
      <c r="K84" s="27" t="inlineStr">
        <is>
          <t>Earlier management working export</t>
        </is>
      </c>
      <c r="L84" s="45" t="inlineStr">
        <is>
          <t>2026-06-24</t>
        </is>
      </c>
      <c r="M84" s="27" t="inlineStr"/>
    </row>
    <row r="85">
      <c r="A85" s="36" t="inlineStr">
        <is>
          <t>RPT-00457</t>
        </is>
      </c>
      <c r="B85" s="27" t="inlineStr">
        <is>
          <t>Create the CFO strategic-finance board deck</t>
        </is>
      </c>
      <c r="C85" s="27" t="inlineStr">
        <is>
          <t>Board operating outlook</t>
        </is>
      </c>
      <c r="D85" s="27" t="inlineStr">
        <is>
          <t>Construction</t>
        </is>
      </c>
      <c r="E85" s="27" t="inlineStr">
        <is>
          <t>2026-05 working copy</t>
        </is>
      </c>
      <c r="F85" s="27" t="inlineStr">
        <is>
          <t>Approved case</t>
        </is>
      </c>
      <c r="G85" s="27" t="inlineStr">
        <is>
          <t>Forecast gross margin</t>
        </is>
      </c>
      <c r="H85" s="44" t="n">
        <v>0.23896</v>
      </c>
      <c r="I85" s="27" t="inlineStr"/>
      <c r="J85" s="27" t="inlineStr">
        <is>
          <t>decimal ratio</t>
        </is>
      </c>
      <c r="K85" s="27" t="inlineStr">
        <is>
          <t>Earlier management working export</t>
        </is>
      </c>
      <c r="L85" s="45" t="inlineStr">
        <is>
          <t>2026-06-24</t>
        </is>
      </c>
      <c r="M85" s="27" t="inlineStr"/>
    </row>
    <row r="86">
      <c r="A86" s="36" t="inlineStr">
        <is>
          <t>RPT-00458</t>
        </is>
      </c>
      <c r="B86" s="27" t="inlineStr">
        <is>
          <t>Create the CFO strategic-finance board deck</t>
        </is>
      </c>
      <c r="C86" s="27" t="inlineStr">
        <is>
          <t>Board operating outlook</t>
        </is>
      </c>
      <c r="D86" s="27" t="inlineStr">
        <is>
          <t>Service</t>
        </is>
      </c>
      <c r="E86" s="27" t="inlineStr">
        <is>
          <t>FY26</t>
        </is>
      </c>
      <c r="F86" s="27" t="inlineStr">
        <is>
          <t>Management stretch</t>
        </is>
      </c>
      <c r="G86" s="27" t="inlineStr">
        <is>
          <t>Plan gross margin</t>
        </is>
      </c>
      <c r="H86" s="44" t="n">
        <v>0.442</v>
      </c>
      <c r="I86" s="27" t="inlineStr"/>
      <c r="J86" s="27" t="inlineStr">
        <is>
          <t>decimal ratio</t>
        </is>
      </c>
      <c r="K86" s="27" t="inlineStr">
        <is>
          <t>Earlier management working export</t>
        </is>
      </c>
      <c r="L86" s="45" t="inlineStr">
        <is>
          <t>2026-06-24</t>
        </is>
      </c>
      <c r="M86" s="27" t="inlineStr"/>
    </row>
    <row r="87">
      <c r="A87" s="36" t="inlineStr">
        <is>
          <t>RPT-00459</t>
        </is>
      </c>
      <c r="B87" s="27" t="inlineStr">
        <is>
          <t>Create the CFO strategic-finance board deck</t>
        </is>
      </c>
      <c r="C87" s="27" t="inlineStr">
        <is>
          <t>Board operating outlook</t>
        </is>
      </c>
      <c r="D87" s="27" t="inlineStr">
        <is>
          <t>Controls</t>
        </is>
      </c>
      <c r="E87" s="27" t="inlineStr">
        <is>
          <t>2026-05 working copy</t>
        </is>
      </c>
      <c r="F87" s="27" t="inlineStr">
        <is>
          <t>Approved case</t>
        </is>
      </c>
      <c r="G87" s="27" t="inlineStr">
        <is>
          <t>Forecast opex</t>
        </is>
      </c>
      <c r="H87" s="44" t="n">
        <v>1113000</v>
      </c>
      <c r="I87" s="27" t="inlineStr"/>
      <c r="J87" s="27" t="inlineStr">
        <is>
          <t>USD</t>
        </is>
      </c>
      <c r="K87" s="27" t="inlineStr">
        <is>
          <t>Earlier management working export</t>
        </is>
      </c>
      <c r="L87" s="45" t="inlineStr">
        <is>
          <t>2026-06-24</t>
        </is>
      </c>
      <c r="M87" s="27" t="inlineStr"/>
    </row>
    <row r="88">
      <c r="A88" s="36" t="inlineStr">
        <is>
          <t>RPT-00460</t>
        </is>
      </c>
      <c r="B88" s="27" t="inlineStr">
        <is>
          <t>Create the CFO strategic-finance board deck</t>
        </is>
      </c>
      <c r="C88" s="27" t="inlineStr">
        <is>
          <t>Board risk outlook</t>
        </is>
      </c>
      <c r="D88" s="27" t="inlineStr">
        <is>
          <t>Alder Ridge</t>
        </is>
      </c>
      <c r="E88" s="27" t="inlineStr">
        <is>
          <t>Downside</t>
        </is>
      </c>
      <c r="F88" s="27" t="inlineStr">
        <is>
          <t>Management stretch</t>
        </is>
      </c>
      <c r="G88" s="27" t="inlineStr">
        <is>
          <t>Revolver balance</t>
        </is>
      </c>
      <c r="H88" s="44" t="n">
        <v>4738000</v>
      </c>
      <c r="I88" s="27" t="inlineStr"/>
      <c r="J88" s="27" t="inlineStr">
        <is>
          <t>USD</t>
        </is>
      </c>
      <c r="K88" s="27" t="inlineStr">
        <is>
          <t>Earlier management working export</t>
        </is>
      </c>
      <c r="L88" s="45" t="inlineStr">
        <is>
          <t>2026-06-24</t>
        </is>
      </c>
      <c r="M88" s="27" t="inlineStr"/>
    </row>
    <row r="89">
      <c r="A89" s="36" t="inlineStr">
        <is>
          <t>RPT-00461</t>
        </is>
      </c>
      <c r="B89" s="27" t="inlineStr">
        <is>
          <t>Create the CFO strategic-finance board deck</t>
        </is>
      </c>
      <c r="C89" s="27" t="inlineStr">
        <is>
          <t>Board strategic priorities</t>
        </is>
      </c>
      <c r="D89" s="27" t="inlineStr">
        <is>
          <t>Service technician hiring</t>
        </is>
      </c>
      <c r="E89" s="27" t="inlineStr">
        <is>
          <t>2026-05 working copy</t>
        </is>
      </c>
      <c r="F89" s="27" t="inlineStr">
        <is>
          <t>Approved case</t>
        </is>
      </c>
      <c r="G89" s="27" t="inlineStr">
        <is>
          <t>Realization probability</t>
        </is>
      </c>
      <c r="H89" s="44" t="n">
        <v>0.728</v>
      </c>
      <c r="I89" s="27" t="inlineStr"/>
      <c r="J89" s="27" t="inlineStr">
        <is>
          <t>decimal ratio</t>
        </is>
      </c>
      <c r="K89" s="27" t="inlineStr">
        <is>
          <t>Earlier management working export</t>
        </is>
      </c>
      <c r="L89" s="45" t="inlineStr">
        <is>
          <t>2026-06-24</t>
        </is>
      </c>
      <c r="M89" s="27" t="inlineStr"/>
    </row>
    <row r="90">
      <c r="A90" s="36" t="inlineStr">
        <is>
          <t>RPT-00462</t>
        </is>
      </c>
      <c r="B90" s="27" t="inlineStr">
        <is>
          <t>Create the CFO strategic-finance board deck</t>
        </is>
      </c>
      <c r="C90" s="27" t="inlineStr">
        <is>
          <t>Board presentation controls</t>
        </is>
      </c>
      <c r="D90" s="27" t="inlineStr">
        <is>
          <t>Alder Ridge</t>
        </is>
      </c>
      <c r="E90" s="27" t="inlineStr">
        <is>
          <t>FY26</t>
        </is>
      </c>
      <c r="F90" s="27" t="inlineStr">
        <is>
          <t>Management stretch</t>
        </is>
      </c>
      <c r="G90" s="27" t="inlineStr">
        <is>
          <t>Maximum leverage</t>
        </is>
      </c>
      <c r="H90" s="44" t="n">
        <v>2.625</v>
      </c>
      <c r="I90" s="27" t="inlineStr"/>
      <c r="J90" s="27" t="inlineStr">
        <is>
          <t>multiple</t>
        </is>
      </c>
      <c r="K90" s="27" t="inlineStr">
        <is>
          <t>Earlier management working export</t>
        </is>
      </c>
      <c r="L90" s="45" t="inlineStr">
        <is>
          <t>2026-06-24</t>
        </is>
      </c>
      <c r="M90" s="27" t="inlineStr"/>
    </row>
    <row r="91">
      <c r="A91" s="36" t="inlineStr">
        <is>
          <t>RPT-00463</t>
        </is>
      </c>
      <c r="B91" s="27" t="inlineStr">
        <is>
          <t>Create the CFO strategic-finance board deck</t>
        </is>
      </c>
      <c r="C91" s="27" t="inlineStr">
        <is>
          <t>Board operating outlook</t>
        </is>
      </c>
      <c r="D91" s="27" t="inlineStr">
        <is>
          <t>Construction</t>
        </is>
      </c>
      <c r="E91" s="27" t="inlineStr">
        <is>
          <t>2026-05 working copy</t>
        </is>
      </c>
      <c r="F91" s="27" t="inlineStr">
        <is>
          <t>Approved case</t>
        </is>
      </c>
      <c r="G91" s="27" t="inlineStr">
        <is>
          <t>Forecast opex</t>
        </is>
      </c>
      <c r="H91" s="44" t="n">
        <v>1905500</v>
      </c>
      <c r="I91" s="27" t="inlineStr"/>
      <c r="J91" s="27" t="inlineStr">
        <is>
          <t>USD</t>
        </is>
      </c>
      <c r="K91" s="27" t="inlineStr">
        <is>
          <t>Earlier management working export</t>
        </is>
      </c>
      <c r="L91" s="45" t="inlineStr">
        <is>
          <t>2026-06-24</t>
        </is>
      </c>
      <c r="M91" s="27" t="inlineStr"/>
    </row>
    <row r="92">
      <c r="A92" s="36" t="inlineStr">
        <is>
          <t>RPT-00464</t>
        </is>
      </c>
      <c r="B92" s="27" t="inlineStr">
        <is>
          <t>Create the CFO strategic-finance board deck</t>
        </is>
      </c>
      <c r="C92" s="27" t="inlineStr">
        <is>
          <t>Board operating outlook</t>
        </is>
      </c>
      <c r="D92" s="27" t="inlineStr">
        <is>
          <t>Service</t>
        </is>
      </c>
      <c r="E92" s="27" t="inlineStr">
        <is>
          <t>FY26</t>
        </is>
      </c>
      <c r="F92" s="27" t="inlineStr">
        <is>
          <t>Management stretch</t>
        </is>
      </c>
      <c r="G92" s="27" t="inlineStr">
        <is>
          <t>Plan opex</t>
        </is>
      </c>
      <c r="H92" s="44" t="n">
        <v>2059200</v>
      </c>
      <c r="I92" s="27" t="inlineStr"/>
      <c r="J92" s="27" t="inlineStr">
        <is>
          <t>USD</t>
        </is>
      </c>
      <c r="K92" s="27" t="inlineStr">
        <is>
          <t>Earlier management working export</t>
        </is>
      </c>
      <c r="L92" s="45" t="inlineStr">
        <is>
          <t>2026-06-24</t>
        </is>
      </c>
      <c r="M92" s="27" t="inlineStr"/>
    </row>
    <row r="93">
      <c r="A93" s="36" t="inlineStr">
        <is>
          <t>RPT-00465</t>
        </is>
      </c>
      <c r="B93" s="27" t="inlineStr">
        <is>
          <t>Create the CFO strategic-finance board deck</t>
        </is>
      </c>
      <c r="C93" s="27" t="inlineStr">
        <is>
          <t>Board risk outlook</t>
        </is>
      </c>
      <c r="D93" s="27" t="inlineStr">
        <is>
          <t>Alder Ridge</t>
        </is>
      </c>
      <c r="E93" s="27" t="inlineStr">
        <is>
          <t>2026-05 working copy</t>
        </is>
      </c>
      <c r="F93" s="27" t="inlineStr">
        <is>
          <t>Approved case</t>
        </is>
      </c>
      <c r="G93" s="27" t="inlineStr">
        <is>
          <t>Covenant EBITDA</t>
        </is>
      </c>
      <c r="H93" s="44" t="n">
        <v>5796000</v>
      </c>
      <c r="I93" s="27" t="inlineStr"/>
      <c r="J93" s="27" t="inlineStr">
        <is>
          <t>USD</t>
        </is>
      </c>
      <c r="K93" s="27" t="inlineStr">
        <is>
          <t>Earlier management working export</t>
        </is>
      </c>
      <c r="L93" s="45" t="inlineStr">
        <is>
          <t>2026-06-24</t>
        </is>
      </c>
      <c r="M93" s="27" t="inlineStr"/>
    </row>
    <row r="94">
      <c r="A94" s="36" t="inlineStr">
        <is>
          <t>RPT-00466</t>
        </is>
      </c>
      <c r="B94" s="27" t="inlineStr">
        <is>
          <t>Create the CFO strategic-finance board deck</t>
        </is>
      </c>
      <c r="C94" s="27" t="inlineStr">
        <is>
          <t>Board risk outlook</t>
        </is>
      </c>
      <c r="D94" s="27" t="inlineStr">
        <is>
          <t>Alder Ridge</t>
        </is>
      </c>
      <c r="E94" s="27" t="inlineStr">
        <is>
          <t>Severe</t>
        </is>
      </c>
      <c r="F94" s="27" t="inlineStr">
        <is>
          <t>Management stretch</t>
        </is>
      </c>
      <c r="G94" s="27" t="inlineStr">
        <is>
          <t>Ending cash before financing</t>
        </is>
      </c>
      <c r="H94" s="44" t="n">
        <v>844.6</v>
      </c>
      <c r="I94" s="27" t="inlineStr"/>
      <c r="J94" s="27" t="inlineStr">
        <is>
          <t>USD thousands</t>
        </is>
      </c>
      <c r="K94" s="27" t="inlineStr">
        <is>
          <t>Earlier management working export</t>
        </is>
      </c>
      <c r="L94" s="45" t="inlineStr">
        <is>
          <t>2026-06-24</t>
        </is>
      </c>
      <c r="M94" s="27" t="inlineStr"/>
    </row>
    <row r="95">
      <c r="A95" s="36" t="inlineStr">
        <is>
          <t>RPT-00484</t>
        </is>
      </c>
      <c r="B95" s="27" t="inlineStr">
        <is>
          <t>Create the CFO strategic-finance board deck</t>
        </is>
      </c>
      <c r="C95" s="27" t="inlineStr">
        <is>
          <t>Board decision portfolio</t>
        </is>
      </c>
      <c r="D95" s="27" t="inlineStr">
        <is>
          <t>Procurement program</t>
        </is>
      </c>
      <c r="E95" s="27" t="inlineStr">
        <is>
          <t>2026-05 working copy</t>
        </is>
      </c>
      <c r="F95" s="27" t="inlineStr">
        <is>
          <t>Approved case</t>
        </is>
      </c>
      <c r="G95" s="27" t="inlineStr">
        <is>
          <t>Cash investment</t>
        </is>
      </c>
      <c r="H95" s="44" t="n">
        <v>432600</v>
      </c>
      <c r="I95" s="27" t="inlineStr"/>
      <c r="J95" s="27" t="inlineStr">
        <is>
          <t>USD</t>
        </is>
      </c>
      <c r="K95" s="27" t="inlineStr">
        <is>
          <t>Earlier management working export</t>
        </is>
      </c>
      <c r="L95" s="45" t="inlineStr">
        <is>
          <t>2026-06-24</t>
        </is>
      </c>
      <c r="M95" s="27" t="inlineStr"/>
    </row>
    <row r="96">
      <c r="A96" s="36" t="inlineStr">
        <is>
          <t>RPT-00485</t>
        </is>
      </c>
      <c r="B96" s="27" t="inlineStr">
        <is>
          <t>Create the CFO strategic-finance board deck</t>
        </is>
      </c>
      <c r="C96" s="27" t="inlineStr">
        <is>
          <t>Board decision portfolio</t>
        </is>
      </c>
      <c r="D96" s="27" t="inlineStr">
        <is>
          <t>Pioneer acquisition</t>
        </is>
      </c>
      <c r="E96" s="27" t="inlineStr">
        <is>
          <t>FY27</t>
        </is>
      </c>
      <c r="F96" s="27" t="inlineStr">
        <is>
          <t>Management stretch</t>
        </is>
      </c>
      <c r="G96" s="27" t="inlineStr">
        <is>
          <t>Severe benefit factor</t>
        </is>
      </c>
      <c r="H96" s="44" t="n">
        <v>0.468</v>
      </c>
      <c r="I96" s="27" t="inlineStr"/>
      <c r="J96" s="27" t="inlineStr">
        <is>
          <t>decimal ratio</t>
        </is>
      </c>
      <c r="K96" s="27" t="inlineStr">
        <is>
          <t>Earlier management working export</t>
        </is>
      </c>
      <c r="L96" s="45" t="inlineStr">
        <is>
          <t>2026-06-24</t>
        </is>
      </c>
      <c r="M96" s="27" t="inlineStr"/>
    </row>
    <row r="97">
      <c r="A97" s="36" t="inlineStr">
        <is>
          <t>RPT-00486</t>
        </is>
      </c>
      <c r="B97" s="27" t="inlineStr">
        <is>
          <t>Create the CFO strategic-finance board deck</t>
        </is>
      </c>
      <c r="C97" s="27" t="inlineStr">
        <is>
          <t>Board decision portfolio</t>
        </is>
      </c>
      <c r="D97" s="27" t="inlineStr">
        <is>
          <t>Service technician hiring</t>
        </is>
      </c>
      <c r="E97" s="27" t="inlineStr">
        <is>
          <t>2026-05 working copy</t>
        </is>
      </c>
      <c r="F97" s="27" t="inlineStr">
        <is>
          <t>Approved case</t>
        </is>
      </c>
      <c r="G97" s="27" t="inlineStr">
        <is>
          <t>Severe benefit factor</t>
        </is>
      </c>
      <c r="H97" s="44" t="n">
        <v>0.6825000000000001</v>
      </c>
      <c r="I97" s="27" t="inlineStr"/>
      <c r="J97" s="27" t="inlineStr">
        <is>
          <t>decimal ratio</t>
        </is>
      </c>
      <c r="K97" s="27" t="inlineStr">
        <is>
          <t>Earlier management working export</t>
        </is>
      </c>
      <c r="L97" s="45" t="inlineStr">
        <is>
          <t>2026-06-24</t>
        </is>
      </c>
      <c r="M97" s="27" t="inlineStr"/>
    </row>
    <row r="98">
      <c r="A98" s="36" t="inlineStr">
        <is>
          <t>RPT-00487</t>
        </is>
      </c>
      <c r="B98" s="27" t="inlineStr">
        <is>
          <t>Create the CFO strategic-finance board deck</t>
        </is>
      </c>
      <c r="C98" s="27" t="inlineStr">
        <is>
          <t>Board decision portfolio policy</t>
        </is>
      </c>
      <c r="D98" s="27" t="inlineStr">
        <is>
          <t>Alder Ridge</t>
        </is>
      </c>
      <c r="E98" s="27" t="inlineStr">
        <is>
          <t>FY27</t>
        </is>
      </c>
      <c r="F98" s="27" t="inlineStr">
        <is>
          <t>Management stretch</t>
        </is>
      </c>
      <c r="G98" s="27" t="inlineStr">
        <is>
          <t>Severe EBITDA cash conversion</t>
        </is>
      </c>
      <c r="H98" s="44" t="n">
        <v>0.721</v>
      </c>
      <c r="I98" s="27" t="inlineStr"/>
      <c r="J98" s="27" t="inlineStr">
        <is>
          <t>decimal ratio</t>
        </is>
      </c>
      <c r="K98" s="27" t="inlineStr">
        <is>
          <t>Earlier management working export</t>
        </is>
      </c>
      <c r="L98" s="45" t="inlineStr">
        <is>
          <t>2026-06-24</t>
        </is>
      </c>
      <c r="M98" s="27" t="inlineStr"/>
    </row>
    <row r="99">
      <c r="A99" s="36" t="inlineStr">
        <is>
          <t>RPT-00488</t>
        </is>
      </c>
      <c r="B99" s="27" t="inlineStr">
        <is>
          <t>Create the CFO strategic-finance board deck</t>
        </is>
      </c>
      <c r="C99" s="27" t="inlineStr">
        <is>
          <t>Board decision portfolio</t>
        </is>
      </c>
      <c r="D99" s="27" t="inlineStr">
        <is>
          <t>Pioneer acquisition</t>
        </is>
      </c>
      <c r="E99" s="27" t="inlineStr">
        <is>
          <t>2026-05 working copy</t>
        </is>
      </c>
      <c r="F99" s="27" t="inlineStr">
        <is>
          <t>Approved case</t>
        </is>
      </c>
      <c r="G99" s="27" t="inlineStr">
        <is>
          <t>Cash investment</t>
        </is>
      </c>
      <c r="H99" s="44" t="n">
        <v>1196000</v>
      </c>
      <c r="I99" s="27" t="inlineStr"/>
      <c r="J99" s="27" t="inlineStr">
        <is>
          <t>USD</t>
        </is>
      </c>
      <c r="K99" s="27" t="inlineStr">
        <is>
          <t>Earlier management working export</t>
        </is>
      </c>
      <c r="L99" s="45" t="inlineStr">
        <is>
          <t>2026-06-24</t>
        </is>
      </c>
      <c r="M99" s="27" t="inlineStr"/>
    </row>
    <row r="100">
      <c r="A100" s="36" t="inlineStr">
        <is>
          <t>RPT-00489</t>
        </is>
      </c>
      <c r="B100" s="27" t="inlineStr">
        <is>
          <t>Create the CFO strategic-finance board deck</t>
        </is>
      </c>
      <c r="C100" s="27" t="inlineStr">
        <is>
          <t>Board decision portfolio</t>
        </is>
      </c>
      <c r="D100" s="27" t="inlineStr">
        <is>
          <t>Service technician hiring</t>
        </is>
      </c>
      <c r="E100" s="27" t="inlineStr">
        <is>
          <t>FY27</t>
        </is>
      </c>
      <c r="F100" s="27" t="inlineStr">
        <is>
          <t>Management stretch</t>
        </is>
      </c>
      <c r="G100" s="27" t="inlineStr">
        <is>
          <t>Cash investment</t>
        </is>
      </c>
      <c r="H100" s="44" t="n">
        <v>640500</v>
      </c>
      <c r="I100" s="27" t="inlineStr"/>
      <c r="J100" s="27" t="inlineStr">
        <is>
          <t>USD</t>
        </is>
      </c>
      <c r="K100" s="27" t="inlineStr">
        <is>
          <t>Earlier management working export</t>
        </is>
      </c>
      <c r="L100" s="45" t="inlineStr">
        <is>
          <t>2026-06-24</t>
        </is>
      </c>
      <c r="M100" s="27" t="inlineStr"/>
    </row>
  </sheetData>
  <autoFilter ref="A4:M100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Q2 management reporting and investor materials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Quarterly KPIs</t>
        </is>
      </c>
      <c r="B5" s="40" t="n">
        <v>28</v>
      </c>
      <c r="C5" s="40">
        <f>COUNTA('Quarterly KPIs'!$A$5:$A$32)</f>
        <v/>
      </c>
      <c r="D5" s="40">
        <f>C5-B5</f>
        <v/>
      </c>
      <c r="E5" s="42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Board Performance</t>
        </is>
      </c>
      <c r="B6" s="41" t="n">
        <v>78</v>
      </c>
      <c r="C6" s="41">
        <f>COUNTA('Board Performance'!$A$5:$A$82)</f>
        <v/>
      </c>
      <c r="D6" s="41">
        <f>C6-B6</f>
        <v/>
      </c>
      <c r="E6" s="43">
        <f>IF(D6=0,"OK","CHECK")</f>
        <v/>
      </c>
      <c r="F6" s="41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2026-08-17T04:25:39Z</dcterms:created>
  <dcterms:modified xmlns:dcterms="http://purl.org/dc/terms/" xmlns:xsi="http://www.w3.org/2001/XMLSchema-instance" xsi:type="dcterms:W3CDTF">2026-08-17T04:25:39Z</dcterms:modified>
</cp:coreProperties>
</file>