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 - DC marks" sheetId="1" state="visible" r:id="rId1"/>
    <sheet xmlns:r="http://schemas.openxmlformats.org/officeDocument/2006/relationships" name="Source Pull" sheetId="2" state="visible" r:id="rId2"/>
    <sheet xmlns:r="http://schemas.openxmlformats.org/officeDocument/2006/relationships" name="Variance Bridge" sheetId="3" state="visible" r:id="rId3"/>
  </sheets>
  <definedNames/>
  <calcPr calcId="171027" fullCalcOnLoad="1"/>
</workbook>
</file>

<file path=xl/styles.xml><?xml version="1.0" encoding="utf-8"?>
<styleSheet xmlns="http://schemas.openxmlformats.org/spreadsheetml/2006/main">
  <numFmts count="2">
    <numFmt numFmtId="164" formatCode="$#,##0;[Red]($#,##0);-"/>
    <numFmt numFmtId="165" formatCode="0.0%;[Red](0.0%);-"/>
  </numFmts>
  <fonts count="9">
    <font>
      <name val="Carlito"/>
      <sz val="11"/>
    </font>
    <font>
      <name val="Arial"/>
      <b val="1"/>
      <color rgb="FF2A4337"/>
      <sz val="15"/>
    </font>
    <font>
      <name val="Arial"/>
      <i val="1"/>
      <color rgb="FF5E5A55"/>
      <sz val="9"/>
    </font>
    <font>
      <name val="Carlito"/>
      <b val="1"/>
      <color rgb="FF2A4337"/>
      <sz val="11"/>
    </font>
    <font>
      <name val="Arial"/>
      <color rgb="FF252321"/>
      <sz val="11"/>
    </font>
    <font>
      <name val="Carlito"/>
      <sz val="11"/>
    </font>
    <font>
      <name val="Arial"/>
      <b val="1"/>
      <color rgb="FFFFFFFF"/>
      <sz val="9"/>
    </font>
    <font>
      <name val="Arial"/>
      <color rgb="FF252321"/>
      <sz val="9"/>
    </font>
    <font>
      <name val="Arial"/>
      <color rgb="FF8B5E3C"/>
      <sz val="11"/>
    </font>
  </fonts>
  <fills count="6">
    <fill>
      <patternFill/>
    </fill>
    <fill>
      <patternFill patternType="gray125"/>
    </fill>
    <fill>
      <patternFill patternType="solid">
        <fgColor rgb="FFF8F5EF"/>
      </patternFill>
    </fill>
    <fill>
      <patternFill patternType="solid">
        <fgColor rgb="FFF3E6D5"/>
      </patternFill>
    </fill>
    <fill>
      <patternFill patternType="solid">
        <fgColor rgb="FF2A4337"/>
      </patternFill>
    </fill>
    <fill>
      <patternFill patternType="solid">
        <fgColor rgb="FFE9F2F8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B5E3C"/>
      </bottom>
      <diagonal/>
    </border>
    <border>
      <left style="thin">
        <color rgb="FF2A4337"/>
      </left>
      <right/>
      <top style="thin">
        <color rgb="FF2A4337"/>
      </top>
      <bottom style="thin">
        <color rgb="FF2A4337"/>
      </bottom>
      <diagonal/>
    </border>
    <border>
      <left/>
      <right/>
      <top style="thin">
        <color rgb="FF2A4337"/>
      </top>
      <bottom style="thin">
        <color rgb="FF2A4337"/>
      </bottom>
      <diagonal/>
    </border>
    <border>
      <left/>
      <right style="thin">
        <color rgb="FF2A4337"/>
      </right>
      <top style="thin">
        <color rgb="FF2A4337"/>
      </top>
      <bottom style="thin">
        <color rgb="FF2A4337"/>
      </bottom>
      <diagonal/>
    </border>
  </borders>
  <cellStyleXfs count="1">
    <xf numFmtId="0" fontId="5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4" borderId="2" applyAlignment="1" pivotButton="0" quotePrefix="0" xfId="0">
      <alignment vertical="center" wrapText="1"/>
    </xf>
    <xf numFmtId="0" fontId="6" fillId="4" borderId="3" applyAlignment="1" pivotButton="0" quotePrefix="0" xfId="0">
      <alignment vertical="center" wrapText="1"/>
    </xf>
    <xf numFmtId="0" fontId="6" fillId="4" borderId="4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164" fontId="7" fillId="5" borderId="0" applyAlignment="1" pivotButton="0" quotePrefix="0" xfId="0">
      <alignment vertical="center"/>
    </xf>
    <xf numFmtId="164" fontId="8" fillId="5" borderId="0" pivotButton="0" quotePrefix="0" xfId="0"/>
    <xf numFmtId="165" fontId="8" fillId="5" borderId="0" pivotButton="0" quotePrefix="0" xfId="0"/>
    <xf numFmtId="0" fontId="8" fillId="5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 outlineLevelRow="0"/>
  <cols>
    <col width="24" customWidth="1" min="1" max="1"/>
    <col width="88" customWidth="1" min="2" max="2"/>
  </cols>
  <sheetData>
    <row r="1" ht="23" customHeight="1">
      <c r="A1" s="1" t="inlineStr">
        <is>
          <t>June flash bridge — review copy</t>
        </is>
      </c>
      <c r="B1" s="14" t="n"/>
      <c r="C1" s="14" t="n"/>
      <c r="D1" s="14" t="n"/>
      <c r="E1" s="14" t="n"/>
      <c r="F1" s="14" t="n"/>
      <c r="G1" s="14" t="n"/>
    </row>
    <row r="2" ht="23" customHeight="1">
      <c r="A2" s="2" t="inlineStr">
        <is>
          <t>DC markup 7/2/26 6:43am | accounting close remains pre-WIP</t>
        </is>
      </c>
    </row>
    <row r="3"/>
    <row r="4"/>
    <row r="5">
      <c r="A5" s="3" t="inlineStr">
        <is>
          <t>Refresh</t>
        </is>
      </c>
      <c r="B5" s="4" t="inlineStr">
        <is>
          <t>Use Vista ERP for June posted P&amp;L and the BoardApproved FINAL2 workbook for June plan.</t>
        </is>
      </c>
    </row>
    <row r="6">
      <c r="A6" s="3" t="inlineStr">
        <is>
          <t>WIP</t>
        </is>
      </c>
      <c r="B6" s="4" t="inlineStr">
        <is>
          <t>Show posted revenue and the proposed WIP adjustment separately before arriving at pro-forma revenue.</t>
        </is>
      </c>
    </row>
    <row r="7">
      <c r="A7" s="3" t="inlineStr">
        <is>
          <t>Bridge</t>
        </is>
      </c>
      <c r="B7" s="4" t="inlineStr">
        <is>
          <t>Complete Revenue, Gross Profit and Operating Income actual/plan/variance rows.</t>
        </is>
      </c>
    </row>
    <row r="8">
      <c r="A8" s="3" t="inlineStr">
        <is>
          <t>Chart</t>
        </is>
      </c>
      <c r="B8" s="4" t="inlineStr">
        <is>
          <t>Add one clustered column chart comparing pro-forma actual and plan.</t>
        </is>
      </c>
    </row>
    <row r="9">
      <c r="A9" s="3" t="inlineStr">
        <is>
          <t>Sign convention</t>
        </is>
      </c>
      <c r="B9" s="4" t="inlineStr">
        <is>
          <t>Favorable revenue/profit variance is positive; unfavorable is negative.</t>
        </is>
      </c>
    </row>
    <row r="10">
      <c r="A10" s="3" t="inlineStr">
        <is>
          <t>Format</t>
        </is>
      </c>
      <c r="B10" s="4" t="inlineStr">
        <is>
          <t>Use dollars, percentages and source labels; do not paste screenshots.</t>
        </is>
      </c>
    </row>
    <row r="11">
      <c r="A11" s="3" t="inlineStr">
        <is>
          <t>Status</t>
        </is>
      </c>
      <c r="B11" s="4" t="inlineStr">
        <is>
          <t>WORKING — CFO review not complete.</t>
        </is>
      </c>
    </row>
    <row r="12">
      <c r="A12" s="3" t="inlineStr">
        <is>
          <t>Prior file</t>
        </is>
      </c>
      <c r="B12" s="4" t="inlineStr">
        <is>
          <t>FY26 rolling forecast_v12 is pre-WIP and is not authoritative for June posted actuals.</t>
        </is>
      </c>
    </row>
    <row r="13"/>
    <row r="14">
      <c r="A14" s="3" t="inlineStr">
        <is>
          <t>Control — source metrics</t>
        </is>
      </c>
      <c r="B14" s="5">
        <f>COUNTA('Source Pull'!A6:A10)</f>
        <v/>
      </c>
    </row>
    <row r="15">
      <c r="A15" s="3" t="inlineStr">
        <is>
          <t>Control — bridge rows</t>
        </is>
      </c>
      <c r="B15" s="5">
        <f>COUNTA('Variance Bridge'!A6:A8)</f>
        <v/>
      </c>
    </row>
    <row r="16">
      <c r="A16" s="3" t="inlineStr">
        <is>
          <t>Control — blank bridge cells</t>
        </is>
      </c>
      <c r="B16" s="5">
        <f>COUNTBLANK('Variance Bridge'!B6:G8)</f>
        <v/>
      </c>
    </row>
  </sheetData>
  <mergeCells count="2">
    <mergeCell ref="A2:G2"/>
    <mergeCell ref="A1:G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 outlineLevelRow="0"/>
  <cols>
    <col width="26" customWidth="1" min="1" max="1"/>
    <col width="18" customWidth="1" min="2" max="5"/>
    <col width="58" customWidth="1" min="6" max="6"/>
  </cols>
  <sheetData>
    <row r="1" ht="23" customHeight="1">
      <c r="A1" s="1" t="inlineStr">
        <is>
          <t>June flash source pull</t>
        </is>
      </c>
      <c r="B1" s="14" t="n"/>
      <c r="C1" s="14" t="n"/>
      <c r="D1" s="14" t="n"/>
      <c r="E1" s="14" t="n"/>
      <c r="F1" s="14" t="n"/>
    </row>
    <row r="2" ht="23" customHeight="1">
      <c r="A2" s="2" t="inlineStr">
        <is>
          <t>Blank blue cells require refresh from the named authoritative source</t>
        </is>
      </c>
    </row>
    <row r="3"/>
    <row r="4"/>
    <row r="5" ht="30" customHeight="1">
      <c r="A5" s="6" t="inlineStr">
        <is>
          <t>Metric</t>
        </is>
      </c>
      <c r="B5" s="7" t="inlineStr">
        <is>
          <t>Posted June</t>
        </is>
      </c>
      <c r="C5" s="7" t="inlineStr">
        <is>
          <t>Proposed WIP</t>
        </is>
      </c>
      <c r="D5" s="7" t="inlineStr">
        <is>
          <t>Pro-forma June</t>
        </is>
      </c>
      <c r="E5" s="7" t="inlineStr">
        <is>
          <t>June plan</t>
        </is>
      </c>
      <c r="F5" s="8" t="inlineStr">
        <is>
          <t>Source / note</t>
        </is>
      </c>
    </row>
    <row r="6">
      <c r="A6" s="9" t="inlineStr">
        <is>
          <t>Revenue</t>
        </is>
      </c>
      <c r="B6" s="10" t="n"/>
      <c r="C6" s="10" t="n"/>
      <c r="D6" s="10" t="n"/>
      <c r="E6" s="10" t="n"/>
      <c r="F6" s="9" t="inlineStr">
        <is>
          <t>Vista ERP P&amp;L + June WIP review + BoardApproved FINAL2</t>
        </is>
      </c>
    </row>
    <row r="7">
      <c r="A7" s="9" t="inlineStr">
        <is>
          <t>Cost of Revenue</t>
        </is>
      </c>
      <c r="B7" s="10" t="n"/>
      <c r="C7" s="10" t="n">
        <v>0</v>
      </c>
      <c r="D7" s="10" t="n"/>
      <c r="E7" s="10" t="n"/>
      <c r="F7" s="9" t="inlineStr">
        <is>
          <t>Vista ERP P&amp;L; no separate WIP cost entry in this close model</t>
        </is>
      </c>
    </row>
    <row r="8">
      <c r="A8" s="9" t="inlineStr">
        <is>
          <t>Gross Profit</t>
        </is>
      </c>
      <c r="B8" s="10" t="n"/>
      <c r="C8" s="10" t="n"/>
      <c r="D8" s="10" t="n"/>
      <c r="E8" s="10" t="n"/>
      <c r="F8" s="9" t="inlineStr">
        <is>
          <t>Formula</t>
        </is>
      </c>
    </row>
    <row r="9">
      <c r="A9" s="9" t="inlineStr">
        <is>
          <t>Operating Expense</t>
        </is>
      </c>
      <c r="B9" s="10" t="n"/>
      <c r="C9" s="10" t="n">
        <v>0</v>
      </c>
      <c r="D9" s="10" t="n"/>
      <c r="E9" s="10" t="n"/>
      <c r="F9" s="9" t="inlineStr">
        <is>
          <t>Vista ERP P&amp;L + BoardApproved FINAL2</t>
        </is>
      </c>
    </row>
    <row r="10">
      <c r="A10" s="9" t="inlineStr">
        <is>
          <t>Operating Income</t>
        </is>
      </c>
      <c r="B10" s="10" t="n"/>
      <c r="C10" s="10" t="n"/>
      <c r="D10" s="10" t="n"/>
      <c r="E10" s="10" t="n"/>
      <c r="F10" s="9" t="inlineStr">
        <is>
          <t>Formula</t>
        </is>
      </c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 outlineLevelRow="0"/>
  <cols>
    <col width="24" customWidth="1" min="1" max="1"/>
    <col width="18" customWidth="1" min="2" max="3"/>
    <col width="20" customWidth="1" min="4" max="4"/>
    <col width="18" customWidth="1" min="5" max="6"/>
    <col width="20" customWidth="1" min="7" max="7"/>
    <col width="54" customWidth="1" min="8" max="8"/>
  </cols>
  <sheetData>
    <row r="1" ht="23" customHeight="1">
      <c r="A1" s="1" t="inlineStr">
        <is>
          <t>June actual vs plan bridge</t>
        </is>
      </c>
      <c r="B1" s="14" t="n"/>
      <c r="C1" s="14" t="n"/>
      <c r="D1" s="14" t="n"/>
      <c r="E1" s="14" t="n"/>
      <c r="F1" s="14" t="n"/>
      <c r="G1" s="14" t="n"/>
      <c r="H1" s="14" t="n"/>
    </row>
    <row r="2" ht="23" customHeight="1">
      <c r="A2" s="2" t="inlineStr">
        <is>
          <t>Complete formula-driven rows and add one clustered-column chart</t>
        </is>
      </c>
    </row>
    <row r="3"/>
    <row r="4"/>
    <row r="5" ht="30" customHeight="1">
      <c r="A5" s="6" t="inlineStr">
        <is>
          <t>Metric</t>
        </is>
      </c>
      <c r="B5" s="7" t="inlineStr">
        <is>
          <t>Posted actual</t>
        </is>
      </c>
      <c r="C5" s="7" t="inlineStr">
        <is>
          <t>WIP adjustment</t>
        </is>
      </c>
      <c r="D5" s="7" t="inlineStr">
        <is>
          <t>Pro-forma actual</t>
        </is>
      </c>
      <c r="E5" s="7" t="inlineStr">
        <is>
          <t>Plan</t>
        </is>
      </c>
      <c r="F5" s="7" t="inlineStr">
        <is>
          <t>$ variance</t>
        </is>
      </c>
      <c r="G5" s="7" t="inlineStr">
        <is>
          <t>% / rate variance</t>
        </is>
      </c>
      <c r="H5" s="8" t="inlineStr">
        <is>
          <t>Interpretation</t>
        </is>
      </c>
    </row>
    <row r="6">
      <c r="A6" s="5" t="inlineStr">
        <is>
          <t>Revenue</t>
        </is>
      </c>
      <c r="B6" s="11" t="n"/>
      <c r="C6" s="11" t="n"/>
      <c r="D6" s="11" t="n"/>
      <c r="E6" s="11" t="n"/>
      <c r="F6" s="11" t="n"/>
      <c r="G6" s="12" t="n"/>
      <c r="H6" s="13" t="n"/>
    </row>
    <row r="7">
      <c r="A7" s="5" t="inlineStr">
        <is>
          <t>Gross Profit</t>
        </is>
      </c>
      <c r="B7" s="11" t="n"/>
      <c r="C7" s="11" t="n"/>
      <c r="D7" s="11" t="n"/>
      <c r="E7" s="11" t="n"/>
      <c r="F7" s="11" t="n"/>
      <c r="G7" s="12" t="n"/>
      <c r="H7" s="13" t="n"/>
    </row>
    <row r="8">
      <c r="A8" s="5" t="inlineStr">
        <is>
          <t>Operating Income</t>
        </is>
      </c>
      <c r="B8" s="11" t="n"/>
      <c r="C8" s="11" t="n"/>
      <c r="D8" s="11" t="n"/>
      <c r="E8" s="11" t="n"/>
      <c r="F8" s="11" t="n"/>
      <c r="G8" s="12" t="n"/>
      <c r="H8" s="13" t="n"/>
    </row>
  </sheetData>
  <mergeCells count="2">
    <mergeCell ref="A2:H2"/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Alder Ridge Finance</dc:creator>
  <dcterms:created xmlns:dcterms="http://purl.org/dc/terms/" xmlns:xsi="http://www.w3.org/2001/XMLSchema-instance" xsi:type="dcterms:W3CDTF">2026-07-01T00:00:00Z</dcterms:created>
  <dcterms:modified xmlns:dcterms="http://purl.org/dc/terms/" xmlns:xsi="http://www.w3.org/2001/XMLSchema-instance" xsi:type="dcterms:W3CDTF">2026-07-28T10:45:26Z</dcterms:modified>
  <cp:lastModifiedBy>Unknown</cp:lastModifiedBy>
</cp:coreProperties>
</file>