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Project Cases" sheetId="2" state="visible" r:id="rId2"/>
    <sheet xmlns:r="http://schemas.openxmlformats.org/officeDocument/2006/relationships" name="Long Range Plan" sheetId="3" state="visible" r:id="rId3"/>
    <sheet xmlns:r="http://schemas.openxmlformats.org/officeDocument/2006/relationships" name="Capital Capacity" sheetId="4" state="visible" r:id="rId4"/>
    <sheet xmlns:r="http://schemas.openxmlformats.org/officeDocument/2006/relationships" name="Data Checks" sheetId="5" state="visible" r:id="rId5"/>
  </sheets>
  <definedNames>
    <definedName name="_xlnm._FilterDatabase" localSheetId="1" hidden="1">'Project Cases'!$A$4:$M$215</definedName>
    <definedName name="_xlnm._FilterDatabase" localSheetId="2" hidden="1">'Long Range Plan'!$A$4:$M$128</definedName>
    <definedName name="_xlnm._FilterDatabase" localSheetId="3" hidden="1">'Capital Capacity'!$A$4:$M$104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8">
    <font>
      <name val="Carlito"/>
      <sz val="11"/>
    </font>
    <font>
      <name val="Aptos"/>
      <b val="1"/>
      <color rgb="FF252321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6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E2EFE6"/>
      </patternFill>
    </fill>
    <fill>
      <patternFill patternType="solid">
        <fgColor rgb="FF2A4337"/>
      </patternFill>
    </fill>
    <fill>
      <patternFill patternType="solid">
        <fgColor rgb="FF5A7669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0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vertical="center" wrapText="1"/>
    </xf>
    <xf numFmtId="0" fontId="5" fillId="5" borderId="2" applyAlignment="1" pivotButton="0" quotePrefix="0" xfId="0">
      <alignment vertical="center" wrapText="1"/>
    </xf>
    <xf numFmtId="0" fontId="5" fillId="5" borderId="3" applyAlignment="1" pivotButton="0" quotePrefix="0" xfId="0">
      <alignment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6" pivotButton="0" quotePrefix="0" xfId="0"/>
    <xf numFmtId="0" fontId="6" fillId="0" borderId="4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164" fontId="6" fillId="0" borderId="4" applyAlignment="1" pivotButton="0" quotePrefix="0" xfId="0">
      <alignment vertical="center"/>
    </xf>
    <xf numFmtId="164" fontId="6" fillId="0" borderId="5" applyAlignment="1" pivotButton="0" quotePrefix="0" xfId="0">
      <alignment vertical="center"/>
    </xf>
    <xf numFmtId="164" fontId="6" fillId="0" borderId="6" applyAlignment="1" pivotButton="0" quotePrefix="0" xfId="0">
      <alignment vertical="center"/>
    </xf>
    <xf numFmtId="165" fontId="6" fillId="0" borderId="4" applyAlignment="1" pivotButton="0" quotePrefix="0" xfId="0">
      <alignment vertical="center"/>
    </xf>
    <xf numFmtId="165" fontId="6" fillId="0" borderId="5" applyAlignment="1" pivotButton="0" quotePrefix="0" xfId="0">
      <alignment vertical="center"/>
    </xf>
    <xf numFmtId="165" fontId="6" fillId="0" borderId="6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2" borderId="5" applyAlignment="1" pivotButton="0" quotePrefix="0" xfId="0">
      <alignment vertical="center"/>
    </xf>
    <xf numFmtId="0" fontId="6" fillId="2" borderId="6" applyAlignment="1" pivotButton="0" quotePrefix="0" xfId="0">
      <alignment vertical="center"/>
    </xf>
    <xf numFmtId="0" fontId="7" fillId="0" borderId="0" pivotButton="0" quotePrefix="0" xfId="0"/>
    <xf numFmtId="0" fontId="7" fillId="0" borderId="7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3" borderId="7" pivotButton="0" quotePrefix="0" xfId="0"/>
    <xf numFmtId="0" fontId="7" fillId="3" borderId="8" pivotButton="0" quotePrefix="0" xfId="0"/>
    <xf numFmtId="0" fontId="7" fillId="3" borderId="9" pivotButton="0" quotePrefix="0" xfId="0"/>
    <xf numFmtId="164" fontId="6" fillId="0" borderId="4" applyAlignment="1" pivotButton="0" quotePrefix="0" xfId="0">
      <alignment vertical="center"/>
    </xf>
    <xf numFmtId="165" fontId="6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Current controller-reviewed version</t>
        </is>
      </c>
    </row>
    <row r="8">
      <c r="A8" s="2" t="inlineStr">
        <is>
          <t>Workbook status</t>
        </is>
      </c>
      <c r="B8" s="5" t="inlineStr">
        <is>
          <t>CURRENT • CONTROLLER REVIEW COMPLETE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Current management assumptions; posted actuals must be reconciled to Vista ERP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Project Cases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CAP-00001</t>
        </is>
      </c>
      <c r="B5" s="27" t="inlineStr">
        <is>
          <t>Create the FY27 capital-project portfolio model</t>
        </is>
      </c>
      <c r="C5" s="27" t="inlineStr">
        <is>
          <t>Capital project cases</t>
        </is>
      </c>
      <c r="D5" s="27" t="inlineStr">
        <is>
          <t>CP-01</t>
        </is>
      </c>
      <c r="E5" s="27" t="inlineStr">
        <is>
          <t>FY27 approval</t>
        </is>
      </c>
      <c r="F5" s="27" t="inlineStr">
        <is>
          <t>Approved case</t>
        </is>
      </c>
      <c r="G5" s="27" t="inlineStr">
        <is>
          <t>Initial capex</t>
        </is>
      </c>
      <c r="H5" s="46" t="n">
        <v>2100000</v>
      </c>
      <c r="I5" s="27" t="inlineStr"/>
      <c r="J5" s="27" t="inlineStr">
        <is>
          <t>USD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/>
    </row>
    <row r="6">
      <c r="A6" s="36" t="inlineStr">
        <is>
          <t>CAP-00002</t>
        </is>
      </c>
      <c r="B6" s="27" t="inlineStr">
        <is>
          <t>Create the FY27 capital-project portfolio model</t>
        </is>
      </c>
      <c r="C6" s="27" t="inlineStr">
        <is>
          <t>Capital project cases</t>
        </is>
      </c>
      <c r="D6" s="27" t="inlineStr">
        <is>
          <t>CP-01</t>
        </is>
      </c>
      <c r="E6" s="27" t="inlineStr">
        <is>
          <t>FY27 approval</t>
        </is>
      </c>
      <c r="F6" s="27" t="inlineStr">
        <is>
          <t>Approved case</t>
        </is>
      </c>
      <c r="G6" s="27" t="inlineStr">
        <is>
          <t>Debt-eligible basis</t>
        </is>
      </c>
      <c r="H6" s="46" t="n">
        <v>0</v>
      </c>
      <c r="I6" s="27" t="inlineStr"/>
      <c r="J6" s="27" t="inlineStr">
        <is>
          <t>USD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/>
    </row>
    <row r="7">
      <c r="A7" s="36" t="inlineStr">
        <is>
          <t>CAP-00003</t>
        </is>
      </c>
      <c r="B7" s="27" t="inlineStr">
        <is>
          <t>Create the FY27 capital-project portfolio model</t>
        </is>
      </c>
      <c r="C7" s="27" t="inlineStr">
        <is>
          <t>Capital project cases</t>
        </is>
      </c>
      <c r="D7" s="27" t="inlineStr">
        <is>
          <t>CP-01</t>
        </is>
      </c>
      <c r="E7" s="27" t="inlineStr">
        <is>
          <t>FY27 approval</t>
        </is>
      </c>
      <c r="F7" s="27" t="inlineStr">
        <is>
          <t>Approved case</t>
        </is>
      </c>
      <c r="G7" s="27" t="inlineStr">
        <is>
          <t>Technician capacity required</t>
        </is>
      </c>
      <c r="H7" s="46" t="n">
        <v>3</v>
      </c>
      <c r="I7" s="27" t="inlineStr"/>
      <c r="J7" s="27" t="inlineStr">
        <is>
          <t>count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CAP-00004</t>
        </is>
      </c>
      <c r="B8" s="27" t="inlineStr">
        <is>
          <t>Create the FY27 capital-project portfolio model</t>
        </is>
      </c>
      <c r="C8" s="27" t="inlineStr">
        <is>
          <t>Capital project cases</t>
        </is>
      </c>
      <c r="D8" s="27" t="inlineStr">
        <is>
          <t>CP-01</t>
        </is>
      </c>
      <c r="E8" s="27" t="inlineStr">
        <is>
          <t>FY27 approval</t>
        </is>
      </c>
      <c r="F8" s="27" t="inlineStr">
        <is>
          <t>Approved case</t>
        </is>
      </c>
      <c r="G8" s="27" t="inlineStr">
        <is>
          <t>Mandatory safety flag</t>
        </is>
      </c>
      <c r="H8" s="46" t="n">
        <v>1</v>
      </c>
      <c r="I8" s="27" t="inlineStr"/>
      <c r="J8" s="27" t="inlineStr">
        <is>
          <t>boolean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CAP-00005</t>
        </is>
      </c>
      <c r="B9" s="27" t="inlineStr">
        <is>
          <t>Create the FY27 capital-project portfolio model</t>
        </is>
      </c>
      <c r="C9" s="27" t="inlineStr">
        <is>
          <t>Capital project cases</t>
        </is>
      </c>
      <c r="D9" s="27" t="inlineStr">
        <is>
          <t>CP-01</t>
        </is>
      </c>
      <c r="E9" s="27" t="inlineStr">
        <is>
          <t>FY27 approval</t>
        </is>
      </c>
      <c r="F9" s="27" t="inlineStr">
        <is>
          <t>Approved case</t>
        </is>
      </c>
      <c r="G9" s="27" t="inlineStr">
        <is>
          <t>Annual incremental EBITDA</t>
        </is>
      </c>
      <c r="H9" s="46" t="n">
        <v>720000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CAP-00006</t>
        </is>
      </c>
      <c r="B10" s="27" t="inlineStr">
        <is>
          <t>Create the FY27 capital-project portfolio model</t>
        </is>
      </c>
      <c r="C10" s="27" t="inlineStr">
        <is>
          <t>Capital project cases</t>
        </is>
      </c>
      <c r="D10" s="27" t="inlineStr">
        <is>
          <t>CP-01</t>
        </is>
      </c>
      <c r="E10" s="27" t="inlineStr">
        <is>
          <t>FY27 approval</t>
        </is>
      </c>
      <c r="F10" s="27" t="inlineStr">
        <is>
          <t>Approved case</t>
        </is>
      </c>
      <c r="G10" s="27" t="inlineStr">
        <is>
          <t>Annual tax depreciation</t>
        </is>
      </c>
      <c r="H10" s="46" t="n">
        <v>140000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CAP-00007</t>
        </is>
      </c>
      <c r="B11" s="27" t="inlineStr">
        <is>
          <t>Create the FY27 capital-project portfolio model</t>
        </is>
      </c>
      <c r="C11" s="27" t="inlineStr">
        <is>
          <t>Capital project cases</t>
        </is>
      </c>
      <c r="D11" s="27" t="inlineStr">
        <is>
          <t>CP-01</t>
        </is>
      </c>
      <c r="E11" s="27" t="inlineStr">
        <is>
          <t>FY27 approval</t>
        </is>
      </c>
      <c r="F11" s="27" t="inlineStr">
        <is>
          <t>Approved case</t>
        </is>
      </c>
      <c r="G11" s="27" t="inlineStr">
        <is>
          <t>Opening working capital</t>
        </is>
      </c>
      <c r="H11" s="46" t="n">
        <v>90000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CAP-00008</t>
        </is>
      </c>
      <c r="B12" s="27" t="inlineStr">
        <is>
          <t>Create the FY27 capital-project portfolio model</t>
        </is>
      </c>
      <c r="C12" s="27" t="inlineStr">
        <is>
          <t>Capital project cases</t>
        </is>
      </c>
      <c r="D12" s="27" t="inlineStr">
        <is>
          <t>CP-01</t>
        </is>
      </c>
      <c r="E12" s="27" t="inlineStr">
        <is>
          <t>Year 1</t>
        </is>
      </c>
      <c r="F12" s="27" t="inlineStr">
        <is>
          <t>Approved case</t>
        </is>
      </c>
      <c r="G12" s="27" t="inlineStr">
        <is>
          <t>EBITDA realization factor</t>
        </is>
      </c>
      <c r="H12" s="46" t="n">
        <v>0.7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CAP-00009</t>
        </is>
      </c>
      <c r="B13" s="27" t="inlineStr">
        <is>
          <t>Create the FY27 capital-project portfolio model</t>
        </is>
      </c>
      <c r="C13" s="27" t="inlineStr">
        <is>
          <t>Capital project cases</t>
        </is>
      </c>
      <c r="D13" s="27" t="inlineStr">
        <is>
          <t>CP-01</t>
        </is>
      </c>
      <c r="E13" s="27" t="inlineStr">
        <is>
          <t>Year 1</t>
        </is>
      </c>
      <c r="F13" s="27" t="inlineStr">
        <is>
          <t>Approved case</t>
        </is>
      </c>
      <c r="G13" s="27" t="inlineStr">
        <is>
          <t>Downside realization factor</t>
        </is>
      </c>
      <c r="H13" s="46" t="n">
        <v>0.45</v>
      </c>
      <c r="I13" s="27" t="inlineStr"/>
      <c r="J13" s="27" t="inlineStr">
        <is>
          <t>decimal ratio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CAP-00010</t>
        </is>
      </c>
      <c r="B14" s="27" t="inlineStr">
        <is>
          <t>Create the FY27 capital-project portfolio model</t>
        </is>
      </c>
      <c r="C14" s="27" t="inlineStr">
        <is>
          <t>Capital project cases</t>
        </is>
      </c>
      <c r="D14" s="27" t="inlineStr">
        <is>
          <t>CP-01</t>
        </is>
      </c>
      <c r="E14" s="27" t="inlineStr">
        <is>
          <t>Year 2</t>
        </is>
      </c>
      <c r="F14" s="27" t="inlineStr">
        <is>
          <t>Approved case</t>
        </is>
      </c>
      <c r="G14" s="27" t="inlineStr">
        <is>
          <t>EBITDA realization factor</t>
        </is>
      </c>
      <c r="H14" s="46" t="n">
        <v>0.92</v>
      </c>
      <c r="I14" s="27" t="inlineStr"/>
      <c r="J14" s="27" t="inlineStr">
        <is>
          <t>decimal ratio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CAP-00011</t>
        </is>
      </c>
      <c r="B15" s="27" t="inlineStr">
        <is>
          <t>Create the FY27 capital-project portfolio model</t>
        </is>
      </c>
      <c r="C15" s="27" t="inlineStr">
        <is>
          <t>Capital project cases</t>
        </is>
      </c>
      <c r="D15" s="27" t="inlineStr">
        <is>
          <t>CP-01</t>
        </is>
      </c>
      <c r="E15" s="27" t="inlineStr">
        <is>
          <t>Year 2</t>
        </is>
      </c>
      <c r="F15" s="27" t="inlineStr">
        <is>
          <t>Approved case</t>
        </is>
      </c>
      <c r="G15" s="27" t="inlineStr">
        <is>
          <t>Downside realization factor</t>
        </is>
      </c>
      <c r="H15" s="46" t="n">
        <v>0.64</v>
      </c>
      <c r="I15" s="27" t="inlineStr"/>
      <c r="J15" s="27" t="inlineStr">
        <is>
          <t>decimal ratio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CAP-00012</t>
        </is>
      </c>
      <c r="B16" s="27" t="inlineStr">
        <is>
          <t>Create the FY27 capital-project portfolio model</t>
        </is>
      </c>
      <c r="C16" s="27" t="inlineStr">
        <is>
          <t>Capital project cases</t>
        </is>
      </c>
      <c r="D16" s="27" t="inlineStr">
        <is>
          <t>CP-01</t>
        </is>
      </c>
      <c r="E16" s="27" t="inlineStr">
        <is>
          <t>Year 3</t>
        </is>
      </c>
      <c r="F16" s="27" t="inlineStr">
        <is>
          <t>Approved case</t>
        </is>
      </c>
      <c r="G16" s="27" t="inlineStr">
        <is>
          <t>EBITDA realization factor</t>
        </is>
      </c>
      <c r="H16" s="46" t="n">
        <v>1</v>
      </c>
      <c r="I16" s="27" t="inlineStr"/>
      <c r="J16" s="27" t="inlineStr">
        <is>
          <t>decimal ratio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CAP-00013</t>
        </is>
      </c>
      <c r="B17" s="27" t="inlineStr">
        <is>
          <t>Create the FY27 capital-project portfolio model</t>
        </is>
      </c>
      <c r="C17" s="27" t="inlineStr">
        <is>
          <t>Capital project cases</t>
        </is>
      </c>
      <c r="D17" s="27" t="inlineStr">
        <is>
          <t>CP-01</t>
        </is>
      </c>
      <c r="E17" s="27" t="inlineStr">
        <is>
          <t>Year 3</t>
        </is>
      </c>
      <c r="F17" s="27" t="inlineStr">
        <is>
          <t>Approved case</t>
        </is>
      </c>
      <c r="G17" s="27" t="inlineStr">
        <is>
          <t>Downside realization factor</t>
        </is>
      </c>
      <c r="H17" s="46" t="n">
        <v>0.72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CAP-00014</t>
        </is>
      </c>
      <c r="B18" s="27" t="inlineStr">
        <is>
          <t>Create the FY27 capital-project portfolio model</t>
        </is>
      </c>
      <c r="C18" s="27" t="inlineStr">
        <is>
          <t>Capital project cases</t>
        </is>
      </c>
      <c r="D18" s="27" t="inlineStr">
        <is>
          <t>CP-01</t>
        </is>
      </c>
      <c r="E18" s="27" t="inlineStr">
        <is>
          <t>Year 4</t>
        </is>
      </c>
      <c r="F18" s="27" t="inlineStr">
        <is>
          <t>Approved case</t>
        </is>
      </c>
      <c r="G18" s="27" t="inlineStr">
        <is>
          <t>EBITDA realization factor</t>
        </is>
      </c>
      <c r="H18" s="46" t="n">
        <v>1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CAP-00015</t>
        </is>
      </c>
      <c r="B19" s="27" t="inlineStr">
        <is>
          <t>Create the FY27 capital-project portfolio model</t>
        </is>
      </c>
      <c r="C19" s="27" t="inlineStr">
        <is>
          <t>Capital project cases</t>
        </is>
      </c>
      <c r="D19" s="27" t="inlineStr">
        <is>
          <t>CP-01</t>
        </is>
      </c>
      <c r="E19" s="27" t="inlineStr">
        <is>
          <t>Year 4</t>
        </is>
      </c>
      <c r="F19" s="27" t="inlineStr">
        <is>
          <t>Approved case</t>
        </is>
      </c>
      <c r="G19" s="27" t="inlineStr">
        <is>
          <t>Downside realization factor</t>
        </is>
      </c>
      <c r="H19" s="46" t="n">
        <v>0.72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CAP-00016</t>
        </is>
      </c>
      <c r="B20" s="27" t="inlineStr">
        <is>
          <t>Create the FY27 capital-project portfolio model</t>
        </is>
      </c>
      <c r="C20" s="27" t="inlineStr">
        <is>
          <t>Capital project cases</t>
        </is>
      </c>
      <c r="D20" s="27" t="inlineStr">
        <is>
          <t>CP-01</t>
        </is>
      </c>
      <c r="E20" s="27" t="inlineStr">
        <is>
          <t>Year 5</t>
        </is>
      </c>
      <c r="F20" s="27" t="inlineStr">
        <is>
          <t>Approved case</t>
        </is>
      </c>
      <c r="G20" s="27" t="inlineStr">
        <is>
          <t>EBITDA realization factor</t>
        </is>
      </c>
      <c r="H20" s="46" t="n">
        <v>1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CAP-00017</t>
        </is>
      </c>
      <c r="B21" s="27" t="inlineStr">
        <is>
          <t>Create the FY27 capital-project portfolio model</t>
        </is>
      </c>
      <c r="C21" s="27" t="inlineStr">
        <is>
          <t>Capital project cases</t>
        </is>
      </c>
      <c r="D21" s="27" t="inlineStr">
        <is>
          <t>CP-01</t>
        </is>
      </c>
      <c r="E21" s="27" t="inlineStr">
        <is>
          <t>Year 5</t>
        </is>
      </c>
      <c r="F21" s="27" t="inlineStr">
        <is>
          <t>Approved case</t>
        </is>
      </c>
      <c r="G21" s="27" t="inlineStr">
        <is>
          <t>Downside realization factor</t>
        </is>
      </c>
      <c r="H21" s="46" t="n">
        <v>0.72</v>
      </c>
      <c r="I21" s="27" t="inlineStr"/>
      <c r="J21" s="27" t="inlineStr">
        <is>
          <t>decimal ratio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CAP-00018</t>
        </is>
      </c>
      <c r="B22" s="27" t="inlineStr">
        <is>
          <t>Create the FY27 capital-project portfolio model</t>
        </is>
      </c>
      <c r="C22" s="27" t="inlineStr">
        <is>
          <t>Capital project cases</t>
        </is>
      </c>
      <c r="D22" s="27" t="inlineStr">
        <is>
          <t>CP-01</t>
        </is>
      </c>
      <c r="E22" s="27" t="inlineStr">
        <is>
          <t>Year 5</t>
        </is>
      </c>
      <c r="F22" s="27" t="inlineStr">
        <is>
          <t>Approved case</t>
        </is>
      </c>
      <c r="G22" s="27" t="inlineStr">
        <is>
          <t>Terminal recovery percent of capex</t>
        </is>
      </c>
      <c r="H22" s="46" t="n">
        <v>0.18</v>
      </c>
      <c r="I22" s="27" t="inlineStr"/>
      <c r="J22" s="27" t="inlineStr">
        <is>
          <t>decimal ratio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CAP-00019</t>
        </is>
      </c>
      <c r="B23" s="27" t="inlineStr">
        <is>
          <t>Create the FY27 capital-project portfolio model</t>
        </is>
      </c>
      <c r="C23" s="27" t="inlineStr">
        <is>
          <t>Capital project cases</t>
        </is>
      </c>
      <c r="D23" s="27" t="inlineStr">
        <is>
          <t>CP-02</t>
        </is>
      </c>
      <c r="E23" s="27" t="inlineStr">
        <is>
          <t>FY27 approval</t>
        </is>
      </c>
      <c r="F23" s="27" t="inlineStr">
        <is>
          <t>Approved case</t>
        </is>
      </c>
      <c r="G23" s="27" t="inlineStr">
        <is>
          <t>Initial capex</t>
        </is>
      </c>
      <c r="H23" s="46" t="n">
        <v>3200000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CAP-00020</t>
        </is>
      </c>
      <c r="B24" s="27" t="inlineStr">
        <is>
          <t>Create the FY27 capital-project portfolio model</t>
        </is>
      </c>
      <c r="C24" s="27" t="inlineStr">
        <is>
          <t>Capital project cases</t>
        </is>
      </c>
      <c r="D24" s="27" t="inlineStr">
        <is>
          <t>CP-02</t>
        </is>
      </c>
      <c r="E24" s="27" t="inlineStr">
        <is>
          <t>FY27 approval</t>
        </is>
      </c>
      <c r="F24" s="27" t="inlineStr">
        <is>
          <t>Approved case</t>
        </is>
      </c>
      <c r="G24" s="27" t="inlineStr">
        <is>
          <t>Debt-eligible basis</t>
        </is>
      </c>
      <c r="H24" s="46" t="n">
        <v>2400</v>
      </c>
      <c r="I24" s="27" t="inlineStr"/>
      <c r="J24" s="27" t="inlineStr">
        <is>
          <t>USD thousands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CAP-00021</t>
        </is>
      </c>
      <c r="B25" s="27" t="inlineStr">
        <is>
          <t>Create the FY27 capital-project portfolio model</t>
        </is>
      </c>
      <c r="C25" s="27" t="inlineStr">
        <is>
          <t>Capital project cases</t>
        </is>
      </c>
      <c r="D25" s="27" t="inlineStr">
        <is>
          <t>CP-02</t>
        </is>
      </c>
      <c r="E25" s="27" t="inlineStr">
        <is>
          <t>FY27 approval</t>
        </is>
      </c>
      <c r="F25" s="27" t="inlineStr">
        <is>
          <t>Approved case</t>
        </is>
      </c>
      <c r="G25" s="27" t="inlineStr">
        <is>
          <t>Technician capacity required</t>
        </is>
      </c>
      <c r="H25" s="46" t="n">
        <v>5</v>
      </c>
      <c r="I25" s="27" t="inlineStr"/>
      <c r="J25" s="27" t="inlineStr">
        <is>
          <t>count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CAP-00022</t>
        </is>
      </c>
      <c r="B26" s="27" t="inlineStr">
        <is>
          <t>Create the FY27 capital-project portfolio model</t>
        </is>
      </c>
      <c r="C26" s="27" t="inlineStr">
        <is>
          <t>Capital project cases</t>
        </is>
      </c>
      <c r="D26" s="27" t="inlineStr">
        <is>
          <t>CP-02</t>
        </is>
      </c>
      <c r="E26" s="27" t="inlineStr">
        <is>
          <t>FY27 approval</t>
        </is>
      </c>
      <c r="F26" s="27" t="inlineStr">
        <is>
          <t>Approved case</t>
        </is>
      </c>
      <c r="G26" s="27" t="inlineStr">
        <is>
          <t>Mandatory safety flag</t>
        </is>
      </c>
      <c r="H26" s="46" t="n">
        <v>0</v>
      </c>
      <c r="I26" s="27" t="inlineStr"/>
      <c r="J26" s="27" t="inlineStr">
        <is>
          <t>boolean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CAP-00023</t>
        </is>
      </c>
      <c r="B27" s="27" t="inlineStr">
        <is>
          <t>Create the FY27 capital-project portfolio model</t>
        </is>
      </c>
      <c r="C27" s="27" t="inlineStr">
        <is>
          <t>Capital project cases</t>
        </is>
      </c>
      <c r="D27" s="27" t="inlineStr">
        <is>
          <t>CP-02</t>
        </is>
      </c>
      <c r="E27" s="27" t="inlineStr">
        <is>
          <t>FY27 approval</t>
        </is>
      </c>
      <c r="F27" s="27" t="inlineStr">
        <is>
          <t>Approved case</t>
        </is>
      </c>
      <c r="G27" s="27" t="inlineStr">
        <is>
          <t>Annual incremental EBITDA</t>
        </is>
      </c>
      <c r="H27" s="46" t="n">
        <v>940000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CAP-00024</t>
        </is>
      </c>
      <c r="B28" s="27" t="inlineStr">
        <is>
          <t>Create the FY27 capital-project portfolio model</t>
        </is>
      </c>
      <c r="C28" s="27" t="inlineStr">
        <is>
          <t>Capital project cases</t>
        </is>
      </c>
      <c r="D28" s="27" t="inlineStr">
        <is>
          <t>CP-02</t>
        </is>
      </c>
      <c r="E28" s="27" t="inlineStr">
        <is>
          <t>FY27 approval</t>
        </is>
      </c>
      <c r="F28" s="27" t="inlineStr">
        <is>
          <t>Approved case</t>
        </is>
      </c>
      <c r="G28" s="27" t="inlineStr">
        <is>
          <t>Annual tax depreciation</t>
        </is>
      </c>
      <c r="H28" s="46" t="n">
        <v>210</v>
      </c>
      <c r="I28" s="27" t="inlineStr"/>
      <c r="J28" s="27" t="inlineStr">
        <is>
          <t>USD thousands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CAP-00025</t>
        </is>
      </c>
      <c r="B29" s="27" t="inlineStr">
        <is>
          <t>Create the FY27 capital-project portfolio model</t>
        </is>
      </c>
      <c r="C29" s="27" t="inlineStr">
        <is>
          <t>Capital project cases</t>
        </is>
      </c>
      <c r="D29" s="27" t="inlineStr">
        <is>
          <t>CP-02</t>
        </is>
      </c>
      <c r="E29" s="27" t="inlineStr">
        <is>
          <t>FY27 approval</t>
        </is>
      </c>
      <c r="F29" s="27" t="inlineStr">
        <is>
          <t>Approved case</t>
        </is>
      </c>
      <c r="G29" s="27" t="inlineStr">
        <is>
          <t>Opening working capital</t>
        </is>
      </c>
      <c r="H29" s="46" t="n">
        <v>160000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CAP-00026</t>
        </is>
      </c>
      <c r="B30" s="27" t="inlineStr">
        <is>
          <t>Create the FY27 capital-project portfolio model</t>
        </is>
      </c>
      <c r="C30" s="27" t="inlineStr">
        <is>
          <t>Capital project cases</t>
        </is>
      </c>
      <c r="D30" s="27" t="inlineStr">
        <is>
          <t>CP-02</t>
        </is>
      </c>
      <c r="E30" s="27" t="inlineStr">
        <is>
          <t>Year 1</t>
        </is>
      </c>
      <c r="F30" s="27" t="inlineStr">
        <is>
          <t>Approved case</t>
        </is>
      </c>
      <c r="G30" s="27" t="inlineStr">
        <is>
          <t>EBITDA realization factor</t>
        </is>
      </c>
      <c r="H30" s="46" t="n">
        <v>0.7</v>
      </c>
      <c r="I30" s="27" t="inlineStr"/>
      <c r="J30" s="27" t="inlineStr">
        <is>
          <t>decimal ratio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CAP-00027</t>
        </is>
      </c>
      <c r="B31" s="27" t="inlineStr">
        <is>
          <t>Create the FY27 capital-project portfolio model</t>
        </is>
      </c>
      <c r="C31" s="27" t="inlineStr">
        <is>
          <t>Capital project cases</t>
        </is>
      </c>
      <c r="D31" s="27" t="inlineStr">
        <is>
          <t>CP-02</t>
        </is>
      </c>
      <c r="E31" s="27" t="inlineStr">
        <is>
          <t>Year 1</t>
        </is>
      </c>
      <c r="F31" s="27" t="inlineStr">
        <is>
          <t>Approved case</t>
        </is>
      </c>
      <c r="G31" s="27" t="inlineStr">
        <is>
          <t>Downside realization factor</t>
        </is>
      </c>
      <c r="H31" s="46" t="n">
        <v>0.45</v>
      </c>
      <c r="I31" s="27" t="inlineStr"/>
      <c r="J31" s="27" t="inlineStr">
        <is>
          <t>decimal ratio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CAP-00028</t>
        </is>
      </c>
      <c r="B32" s="27" t="inlineStr">
        <is>
          <t>Create the FY27 capital-project portfolio model</t>
        </is>
      </c>
      <c r="C32" s="27" t="inlineStr">
        <is>
          <t>Capital project cases</t>
        </is>
      </c>
      <c r="D32" s="27" t="inlineStr">
        <is>
          <t>CP-02</t>
        </is>
      </c>
      <c r="E32" s="27" t="inlineStr">
        <is>
          <t>Year 2</t>
        </is>
      </c>
      <c r="F32" s="27" t="inlineStr">
        <is>
          <t>Approved case</t>
        </is>
      </c>
      <c r="G32" s="27" t="inlineStr">
        <is>
          <t>EBITDA realization factor</t>
        </is>
      </c>
      <c r="H32" s="46" t="n">
        <v>0.92</v>
      </c>
      <c r="I32" s="27" t="inlineStr"/>
      <c r="J32" s="27" t="inlineStr">
        <is>
          <t>decimal ratio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CAP-00029</t>
        </is>
      </c>
      <c r="B33" s="27" t="inlineStr">
        <is>
          <t>Create the FY27 capital-project portfolio model</t>
        </is>
      </c>
      <c r="C33" s="27" t="inlineStr">
        <is>
          <t>Capital project cases</t>
        </is>
      </c>
      <c r="D33" s="27" t="inlineStr">
        <is>
          <t>CP-02</t>
        </is>
      </c>
      <c r="E33" s="27" t="inlineStr">
        <is>
          <t>Year 2</t>
        </is>
      </c>
      <c r="F33" s="27" t="inlineStr">
        <is>
          <t>Approved case</t>
        </is>
      </c>
      <c r="G33" s="27" t="inlineStr">
        <is>
          <t>Downside realization factor</t>
        </is>
      </c>
      <c r="H33" s="46" t="n">
        <v>0.64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CAP-00030</t>
        </is>
      </c>
      <c r="B34" s="27" t="inlineStr">
        <is>
          <t>Create the FY27 capital-project portfolio model</t>
        </is>
      </c>
      <c r="C34" s="27" t="inlineStr">
        <is>
          <t>Capital project cases</t>
        </is>
      </c>
      <c r="D34" s="27" t="inlineStr">
        <is>
          <t>CP-02</t>
        </is>
      </c>
      <c r="E34" s="27" t="inlineStr">
        <is>
          <t>Year 3</t>
        </is>
      </c>
      <c r="F34" s="27" t="inlineStr">
        <is>
          <t>Approved case</t>
        </is>
      </c>
      <c r="G34" s="27" t="inlineStr">
        <is>
          <t>EBITDA realization factor</t>
        </is>
      </c>
      <c r="H34" s="46" t="n">
        <v>1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CAP-00031</t>
        </is>
      </c>
      <c r="B35" s="27" t="inlineStr">
        <is>
          <t>Create the FY27 capital-project portfolio model</t>
        </is>
      </c>
      <c r="C35" s="27" t="inlineStr">
        <is>
          <t>Capital project cases</t>
        </is>
      </c>
      <c r="D35" s="27" t="inlineStr">
        <is>
          <t>CP-02</t>
        </is>
      </c>
      <c r="E35" s="27" t="inlineStr">
        <is>
          <t>Year 3</t>
        </is>
      </c>
      <c r="F35" s="27" t="inlineStr">
        <is>
          <t>Approved case</t>
        </is>
      </c>
      <c r="G35" s="27" t="inlineStr">
        <is>
          <t>Downside realization factor</t>
        </is>
      </c>
      <c r="H35" s="46" t="n">
        <v>0.72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CAP-00032</t>
        </is>
      </c>
      <c r="B36" s="27" t="inlineStr">
        <is>
          <t>Create the FY27 capital-project portfolio model</t>
        </is>
      </c>
      <c r="C36" s="27" t="inlineStr">
        <is>
          <t>Capital project cases</t>
        </is>
      </c>
      <c r="D36" s="27" t="inlineStr">
        <is>
          <t>CP-02</t>
        </is>
      </c>
      <c r="E36" s="27" t="inlineStr">
        <is>
          <t>Year 4</t>
        </is>
      </c>
      <c r="F36" s="27" t="inlineStr">
        <is>
          <t>Approved case</t>
        </is>
      </c>
      <c r="G36" s="27" t="inlineStr">
        <is>
          <t>EBITDA realization factor</t>
        </is>
      </c>
      <c r="H36" s="46" t="n">
        <v>1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CAP-00033</t>
        </is>
      </c>
      <c r="B37" s="27" t="inlineStr">
        <is>
          <t>Create the FY27 capital-project portfolio model</t>
        </is>
      </c>
      <c r="C37" s="27" t="inlineStr">
        <is>
          <t>Capital project cases</t>
        </is>
      </c>
      <c r="D37" s="27" t="inlineStr">
        <is>
          <t>CP-02</t>
        </is>
      </c>
      <c r="E37" s="27" t="inlineStr">
        <is>
          <t>Year 4</t>
        </is>
      </c>
      <c r="F37" s="27" t="inlineStr">
        <is>
          <t>Approved case</t>
        </is>
      </c>
      <c r="G37" s="27" t="inlineStr">
        <is>
          <t>Downside realization factor</t>
        </is>
      </c>
      <c r="H37" s="46" t="n">
        <v>0.72</v>
      </c>
      <c r="I37" s="27" t="inlineStr"/>
      <c r="J37" s="27" t="inlineStr">
        <is>
          <t>decimal ratio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CAP-00034</t>
        </is>
      </c>
      <c r="B38" s="27" t="inlineStr">
        <is>
          <t>Create the FY27 capital-project portfolio model</t>
        </is>
      </c>
      <c r="C38" s="27" t="inlineStr">
        <is>
          <t>Capital project cases</t>
        </is>
      </c>
      <c r="D38" s="27" t="inlineStr">
        <is>
          <t>CP-02</t>
        </is>
      </c>
      <c r="E38" s="27" t="inlineStr">
        <is>
          <t>Year 5</t>
        </is>
      </c>
      <c r="F38" s="27" t="inlineStr">
        <is>
          <t>Approved case</t>
        </is>
      </c>
      <c r="G38" s="27" t="inlineStr">
        <is>
          <t>EBITDA realization factor</t>
        </is>
      </c>
      <c r="H38" s="46" t="n">
        <v>1</v>
      </c>
      <c r="I38" s="27" t="inlineStr"/>
      <c r="J38" s="27" t="inlineStr">
        <is>
          <t>decimal ratio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CAP-00035</t>
        </is>
      </c>
      <c r="B39" s="27" t="inlineStr">
        <is>
          <t>Create the FY27 capital-project portfolio model</t>
        </is>
      </c>
      <c r="C39" s="27" t="inlineStr">
        <is>
          <t>Capital project cases</t>
        </is>
      </c>
      <c r="D39" s="27" t="inlineStr">
        <is>
          <t>CP-02</t>
        </is>
      </c>
      <c r="E39" s="27" t="inlineStr">
        <is>
          <t>Year 5</t>
        </is>
      </c>
      <c r="F39" s="27" t="inlineStr">
        <is>
          <t>Approved case</t>
        </is>
      </c>
      <c r="G39" s="27" t="inlineStr">
        <is>
          <t>Downside realization factor</t>
        </is>
      </c>
      <c r="H39" s="46" t="n">
        <v>0.72</v>
      </c>
      <c r="I39" s="27" t="inlineStr"/>
      <c r="J39" s="27" t="inlineStr">
        <is>
          <t>decimal ratio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CAP-00036</t>
        </is>
      </c>
      <c r="B40" s="27" t="inlineStr">
        <is>
          <t>Create the FY27 capital-project portfolio model</t>
        </is>
      </c>
      <c r="C40" s="27" t="inlineStr">
        <is>
          <t>Capital project cases</t>
        </is>
      </c>
      <c r="D40" s="27" t="inlineStr">
        <is>
          <t>CP-02</t>
        </is>
      </c>
      <c r="E40" s="27" t="inlineStr">
        <is>
          <t>Year 5</t>
        </is>
      </c>
      <c r="F40" s="27" t="inlineStr">
        <is>
          <t>Approved case</t>
        </is>
      </c>
      <c r="G40" s="27" t="inlineStr">
        <is>
          <t>Terminal recovery percent of capex</t>
        </is>
      </c>
      <c r="H40" s="46" t="n">
        <v>0.18</v>
      </c>
      <c r="I40" s="27" t="inlineStr"/>
      <c r="J40" s="27" t="inlineStr">
        <is>
          <t>decimal ratio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CAP-00037</t>
        </is>
      </c>
      <c r="B41" s="27" t="inlineStr">
        <is>
          <t>Create the FY27 capital-project portfolio model</t>
        </is>
      </c>
      <c r="C41" s="27" t="inlineStr">
        <is>
          <t>Capital project cases</t>
        </is>
      </c>
      <c r="D41" s="27" t="inlineStr">
        <is>
          <t>CP-03</t>
        </is>
      </c>
      <c r="E41" s="27" t="inlineStr">
        <is>
          <t>FY27 approval</t>
        </is>
      </c>
      <c r="F41" s="27" t="inlineStr">
        <is>
          <t>Approved case</t>
        </is>
      </c>
      <c r="G41" s="27" t="inlineStr">
        <is>
          <t>Initial capex</t>
        </is>
      </c>
      <c r="H41" s="46" t="n">
        <v>1650000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CAP-00038</t>
        </is>
      </c>
      <c r="B42" s="27" t="inlineStr">
        <is>
          <t>Create the FY27 capital-project portfolio model</t>
        </is>
      </c>
      <c r="C42" s="27" t="inlineStr">
        <is>
          <t>Capital project cases</t>
        </is>
      </c>
      <c r="D42" s="27" t="inlineStr">
        <is>
          <t>CP-03</t>
        </is>
      </c>
      <c r="E42" s="27" t="inlineStr">
        <is>
          <t>FY27 approval</t>
        </is>
      </c>
      <c r="F42" s="27" t="inlineStr">
        <is>
          <t>Approved case</t>
        </is>
      </c>
      <c r="G42" s="27" t="inlineStr">
        <is>
          <t>Debt-eligible basis</t>
        </is>
      </c>
      <c r="H42" s="46" t="n">
        <v>1200000</v>
      </c>
      <c r="I42" s="27" t="inlineStr"/>
      <c r="J42" s="27" t="inlineStr">
        <is>
          <t>USD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CAP-00039</t>
        </is>
      </c>
      <c r="B43" s="27" t="inlineStr">
        <is>
          <t>Create the FY27 capital-project portfolio model</t>
        </is>
      </c>
      <c r="C43" s="27" t="inlineStr">
        <is>
          <t>Capital project cases</t>
        </is>
      </c>
      <c r="D43" s="27" t="inlineStr">
        <is>
          <t>CP-03</t>
        </is>
      </c>
      <c r="E43" s="27" t="inlineStr">
        <is>
          <t>FY27 approval</t>
        </is>
      </c>
      <c r="F43" s="27" t="inlineStr">
        <is>
          <t>Approved case</t>
        </is>
      </c>
      <c r="G43" s="27" t="inlineStr">
        <is>
          <t>Technician capacity required</t>
        </is>
      </c>
      <c r="H43" s="46" t="n">
        <v>2</v>
      </c>
      <c r="I43" s="27" t="inlineStr"/>
      <c r="J43" s="27" t="inlineStr">
        <is>
          <t>count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CAP-00040</t>
        </is>
      </c>
      <c r="B44" s="27" t="inlineStr">
        <is>
          <t>Create the FY27 capital-project portfolio model</t>
        </is>
      </c>
      <c r="C44" s="27" t="inlineStr">
        <is>
          <t>Capital project cases</t>
        </is>
      </c>
      <c r="D44" s="27" t="inlineStr">
        <is>
          <t>CP-03</t>
        </is>
      </c>
      <c r="E44" s="27" t="inlineStr">
        <is>
          <t>FY27 approval</t>
        </is>
      </c>
      <c r="F44" s="27" t="inlineStr">
        <is>
          <t>Approved case</t>
        </is>
      </c>
      <c r="G44" s="27" t="inlineStr">
        <is>
          <t>Mandatory safety flag</t>
        </is>
      </c>
      <c r="H44" s="46" t="n">
        <v>0</v>
      </c>
      <c r="I44" s="27" t="inlineStr"/>
      <c r="J44" s="27" t="inlineStr">
        <is>
          <t>boolean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CAP-00041</t>
        </is>
      </c>
      <c r="B45" s="27" t="inlineStr">
        <is>
          <t>Create the FY27 capital-project portfolio model</t>
        </is>
      </c>
      <c r="C45" s="27" t="inlineStr">
        <is>
          <t>Capital project cases</t>
        </is>
      </c>
      <c r="D45" s="27" t="inlineStr">
        <is>
          <t>CP-03</t>
        </is>
      </c>
      <c r="E45" s="27" t="inlineStr">
        <is>
          <t>FY27 approval</t>
        </is>
      </c>
      <c r="F45" s="27" t="inlineStr">
        <is>
          <t>Approved case</t>
        </is>
      </c>
      <c r="G45" s="27" t="inlineStr">
        <is>
          <t>Annual incremental EBITDA</t>
        </is>
      </c>
      <c r="H45" s="46" t="n">
        <v>610000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CAP-00042</t>
        </is>
      </c>
      <c r="B46" s="27" t="inlineStr">
        <is>
          <t>Create the FY27 capital-project portfolio model</t>
        </is>
      </c>
      <c r="C46" s="27" t="inlineStr">
        <is>
          <t>Capital project cases</t>
        </is>
      </c>
      <c r="D46" s="27" t="inlineStr">
        <is>
          <t>CP-03</t>
        </is>
      </c>
      <c r="E46" s="27" t="inlineStr">
        <is>
          <t>FY27 approval</t>
        </is>
      </c>
      <c r="F46" s="27" t="inlineStr">
        <is>
          <t>Approved case</t>
        </is>
      </c>
      <c r="G46" s="27" t="inlineStr">
        <is>
          <t>Annual tax depreciation</t>
        </is>
      </c>
      <c r="H46" s="46" t="n">
        <v>95000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CAP-00043</t>
        </is>
      </c>
      <c r="B47" s="27" t="inlineStr">
        <is>
          <t>Create the FY27 capital-project portfolio model</t>
        </is>
      </c>
      <c r="C47" s="27" t="inlineStr">
        <is>
          <t>Capital project cases</t>
        </is>
      </c>
      <c r="D47" s="27" t="inlineStr">
        <is>
          <t>CP-03</t>
        </is>
      </c>
      <c r="E47" s="27" t="inlineStr">
        <is>
          <t>FY27 approval</t>
        </is>
      </c>
      <c r="F47" s="27" t="inlineStr">
        <is>
          <t>Approved case</t>
        </is>
      </c>
      <c r="G47" s="27" t="inlineStr">
        <is>
          <t>Opening working capital</t>
        </is>
      </c>
      <c r="H47" s="46" t="n">
        <v>80000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CAP-00044</t>
        </is>
      </c>
      <c r="B48" s="27" t="inlineStr">
        <is>
          <t>Create the FY27 capital-project portfolio model</t>
        </is>
      </c>
      <c r="C48" s="27" t="inlineStr">
        <is>
          <t>Capital project cases</t>
        </is>
      </c>
      <c r="D48" s="27" t="inlineStr">
        <is>
          <t>CP-03</t>
        </is>
      </c>
      <c r="E48" s="27" t="inlineStr">
        <is>
          <t>Year 1</t>
        </is>
      </c>
      <c r="F48" s="27" t="inlineStr">
        <is>
          <t>Approved case</t>
        </is>
      </c>
      <c r="G48" s="27" t="inlineStr">
        <is>
          <t>EBITDA realization factor</t>
        </is>
      </c>
      <c r="H48" s="46" t="n">
        <v>0.7</v>
      </c>
      <c r="I48" s="27" t="inlineStr"/>
      <c r="J48" s="27" t="inlineStr">
        <is>
          <t>decimal ratio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CAP-00045</t>
        </is>
      </c>
      <c r="B49" s="27" t="inlineStr">
        <is>
          <t>Create the FY27 capital-project portfolio model</t>
        </is>
      </c>
      <c r="C49" s="27" t="inlineStr">
        <is>
          <t>Capital project cases</t>
        </is>
      </c>
      <c r="D49" s="27" t="inlineStr">
        <is>
          <t>CP-03</t>
        </is>
      </c>
      <c r="E49" s="27" t="inlineStr">
        <is>
          <t>Year 1</t>
        </is>
      </c>
      <c r="F49" s="27" t="inlineStr">
        <is>
          <t>Approved case</t>
        </is>
      </c>
      <c r="G49" s="27" t="inlineStr">
        <is>
          <t>Downside realization factor</t>
        </is>
      </c>
      <c r="H49" s="46" t="n">
        <v>0.45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CAP-00046</t>
        </is>
      </c>
      <c r="B50" s="27" t="inlineStr">
        <is>
          <t>Create the FY27 capital-project portfolio model</t>
        </is>
      </c>
      <c r="C50" s="27" t="inlineStr">
        <is>
          <t>Capital project cases</t>
        </is>
      </c>
      <c r="D50" s="27" t="inlineStr">
        <is>
          <t>CP-03</t>
        </is>
      </c>
      <c r="E50" s="27" t="inlineStr">
        <is>
          <t>Year 2</t>
        </is>
      </c>
      <c r="F50" s="27" t="inlineStr">
        <is>
          <t>Approved case</t>
        </is>
      </c>
      <c r="G50" s="27" t="inlineStr">
        <is>
          <t>EBITDA realization factor</t>
        </is>
      </c>
      <c r="H50" s="46" t="n">
        <v>0.92</v>
      </c>
      <c r="I50" s="27" t="inlineStr"/>
      <c r="J50" s="27" t="inlineStr">
        <is>
          <t>decimal ratio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CAP-00047</t>
        </is>
      </c>
      <c r="B51" s="27" t="inlineStr">
        <is>
          <t>Create the FY27 capital-project portfolio model</t>
        </is>
      </c>
      <c r="C51" s="27" t="inlineStr">
        <is>
          <t>Capital project cases</t>
        </is>
      </c>
      <c r="D51" s="27" t="inlineStr">
        <is>
          <t>CP-03</t>
        </is>
      </c>
      <c r="E51" s="27" t="inlineStr">
        <is>
          <t>Year 2</t>
        </is>
      </c>
      <c r="F51" s="27" t="inlineStr">
        <is>
          <t>Approved case</t>
        </is>
      </c>
      <c r="G51" s="27" t="inlineStr">
        <is>
          <t>Downside realization factor</t>
        </is>
      </c>
      <c r="H51" s="46" t="n">
        <v>0.64</v>
      </c>
      <c r="I51" s="27" t="inlineStr"/>
      <c r="J51" s="27" t="inlineStr">
        <is>
          <t>decimal ratio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CAP-00048</t>
        </is>
      </c>
      <c r="B52" s="27" t="inlineStr">
        <is>
          <t>Create the FY27 capital-project portfolio model</t>
        </is>
      </c>
      <c r="C52" s="27" t="inlineStr">
        <is>
          <t>Capital project cases</t>
        </is>
      </c>
      <c r="D52" s="27" t="inlineStr">
        <is>
          <t>CP-03</t>
        </is>
      </c>
      <c r="E52" s="27" t="inlineStr">
        <is>
          <t>Year 3</t>
        </is>
      </c>
      <c r="F52" s="27" t="inlineStr">
        <is>
          <t>Approved case</t>
        </is>
      </c>
      <c r="G52" s="27" t="inlineStr">
        <is>
          <t>EBITDA realization factor</t>
        </is>
      </c>
      <c r="H52" s="46" t="n">
        <v>1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CAP-00049</t>
        </is>
      </c>
      <c r="B53" s="27" t="inlineStr">
        <is>
          <t>Create the FY27 capital-project portfolio model</t>
        </is>
      </c>
      <c r="C53" s="27" t="inlineStr">
        <is>
          <t>Capital project cases</t>
        </is>
      </c>
      <c r="D53" s="27" t="inlineStr">
        <is>
          <t>CP-03</t>
        </is>
      </c>
      <c r="E53" s="27" t="inlineStr">
        <is>
          <t>Year 3</t>
        </is>
      </c>
      <c r="F53" s="27" t="inlineStr">
        <is>
          <t>Approved case</t>
        </is>
      </c>
      <c r="G53" s="27" t="inlineStr">
        <is>
          <t>Downside realization factor</t>
        </is>
      </c>
      <c r="H53" s="46" t="n">
        <v>0.72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CAP-00050</t>
        </is>
      </c>
      <c r="B54" s="27" t="inlineStr">
        <is>
          <t>Create the FY27 capital-project portfolio model</t>
        </is>
      </c>
      <c r="C54" s="27" t="inlineStr">
        <is>
          <t>Capital project cases</t>
        </is>
      </c>
      <c r="D54" s="27" t="inlineStr">
        <is>
          <t>CP-03</t>
        </is>
      </c>
      <c r="E54" s="27" t="inlineStr">
        <is>
          <t>Year 4</t>
        </is>
      </c>
      <c r="F54" s="27" t="inlineStr">
        <is>
          <t>Approved case</t>
        </is>
      </c>
      <c r="G54" s="27" t="inlineStr">
        <is>
          <t>EBITDA realization factor</t>
        </is>
      </c>
      <c r="H54" s="46" t="n">
        <v>1</v>
      </c>
      <c r="I54" s="27" t="inlineStr"/>
      <c r="J54" s="27" t="inlineStr">
        <is>
          <t>decimal ratio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CAP-00051</t>
        </is>
      </c>
      <c r="B55" s="27" t="inlineStr">
        <is>
          <t>Create the FY27 capital-project portfolio model</t>
        </is>
      </c>
      <c r="C55" s="27" t="inlineStr">
        <is>
          <t>Capital project cases</t>
        </is>
      </c>
      <c r="D55" s="27" t="inlineStr">
        <is>
          <t>CP-03</t>
        </is>
      </c>
      <c r="E55" s="27" t="inlineStr">
        <is>
          <t>Year 4</t>
        </is>
      </c>
      <c r="F55" s="27" t="inlineStr">
        <is>
          <t>Approved case</t>
        </is>
      </c>
      <c r="G55" s="27" t="inlineStr">
        <is>
          <t>Downside realization factor</t>
        </is>
      </c>
      <c r="H55" s="46" t="n">
        <v>0.72</v>
      </c>
      <c r="I55" s="27" t="inlineStr"/>
      <c r="J55" s="27" t="inlineStr">
        <is>
          <t>decimal ratio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CAP-00052</t>
        </is>
      </c>
      <c r="B56" s="27" t="inlineStr">
        <is>
          <t>Create the FY27 capital-project portfolio model</t>
        </is>
      </c>
      <c r="C56" s="27" t="inlineStr">
        <is>
          <t>Capital project cases</t>
        </is>
      </c>
      <c r="D56" s="27" t="inlineStr">
        <is>
          <t>CP-03</t>
        </is>
      </c>
      <c r="E56" s="27" t="inlineStr">
        <is>
          <t>Year 5</t>
        </is>
      </c>
      <c r="F56" s="27" t="inlineStr">
        <is>
          <t>Approved case</t>
        </is>
      </c>
      <c r="G56" s="27" t="inlineStr">
        <is>
          <t>EBITDA realization factor</t>
        </is>
      </c>
      <c r="H56" s="46" t="n">
        <v>1</v>
      </c>
      <c r="I56" s="27" t="inlineStr"/>
      <c r="J56" s="27" t="inlineStr">
        <is>
          <t>decimal ratio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CAP-00053</t>
        </is>
      </c>
      <c r="B57" s="27" t="inlineStr">
        <is>
          <t>Create the FY27 capital-project portfolio model</t>
        </is>
      </c>
      <c r="C57" s="27" t="inlineStr">
        <is>
          <t>Capital project cases</t>
        </is>
      </c>
      <c r="D57" s="27" t="inlineStr">
        <is>
          <t>CP-03</t>
        </is>
      </c>
      <c r="E57" s="27" t="inlineStr">
        <is>
          <t>Year 5</t>
        </is>
      </c>
      <c r="F57" s="27" t="inlineStr">
        <is>
          <t>Approved case</t>
        </is>
      </c>
      <c r="G57" s="27" t="inlineStr">
        <is>
          <t>Downside realization factor</t>
        </is>
      </c>
      <c r="H57" s="46" t="n">
        <v>0.72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CAP-00054</t>
        </is>
      </c>
      <c r="B58" s="27" t="inlineStr">
        <is>
          <t>Create the FY27 capital-project portfolio model</t>
        </is>
      </c>
      <c r="C58" s="27" t="inlineStr">
        <is>
          <t>Capital project cases</t>
        </is>
      </c>
      <c r="D58" s="27" t="inlineStr">
        <is>
          <t>CP-03</t>
        </is>
      </c>
      <c r="E58" s="27" t="inlineStr">
        <is>
          <t>Year 5</t>
        </is>
      </c>
      <c r="F58" s="27" t="inlineStr">
        <is>
          <t>Approved case</t>
        </is>
      </c>
      <c r="G58" s="27" t="inlineStr">
        <is>
          <t>Terminal recovery percent of capex</t>
        </is>
      </c>
      <c r="H58" s="46" t="n">
        <v>0.18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CAP-00055</t>
        </is>
      </c>
      <c r="B59" s="27" t="inlineStr">
        <is>
          <t>Create the FY27 capital-project portfolio model</t>
        </is>
      </c>
      <c r="C59" s="27" t="inlineStr">
        <is>
          <t>Capital project cases</t>
        </is>
      </c>
      <c r="D59" s="27" t="inlineStr">
        <is>
          <t>CP-04</t>
        </is>
      </c>
      <c r="E59" s="27" t="inlineStr">
        <is>
          <t>FY27 approval</t>
        </is>
      </c>
      <c r="F59" s="27" t="inlineStr">
        <is>
          <t>Approved case</t>
        </is>
      </c>
      <c r="G59" s="27" t="inlineStr">
        <is>
          <t>Initial capex</t>
        </is>
      </c>
      <c r="H59" s="46" t="n">
        <v>2450000</v>
      </c>
      <c r="I59" s="27" t="inlineStr"/>
      <c r="J59" s="27" t="inlineStr">
        <is>
          <t>USD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CAP-00056</t>
        </is>
      </c>
      <c r="B60" s="27" t="inlineStr">
        <is>
          <t>Create the FY27 capital-project portfolio model</t>
        </is>
      </c>
      <c r="C60" s="27" t="inlineStr">
        <is>
          <t>Capital project cases</t>
        </is>
      </c>
      <c r="D60" s="27" t="inlineStr">
        <is>
          <t>CP-04</t>
        </is>
      </c>
      <c r="E60" s="27" t="inlineStr">
        <is>
          <t>FY27 approval</t>
        </is>
      </c>
      <c r="F60" s="27" t="inlineStr">
        <is>
          <t>Approved case</t>
        </is>
      </c>
      <c r="G60" s="27" t="inlineStr">
        <is>
          <t>Debt-eligible basis</t>
        </is>
      </c>
      <c r="H60" s="46" t="n">
        <v>1900</v>
      </c>
      <c r="I60" s="27" t="inlineStr"/>
      <c r="J60" s="27" t="inlineStr">
        <is>
          <t>USD thousands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CAP-00057</t>
        </is>
      </c>
      <c r="B61" s="27" t="inlineStr">
        <is>
          <t>Create the FY27 capital-project portfolio model</t>
        </is>
      </c>
      <c r="C61" s="27" t="inlineStr">
        <is>
          <t>Capital project cases</t>
        </is>
      </c>
      <c r="D61" s="27" t="inlineStr">
        <is>
          <t>CP-04</t>
        </is>
      </c>
      <c r="E61" s="27" t="inlineStr">
        <is>
          <t>FY27 approval</t>
        </is>
      </c>
      <c r="F61" s="27" t="inlineStr">
        <is>
          <t>Approved case</t>
        </is>
      </c>
      <c r="G61" s="27" t="inlineStr">
        <is>
          <t>Technician capacity required</t>
        </is>
      </c>
      <c r="H61" s="46" t="n">
        <v>4</v>
      </c>
      <c r="I61" s="27" t="inlineStr"/>
      <c r="J61" s="27" t="inlineStr">
        <is>
          <t>count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CAP-00058</t>
        </is>
      </c>
      <c r="B62" s="27" t="inlineStr">
        <is>
          <t>Create the FY27 capital-project portfolio model</t>
        </is>
      </c>
      <c r="C62" s="27" t="inlineStr">
        <is>
          <t>Capital project cases</t>
        </is>
      </c>
      <c r="D62" s="27" t="inlineStr">
        <is>
          <t>CP-04</t>
        </is>
      </c>
      <c r="E62" s="27" t="inlineStr">
        <is>
          <t>FY27 approval</t>
        </is>
      </c>
      <c r="F62" s="27" t="inlineStr">
        <is>
          <t>Approved case</t>
        </is>
      </c>
      <c r="G62" s="27" t="inlineStr">
        <is>
          <t>Mandatory safety flag</t>
        </is>
      </c>
      <c r="H62" s="46" t="n">
        <v>0</v>
      </c>
      <c r="I62" s="27" t="inlineStr"/>
      <c r="J62" s="27" t="inlineStr">
        <is>
          <t>boolean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CAP-00059</t>
        </is>
      </c>
      <c r="B63" s="27" t="inlineStr">
        <is>
          <t>Create the FY27 capital-project portfolio model</t>
        </is>
      </c>
      <c r="C63" s="27" t="inlineStr">
        <is>
          <t>Capital project cases</t>
        </is>
      </c>
      <c r="D63" s="27" t="inlineStr">
        <is>
          <t>CP-04</t>
        </is>
      </c>
      <c r="E63" s="27" t="inlineStr">
        <is>
          <t>FY27 approval</t>
        </is>
      </c>
      <c r="F63" s="27" t="inlineStr">
        <is>
          <t>Approved case</t>
        </is>
      </c>
      <c r="G63" s="27" t="inlineStr">
        <is>
          <t>Annual incremental EBITDA</t>
        </is>
      </c>
      <c r="H63" s="46" t="n">
        <v>870000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CAP-00060</t>
        </is>
      </c>
      <c r="B64" s="27" t="inlineStr">
        <is>
          <t>Create the FY27 capital-project portfolio model</t>
        </is>
      </c>
      <c r="C64" s="27" t="inlineStr">
        <is>
          <t>Capital project cases</t>
        </is>
      </c>
      <c r="D64" s="27" t="inlineStr">
        <is>
          <t>CP-04</t>
        </is>
      </c>
      <c r="E64" s="27" t="inlineStr">
        <is>
          <t>FY27 approval</t>
        </is>
      </c>
      <c r="F64" s="27" t="inlineStr">
        <is>
          <t>Approved case</t>
        </is>
      </c>
      <c r="G64" s="27" t="inlineStr">
        <is>
          <t>Annual tax depreciation</t>
        </is>
      </c>
      <c r="H64" s="46" t="n">
        <v>145</v>
      </c>
      <c r="I64" s="27" t="inlineStr"/>
      <c r="J64" s="27" t="inlineStr">
        <is>
          <t>USD thousands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CAP-00061</t>
        </is>
      </c>
      <c r="B65" s="27" t="inlineStr">
        <is>
          <t>Create the FY27 capital-project portfolio model</t>
        </is>
      </c>
      <c r="C65" s="27" t="inlineStr">
        <is>
          <t>Capital project cases</t>
        </is>
      </c>
      <c r="D65" s="27" t="inlineStr">
        <is>
          <t>CP-04</t>
        </is>
      </c>
      <c r="E65" s="27" t="inlineStr">
        <is>
          <t>FY27 approval</t>
        </is>
      </c>
      <c r="F65" s="27" t="inlineStr">
        <is>
          <t>Approved case</t>
        </is>
      </c>
      <c r="G65" s="27" t="inlineStr">
        <is>
          <t>Opening working capital</t>
        </is>
      </c>
      <c r="H65" s="46" t="n">
        <v>120000</v>
      </c>
      <c r="I65" s="27" t="inlineStr"/>
      <c r="J65" s="27" t="inlineStr">
        <is>
          <t>USD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CAP-00062</t>
        </is>
      </c>
      <c r="B66" s="27" t="inlineStr">
        <is>
          <t>Create the FY27 capital-project portfolio model</t>
        </is>
      </c>
      <c r="C66" s="27" t="inlineStr">
        <is>
          <t>Capital project cases</t>
        </is>
      </c>
      <c r="D66" s="27" t="inlineStr">
        <is>
          <t>CP-04</t>
        </is>
      </c>
      <c r="E66" s="27" t="inlineStr">
        <is>
          <t>Year 1</t>
        </is>
      </c>
      <c r="F66" s="27" t="inlineStr">
        <is>
          <t>Approved case</t>
        </is>
      </c>
      <c r="G66" s="27" t="inlineStr">
        <is>
          <t>EBITDA realization factor</t>
        </is>
      </c>
      <c r="H66" s="46" t="n">
        <v>0.7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CAP-00063</t>
        </is>
      </c>
      <c r="B67" s="27" t="inlineStr">
        <is>
          <t>Create the FY27 capital-project portfolio model</t>
        </is>
      </c>
      <c r="C67" s="27" t="inlineStr">
        <is>
          <t>Capital project cases</t>
        </is>
      </c>
      <c r="D67" s="27" t="inlineStr">
        <is>
          <t>CP-04</t>
        </is>
      </c>
      <c r="E67" s="27" t="inlineStr">
        <is>
          <t>Year 1</t>
        </is>
      </c>
      <c r="F67" s="27" t="inlineStr">
        <is>
          <t>Approved case</t>
        </is>
      </c>
      <c r="G67" s="27" t="inlineStr">
        <is>
          <t>Downside realization factor</t>
        </is>
      </c>
      <c r="H67" s="46" t="n">
        <v>0.45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CAP-00064</t>
        </is>
      </c>
      <c r="B68" s="27" t="inlineStr">
        <is>
          <t>Create the FY27 capital-project portfolio model</t>
        </is>
      </c>
      <c r="C68" s="27" t="inlineStr">
        <is>
          <t>Capital project cases</t>
        </is>
      </c>
      <c r="D68" s="27" t="inlineStr">
        <is>
          <t>CP-04</t>
        </is>
      </c>
      <c r="E68" s="27" t="inlineStr">
        <is>
          <t>Year 2</t>
        </is>
      </c>
      <c r="F68" s="27" t="inlineStr">
        <is>
          <t>Approved case</t>
        </is>
      </c>
      <c r="G68" s="27" t="inlineStr">
        <is>
          <t>EBITDA realization factor</t>
        </is>
      </c>
      <c r="H68" s="46" t="n">
        <v>0.92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CAP-00065</t>
        </is>
      </c>
      <c r="B69" s="27" t="inlineStr">
        <is>
          <t>Create the FY27 capital-project portfolio model</t>
        </is>
      </c>
      <c r="C69" s="27" t="inlineStr">
        <is>
          <t>Capital project cases</t>
        </is>
      </c>
      <c r="D69" s="27" t="inlineStr">
        <is>
          <t>CP-04</t>
        </is>
      </c>
      <c r="E69" s="27" t="inlineStr">
        <is>
          <t>Year 2</t>
        </is>
      </c>
      <c r="F69" s="27" t="inlineStr">
        <is>
          <t>Approved case</t>
        </is>
      </c>
      <c r="G69" s="27" t="inlineStr">
        <is>
          <t>Downside realization factor</t>
        </is>
      </c>
      <c r="H69" s="46" t="n">
        <v>0.64</v>
      </c>
      <c r="I69" s="27" t="inlineStr"/>
      <c r="J69" s="27" t="inlineStr">
        <is>
          <t>decimal ratio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CAP-00066</t>
        </is>
      </c>
      <c r="B70" s="27" t="inlineStr">
        <is>
          <t>Create the FY27 capital-project portfolio model</t>
        </is>
      </c>
      <c r="C70" s="27" t="inlineStr">
        <is>
          <t>Capital project cases</t>
        </is>
      </c>
      <c r="D70" s="27" t="inlineStr">
        <is>
          <t>CP-04</t>
        </is>
      </c>
      <c r="E70" s="27" t="inlineStr">
        <is>
          <t>Year 3</t>
        </is>
      </c>
      <c r="F70" s="27" t="inlineStr">
        <is>
          <t>Approved case</t>
        </is>
      </c>
      <c r="G70" s="27" t="inlineStr">
        <is>
          <t>EBITDA realization factor</t>
        </is>
      </c>
      <c r="H70" s="46" t="n">
        <v>1</v>
      </c>
      <c r="I70" s="27" t="inlineStr"/>
      <c r="J70" s="27" t="inlineStr">
        <is>
          <t>decimal ratio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CAP-00067</t>
        </is>
      </c>
      <c r="B71" s="27" t="inlineStr">
        <is>
          <t>Create the FY27 capital-project portfolio model</t>
        </is>
      </c>
      <c r="C71" s="27" t="inlineStr">
        <is>
          <t>Capital project cases</t>
        </is>
      </c>
      <c r="D71" s="27" t="inlineStr">
        <is>
          <t>CP-04</t>
        </is>
      </c>
      <c r="E71" s="27" t="inlineStr">
        <is>
          <t>Year 3</t>
        </is>
      </c>
      <c r="F71" s="27" t="inlineStr">
        <is>
          <t>Approved case</t>
        </is>
      </c>
      <c r="G71" s="27" t="inlineStr">
        <is>
          <t>Downside realization factor</t>
        </is>
      </c>
      <c r="H71" s="46" t="n">
        <v>0.72</v>
      </c>
      <c r="I71" s="27" t="inlineStr"/>
      <c r="J71" s="27" t="inlineStr">
        <is>
          <t>decimal ratio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CAP-00068</t>
        </is>
      </c>
      <c r="B72" s="27" t="inlineStr">
        <is>
          <t>Create the FY27 capital-project portfolio model</t>
        </is>
      </c>
      <c r="C72" s="27" t="inlineStr">
        <is>
          <t>Capital project cases</t>
        </is>
      </c>
      <c r="D72" s="27" t="inlineStr">
        <is>
          <t>CP-04</t>
        </is>
      </c>
      <c r="E72" s="27" t="inlineStr">
        <is>
          <t>Year 4</t>
        </is>
      </c>
      <c r="F72" s="27" t="inlineStr">
        <is>
          <t>Approved case</t>
        </is>
      </c>
      <c r="G72" s="27" t="inlineStr">
        <is>
          <t>EBITDA realization factor</t>
        </is>
      </c>
      <c r="H72" s="46" t="n">
        <v>1</v>
      </c>
      <c r="I72" s="27" t="inlineStr"/>
      <c r="J72" s="27" t="inlineStr">
        <is>
          <t>decimal ratio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CAP-00069</t>
        </is>
      </c>
      <c r="B73" s="27" t="inlineStr">
        <is>
          <t>Create the FY27 capital-project portfolio model</t>
        </is>
      </c>
      <c r="C73" s="27" t="inlineStr">
        <is>
          <t>Capital project cases</t>
        </is>
      </c>
      <c r="D73" s="27" t="inlineStr">
        <is>
          <t>CP-04</t>
        </is>
      </c>
      <c r="E73" s="27" t="inlineStr">
        <is>
          <t>Year 4</t>
        </is>
      </c>
      <c r="F73" s="27" t="inlineStr">
        <is>
          <t>Approved case</t>
        </is>
      </c>
      <c r="G73" s="27" t="inlineStr">
        <is>
          <t>Downside realization factor</t>
        </is>
      </c>
      <c r="H73" s="46" t="n">
        <v>0.72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CAP-00070</t>
        </is>
      </c>
      <c r="B74" s="27" t="inlineStr">
        <is>
          <t>Create the FY27 capital-project portfolio model</t>
        </is>
      </c>
      <c r="C74" s="27" t="inlineStr">
        <is>
          <t>Capital project cases</t>
        </is>
      </c>
      <c r="D74" s="27" t="inlineStr">
        <is>
          <t>CP-04</t>
        </is>
      </c>
      <c r="E74" s="27" t="inlineStr">
        <is>
          <t>Year 5</t>
        </is>
      </c>
      <c r="F74" s="27" t="inlineStr">
        <is>
          <t>Approved case</t>
        </is>
      </c>
      <c r="G74" s="27" t="inlineStr">
        <is>
          <t>EBITDA realization factor</t>
        </is>
      </c>
      <c r="H74" s="46" t="n">
        <v>1</v>
      </c>
      <c r="I74" s="27" t="inlineStr"/>
      <c r="J74" s="27" t="inlineStr">
        <is>
          <t>decimal ratio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CAP-00071</t>
        </is>
      </c>
      <c r="B75" s="27" t="inlineStr">
        <is>
          <t>Create the FY27 capital-project portfolio model</t>
        </is>
      </c>
      <c r="C75" s="27" t="inlineStr">
        <is>
          <t>Capital project cases</t>
        </is>
      </c>
      <c r="D75" s="27" t="inlineStr">
        <is>
          <t>CP-04</t>
        </is>
      </c>
      <c r="E75" s="27" t="inlineStr">
        <is>
          <t>Year 5</t>
        </is>
      </c>
      <c r="F75" s="27" t="inlineStr">
        <is>
          <t>Approved case</t>
        </is>
      </c>
      <c r="G75" s="27" t="inlineStr">
        <is>
          <t>Downside realization factor</t>
        </is>
      </c>
      <c r="H75" s="46" t="n">
        <v>0.72</v>
      </c>
      <c r="I75" s="27" t="inlineStr"/>
      <c r="J75" s="27" t="inlineStr">
        <is>
          <t>decimal ratio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CAP-00072</t>
        </is>
      </c>
      <c r="B76" s="27" t="inlineStr">
        <is>
          <t>Create the FY27 capital-project portfolio model</t>
        </is>
      </c>
      <c r="C76" s="27" t="inlineStr">
        <is>
          <t>Capital project cases</t>
        </is>
      </c>
      <c r="D76" s="27" t="inlineStr">
        <is>
          <t>CP-04</t>
        </is>
      </c>
      <c r="E76" s="27" t="inlineStr">
        <is>
          <t>Year 5</t>
        </is>
      </c>
      <c r="F76" s="27" t="inlineStr">
        <is>
          <t>Approved case</t>
        </is>
      </c>
      <c r="G76" s="27" t="inlineStr">
        <is>
          <t>Terminal recovery percent of capex</t>
        </is>
      </c>
      <c r="H76" s="46" t="n">
        <v>0.18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CAP-00073</t>
        </is>
      </c>
      <c r="B77" s="27" t="inlineStr">
        <is>
          <t>Create the FY27 capital-project portfolio model</t>
        </is>
      </c>
      <c r="C77" s="27" t="inlineStr">
        <is>
          <t>Capital project cases</t>
        </is>
      </c>
      <c r="D77" s="27" t="inlineStr">
        <is>
          <t>CP-05</t>
        </is>
      </c>
      <c r="E77" s="27" t="inlineStr">
        <is>
          <t>FY27 approval</t>
        </is>
      </c>
      <c r="F77" s="27" t="inlineStr">
        <is>
          <t>Approved case</t>
        </is>
      </c>
      <c r="G77" s="27" t="inlineStr">
        <is>
          <t>Initial capex</t>
        </is>
      </c>
      <c r="H77" s="46" t="n">
        <v>3600000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CAP-00074</t>
        </is>
      </c>
      <c r="B78" s="27" t="inlineStr">
        <is>
          <t>Create the FY27 capital-project portfolio model</t>
        </is>
      </c>
      <c r="C78" s="27" t="inlineStr">
        <is>
          <t>Capital project cases</t>
        </is>
      </c>
      <c r="D78" s="27" t="inlineStr">
        <is>
          <t>CP-05</t>
        </is>
      </c>
      <c r="E78" s="27" t="inlineStr">
        <is>
          <t>FY27 approval</t>
        </is>
      </c>
      <c r="F78" s="27" t="inlineStr">
        <is>
          <t>Approved case</t>
        </is>
      </c>
      <c r="G78" s="27" t="inlineStr">
        <is>
          <t>Debt-eligible basis</t>
        </is>
      </c>
      <c r="H78" s="46" t="n">
        <v>2800000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CAP-00075</t>
        </is>
      </c>
      <c r="B79" s="27" t="inlineStr">
        <is>
          <t>Create the FY27 capital-project portfolio model</t>
        </is>
      </c>
      <c r="C79" s="27" t="inlineStr">
        <is>
          <t>Capital project cases</t>
        </is>
      </c>
      <c r="D79" s="27" t="inlineStr">
        <is>
          <t>CP-05</t>
        </is>
      </c>
      <c r="E79" s="27" t="inlineStr">
        <is>
          <t>FY27 approval</t>
        </is>
      </c>
      <c r="F79" s="27" t="inlineStr">
        <is>
          <t>Approved case</t>
        </is>
      </c>
      <c r="G79" s="27" t="inlineStr">
        <is>
          <t>Technician capacity required</t>
        </is>
      </c>
      <c r="H79" s="46" t="n">
        <v>6</v>
      </c>
      <c r="I79" s="27" t="inlineStr"/>
      <c r="J79" s="27" t="inlineStr">
        <is>
          <t>count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CAP-00076</t>
        </is>
      </c>
      <c r="B80" s="27" t="inlineStr">
        <is>
          <t>Create the FY27 capital-project portfolio model</t>
        </is>
      </c>
      <c r="C80" s="27" t="inlineStr">
        <is>
          <t>Capital project cases</t>
        </is>
      </c>
      <c r="D80" s="27" t="inlineStr">
        <is>
          <t>CP-05</t>
        </is>
      </c>
      <c r="E80" s="27" t="inlineStr">
        <is>
          <t>FY27 approval</t>
        </is>
      </c>
      <c r="F80" s="27" t="inlineStr">
        <is>
          <t>Approved case</t>
        </is>
      </c>
      <c r="G80" s="27" t="inlineStr">
        <is>
          <t>Mandatory safety flag</t>
        </is>
      </c>
      <c r="H80" s="46" t="n">
        <v>0</v>
      </c>
      <c r="I80" s="27" t="inlineStr"/>
      <c r="J80" s="27" t="inlineStr">
        <is>
          <t>boolean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CAP-00077</t>
        </is>
      </c>
      <c r="B81" s="27" t="inlineStr">
        <is>
          <t>Create the FY27 capital-project portfolio model</t>
        </is>
      </c>
      <c r="C81" s="27" t="inlineStr">
        <is>
          <t>Capital project cases</t>
        </is>
      </c>
      <c r="D81" s="27" t="inlineStr">
        <is>
          <t>CP-05</t>
        </is>
      </c>
      <c r="E81" s="27" t="inlineStr">
        <is>
          <t>FY27 approval</t>
        </is>
      </c>
      <c r="F81" s="27" t="inlineStr">
        <is>
          <t>Approved case</t>
        </is>
      </c>
      <c r="G81" s="27" t="inlineStr">
        <is>
          <t>Annual incremental EBITDA</t>
        </is>
      </c>
      <c r="H81" s="46" t="n">
        <v>1010000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CAP-00078</t>
        </is>
      </c>
      <c r="B82" s="27" t="inlineStr">
        <is>
          <t>Create the FY27 capital-project portfolio model</t>
        </is>
      </c>
      <c r="C82" s="27" t="inlineStr">
        <is>
          <t>Capital project cases</t>
        </is>
      </c>
      <c r="D82" s="27" t="inlineStr">
        <is>
          <t>CP-05</t>
        </is>
      </c>
      <c r="E82" s="27" t="inlineStr">
        <is>
          <t>FY27 approval</t>
        </is>
      </c>
      <c r="F82" s="27" t="inlineStr">
        <is>
          <t>Approved case</t>
        </is>
      </c>
      <c r="G82" s="27" t="inlineStr">
        <is>
          <t>Annual tax depreciation</t>
        </is>
      </c>
      <c r="H82" s="46" t="n">
        <v>260000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CAP-00079</t>
        </is>
      </c>
      <c r="B83" s="27" t="inlineStr">
        <is>
          <t>Create the FY27 capital-project portfolio model</t>
        </is>
      </c>
      <c r="C83" s="27" t="inlineStr">
        <is>
          <t>Capital project cases</t>
        </is>
      </c>
      <c r="D83" s="27" t="inlineStr">
        <is>
          <t>CP-05</t>
        </is>
      </c>
      <c r="E83" s="27" t="inlineStr">
        <is>
          <t>FY27 approval</t>
        </is>
      </c>
      <c r="F83" s="27" t="inlineStr">
        <is>
          <t>Approved case</t>
        </is>
      </c>
      <c r="G83" s="27" t="inlineStr">
        <is>
          <t>Opening working capital</t>
        </is>
      </c>
      <c r="H83" s="46" t="n">
        <v>175000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CAP-00080</t>
        </is>
      </c>
      <c r="B84" s="27" t="inlineStr">
        <is>
          <t>Create the FY27 capital-project portfolio model</t>
        </is>
      </c>
      <c r="C84" s="27" t="inlineStr">
        <is>
          <t>Capital project cases</t>
        </is>
      </c>
      <c r="D84" s="27" t="inlineStr">
        <is>
          <t>CP-05</t>
        </is>
      </c>
      <c r="E84" s="27" t="inlineStr">
        <is>
          <t>Year 1</t>
        </is>
      </c>
      <c r="F84" s="27" t="inlineStr">
        <is>
          <t>Approved case</t>
        </is>
      </c>
      <c r="G84" s="27" t="inlineStr">
        <is>
          <t>EBITDA realization factor</t>
        </is>
      </c>
      <c r="H84" s="46" t="n">
        <v>0.7</v>
      </c>
      <c r="I84" s="27" t="inlineStr"/>
      <c r="J84" s="27" t="inlineStr">
        <is>
          <t>decimal ratio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CAP-00081</t>
        </is>
      </c>
      <c r="B85" s="27" t="inlineStr">
        <is>
          <t>Create the FY27 capital-project portfolio model</t>
        </is>
      </c>
      <c r="C85" s="27" t="inlineStr">
        <is>
          <t>Capital project cases</t>
        </is>
      </c>
      <c r="D85" s="27" t="inlineStr">
        <is>
          <t>CP-05</t>
        </is>
      </c>
      <c r="E85" s="27" t="inlineStr">
        <is>
          <t>Year 1</t>
        </is>
      </c>
      <c r="F85" s="27" t="inlineStr">
        <is>
          <t>Approved case</t>
        </is>
      </c>
      <c r="G85" s="27" t="inlineStr">
        <is>
          <t>Downside realization factor</t>
        </is>
      </c>
      <c r="H85" s="46" t="n">
        <v>0.45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CAP-00082</t>
        </is>
      </c>
      <c r="B86" s="27" t="inlineStr">
        <is>
          <t>Create the FY27 capital-project portfolio model</t>
        </is>
      </c>
      <c r="C86" s="27" t="inlineStr">
        <is>
          <t>Capital project cases</t>
        </is>
      </c>
      <c r="D86" s="27" t="inlineStr">
        <is>
          <t>CP-05</t>
        </is>
      </c>
      <c r="E86" s="27" t="inlineStr">
        <is>
          <t>Year 2</t>
        </is>
      </c>
      <c r="F86" s="27" t="inlineStr">
        <is>
          <t>Approved case</t>
        </is>
      </c>
      <c r="G86" s="27" t="inlineStr">
        <is>
          <t>EBITDA realization factor</t>
        </is>
      </c>
      <c r="H86" s="46" t="n">
        <v>0.92</v>
      </c>
      <c r="I86" s="27" t="inlineStr"/>
      <c r="J86" s="27" t="inlineStr">
        <is>
          <t>decimal ratio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CAP-00083</t>
        </is>
      </c>
      <c r="B87" s="27" t="inlineStr">
        <is>
          <t>Create the FY27 capital-project portfolio model</t>
        </is>
      </c>
      <c r="C87" s="27" t="inlineStr">
        <is>
          <t>Capital project cases</t>
        </is>
      </c>
      <c r="D87" s="27" t="inlineStr">
        <is>
          <t>CP-05</t>
        </is>
      </c>
      <c r="E87" s="27" t="inlineStr">
        <is>
          <t>Year 2</t>
        </is>
      </c>
      <c r="F87" s="27" t="inlineStr">
        <is>
          <t>Approved case</t>
        </is>
      </c>
      <c r="G87" s="27" t="inlineStr">
        <is>
          <t>Downside realization factor</t>
        </is>
      </c>
      <c r="H87" s="46" t="n">
        <v>0.64</v>
      </c>
      <c r="I87" s="27" t="inlineStr"/>
      <c r="J87" s="27" t="inlineStr">
        <is>
          <t>decimal ratio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CAP-00084</t>
        </is>
      </c>
      <c r="B88" s="27" t="inlineStr">
        <is>
          <t>Create the FY27 capital-project portfolio model</t>
        </is>
      </c>
      <c r="C88" s="27" t="inlineStr">
        <is>
          <t>Capital project cases</t>
        </is>
      </c>
      <c r="D88" s="27" t="inlineStr">
        <is>
          <t>CP-05</t>
        </is>
      </c>
      <c r="E88" s="27" t="inlineStr">
        <is>
          <t>Year 3</t>
        </is>
      </c>
      <c r="F88" s="27" t="inlineStr">
        <is>
          <t>Approved case</t>
        </is>
      </c>
      <c r="G88" s="27" t="inlineStr">
        <is>
          <t>EBITDA realization factor</t>
        </is>
      </c>
      <c r="H88" s="46" t="n">
        <v>1</v>
      </c>
      <c r="I88" s="27" t="inlineStr"/>
      <c r="J88" s="27" t="inlineStr">
        <is>
          <t>decimal ratio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CAP-00085</t>
        </is>
      </c>
      <c r="B89" s="27" t="inlineStr">
        <is>
          <t>Create the FY27 capital-project portfolio model</t>
        </is>
      </c>
      <c r="C89" s="27" t="inlineStr">
        <is>
          <t>Capital project cases</t>
        </is>
      </c>
      <c r="D89" s="27" t="inlineStr">
        <is>
          <t>CP-05</t>
        </is>
      </c>
      <c r="E89" s="27" t="inlineStr">
        <is>
          <t>Year 3</t>
        </is>
      </c>
      <c r="F89" s="27" t="inlineStr">
        <is>
          <t>Approved case</t>
        </is>
      </c>
      <c r="G89" s="27" t="inlineStr">
        <is>
          <t>Downside realization factor</t>
        </is>
      </c>
      <c r="H89" s="46" t="n">
        <v>0.72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CAP-00086</t>
        </is>
      </c>
      <c r="B90" s="27" t="inlineStr">
        <is>
          <t>Create the FY27 capital-project portfolio model</t>
        </is>
      </c>
      <c r="C90" s="27" t="inlineStr">
        <is>
          <t>Capital project cases</t>
        </is>
      </c>
      <c r="D90" s="27" t="inlineStr">
        <is>
          <t>CP-05</t>
        </is>
      </c>
      <c r="E90" s="27" t="inlineStr">
        <is>
          <t>Year 4</t>
        </is>
      </c>
      <c r="F90" s="27" t="inlineStr">
        <is>
          <t>Approved case</t>
        </is>
      </c>
      <c r="G90" s="27" t="inlineStr">
        <is>
          <t>EBITDA realization factor</t>
        </is>
      </c>
      <c r="H90" s="46" t="n">
        <v>1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CAP-00087</t>
        </is>
      </c>
      <c r="B91" s="27" t="inlineStr">
        <is>
          <t>Create the FY27 capital-project portfolio model</t>
        </is>
      </c>
      <c r="C91" s="27" t="inlineStr">
        <is>
          <t>Capital project cases</t>
        </is>
      </c>
      <c r="D91" s="27" t="inlineStr">
        <is>
          <t>CP-05</t>
        </is>
      </c>
      <c r="E91" s="27" t="inlineStr">
        <is>
          <t>Year 4</t>
        </is>
      </c>
      <c r="F91" s="27" t="inlineStr">
        <is>
          <t>Approved case</t>
        </is>
      </c>
      <c r="G91" s="27" t="inlineStr">
        <is>
          <t>Downside realization factor</t>
        </is>
      </c>
      <c r="H91" s="46" t="n">
        <v>0.72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CAP-00088</t>
        </is>
      </c>
      <c r="B92" s="27" t="inlineStr">
        <is>
          <t>Create the FY27 capital-project portfolio model</t>
        </is>
      </c>
      <c r="C92" s="27" t="inlineStr">
        <is>
          <t>Capital project cases</t>
        </is>
      </c>
      <c r="D92" s="27" t="inlineStr">
        <is>
          <t>CP-05</t>
        </is>
      </c>
      <c r="E92" s="27" t="inlineStr">
        <is>
          <t>Year 5</t>
        </is>
      </c>
      <c r="F92" s="27" t="inlineStr">
        <is>
          <t>Approved case</t>
        </is>
      </c>
      <c r="G92" s="27" t="inlineStr">
        <is>
          <t>EBITDA realization factor</t>
        </is>
      </c>
      <c r="H92" s="46" t="n">
        <v>1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CAP-00089</t>
        </is>
      </c>
      <c r="B93" s="27" t="inlineStr">
        <is>
          <t>Create the FY27 capital-project portfolio model</t>
        </is>
      </c>
      <c r="C93" s="27" t="inlineStr">
        <is>
          <t>Capital project cases</t>
        </is>
      </c>
      <c r="D93" s="27" t="inlineStr">
        <is>
          <t>CP-05</t>
        </is>
      </c>
      <c r="E93" s="27" t="inlineStr">
        <is>
          <t>Year 5</t>
        </is>
      </c>
      <c r="F93" s="27" t="inlineStr">
        <is>
          <t>Approved case</t>
        </is>
      </c>
      <c r="G93" s="27" t="inlineStr">
        <is>
          <t>Downside realization factor</t>
        </is>
      </c>
      <c r="H93" s="46" t="n">
        <v>0.72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CAP-00090</t>
        </is>
      </c>
      <c r="B94" s="27" t="inlineStr">
        <is>
          <t>Create the FY27 capital-project portfolio model</t>
        </is>
      </c>
      <c r="C94" s="27" t="inlineStr">
        <is>
          <t>Capital project cases</t>
        </is>
      </c>
      <c r="D94" s="27" t="inlineStr">
        <is>
          <t>CP-05</t>
        </is>
      </c>
      <c r="E94" s="27" t="inlineStr">
        <is>
          <t>Year 5</t>
        </is>
      </c>
      <c r="F94" s="27" t="inlineStr">
        <is>
          <t>Approved case</t>
        </is>
      </c>
      <c r="G94" s="27" t="inlineStr">
        <is>
          <t>Terminal recovery percent of capex</t>
        </is>
      </c>
      <c r="H94" s="46" t="n">
        <v>0.18</v>
      </c>
      <c r="I94" s="27" t="inlineStr"/>
      <c r="J94" s="27" t="inlineStr">
        <is>
          <t>decimal ratio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CAP-00091</t>
        </is>
      </c>
      <c r="B95" s="27" t="inlineStr">
        <is>
          <t>Create the FY27 capital-project portfolio model</t>
        </is>
      </c>
      <c r="C95" s="27" t="inlineStr">
        <is>
          <t>Capital project cases</t>
        </is>
      </c>
      <c r="D95" s="27" t="inlineStr">
        <is>
          <t>CP-06</t>
        </is>
      </c>
      <c r="E95" s="27" t="inlineStr">
        <is>
          <t>FY27 approval</t>
        </is>
      </c>
      <c r="F95" s="27" t="inlineStr">
        <is>
          <t>Approved case</t>
        </is>
      </c>
      <c r="G95" s="27" t="inlineStr">
        <is>
          <t>Initial capex</t>
        </is>
      </c>
      <c r="H95" s="46" t="n">
        <v>1250000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CAP-00092</t>
        </is>
      </c>
      <c r="B96" s="27" t="inlineStr">
        <is>
          <t>Create the FY27 capital-project portfolio model</t>
        </is>
      </c>
      <c r="C96" s="27" t="inlineStr">
        <is>
          <t>Capital project cases</t>
        </is>
      </c>
      <c r="D96" s="27" t="inlineStr">
        <is>
          <t>CP-06</t>
        </is>
      </c>
      <c r="E96" s="27" t="inlineStr">
        <is>
          <t>FY27 approval</t>
        </is>
      </c>
      <c r="F96" s="27" t="inlineStr">
        <is>
          <t>Approved case</t>
        </is>
      </c>
      <c r="G96" s="27" t="inlineStr">
        <is>
          <t>Debt-eligible basis</t>
        </is>
      </c>
      <c r="H96" s="46" t="n">
        <v>900</v>
      </c>
      <c r="I96" s="27" t="inlineStr"/>
      <c r="J96" s="27" t="inlineStr">
        <is>
          <t>USD thousands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CAP-00093</t>
        </is>
      </c>
      <c r="B97" s="27" t="inlineStr">
        <is>
          <t>Create the FY27 capital-project portfolio model</t>
        </is>
      </c>
      <c r="C97" s="27" t="inlineStr">
        <is>
          <t>Capital project cases</t>
        </is>
      </c>
      <c r="D97" s="27" t="inlineStr">
        <is>
          <t>CP-06</t>
        </is>
      </c>
      <c r="E97" s="27" t="inlineStr">
        <is>
          <t>FY27 approval</t>
        </is>
      </c>
      <c r="F97" s="27" t="inlineStr">
        <is>
          <t>Approved case</t>
        </is>
      </c>
      <c r="G97" s="27" t="inlineStr">
        <is>
          <t>Technician capacity required</t>
        </is>
      </c>
      <c r="H97" s="46" t="n">
        <v>3</v>
      </c>
      <c r="I97" s="27" t="inlineStr"/>
      <c r="J97" s="27" t="inlineStr">
        <is>
          <t>count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CAP-00094</t>
        </is>
      </c>
      <c r="B98" s="27" t="inlineStr">
        <is>
          <t>Create the FY27 capital-project portfolio model</t>
        </is>
      </c>
      <c r="C98" s="27" t="inlineStr">
        <is>
          <t>Capital project cases</t>
        </is>
      </c>
      <c r="D98" s="27" t="inlineStr">
        <is>
          <t>CP-06</t>
        </is>
      </c>
      <c r="E98" s="27" t="inlineStr">
        <is>
          <t>FY27 approval</t>
        </is>
      </c>
      <c r="F98" s="27" t="inlineStr">
        <is>
          <t>Approved case</t>
        </is>
      </c>
      <c r="G98" s="27" t="inlineStr">
        <is>
          <t>Mandatory safety flag</t>
        </is>
      </c>
      <c r="H98" s="46" t="n">
        <v>0</v>
      </c>
      <c r="I98" s="27" t="inlineStr"/>
      <c r="J98" s="27" t="inlineStr">
        <is>
          <t>boolean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CAP-00095</t>
        </is>
      </c>
      <c r="B99" s="27" t="inlineStr">
        <is>
          <t>Create the FY27 capital-project portfolio model</t>
        </is>
      </c>
      <c r="C99" s="27" t="inlineStr">
        <is>
          <t>Capital project cases</t>
        </is>
      </c>
      <c r="D99" s="27" t="inlineStr">
        <is>
          <t>CP-06</t>
        </is>
      </c>
      <c r="E99" s="27" t="inlineStr">
        <is>
          <t>FY27 approval</t>
        </is>
      </c>
      <c r="F99" s="27" t="inlineStr">
        <is>
          <t>Approved case</t>
        </is>
      </c>
      <c r="G99" s="27" t="inlineStr">
        <is>
          <t>Annual incremental EBITDA</t>
        </is>
      </c>
      <c r="H99" s="46" t="n">
        <v>360000</v>
      </c>
      <c r="I99" s="27" t="inlineStr"/>
      <c r="J99" s="27" t="inlineStr">
        <is>
          <t>USD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CAP-00096</t>
        </is>
      </c>
      <c r="B100" s="27" t="inlineStr">
        <is>
          <t>Create the FY27 capital-project portfolio model</t>
        </is>
      </c>
      <c r="C100" s="27" t="inlineStr">
        <is>
          <t>Capital project cases</t>
        </is>
      </c>
      <c r="D100" s="27" t="inlineStr">
        <is>
          <t>CP-06</t>
        </is>
      </c>
      <c r="E100" s="27" t="inlineStr">
        <is>
          <t>FY27 approval</t>
        </is>
      </c>
      <c r="F100" s="27" t="inlineStr">
        <is>
          <t>Approved case</t>
        </is>
      </c>
      <c r="G100" s="27" t="inlineStr">
        <is>
          <t>Annual tax depreciation</t>
        </is>
      </c>
      <c r="H100" s="46" t="n">
        <v>70</v>
      </c>
      <c r="I100" s="27" t="inlineStr"/>
      <c r="J100" s="27" t="inlineStr">
        <is>
          <t>USD thousands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CAP-00097</t>
        </is>
      </c>
      <c r="B101" s="27" t="inlineStr">
        <is>
          <t>Create the FY27 capital-project portfolio model</t>
        </is>
      </c>
      <c r="C101" s="27" t="inlineStr">
        <is>
          <t>Capital project cases</t>
        </is>
      </c>
      <c r="D101" s="27" t="inlineStr">
        <is>
          <t>CP-06</t>
        </is>
      </c>
      <c r="E101" s="27" t="inlineStr">
        <is>
          <t>FY27 approval</t>
        </is>
      </c>
      <c r="F101" s="27" t="inlineStr">
        <is>
          <t>Approved case</t>
        </is>
      </c>
      <c r="G101" s="27" t="inlineStr">
        <is>
          <t>Opening working capital</t>
        </is>
      </c>
      <c r="H101" s="46" t="n">
        <v>55000</v>
      </c>
      <c r="I101" s="27" t="inlineStr"/>
      <c r="J101" s="27" t="inlineStr">
        <is>
          <t>USD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CAP-00098</t>
        </is>
      </c>
      <c r="B102" s="27" t="inlineStr">
        <is>
          <t>Create the FY27 capital-project portfolio model</t>
        </is>
      </c>
      <c r="C102" s="27" t="inlineStr">
        <is>
          <t>Capital project cases</t>
        </is>
      </c>
      <c r="D102" s="27" t="inlineStr">
        <is>
          <t>CP-06</t>
        </is>
      </c>
      <c r="E102" s="27" t="inlineStr">
        <is>
          <t>Year 1</t>
        </is>
      </c>
      <c r="F102" s="27" t="inlineStr">
        <is>
          <t>Approved case</t>
        </is>
      </c>
      <c r="G102" s="27" t="inlineStr">
        <is>
          <t>EBITDA realization factor</t>
        </is>
      </c>
      <c r="H102" s="46" t="n">
        <v>0.7</v>
      </c>
      <c r="I102" s="27" t="inlineStr"/>
      <c r="J102" s="27" t="inlineStr">
        <is>
          <t>decimal ratio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CAP-00099</t>
        </is>
      </c>
      <c r="B103" s="27" t="inlineStr">
        <is>
          <t>Create the FY27 capital-project portfolio model</t>
        </is>
      </c>
      <c r="C103" s="27" t="inlineStr">
        <is>
          <t>Capital project cases</t>
        </is>
      </c>
      <c r="D103" s="27" t="inlineStr">
        <is>
          <t>CP-06</t>
        </is>
      </c>
      <c r="E103" s="27" t="inlineStr">
        <is>
          <t>Year 1</t>
        </is>
      </c>
      <c r="F103" s="27" t="inlineStr">
        <is>
          <t>Approved case</t>
        </is>
      </c>
      <c r="G103" s="27" t="inlineStr">
        <is>
          <t>Downside realization factor</t>
        </is>
      </c>
      <c r="H103" s="46" t="n">
        <v>0.45</v>
      </c>
      <c r="I103" s="27" t="inlineStr"/>
      <c r="J103" s="27" t="inlineStr">
        <is>
          <t>decimal ratio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CAP-00100</t>
        </is>
      </c>
      <c r="B104" s="27" t="inlineStr">
        <is>
          <t>Create the FY27 capital-project portfolio model</t>
        </is>
      </c>
      <c r="C104" s="27" t="inlineStr">
        <is>
          <t>Capital project cases</t>
        </is>
      </c>
      <c r="D104" s="27" t="inlineStr">
        <is>
          <t>CP-06</t>
        </is>
      </c>
      <c r="E104" s="27" t="inlineStr">
        <is>
          <t>Year 2</t>
        </is>
      </c>
      <c r="F104" s="27" t="inlineStr">
        <is>
          <t>Approved case</t>
        </is>
      </c>
      <c r="G104" s="27" t="inlineStr">
        <is>
          <t>EBITDA realization factor</t>
        </is>
      </c>
      <c r="H104" s="46" t="n">
        <v>0.92</v>
      </c>
      <c r="I104" s="27" t="inlineStr"/>
      <c r="J104" s="27" t="inlineStr">
        <is>
          <t>decimal ratio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CAP-00101</t>
        </is>
      </c>
      <c r="B105" s="27" t="inlineStr">
        <is>
          <t>Create the FY27 capital-project portfolio model</t>
        </is>
      </c>
      <c r="C105" s="27" t="inlineStr">
        <is>
          <t>Capital project cases</t>
        </is>
      </c>
      <c r="D105" s="27" t="inlineStr">
        <is>
          <t>CP-06</t>
        </is>
      </c>
      <c r="E105" s="27" t="inlineStr">
        <is>
          <t>Year 2</t>
        </is>
      </c>
      <c r="F105" s="27" t="inlineStr">
        <is>
          <t>Approved case</t>
        </is>
      </c>
      <c r="G105" s="27" t="inlineStr">
        <is>
          <t>Downside realization factor</t>
        </is>
      </c>
      <c r="H105" s="46" t="n">
        <v>0.64</v>
      </c>
      <c r="I105" s="27" t="inlineStr"/>
      <c r="J105" s="27" t="inlineStr">
        <is>
          <t>decimal ratio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CAP-00102</t>
        </is>
      </c>
      <c r="B106" s="27" t="inlineStr">
        <is>
          <t>Create the FY27 capital-project portfolio model</t>
        </is>
      </c>
      <c r="C106" s="27" t="inlineStr">
        <is>
          <t>Capital project cases</t>
        </is>
      </c>
      <c r="D106" s="27" t="inlineStr">
        <is>
          <t>CP-06</t>
        </is>
      </c>
      <c r="E106" s="27" t="inlineStr">
        <is>
          <t>Year 3</t>
        </is>
      </c>
      <c r="F106" s="27" t="inlineStr">
        <is>
          <t>Approved case</t>
        </is>
      </c>
      <c r="G106" s="27" t="inlineStr">
        <is>
          <t>EBITDA realization factor</t>
        </is>
      </c>
      <c r="H106" s="46" t="n">
        <v>1</v>
      </c>
      <c r="I106" s="27" t="inlineStr"/>
      <c r="J106" s="27" t="inlineStr">
        <is>
          <t>decimal ratio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CAP-00103</t>
        </is>
      </c>
      <c r="B107" s="27" t="inlineStr">
        <is>
          <t>Create the FY27 capital-project portfolio model</t>
        </is>
      </c>
      <c r="C107" s="27" t="inlineStr">
        <is>
          <t>Capital project cases</t>
        </is>
      </c>
      <c r="D107" s="27" t="inlineStr">
        <is>
          <t>CP-06</t>
        </is>
      </c>
      <c r="E107" s="27" t="inlineStr">
        <is>
          <t>Year 3</t>
        </is>
      </c>
      <c r="F107" s="27" t="inlineStr">
        <is>
          <t>Approved case</t>
        </is>
      </c>
      <c r="G107" s="27" t="inlineStr">
        <is>
          <t>Downside realization factor</t>
        </is>
      </c>
      <c r="H107" s="46" t="n">
        <v>0.72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CAP-00104</t>
        </is>
      </c>
      <c r="B108" s="27" t="inlineStr">
        <is>
          <t>Create the FY27 capital-project portfolio model</t>
        </is>
      </c>
      <c r="C108" s="27" t="inlineStr">
        <is>
          <t>Capital project cases</t>
        </is>
      </c>
      <c r="D108" s="27" t="inlineStr">
        <is>
          <t>CP-06</t>
        </is>
      </c>
      <c r="E108" s="27" t="inlineStr">
        <is>
          <t>Year 4</t>
        </is>
      </c>
      <c r="F108" s="27" t="inlineStr">
        <is>
          <t>Approved case</t>
        </is>
      </c>
      <c r="G108" s="27" t="inlineStr">
        <is>
          <t>EBITDA realization factor</t>
        </is>
      </c>
      <c r="H108" s="46" t="n">
        <v>1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CAP-00105</t>
        </is>
      </c>
      <c r="B109" s="27" t="inlineStr">
        <is>
          <t>Create the FY27 capital-project portfolio model</t>
        </is>
      </c>
      <c r="C109" s="27" t="inlineStr">
        <is>
          <t>Capital project cases</t>
        </is>
      </c>
      <c r="D109" s="27" t="inlineStr">
        <is>
          <t>CP-06</t>
        </is>
      </c>
      <c r="E109" s="27" t="inlineStr">
        <is>
          <t>Year 4</t>
        </is>
      </c>
      <c r="F109" s="27" t="inlineStr">
        <is>
          <t>Approved case</t>
        </is>
      </c>
      <c r="G109" s="27" t="inlineStr">
        <is>
          <t>Downside realization factor</t>
        </is>
      </c>
      <c r="H109" s="46" t="n">
        <v>0.72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CAP-00106</t>
        </is>
      </c>
      <c r="B110" s="27" t="inlineStr">
        <is>
          <t>Create the FY27 capital-project portfolio model</t>
        </is>
      </c>
      <c r="C110" s="27" t="inlineStr">
        <is>
          <t>Capital project cases</t>
        </is>
      </c>
      <c r="D110" s="27" t="inlineStr">
        <is>
          <t>CP-06</t>
        </is>
      </c>
      <c r="E110" s="27" t="inlineStr">
        <is>
          <t>Year 5</t>
        </is>
      </c>
      <c r="F110" s="27" t="inlineStr">
        <is>
          <t>Approved case</t>
        </is>
      </c>
      <c r="G110" s="27" t="inlineStr">
        <is>
          <t>EBITDA realization factor</t>
        </is>
      </c>
      <c r="H110" s="46" t="n">
        <v>1</v>
      </c>
      <c r="I110" s="27" t="inlineStr"/>
      <c r="J110" s="27" t="inlineStr">
        <is>
          <t>decimal ratio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CAP-00107</t>
        </is>
      </c>
      <c r="B111" s="27" t="inlineStr">
        <is>
          <t>Create the FY27 capital-project portfolio model</t>
        </is>
      </c>
      <c r="C111" s="27" t="inlineStr">
        <is>
          <t>Capital project cases</t>
        </is>
      </c>
      <c r="D111" s="27" t="inlineStr">
        <is>
          <t>CP-06</t>
        </is>
      </c>
      <c r="E111" s="27" t="inlineStr">
        <is>
          <t>Year 5</t>
        </is>
      </c>
      <c r="F111" s="27" t="inlineStr">
        <is>
          <t>Approved case</t>
        </is>
      </c>
      <c r="G111" s="27" t="inlineStr">
        <is>
          <t>Downside realization factor</t>
        </is>
      </c>
      <c r="H111" s="46" t="n">
        <v>0.72</v>
      </c>
      <c r="I111" s="27" t="inlineStr"/>
      <c r="J111" s="27" t="inlineStr">
        <is>
          <t>decimal ratio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CAP-00108</t>
        </is>
      </c>
      <c r="B112" s="27" t="inlineStr">
        <is>
          <t>Create the FY27 capital-project portfolio model</t>
        </is>
      </c>
      <c r="C112" s="27" t="inlineStr">
        <is>
          <t>Capital project cases</t>
        </is>
      </c>
      <c r="D112" s="27" t="inlineStr">
        <is>
          <t>CP-06</t>
        </is>
      </c>
      <c r="E112" s="27" t="inlineStr">
        <is>
          <t>Year 5</t>
        </is>
      </c>
      <c r="F112" s="27" t="inlineStr">
        <is>
          <t>Approved case</t>
        </is>
      </c>
      <c r="G112" s="27" t="inlineStr">
        <is>
          <t>Terminal recovery percent of capex</t>
        </is>
      </c>
      <c r="H112" s="46" t="n">
        <v>0.18</v>
      </c>
      <c r="I112" s="27" t="inlineStr"/>
      <c r="J112" s="27" t="inlineStr">
        <is>
          <t>decimal ratio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CAP-00109</t>
        </is>
      </c>
      <c r="B113" s="27" t="inlineStr">
        <is>
          <t>Create the FY27 capital-project portfolio model</t>
        </is>
      </c>
      <c r="C113" s="27" t="inlineStr">
        <is>
          <t>Capital project cases</t>
        </is>
      </c>
      <c r="D113" s="27" t="inlineStr">
        <is>
          <t>CP-07</t>
        </is>
      </c>
      <c r="E113" s="27" t="inlineStr">
        <is>
          <t>FY27 approval</t>
        </is>
      </c>
      <c r="F113" s="27" t="inlineStr">
        <is>
          <t>Approved case</t>
        </is>
      </c>
      <c r="G113" s="27" t="inlineStr">
        <is>
          <t>Initial capex</t>
        </is>
      </c>
      <c r="H113" s="46" t="n">
        <v>2300000</v>
      </c>
      <c r="I113" s="27" t="inlineStr"/>
      <c r="J113" s="27" t="inlineStr">
        <is>
          <t>USD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CAP-00110</t>
        </is>
      </c>
      <c r="B114" s="27" t="inlineStr">
        <is>
          <t>Create the FY27 capital-project portfolio model</t>
        </is>
      </c>
      <c r="C114" s="27" t="inlineStr">
        <is>
          <t>Capital project cases</t>
        </is>
      </c>
      <c r="D114" s="27" t="inlineStr">
        <is>
          <t>CP-07</t>
        </is>
      </c>
      <c r="E114" s="27" t="inlineStr">
        <is>
          <t>FY27 approval</t>
        </is>
      </c>
      <c r="F114" s="27" t="inlineStr">
        <is>
          <t>Approved case</t>
        </is>
      </c>
      <c r="G114" s="27" t="inlineStr">
        <is>
          <t>Debt-eligible basis</t>
        </is>
      </c>
      <c r="H114" s="46" t="n">
        <v>1700000</v>
      </c>
      <c r="I114" s="27" t="inlineStr"/>
      <c r="J114" s="27" t="inlineStr">
        <is>
          <t>USD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CAP-00111</t>
        </is>
      </c>
      <c r="B115" s="27" t="inlineStr">
        <is>
          <t>Create the FY27 capital-project portfolio model</t>
        </is>
      </c>
      <c r="C115" s="27" t="inlineStr">
        <is>
          <t>Capital project cases</t>
        </is>
      </c>
      <c r="D115" s="27" t="inlineStr">
        <is>
          <t>CP-07</t>
        </is>
      </c>
      <c r="E115" s="27" t="inlineStr">
        <is>
          <t>FY27 approval</t>
        </is>
      </c>
      <c r="F115" s="27" t="inlineStr">
        <is>
          <t>Approved case</t>
        </is>
      </c>
      <c r="G115" s="27" t="inlineStr">
        <is>
          <t>Technician capacity required</t>
        </is>
      </c>
      <c r="H115" s="46" t="n">
        <v>2</v>
      </c>
      <c r="I115" s="27" t="inlineStr"/>
      <c r="J115" s="27" t="inlineStr">
        <is>
          <t>count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CAP-00112</t>
        </is>
      </c>
      <c r="B116" s="27" t="inlineStr">
        <is>
          <t>Create the FY27 capital-project portfolio model</t>
        </is>
      </c>
      <c r="C116" s="27" t="inlineStr">
        <is>
          <t>Capital project cases</t>
        </is>
      </c>
      <c r="D116" s="27" t="inlineStr">
        <is>
          <t>CP-07</t>
        </is>
      </c>
      <c r="E116" s="27" t="inlineStr">
        <is>
          <t>FY27 approval</t>
        </is>
      </c>
      <c r="F116" s="27" t="inlineStr">
        <is>
          <t>Approved case</t>
        </is>
      </c>
      <c r="G116" s="27" t="inlineStr">
        <is>
          <t>Mandatory safety flag</t>
        </is>
      </c>
      <c r="H116" s="46" t="n">
        <v>0</v>
      </c>
      <c r="I116" s="27" t="inlineStr"/>
      <c r="J116" s="27" t="inlineStr">
        <is>
          <t>boolean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CAP-00113</t>
        </is>
      </c>
      <c r="B117" s="27" t="inlineStr">
        <is>
          <t>Create the FY27 capital-project portfolio model</t>
        </is>
      </c>
      <c r="C117" s="27" t="inlineStr">
        <is>
          <t>Capital project cases</t>
        </is>
      </c>
      <c r="D117" s="27" t="inlineStr">
        <is>
          <t>CP-07</t>
        </is>
      </c>
      <c r="E117" s="27" t="inlineStr">
        <is>
          <t>FY27 approval</t>
        </is>
      </c>
      <c r="F117" s="27" t="inlineStr">
        <is>
          <t>Approved case</t>
        </is>
      </c>
      <c r="G117" s="27" t="inlineStr">
        <is>
          <t>Annual incremental EBITDA</t>
        </is>
      </c>
      <c r="H117" s="46" t="n">
        <v>790000</v>
      </c>
      <c r="I117" s="27" t="inlineStr"/>
      <c r="J117" s="27" t="inlineStr">
        <is>
          <t>USD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CAP-00114</t>
        </is>
      </c>
      <c r="B118" s="27" t="inlineStr">
        <is>
          <t>Create the FY27 capital-project portfolio model</t>
        </is>
      </c>
      <c r="C118" s="27" t="inlineStr">
        <is>
          <t>Capital project cases</t>
        </is>
      </c>
      <c r="D118" s="27" t="inlineStr">
        <is>
          <t>CP-07</t>
        </is>
      </c>
      <c r="E118" s="27" t="inlineStr">
        <is>
          <t>FY27 approval</t>
        </is>
      </c>
      <c r="F118" s="27" t="inlineStr">
        <is>
          <t>Approved case</t>
        </is>
      </c>
      <c r="G118" s="27" t="inlineStr">
        <is>
          <t>Annual tax depreciation</t>
        </is>
      </c>
      <c r="H118" s="46" t="n">
        <v>115000</v>
      </c>
      <c r="I118" s="27" t="inlineStr"/>
      <c r="J118" s="27" t="inlineStr">
        <is>
          <t>USD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CAP-00115</t>
        </is>
      </c>
      <c r="B119" s="27" t="inlineStr">
        <is>
          <t>Create the FY27 capital-project portfolio model</t>
        </is>
      </c>
      <c r="C119" s="27" t="inlineStr">
        <is>
          <t>Capital project cases</t>
        </is>
      </c>
      <c r="D119" s="27" t="inlineStr">
        <is>
          <t>CP-07</t>
        </is>
      </c>
      <c r="E119" s="27" t="inlineStr">
        <is>
          <t>FY27 approval</t>
        </is>
      </c>
      <c r="F119" s="27" t="inlineStr">
        <is>
          <t>Approved case</t>
        </is>
      </c>
      <c r="G119" s="27" t="inlineStr">
        <is>
          <t>Opening working capital</t>
        </is>
      </c>
      <c r="H119" s="46" t="n">
        <v>100000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CAP-00116</t>
        </is>
      </c>
      <c r="B120" s="27" t="inlineStr">
        <is>
          <t>Create the FY27 capital-project portfolio model</t>
        </is>
      </c>
      <c r="C120" s="27" t="inlineStr">
        <is>
          <t>Capital project cases</t>
        </is>
      </c>
      <c r="D120" s="27" t="inlineStr">
        <is>
          <t>CP-07</t>
        </is>
      </c>
      <c r="E120" s="27" t="inlineStr">
        <is>
          <t>Year 1</t>
        </is>
      </c>
      <c r="F120" s="27" t="inlineStr">
        <is>
          <t>Approved case</t>
        </is>
      </c>
      <c r="G120" s="27" t="inlineStr">
        <is>
          <t>EBITDA realization factor</t>
        </is>
      </c>
      <c r="H120" s="46" t="n">
        <v>0.7</v>
      </c>
      <c r="I120" s="27" t="inlineStr"/>
      <c r="J120" s="27" t="inlineStr">
        <is>
          <t>decimal ratio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CAP-00117</t>
        </is>
      </c>
      <c r="B121" s="27" t="inlineStr">
        <is>
          <t>Create the FY27 capital-project portfolio model</t>
        </is>
      </c>
      <c r="C121" s="27" t="inlineStr">
        <is>
          <t>Capital project cases</t>
        </is>
      </c>
      <c r="D121" s="27" t="inlineStr">
        <is>
          <t>CP-07</t>
        </is>
      </c>
      <c r="E121" s="27" t="inlineStr">
        <is>
          <t>Year 1</t>
        </is>
      </c>
      <c r="F121" s="27" t="inlineStr">
        <is>
          <t>Approved case</t>
        </is>
      </c>
      <c r="G121" s="27" t="inlineStr">
        <is>
          <t>Downside realization factor</t>
        </is>
      </c>
      <c r="H121" s="46" t="n">
        <v>0.45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CAP-00118</t>
        </is>
      </c>
      <c r="B122" s="27" t="inlineStr">
        <is>
          <t>Create the FY27 capital-project portfolio model</t>
        </is>
      </c>
      <c r="C122" s="27" t="inlineStr">
        <is>
          <t>Capital project cases</t>
        </is>
      </c>
      <c r="D122" s="27" t="inlineStr">
        <is>
          <t>CP-07</t>
        </is>
      </c>
      <c r="E122" s="27" t="inlineStr">
        <is>
          <t>Year 2</t>
        </is>
      </c>
      <c r="F122" s="27" t="inlineStr">
        <is>
          <t>Approved case</t>
        </is>
      </c>
      <c r="G122" s="27" t="inlineStr">
        <is>
          <t>EBITDA realization factor</t>
        </is>
      </c>
      <c r="H122" s="46" t="n">
        <v>0.92</v>
      </c>
      <c r="I122" s="27" t="inlineStr"/>
      <c r="J122" s="27" t="inlineStr">
        <is>
          <t>decimal ratio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CAP-00119</t>
        </is>
      </c>
      <c r="B123" s="27" t="inlineStr">
        <is>
          <t>Create the FY27 capital-project portfolio model</t>
        </is>
      </c>
      <c r="C123" s="27" t="inlineStr">
        <is>
          <t>Capital project cases</t>
        </is>
      </c>
      <c r="D123" s="27" t="inlineStr">
        <is>
          <t>CP-07</t>
        </is>
      </c>
      <c r="E123" s="27" t="inlineStr">
        <is>
          <t>Year 2</t>
        </is>
      </c>
      <c r="F123" s="27" t="inlineStr">
        <is>
          <t>Approved case</t>
        </is>
      </c>
      <c r="G123" s="27" t="inlineStr">
        <is>
          <t>Downside realization factor</t>
        </is>
      </c>
      <c r="H123" s="46" t="n">
        <v>0.64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CAP-00120</t>
        </is>
      </c>
      <c r="B124" s="27" t="inlineStr">
        <is>
          <t>Create the FY27 capital-project portfolio model</t>
        </is>
      </c>
      <c r="C124" s="27" t="inlineStr">
        <is>
          <t>Capital project cases</t>
        </is>
      </c>
      <c r="D124" s="27" t="inlineStr">
        <is>
          <t>CP-07</t>
        </is>
      </c>
      <c r="E124" s="27" t="inlineStr">
        <is>
          <t>Year 3</t>
        </is>
      </c>
      <c r="F124" s="27" t="inlineStr">
        <is>
          <t>Approved case</t>
        </is>
      </c>
      <c r="G124" s="27" t="inlineStr">
        <is>
          <t>EBITDA realization factor</t>
        </is>
      </c>
      <c r="H124" s="46" t="n">
        <v>1</v>
      </c>
      <c r="I124" s="27" t="inlineStr"/>
      <c r="J124" s="27" t="inlineStr">
        <is>
          <t>decimal ratio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CAP-00121</t>
        </is>
      </c>
      <c r="B125" s="27" t="inlineStr">
        <is>
          <t>Create the FY27 capital-project portfolio model</t>
        </is>
      </c>
      <c r="C125" s="27" t="inlineStr">
        <is>
          <t>Capital project cases</t>
        </is>
      </c>
      <c r="D125" s="27" t="inlineStr">
        <is>
          <t>CP-07</t>
        </is>
      </c>
      <c r="E125" s="27" t="inlineStr">
        <is>
          <t>Year 3</t>
        </is>
      </c>
      <c r="F125" s="27" t="inlineStr">
        <is>
          <t>Approved case</t>
        </is>
      </c>
      <c r="G125" s="27" t="inlineStr">
        <is>
          <t>Downside realization factor</t>
        </is>
      </c>
      <c r="H125" s="46" t="n">
        <v>0.72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CAP-00122</t>
        </is>
      </c>
      <c r="B126" s="27" t="inlineStr">
        <is>
          <t>Create the FY27 capital-project portfolio model</t>
        </is>
      </c>
      <c r="C126" s="27" t="inlineStr">
        <is>
          <t>Capital project cases</t>
        </is>
      </c>
      <c r="D126" s="27" t="inlineStr">
        <is>
          <t>CP-07</t>
        </is>
      </c>
      <c r="E126" s="27" t="inlineStr">
        <is>
          <t>Year 4</t>
        </is>
      </c>
      <c r="F126" s="27" t="inlineStr">
        <is>
          <t>Approved case</t>
        </is>
      </c>
      <c r="G126" s="27" t="inlineStr">
        <is>
          <t>EBITDA realization factor</t>
        </is>
      </c>
      <c r="H126" s="46" t="n">
        <v>1</v>
      </c>
      <c r="I126" s="27" t="inlineStr"/>
      <c r="J126" s="27" t="inlineStr">
        <is>
          <t>decimal ratio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CAP-00123</t>
        </is>
      </c>
      <c r="B127" s="27" t="inlineStr">
        <is>
          <t>Create the FY27 capital-project portfolio model</t>
        </is>
      </c>
      <c r="C127" s="27" t="inlineStr">
        <is>
          <t>Capital project cases</t>
        </is>
      </c>
      <c r="D127" s="27" t="inlineStr">
        <is>
          <t>CP-07</t>
        </is>
      </c>
      <c r="E127" s="27" t="inlineStr">
        <is>
          <t>Year 4</t>
        </is>
      </c>
      <c r="F127" s="27" t="inlineStr">
        <is>
          <t>Approved case</t>
        </is>
      </c>
      <c r="G127" s="27" t="inlineStr">
        <is>
          <t>Downside realization factor</t>
        </is>
      </c>
      <c r="H127" s="46" t="n">
        <v>0.72</v>
      </c>
      <c r="I127" s="27" t="inlineStr"/>
      <c r="J127" s="27" t="inlineStr">
        <is>
          <t>decimal ratio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CAP-00124</t>
        </is>
      </c>
      <c r="B128" s="27" t="inlineStr">
        <is>
          <t>Create the FY27 capital-project portfolio model</t>
        </is>
      </c>
      <c r="C128" s="27" t="inlineStr">
        <is>
          <t>Capital project cases</t>
        </is>
      </c>
      <c r="D128" s="27" t="inlineStr">
        <is>
          <t>CP-07</t>
        </is>
      </c>
      <c r="E128" s="27" t="inlineStr">
        <is>
          <t>Year 5</t>
        </is>
      </c>
      <c r="F128" s="27" t="inlineStr">
        <is>
          <t>Approved case</t>
        </is>
      </c>
      <c r="G128" s="27" t="inlineStr">
        <is>
          <t>EBITDA realization factor</t>
        </is>
      </c>
      <c r="H128" s="46" t="n">
        <v>1</v>
      </c>
      <c r="I128" s="27" t="inlineStr"/>
      <c r="J128" s="27" t="inlineStr">
        <is>
          <t>decimal ratio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  <row r="129">
      <c r="A129" s="36" t="inlineStr">
        <is>
          <t>CAP-00125</t>
        </is>
      </c>
      <c r="B129" s="27" t="inlineStr">
        <is>
          <t>Create the FY27 capital-project portfolio model</t>
        </is>
      </c>
      <c r="C129" s="27" t="inlineStr">
        <is>
          <t>Capital project cases</t>
        </is>
      </c>
      <c r="D129" s="27" t="inlineStr">
        <is>
          <t>CP-07</t>
        </is>
      </c>
      <c r="E129" s="27" t="inlineStr">
        <is>
          <t>Year 5</t>
        </is>
      </c>
      <c r="F129" s="27" t="inlineStr">
        <is>
          <t>Approved case</t>
        </is>
      </c>
      <c r="G129" s="27" t="inlineStr">
        <is>
          <t>Downside realization factor</t>
        </is>
      </c>
      <c r="H129" s="46" t="n">
        <v>0.72</v>
      </c>
      <c r="I129" s="27" t="inlineStr"/>
      <c r="J129" s="27" t="inlineStr">
        <is>
          <t>decimal ratio</t>
        </is>
      </c>
      <c r="K129" s="27" t="inlineStr">
        <is>
          <t>Finance operating schedule</t>
        </is>
      </c>
      <c r="L129" s="47" t="inlineStr">
        <is>
          <t>2026-06-30</t>
        </is>
      </c>
      <c r="M129" s="27" t="inlineStr"/>
    </row>
    <row r="130">
      <c r="A130" s="36" t="inlineStr">
        <is>
          <t>CAP-00126</t>
        </is>
      </c>
      <c r="B130" s="27" t="inlineStr">
        <is>
          <t>Create the FY27 capital-project portfolio model</t>
        </is>
      </c>
      <c r="C130" s="27" t="inlineStr">
        <is>
          <t>Capital project cases</t>
        </is>
      </c>
      <c r="D130" s="27" t="inlineStr">
        <is>
          <t>CP-07</t>
        </is>
      </c>
      <c r="E130" s="27" t="inlineStr">
        <is>
          <t>Year 5</t>
        </is>
      </c>
      <c r="F130" s="27" t="inlineStr">
        <is>
          <t>Approved case</t>
        </is>
      </c>
      <c r="G130" s="27" t="inlineStr">
        <is>
          <t>Terminal recovery percent of capex</t>
        </is>
      </c>
      <c r="H130" s="46" t="n">
        <v>0.18</v>
      </c>
      <c r="I130" s="27" t="inlineStr"/>
      <c r="J130" s="27" t="inlineStr">
        <is>
          <t>decimal ratio</t>
        </is>
      </c>
      <c r="K130" s="27" t="inlineStr">
        <is>
          <t>Finance operating schedule</t>
        </is>
      </c>
      <c r="L130" s="47" t="inlineStr">
        <is>
          <t>2026-06-30</t>
        </is>
      </c>
      <c r="M130" s="27" t="inlineStr"/>
    </row>
    <row r="131">
      <c r="A131" s="36" t="inlineStr">
        <is>
          <t>CAP-00127</t>
        </is>
      </c>
      <c r="B131" s="27" t="inlineStr">
        <is>
          <t>Create the FY27 capital-project portfolio model</t>
        </is>
      </c>
      <c r="C131" s="27" t="inlineStr">
        <is>
          <t>Capital project cases</t>
        </is>
      </c>
      <c r="D131" s="27" t="inlineStr">
        <is>
          <t>CP-08</t>
        </is>
      </c>
      <c r="E131" s="27" t="inlineStr">
        <is>
          <t>FY27 approval</t>
        </is>
      </c>
      <c r="F131" s="27" t="inlineStr">
        <is>
          <t>Approved case</t>
        </is>
      </c>
      <c r="G131" s="27" t="inlineStr">
        <is>
          <t>Initial capex</t>
        </is>
      </c>
      <c r="H131" s="46" t="n">
        <v>900000</v>
      </c>
      <c r="I131" s="27" t="inlineStr"/>
      <c r="J131" s="27" t="inlineStr">
        <is>
          <t>USD</t>
        </is>
      </c>
      <c r="K131" s="27" t="inlineStr">
        <is>
          <t>Finance operating schedule</t>
        </is>
      </c>
      <c r="L131" s="47" t="inlineStr">
        <is>
          <t>2026-06-30</t>
        </is>
      </c>
      <c r="M131" s="27" t="inlineStr"/>
    </row>
    <row r="132">
      <c r="A132" s="36" t="inlineStr">
        <is>
          <t>CAP-00128</t>
        </is>
      </c>
      <c r="B132" s="27" t="inlineStr">
        <is>
          <t>Create the FY27 capital-project portfolio model</t>
        </is>
      </c>
      <c r="C132" s="27" t="inlineStr">
        <is>
          <t>Capital project cases</t>
        </is>
      </c>
      <c r="D132" s="27" t="inlineStr">
        <is>
          <t>CP-08</t>
        </is>
      </c>
      <c r="E132" s="27" t="inlineStr">
        <is>
          <t>FY27 approval</t>
        </is>
      </c>
      <c r="F132" s="27" t="inlineStr">
        <is>
          <t>Approved case</t>
        </is>
      </c>
      <c r="G132" s="27" t="inlineStr">
        <is>
          <t>Debt-eligible basis</t>
        </is>
      </c>
      <c r="H132" s="46" t="n">
        <v>0</v>
      </c>
      <c r="I132" s="27" t="inlineStr"/>
      <c r="J132" s="27" t="inlineStr">
        <is>
          <t>USD</t>
        </is>
      </c>
      <c r="K132" s="27" t="inlineStr">
        <is>
          <t>Finance operating schedule</t>
        </is>
      </c>
      <c r="L132" s="47" t="inlineStr">
        <is>
          <t>2026-06-30</t>
        </is>
      </c>
      <c r="M132" s="27" t="inlineStr"/>
    </row>
    <row r="133">
      <c r="A133" s="36" t="inlineStr">
        <is>
          <t>CAP-00129</t>
        </is>
      </c>
      <c r="B133" s="27" t="inlineStr">
        <is>
          <t>Create the FY27 capital-project portfolio model</t>
        </is>
      </c>
      <c r="C133" s="27" t="inlineStr">
        <is>
          <t>Capital project cases</t>
        </is>
      </c>
      <c r="D133" s="27" t="inlineStr">
        <is>
          <t>CP-08</t>
        </is>
      </c>
      <c r="E133" s="27" t="inlineStr">
        <is>
          <t>FY27 approval</t>
        </is>
      </c>
      <c r="F133" s="27" t="inlineStr">
        <is>
          <t>Approved case</t>
        </is>
      </c>
      <c r="G133" s="27" t="inlineStr">
        <is>
          <t>Technician capacity required</t>
        </is>
      </c>
      <c r="H133" s="46" t="n">
        <v>1</v>
      </c>
      <c r="I133" s="27" t="inlineStr"/>
      <c r="J133" s="27" t="inlineStr">
        <is>
          <t>count</t>
        </is>
      </c>
      <c r="K133" s="27" t="inlineStr">
        <is>
          <t>Finance operating schedule</t>
        </is>
      </c>
      <c r="L133" s="47" t="inlineStr">
        <is>
          <t>2026-06-30</t>
        </is>
      </c>
      <c r="M133" s="27" t="inlineStr"/>
    </row>
    <row r="134">
      <c r="A134" s="36" t="inlineStr">
        <is>
          <t>CAP-00130</t>
        </is>
      </c>
      <c r="B134" s="27" t="inlineStr">
        <is>
          <t>Create the FY27 capital-project portfolio model</t>
        </is>
      </c>
      <c r="C134" s="27" t="inlineStr">
        <is>
          <t>Capital project cases</t>
        </is>
      </c>
      <c r="D134" s="27" t="inlineStr">
        <is>
          <t>CP-08</t>
        </is>
      </c>
      <c r="E134" s="27" t="inlineStr">
        <is>
          <t>FY27 approval</t>
        </is>
      </c>
      <c r="F134" s="27" t="inlineStr">
        <is>
          <t>Approved case</t>
        </is>
      </c>
      <c r="G134" s="27" t="inlineStr">
        <is>
          <t>Mandatory safety flag</t>
        </is>
      </c>
      <c r="H134" s="46" t="n">
        <v>1</v>
      </c>
      <c r="I134" s="27" t="inlineStr"/>
      <c r="J134" s="27" t="inlineStr">
        <is>
          <t>boolean</t>
        </is>
      </c>
      <c r="K134" s="27" t="inlineStr">
        <is>
          <t>Finance operating schedule</t>
        </is>
      </c>
      <c r="L134" s="47" t="inlineStr">
        <is>
          <t>2026-06-30</t>
        </is>
      </c>
      <c r="M134" s="27" t="inlineStr"/>
    </row>
    <row r="135">
      <c r="A135" s="36" t="inlineStr">
        <is>
          <t>CAP-00131</t>
        </is>
      </c>
      <c r="B135" s="27" t="inlineStr">
        <is>
          <t>Create the FY27 capital-project portfolio model</t>
        </is>
      </c>
      <c r="C135" s="27" t="inlineStr">
        <is>
          <t>Capital project cases</t>
        </is>
      </c>
      <c r="D135" s="27" t="inlineStr">
        <is>
          <t>CP-08</t>
        </is>
      </c>
      <c r="E135" s="27" t="inlineStr">
        <is>
          <t>FY27 approval</t>
        </is>
      </c>
      <c r="F135" s="27" t="inlineStr">
        <is>
          <t>Approved case</t>
        </is>
      </c>
      <c r="G135" s="27" t="inlineStr">
        <is>
          <t>Annual incremental EBITDA</t>
        </is>
      </c>
      <c r="H135" s="46" t="n">
        <v>250000</v>
      </c>
      <c r="I135" s="27" t="inlineStr"/>
      <c r="J135" s="27" t="inlineStr">
        <is>
          <t>USD</t>
        </is>
      </c>
      <c r="K135" s="27" t="inlineStr">
        <is>
          <t>Finance operating schedule</t>
        </is>
      </c>
      <c r="L135" s="47" t="inlineStr">
        <is>
          <t>2026-06-30</t>
        </is>
      </c>
      <c r="M135" s="27" t="inlineStr"/>
    </row>
    <row r="136">
      <c r="A136" s="36" t="inlineStr">
        <is>
          <t>CAP-00132</t>
        </is>
      </c>
      <c r="B136" s="27" t="inlineStr">
        <is>
          <t>Create the FY27 capital-project portfolio model</t>
        </is>
      </c>
      <c r="C136" s="27" t="inlineStr">
        <is>
          <t>Capital project cases</t>
        </is>
      </c>
      <c r="D136" s="27" t="inlineStr">
        <is>
          <t>CP-08</t>
        </is>
      </c>
      <c r="E136" s="27" t="inlineStr">
        <is>
          <t>FY27 approval</t>
        </is>
      </c>
      <c r="F136" s="27" t="inlineStr">
        <is>
          <t>Approved case</t>
        </is>
      </c>
      <c r="G136" s="27" t="inlineStr">
        <is>
          <t>Annual tax depreciation</t>
        </is>
      </c>
      <c r="H136" s="46" t="n">
        <v>50</v>
      </c>
      <c r="I136" s="27" t="inlineStr"/>
      <c r="J136" s="27" t="inlineStr">
        <is>
          <t>USD thousands</t>
        </is>
      </c>
      <c r="K136" s="27" t="inlineStr">
        <is>
          <t>Finance operating schedule</t>
        </is>
      </c>
      <c r="L136" s="47" t="inlineStr">
        <is>
          <t>2026-06-30</t>
        </is>
      </c>
      <c r="M136" s="27" t="inlineStr"/>
    </row>
    <row r="137">
      <c r="A137" s="36" t="inlineStr">
        <is>
          <t>CAP-00133</t>
        </is>
      </c>
      <c r="B137" s="27" t="inlineStr">
        <is>
          <t>Create the FY27 capital-project portfolio model</t>
        </is>
      </c>
      <c r="C137" s="27" t="inlineStr">
        <is>
          <t>Capital project cases</t>
        </is>
      </c>
      <c r="D137" s="27" t="inlineStr">
        <is>
          <t>CP-08</t>
        </is>
      </c>
      <c r="E137" s="27" t="inlineStr">
        <is>
          <t>FY27 approval</t>
        </is>
      </c>
      <c r="F137" s="27" t="inlineStr">
        <is>
          <t>Approved case</t>
        </is>
      </c>
      <c r="G137" s="27" t="inlineStr">
        <is>
          <t>Opening working capital</t>
        </is>
      </c>
      <c r="H137" s="46" t="n">
        <v>40000</v>
      </c>
      <c r="I137" s="27" t="inlineStr"/>
      <c r="J137" s="27" t="inlineStr">
        <is>
          <t>USD</t>
        </is>
      </c>
      <c r="K137" s="27" t="inlineStr">
        <is>
          <t>Finance operating schedule</t>
        </is>
      </c>
      <c r="L137" s="47" t="inlineStr">
        <is>
          <t>2026-06-30</t>
        </is>
      </c>
      <c r="M137" s="27" t="inlineStr"/>
    </row>
    <row r="138">
      <c r="A138" s="36" t="inlineStr">
        <is>
          <t>CAP-00134</t>
        </is>
      </c>
      <c r="B138" s="27" t="inlineStr">
        <is>
          <t>Create the FY27 capital-project portfolio model</t>
        </is>
      </c>
      <c r="C138" s="27" t="inlineStr">
        <is>
          <t>Capital project cases</t>
        </is>
      </c>
      <c r="D138" s="27" t="inlineStr">
        <is>
          <t>CP-08</t>
        </is>
      </c>
      <c r="E138" s="27" t="inlineStr">
        <is>
          <t>Year 1</t>
        </is>
      </c>
      <c r="F138" s="27" t="inlineStr">
        <is>
          <t>Approved case</t>
        </is>
      </c>
      <c r="G138" s="27" t="inlineStr">
        <is>
          <t>EBITDA realization factor</t>
        </is>
      </c>
      <c r="H138" s="46" t="n">
        <v>0.7</v>
      </c>
      <c r="I138" s="27" t="inlineStr"/>
      <c r="J138" s="27" t="inlineStr">
        <is>
          <t>decimal ratio</t>
        </is>
      </c>
      <c r="K138" s="27" t="inlineStr">
        <is>
          <t>Finance operating schedule</t>
        </is>
      </c>
      <c r="L138" s="47" t="inlineStr">
        <is>
          <t>2026-06-30</t>
        </is>
      </c>
      <c r="M138" s="27" t="inlineStr"/>
    </row>
    <row r="139">
      <c r="A139" s="36" t="inlineStr">
        <is>
          <t>CAP-00135</t>
        </is>
      </c>
      <c r="B139" s="27" t="inlineStr">
        <is>
          <t>Create the FY27 capital-project portfolio model</t>
        </is>
      </c>
      <c r="C139" s="27" t="inlineStr">
        <is>
          <t>Capital project cases</t>
        </is>
      </c>
      <c r="D139" s="27" t="inlineStr">
        <is>
          <t>CP-08</t>
        </is>
      </c>
      <c r="E139" s="27" t="inlineStr">
        <is>
          <t>Year 1</t>
        </is>
      </c>
      <c r="F139" s="27" t="inlineStr">
        <is>
          <t>Approved case</t>
        </is>
      </c>
      <c r="G139" s="27" t="inlineStr">
        <is>
          <t>Downside realization factor</t>
        </is>
      </c>
      <c r="H139" s="46" t="n">
        <v>0.45</v>
      </c>
      <c r="I139" s="27" t="inlineStr"/>
      <c r="J139" s="27" t="inlineStr">
        <is>
          <t>decimal ratio</t>
        </is>
      </c>
      <c r="K139" s="27" t="inlineStr">
        <is>
          <t>Finance operating schedule</t>
        </is>
      </c>
      <c r="L139" s="47" t="inlineStr">
        <is>
          <t>2026-06-30</t>
        </is>
      </c>
      <c r="M139" s="27" t="inlineStr"/>
    </row>
    <row r="140">
      <c r="A140" s="36" t="inlineStr">
        <is>
          <t>CAP-00136</t>
        </is>
      </c>
      <c r="B140" s="27" t="inlineStr">
        <is>
          <t>Create the FY27 capital-project portfolio model</t>
        </is>
      </c>
      <c r="C140" s="27" t="inlineStr">
        <is>
          <t>Capital project cases</t>
        </is>
      </c>
      <c r="D140" s="27" t="inlineStr">
        <is>
          <t>CP-08</t>
        </is>
      </c>
      <c r="E140" s="27" t="inlineStr">
        <is>
          <t>Year 2</t>
        </is>
      </c>
      <c r="F140" s="27" t="inlineStr">
        <is>
          <t>Approved case</t>
        </is>
      </c>
      <c r="G140" s="27" t="inlineStr">
        <is>
          <t>EBITDA realization factor</t>
        </is>
      </c>
      <c r="H140" s="46" t="n">
        <v>0.92</v>
      </c>
      <c r="I140" s="27" t="inlineStr"/>
      <c r="J140" s="27" t="inlineStr">
        <is>
          <t>decimal ratio</t>
        </is>
      </c>
      <c r="K140" s="27" t="inlineStr">
        <is>
          <t>Finance operating schedule</t>
        </is>
      </c>
      <c r="L140" s="47" t="inlineStr">
        <is>
          <t>2026-06-30</t>
        </is>
      </c>
      <c r="M140" s="27" t="inlineStr"/>
    </row>
    <row r="141">
      <c r="A141" s="36" t="inlineStr">
        <is>
          <t>CAP-00137</t>
        </is>
      </c>
      <c r="B141" s="27" t="inlineStr">
        <is>
          <t>Create the FY27 capital-project portfolio model</t>
        </is>
      </c>
      <c r="C141" s="27" t="inlineStr">
        <is>
          <t>Capital project cases</t>
        </is>
      </c>
      <c r="D141" s="27" t="inlineStr">
        <is>
          <t>CP-08</t>
        </is>
      </c>
      <c r="E141" s="27" t="inlineStr">
        <is>
          <t>Year 2</t>
        </is>
      </c>
      <c r="F141" s="27" t="inlineStr">
        <is>
          <t>Approved case</t>
        </is>
      </c>
      <c r="G141" s="27" t="inlineStr">
        <is>
          <t>Downside realization factor</t>
        </is>
      </c>
      <c r="H141" s="46" t="n">
        <v>0.64</v>
      </c>
      <c r="I141" s="27" t="inlineStr"/>
      <c r="J141" s="27" t="inlineStr">
        <is>
          <t>decimal ratio</t>
        </is>
      </c>
      <c r="K141" s="27" t="inlineStr">
        <is>
          <t>Finance operating schedule</t>
        </is>
      </c>
      <c r="L141" s="47" t="inlineStr">
        <is>
          <t>2026-06-30</t>
        </is>
      </c>
      <c r="M141" s="27" t="inlineStr"/>
    </row>
    <row r="142">
      <c r="A142" s="36" t="inlineStr">
        <is>
          <t>CAP-00138</t>
        </is>
      </c>
      <c r="B142" s="27" t="inlineStr">
        <is>
          <t>Create the FY27 capital-project portfolio model</t>
        </is>
      </c>
      <c r="C142" s="27" t="inlineStr">
        <is>
          <t>Capital project cases</t>
        </is>
      </c>
      <c r="D142" s="27" t="inlineStr">
        <is>
          <t>CP-08</t>
        </is>
      </c>
      <c r="E142" s="27" t="inlineStr">
        <is>
          <t>Year 3</t>
        </is>
      </c>
      <c r="F142" s="27" t="inlineStr">
        <is>
          <t>Approved case</t>
        </is>
      </c>
      <c r="G142" s="27" t="inlineStr">
        <is>
          <t>EBITDA realization factor</t>
        </is>
      </c>
      <c r="H142" s="46" t="n">
        <v>1</v>
      </c>
      <c r="I142" s="27" t="inlineStr"/>
      <c r="J142" s="27" t="inlineStr">
        <is>
          <t>decimal ratio</t>
        </is>
      </c>
      <c r="K142" s="27" t="inlineStr">
        <is>
          <t>Finance operating schedule</t>
        </is>
      </c>
      <c r="L142" s="47" t="inlineStr">
        <is>
          <t>2026-06-30</t>
        </is>
      </c>
      <c r="M142" s="27" t="inlineStr"/>
    </row>
    <row r="143">
      <c r="A143" s="36" t="inlineStr">
        <is>
          <t>CAP-00139</t>
        </is>
      </c>
      <c r="B143" s="27" t="inlineStr">
        <is>
          <t>Create the FY27 capital-project portfolio model</t>
        </is>
      </c>
      <c r="C143" s="27" t="inlineStr">
        <is>
          <t>Capital project cases</t>
        </is>
      </c>
      <c r="D143" s="27" t="inlineStr">
        <is>
          <t>CP-08</t>
        </is>
      </c>
      <c r="E143" s="27" t="inlineStr">
        <is>
          <t>Year 3</t>
        </is>
      </c>
      <c r="F143" s="27" t="inlineStr">
        <is>
          <t>Approved case</t>
        </is>
      </c>
      <c r="G143" s="27" t="inlineStr">
        <is>
          <t>Downside realization factor</t>
        </is>
      </c>
      <c r="H143" s="46" t="n">
        <v>0.72</v>
      </c>
      <c r="I143" s="27" t="inlineStr"/>
      <c r="J143" s="27" t="inlineStr">
        <is>
          <t>decimal ratio</t>
        </is>
      </c>
      <c r="K143" s="27" t="inlineStr">
        <is>
          <t>Finance operating schedule</t>
        </is>
      </c>
      <c r="L143" s="47" t="inlineStr">
        <is>
          <t>2026-06-30</t>
        </is>
      </c>
      <c r="M143" s="27" t="inlineStr"/>
    </row>
    <row r="144">
      <c r="A144" s="36" t="inlineStr">
        <is>
          <t>CAP-00140</t>
        </is>
      </c>
      <c r="B144" s="27" t="inlineStr">
        <is>
          <t>Create the FY27 capital-project portfolio model</t>
        </is>
      </c>
      <c r="C144" s="27" t="inlineStr">
        <is>
          <t>Capital project cases</t>
        </is>
      </c>
      <c r="D144" s="27" t="inlineStr">
        <is>
          <t>CP-08</t>
        </is>
      </c>
      <c r="E144" s="27" t="inlineStr">
        <is>
          <t>Year 4</t>
        </is>
      </c>
      <c r="F144" s="27" t="inlineStr">
        <is>
          <t>Approved case</t>
        </is>
      </c>
      <c r="G144" s="27" t="inlineStr">
        <is>
          <t>EBITDA realization factor</t>
        </is>
      </c>
      <c r="H144" s="46" t="n">
        <v>1</v>
      </c>
      <c r="I144" s="27" t="inlineStr"/>
      <c r="J144" s="27" t="inlineStr">
        <is>
          <t>decimal ratio</t>
        </is>
      </c>
      <c r="K144" s="27" t="inlineStr">
        <is>
          <t>Finance operating schedule</t>
        </is>
      </c>
      <c r="L144" s="47" t="inlineStr">
        <is>
          <t>2026-06-30</t>
        </is>
      </c>
      <c r="M144" s="27" t="inlineStr"/>
    </row>
    <row r="145">
      <c r="A145" s="36" t="inlineStr">
        <is>
          <t>CAP-00141</t>
        </is>
      </c>
      <c r="B145" s="27" t="inlineStr">
        <is>
          <t>Create the FY27 capital-project portfolio model</t>
        </is>
      </c>
      <c r="C145" s="27" t="inlineStr">
        <is>
          <t>Capital project cases</t>
        </is>
      </c>
      <c r="D145" s="27" t="inlineStr">
        <is>
          <t>CP-08</t>
        </is>
      </c>
      <c r="E145" s="27" t="inlineStr">
        <is>
          <t>Year 4</t>
        </is>
      </c>
      <c r="F145" s="27" t="inlineStr">
        <is>
          <t>Approved case</t>
        </is>
      </c>
      <c r="G145" s="27" t="inlineStr">
        <is>
          <t>Downside realization factor</t>
        </is>
      </c>
      <c r="H145" s="46" t="n">
        <v>0.72</v>
      </c>
      <c r="I145" s="27" t="inlineStr"/>
      <c r="J145" s="27" t="inlineStr">
        <is>
          <t>decimal ratio</t>
        </is>
      </c>
      <c r="K145" s="27" t="inlineStr">
        <is>
          <t>Finance operating schedule</t>
        </is>
      </c>
      <c r="L145" s="47" t="inlineStr">
        <is>
          <t>2026-06-30</t>
        </is>
      </c>
      <c r="M145" s="27" t="inlineStr"/>
    </row>
    <row r="146">
      <c r="A146" s="36" t="inlineStr">
        <is>
          <t>CAP-00142</t>
        </is>
      </c>
      <c r="B146" s="27" t="inlineStr">
        <is>
          <t>Create the FY27 capital-project portfolio model</t>
        </is>
      </c>
      <c r="C146" s="27" t="inlineStr">
        <is>
          <t>Capital project cases</t>
        </is>
      </c>
      <c r="D146" s="27" t="inlineStr">
        <is>
          <t>CP-08</t>
        </is>
      </c>
      <c r="E146" s="27" t="inlineStr">
        <is>
          <t>Year 5</t>
        </is>
      </c>
      <c r="F146" s="27" t="inlineStr">
        <is>
          <t>Approved case</t>
        </is>
      </c>
      <c r="G146" s="27" t="inlineStr">
        <is>
          <t>EBITDA realization factor</t>
        </is>
      </c>
      <c r="H146" s="46" t="n">
        <v>1</v>
      </c>
      <c r="I146" s="27" t="inlineStr"/>
      <c r="J146" s="27" t="inlineStr">
        <is>
          <t>decimal ratio</t>
        </is>
      </c>
      <c r="K146" s="27" t="inlineStr">
        <is>
          <t>Finance operating schedule</t>
        </is>
      </c>
      <c r="L146" s="47" t="inlineStr">
        <is>
          <t>2026-06-30</t>
        </is>
      </c>
      <c r="M146" s="27" t="inlineStr"/>
    </row>
    <row r="147">
      <c r="A147" s="36" t="inlineStr">
        <is>
          <t>CAP-00143</t>
        </is>
      </c>
      <c r="B147" s="27" t="inlineStr">
        <is>
          <t>Create the FY27 capital-project portfolio model</t>
        </is>
      </c>
      <c r="C147" s="27" t="inlineStr">
        <is>
          <t>Capital project cases</t>
        </is>
      </c>
      <c r="D147" s="27" t="inlineStr">
        <is>
          <t>CP-08</t>
        </is>
      </c>
      <c r="E147" s="27" t="inlineStr">
        <is>
          <t>Year 5</t>
        </is>
      </c>
      <c r="F147" s="27" t="inlineStr">
        <is>
          <t>Approved case</t>
        </is>
      </c>
      <c r="G147" s="27" t="inlineStr">
        <is>
          <t>Downside realization factor</t>
        </is>
      </c>
      <c r="H147" s="46" t="n">
        <v>0.72</v>
      </c>
      <c r="I147" s="27" t="inlineStr"/>
      <c r="J147" s="27" t="inlineStr">
        <is>
          <t>decimal ratio</t>
        </is>
      </c>
      <c r="K147" s="27" t="inlineStr">
        <is>
          <t>Finance operating schedule</t>
        </is>
      </c>
      <c r="L147" s="47" t="inlineStr">
        <is>
          <t>2026-06-30</t>
        </is>
      </c>
      <c r="M147" s="27" t="inlineStr"/>
    </row>
    <row r="148">
      <c r="A148" s="36" t="inlineStr">
        <is>
          <t>CAP-00144</t>
        </is>
      </c>
      <c r="B148" s="27" t="inlineStr">
        <is>
          <t>Create the FY27 capital-project portfolio model</t>
        </is>
      </c>
      <c r="C148" s="27" t="inlineStr">
        <is>
          <t>Capital project cases</t>
        </is>
      </c>
      <c r="D148" s="27" t="inlineStr">
        <is>
          <t>CP-08</t>
        </is>
      </c>
      <c r="E148" s="27" t="inlineStr">
        <is>
          <t>Year 5</t>
        </is>
      </c>
      <c r="F148" s="27" t="inlineStr">
        <is>
          <t>Approved case</t>
        </is>
      </c>
      <c r="G148" s="27" t="inlineStr">
        <is>
          <t>Terminal recovery percent of capex</t>
        </is>
      </c>
      <c r="H148" s="46" t="n">
        <v>0.18</v>
      </c>
      <c r="I148" s="27" t="inlineStr"/>
      <c r="J148" s="27" t="inlineStr">
        <is>
          <t>decimal ratio</t>
        </is>
      </c>
      <c r="K148" s="27" t="inlineStr">
        <is>
          <t>Finance operating schedule</t>
        </is>
      </c>
      <c r="L148" s="47" t="inlineStr">
        <is>
          <t>2026-06-30</t>
        </is>
      </c>
      <c r="M148" s="27" t="inlineStr"/>
    </row>
    <row r="149">
      <c r="A149" s="36" t="inlineStr">
        <is>
          <t>CAP-00145</t>
        </is>
      </c>
      <c r="B149" s="27" t="inlineStr">
        <is>
          <t>Create the FY27 capital-project portfolio model</t>
        </is>
      </c>
      <c r="C149" s="27" t="inlineStr">
        <is>
          <t>Portfolio constraints</t>
        </is>
      </c>
      <c r="D149" s="27" t="inlineStr">
        <is>
          <t>Committee</t>
        </is>
      </c>
      <c r="E149" s="27" t="inlineStr">
        <is>
          <t>FY27</t>
        </is>
      </c>
      <c r="F149" s="27" t="inlineStr">
        <is>
          <t>Approved case</t>
        </is>
      </c>
      <c r="G149" s="27" t="inlineStr">
        <is>
          <t>FY27 cash capex ceiling</t>
        </is>
      </c>
      <c r="H149" s="46" t="n">
        <v>7600000</v>
      </c>
      <c r="I149" s="27" t="inlineStr"/>
      <c r="J149" s="27" t="inlineStr">
        <is>
          <t>USD</t>
        </is>
      </c>
      <c r="K149" s="27" t="inlineStr">
        <is>
          <t>Finance operating schedule</t>
        </is>
      </c>
      <c r="L149" s="47" t="inlineStr">
        <is>
          <t>2026-06-30</t>
        </is>
      </c>
      <c r="M149" s="27" t="inlineStr"/>
    </row>
    <row r="150">
      <c r="A150" s="36" t="inlineStr">
        <is>
          <t>CAP-00146</t>
        </is>
      </c>
      <c r="B150" s="27" t="inlineStr">
        <is>
          <t>Create the FY27 capital-project portfolio model</t>
        </is>
      </c>
      <c r="C150" s="27" t="inlineStr">
        <is>
          <t>Portfolio constraints</t>
        </is>
      </c>
      <c r="D150" s="27" t="inlineStr">
        <is>
          <t>Committee</t>
        </is>
      </c>
      <c r="E150" s="27" t="inlineStr">
        <is>
          <t>FY27</t>
        </is>
      </c>
      <c r="F150" s="27" t="inlineStr">
        <is>
          <t>Approved case</t>
        </is>
      </c>
      <c r="G150" s="27" t="inlineStr">
        <is>
          <t>Debt capacity for eligible projects</t>
        </is>
      </c>
      <c r="H150" s="46" t="n">
        <v>4000000</v>
      </c>
      <c r="I150" s="27" t="inlineStr"/>
      <c r="J150" s="27" t="inlineStr">
        <is>
          <t>USD</t>
        </is>
      </c>
      <c r="K150" s="27" t="inlineStr">
        <is>
          <t>Finance operating schedule</t>
        </is>
      </c>
      <c r="L150" s="47" t="inlineStr">
        <is>
          <t>2026-06-30</t>
        </is>
      </c>
      <c r="M150" s="27" t="inlineStr"/>
    </row>
    <row r="151">
      <c r="A151" s="36" t="inlineStr">
        <is>
          <t>CAP-00147</t>
        </is>
      </c>
      <c r="B151" s="27" t="inlineStr">
        <is>
          <t>Create the FY27 capital-project portfolio model</t>
        </is>
      </c>
      <c r="C151" s="27" t="inlineStr">
        <is>
          <t>Portfolio constraints</t>
        </is>
      </c>
      <c r="D151" s="27" t="inlineStr">
        <is>
          <t>Committee</t>
        </is>
      </c>
      <c r="E151" s="27" t="inlineStr">
        <is>
          <t>FY27</t>
        </is>
      </c>
      <c r="F151" s="27" t="inlineStr">
        <is>
          <t>Approved case</t>
        </is>
      </c>
      <c r="G151" s="27" t="inlineStr">
        <is>
          <t>Technician capacity ceiling</t>
        </is>
      </c>
      <c r="H151" s="46" t="n">
        <v>12</v>
      </c>
      <c r="I151" s="27" t="inlineStr"/>
      <c r="J151" s="27" t="inlineStr">
        <is>
          <t>count</t>
        </is>
      </c>
      <c r="K151" s="27" t="inlineStr">
        <is>
          <t>Finance operating schedule</t>
        </is>
      </c>
      <c r="L151" s="47" t="inlineStr">
        <is>
          <t>2026-06-30</t>
        </is>
      </c>
      <c r="M151" s="27" t="inlineStr"/>
    </row>
    <row r="152">
      <c r="A152" s="36" t="inlineStr">
        <is>
          <t>CAP-00148</t>
        </is>
      </c>
      <c r="B152" s="27" t="inlineStr">
        <is>
          <t>Create the FY27 capital-project portfolio model</t>
        </is>
      </c>
      <c r="C152" s="27" t="inlineStr">
        <is>
          <t>Portfolio constraints</t>
        </is>
      </c>
      <c r="D152" s="27" t="inlineStr">
        <is>
          <t>Committee</t>
        </is>
      </c>
      <c r="E152" s="27" t="inlineStr">
        <is>
          <t>FY27</t>
        </is>
      </c>
      <c r="F152" s="27" t="inlineStr">
        <is>
          <t>Approved case</t>
        </is>
      </c>
      <c r="G152" s="27" t="inlineStr">
        <is>
          <t>Discount rate</t>
        </is>
      </c>
      <c r="H152" s="46" t="n">
        <v>0.105</v>
      </c>
      <c r="I152" s="27" t="inlineStr"/>
      <c r="J152" s="27" t="inlineStr">
        <is>
          <t>decimal ratio</t>
        </is>
      </c>
      <c r="K152" s="27" t="inlineStr">
        <is>
          <t>Finance operating schedule</t>
        </is>
      </c>
      <c r="L152" s="47" t="inlineStr">
        <is>
          <t>2026-06-30</t>
        </is>
      </c>
      <c r="M152" s="27" t="inlineStr"/>
    </row>
    <row r="153">
      <c r="A153" s="36" t="inlineStr">
        <is>
          <t>CAP-00149</t>
        </is>
      </c>
      <c r="B153" s="27" t="inlineStr">
        <is>
          <t>Create the FY27 capital-project portfolio model</t>
        </is>
      </c>
      <c r="C153" s="27" t="inlineStr">
        <is>
          <t>Portfolio constraints</t>
        </is>
      </c>
      <c r="D153" s="27" t="inlineStr">
        <is>
          <t>Committee</t>
        </is>
      </c>
      <c r="E153" s="27" t="inlineStr">
        <is>
          <t>FY27</t>
        </is>
      </c>
      <c r="F153" s="27" t="inlineStr">
        <is>
          <t>Approved case</t>
        </is>
      </c>
      <c r="G153" s="27" t="inlineStr">
        <is>
          <t>Tax rate</t>
        </is>
      </c>
      <c r="H153" s="46" t="n">
        <v>0.24</v>
      </c>
      <c r="I153" s="27" t="inlineStr"/>
      <c r="J153" s="27" t="inlineStr">
        <is>
          <t>decimal ratio</t>
        </is>
      </c>
      <c r="K153" s="27" t="inlineStr">
        <is>
          <t>Finance operating schedule</t>
        </is>
      </c>
      <c r="L153" s="47" t="inlineStr">
        <is>
          <t>2026-06-30</t>
        </is>
      </c>
      <c r="M153" s="27" t="inlineStr"/>
    </row>
    <row r="154">
      <c r="A154" s="36" t="inlineStr">
        <is>
          <t>CAP-00166</t>
        </is>
      </c>
      <c r="B154" s="27" t="inlineStr">
        <is>
          <t>Boise branch expansion business case</t>
        </is>
      </c>
      <c r="C154" s="27" t="inlineStr">
        <is>
          <t>Boise operating case</t>
        </is>
      </c>
      <c r="D154" s="27" t="inlineStr">
        <is>
          <t>Boise branch</t>
        </is>
      </c>
      <c r="E154" s="27" t="inlineStr">
        <is>
          <t>Year 1</t>
        </is>
      </c>
      <c r="F154" s="27" t="inlineStr">
        <is>
          <t>Approved case</t>
        </is>
      </c>
      <c r="G154" s="27" t="inlineStr">
        <is>
          <t>Productive technicians</t>
        </is>
      </c>
      <c r="H154" s="46" t="n">
        <v>6</v>
      </c>
      <c r="I154" s="27" t="inlineStr"/>
      <c r="J154" s="27" t="inlineStr">
        <is>
          <t>count</t>
        </is>
      </c>
      <c r="K154" s="27" t="inlineStr">
        <is>
          <t>Finance operating schedule</t>
        </is>
      </c>
      <c r="L154" s="47" t="inlineStr">
        <is>
          <t>2026-06-30</t>
        </is>
      </c>
      <c r="M154" s="27" t="inlineStr"/>
    </row>
    <row r="155">
      <c r="A155" s="36" t="inlineStr">
        <is>
          <t>CAP-00167</t>
        </is>
      </c>
      <c r="B155" s="27" t="inlineStr">
        <is>
          <t>Boise branch expansion business case</t>
        </is>
      </c>
      <c r="C155" s="27" t="inlineStr">
        <is>
          <t>Boise operating case</t>
        </is>
      </c>
      <c r="D155" s="27" t="inlineStr">
        <is>
          <t>Boise branch</t>
        </is>
      </c>
      <c r="E155" s="27" t="inlineStr">
        <is>
          <t>Year 1</t>
        </is>
      </c>
      <c r="F155" s="27" t="inlineStr">
        <is>
          <t>Approved case</t>
        </is>
      </c>
      <c r="G155" s="27" t="inlineStr">
        <is>
          <t>Jobs per technician</t>
        </is>
      </c>
      <c r="H155" s="46" t="n">
        <v>170</v>
      </c>
      <c r="I155" s="27" t="inlineStr"/>
      <c r="J155" s="27" t="inlineStr">
        <is>
          <t>count</t>
        </is>
      </c>
      <c r="K155" s="27" t="inlineStr">
        <is>
          <t>Finance operating schedule</t>
        </is>
      </c>
      <c r="L155" s="47" t="inlineStr">
        <is>
          <t>2026-06-30</t>
        </is>
      </c>
      <c r="M155" s="27" t="inlineStr"/>
    </row>
    <row r="156">
      <c r="A156" s="36" t="inlineStr">
        <is>
          <t>CAP-00168</t>
        </is>
      </c>
      <c r="B156" s="27" t="inlineStr">
        <is>
          <t>Boise branch expansion business case</t>
        </is>
      </c>
      <c r="C156" s="27" t="inlineStr">
        <is>
          <t>Boise operating case</t>
        </is>
      </c>
      <c r="D156" s="27" t="inlineStr">
        <is>
          <t>Boise branch</t>
        </is>
      </c>
      <c r="E156" s="27" t="inlineStr">
        <is>
          <t>Year 1</t>
        </is>
      </c>
      <c r="F156" s="27" t="inlineStr">
        <is>
          <t>Approved case</t>
        </is>
      </c>
      <c r="G156" s="27" t="inlineStr">
        <is>
          <t>Average revenue per job</t>
        </is>
      </c>
      <c r="H156" s="46" t="n">
        <v>1420</v>
      </c>
      <c r="I156" s="27" t="inlineStr"/>
      <c r="J156" s="27" t="inlineStr">
        <is>
          <t>USD per job</t>
        </is>
      </c>
      <c r="K156" s="27" t="inlineStr">
        <is>
          <t>Finance operating schedule</t>
        </is>
      </c>
      <c r="L156" s="47" t="inlineStr">
        <is>
          <t>2026-06-30</t>
        </is>
      </c>
      <c r="M156" s="27" t="inlineStr"/>
    </row>
    <row r="157">
      <c r="A157" s="36" t="inlineStr">
        <is>
          <t>CAP-00169</t>
        </is>
      </c>
      <c r="B157" s="27" t="inlineStr">
        <is>
          <t>Boise branch expansion business case</t>
        </is>
      </c>
      <c r="C157" s="27" t="inlineStr">
        <is>
          <t>Boise operating case</t>
        </is>
      </c>
      <c r="D157" s="27" t="inlineStr">
        <is>
          <t>Boise branch</t>
        </is>
      </c>
      <c r="E157" s="27" t="inlineStr">
        <is>
          <t>Year 1</t>
        </is>
      </c>
      <c r="F157" s="27" t="inlineStr">
        <is>
          <t>Approved case</t>
        </is>
      </c>
      <c r="G157" s="27" t="inlineStr">
        <is>
          <t>Variable labor percent of revenue</t>
        </is>
      </c>
      <c r="H157" s="46" t="n">
        <v>0.305</v>
      </c>
      <c r="I157" s="27" t="inlineStr"/>
      <c r="J157" s="27" t="inlineStr">
        <is>
          <t>decimal ratio</t>
        </is>
      </c>
      <c r="K157" s="27" t="inlineStr">
        <is>
          <t>Finance operating schedule</t>
        </is>
      </c>
      <c r="L157" s="47" t="inlineStr">
        <is>
          <t>2026-06-30</t>
        </is>
      </c>
      <c r="M157" s="27" t="inlineStr"/>
    </row>
    <row r="158">
      <c r="A158" s="36" t="inlineStr">
        <is>
          <t>CAP-00170</t>
        </is>
      </c>
      <c r="B158" s="27" t="inlineStr">
        <is>
          <t>Boise branch expansion business case</t>
        </is>
      </c>
      <c r="C158" s="27" t="inlineStr">
        <is>
          <t>Boise operating case</t>
        </is>
      </c>
      <c r="D158" s="27" t="inlineStr">
        <is>
          <t>Boise branch</t>
        </is>
      </c>
      <c r="E158" s="27" t="inlineStr">
        <is>
          <t>Year 1</t>
        </is>
      </c>
      <c r="F158" s="27" t="inlineStr">
        <is>
          <t>Approved case</t>
        </is>
      </c>
      <c r="G158" s="27" t="inlineStr">
        <is>
          <t>Material percent of revenue</t>
        </is>
      </c>
      <c r="H158" s="46" t="n">
        <v>0.225</v>
      </c>
      <c r="I158" s="27" t="inlineStr"/>
      <c r="J158" s="27" t="inlineStr">
        <is>
          <t>decimal ratio</t>
        </is>
      </c>
      <c r="K158" s="27" t="inlineStr">
        <is>
          <t>Finance operating schedule</t>
        </is>
      </c>
      <c r="L158" s="47" t="inlineStr">
        <is>
          <t>2026-06-30</t>
        </is>
      </c>
      <c r="M158" s="27" t="inlineStr"/>
    </row>
    <row r="159">
      <c r="A159" s="36" t="inlineStr">
        <is>
          <t>CAP-00171</t>
        </is>
      </c>
      <c r="B159" s="27" t="inlineStr">
        <is>
          <t>Boise branch expansion business case</t>
        </is>
      </c>
      <c r="C159" s="27" t="inlineStr">
        <is>
          <t>Boise operating case</t>
        </is>
      </c>
      <c r="D159" s="27" t="inlineStr">
        <is>
          <t>Boise branch</t>
        </is>
      </c>
      <c r="E159" s="27" t="inlineStr">
        <is>
          <t>Year 1</t>
        </is>
      </c>
      <c r="F159" s="27" t="inlineStr">
        <is>
          <t>Approved case</t>
        </is>
      </c>
      <c r="G159" s="27" t="inlineStr">
        <is>
          <t>Local fixed operating cost</t>
        </is>
      </c>
      <c r="H159" s="46" t="n">
        <v>1050000</v>
      </c>
      <c r="I159" s="27" t="inlineStr"/>
      <c r="J159" s="27" t="inlineStr">
        <is>
          <t>USD</t>
        </is>
      </c>
      <c r="K159" s="27" t="inlineStr">
        <is>
          <t>Finance operating schedule</t>
        </is>
      </c>
      <c r="L159" s="47" t="inlineStr">
        <is>
          <t>2026-06-30</t>
        </is>
      </c>
      <c r="M159" s="27" t="inlineStr"/>
    </row>
    <row r="160">
      <c r="A160" s="36" t="inlineStr">
        <is>
          <t>CAP-00172</t>
        </is>
      </c>
      <c r="B160" s="27" t="inlineStr">
        <is>
          <t>Boise branch expansion business case</t>
        </is>
      </c>
      <c r="C160" s="27" t="inlineStr">
        <is>
          <t>Boise operating case</t>
        </is>
      </c>
      <c r="D160" s="27" t="inlineStr">
        <is>
          <t>Boise branch</t>
        </is>
      </c>
      <c r="E160" s="27" t="inlineStr">
        <is>
          <t>Year 1</t>
        </is>
      </c>
      <c r="F160" s="27" t="inlineStr">
        <is>
          <t>Approved case</t>
        </is>
      </c>
      <c r="G160" s="27" t="inlineStr">
        <is>
          <t>Maintenance capex</t>
        </is>
      </c>
      <c r="H160" s="46" t="n">
        <v>0</v>
      </c>
      <c r="I160" s="27" t="inlineStr"/>
      <c r="J160" s="27" t="inlineStr">
        <is>
          <t>USD</t>
        </is>
      </c>
      <c r="K160" s="27" t="inlineStr">
        <is>
          <t>Finance operating schedule</t>
        </is>
      </c>
      <c r="L160" s="47" t="inlineStr">
        <is>
          <t>2026-06-30</t>
        </is>
      </c>
      <c r="M160" s="27" t="inlineStr"/>
    </row>
    <row r="161">
      <c r="A161" s="36" t="inlineStr">
        <is>
          <t>CAP-00173</t>
        </is>
      </c>
      <c r="B161" s="27" t="inlineStr">
        <is>
          <t>Boise branch expansion business case</t>
        </is>
      </c>
      <c r="C161" s="27" t="inlineStr">
        <is>
          <t>Boise operating case</t>
        </is>
      </c>
      <c r="D161" s="27" t="inlineStr">
        <is>
          <t>Boise branch</t>
        </is>
      </c>
      <c r="E161" s="27" t="inlineStr">
        <is>
          <t>Year 2</t>
        </is>
      </c>
      <c r="F161" s="27" t="inlineStr">
        <is>
          <t>Approved case</t>
        </is>
      </c>
      <c r="G161" s="27" t="inlineStr">
        <is>
          <t>Productive technicians</t>
        </is>
      </c>
      <c r="H161" s="46" t="n">
        <v>10</v>
      </c>
      <c r="I161" s="27" t="inlineStr"/>
      <c r="J161" s="27" t="inlineStr">
        <is>
          <t>count</t>
        </is>
      </c>
      <c r="K161" s="27" t="inlineStr">
        <is>
          <t>Finance operating schedule</t>
        </is>
      </c>
      <c r="L161" s="47" t="inlineStr">
        <is>
          <t>2026-06-30</t>
        </is>
      </c>
      <c r="M161" s="27" t="inlineStr"/>
    </row>
    <row r="162">
      <c r="A162" s="36" t="inlineStr">
        <is>
          <t>CAP-00174</t>
        </is>
      </c>
      <c r="B162" s="27" t="inlineStr">
        <is>
          <t>Boise branch expansion business case</t>
        </is>
      </c>
      <c r="C162" s="27" t="inlineStr">
        <is>
          <t>Boise operating case</t>
        </is>
      </c>
      <c r="D162" s="27" t="inlineStr">
        <is>
          <t>Boise branch</t>
        </is>
      </c>
      <c r="E162" s="27" t="inlineStr">
        <is>
          <t>Year 2</t>
        </is>
      </c>
      <c r="F162" s="27" t="inlineStr">
        <is>
          <t>Approved case</t>
        </is>
      </c>
      <c r="G162" s="27" t="inlineStr">
        <is>
          <t>Jobs per technician</t>
        </is>
      </c>
      <c r="H162" s="46" t="n">
        <v>205</v>
      </c>
      <c r="I162" s="27" t="inlineStr"/>
      <c r="J162" s="27" t="inlineStr">
        <is>
          <t>count</t>
        </is>
      </c>
      <c r="K162" s="27" t="inlineStr">
        <is>
          <t>Finance operating schedule</t>
        </is>
      </c>
      <c r="L162" s="47" t="inlineStr">
        <is>
          <t>2026-06-30</t>
        </is>
      </c>
      <c r="M162" s="27" t="inlineStr"/>
    </row>
    <row r="163">
      <c r="A163" s="36" t="inlineStr">
        <is>
          <t>CAP-00175</t>
        </is>
      </c>
      <c r="B163" s="27" t="inlineStr">
        <is>
          <t>Boise branch expansion business case</t>
        </is>
      </c>
      <c r="C163" s="27" t="inlineStr">
        <is>
          <t>Boise operating case</t>
        </is>
      </c>
      <c r="D163" s="27" t="inlineStr">
        <is>
          <t>Boise branch</t>
        </is>
      </c>
      <c r="E163" s="27" t="inlineStr">
        <is>
          <t>Year 2</t>
        </is>
      </c>
      <c r="F163" s="27" t="inlineStr">
        <is>
          <t>Approved case</t>
        </is>
      </c>
      <c r="G163" s="27" t="inlineStr">
        <is>
          <t>Average revenue per job</t>
        </is>
      </c>
      <c r="H163" s="46" t="n">
        <v>1465</v>
      </c>
      <c r="I163" s="27" t="inlineStr"/>
      <c r="J163" s="27" t="inlineStr">
        <is>
          <t>USD per job</t>
        </is>
      </c>
      <c r="K163" s="27" t="inlineStr">
        <is>
          <t>Finance operating schedule</t>
        </is>
      </c>
      <c r="L163" s="47" t="inlineStr">
        <is>
          <t>2026-06-30</t>
        </is>
      </c>
      <c r="M163" s="27" t="inlineStr"/>
    </row>
    <row r="164">
      <c r="A164" s="36" t="inlineStr">
        <is>
          <t>CAP-00176</t>
        </is>
      </c>
      <c r="B164" s="27" t="inlineStr">
        <is>
          <t>Boise branch expansion business case</t>
        </is>
      </c>
      <c r="C164" s="27" t="inlineStr">
        <is>
          <t>Boise operating case</t>
        </is>
      </c>
      <c r="D164" s="27" t="inlineStr">
        <is>
          <t>Boise branch</t>
        </is>
      </c>
      <c r="E164" s="27" t="inlineStr">
        <is>
          <t>Year 2</t>
        </is>
      </c>
      <c r="F164" s="27" t="inlineStr">
        <is>
          <t>Approved case</t>
        </is>
      </c>
      <c r="G164" s="27" t="inlineStr">
        <is>
          <t>Variable labor percent of revenue</t>
        </is>
      </c>
      <c r="H164" s="46" t="n">
        <v>0.305</v>
      </c>
      <c r="I164" s="27" t="inlineStr"/>
      <c r="J164" s="27" t="inlineStr">
        <is>
          <t>decimal ratio</t>
        </is>
      </c>
      <c r="K164" s="27" t="inlineStr">
        <is>
          <t>Finance operating schedule</t>
        </is>
      </c>
      <c r="L164" s="47" t="inlineStr">
        <is>
          <t>2026-06-30</t>
        </is>
      </c>
      <c r="M164" s="27" t="inlineStr"/>
    </row>
    <row r="165">
      <c r="A165" s="36" t="inlineStr">
        <is>
          <t>CAP-00177</t>
        </is>
      </c>
      <c r="B165" s="27" t="inlineStr">
        <is>
          <t>Boise branch expansion business case</t>
        </is>
      </c>
      <c r="C165" s="27" t="inlineStr">
        <is>
          <t>Boise operating case</t>
        </is>
      </c>
      <c r="D165" s="27" t="inlineStr">
        <is>
          <t>Boise branch</t>
        </is>
      </c>
      <c r="E165" s="27" t="inlineStr">
        <is>
          <t>Year 2</t>
        </is>
      </c>
      <c r="F165" s="27" t="inlineStr">
        <is>
          <t>Approved case</t>
        </is>
      </c>
      <c r="G165" s="27" t="inlineStr">
        <is>
          <t>Material percent of revenue</t>
        </is>
      </c>
      <c r="H165" s="46" t="n">
        <v>0.225</v>
      </c>
      <c r="I165" s="27" t="inlineStr"/>
      <c r="J165" s="27" t="inlineStr">
        <is>
          <t>decimal ratio</t>
        </is>
      </c>
      <c r="K165" s="27" t="inlineStr">
        <is>
          <t>Finance operating schedule</t>
        </is>
      </c>
      <c r="L165" s="47" t="inlineStr">
        <is>
          <t>2026-06-30</t>
        </is>
      </c>
      <c r="M165" s="27" t="inlineStr"/>
    </row>
    <row r="166">
      <c r="A166" s="36" t="inlineStr">
        <is>
          <t>CAP-00178</t>
        </is>
      </c>
      <c r="B166" s="27" t="inlineStr">
        <is>
          <t>Boise branch expansion business case</t>
        </is>
      </c>
      <c r="C166" s="27" t="inlineStr">
        <is>
          <t>Boise operating case</t>
        </is>
      </c>
      <c r="D166" s="27" t="inlineStr">
        <is>
          <t>Boise branch</t>
        </is>
      </c>
      <c r="E166" s="27" t="inlineStr">
        <is>
          <t>Year 2</t>
        </is>
      </c>
      <c r="F166" s="27" t="inlineStr">
        <is>
          <t>Approved case</t>
        </is>
      </c>
      <c r="G166" s="27" t="inlineStr">
        <is>
          <t>Local fixed operating cost</t>
        </is>
      </c>
      <c r="H166" s="46" t="n">
        <v>1081500</v>
      </c>
      <c r="I166" s="27" t="inlineStr"/>
      <c r="J166" s="27" t="inlineStr">
        <is>
          <t>USD</t>
        </is>
      </c>
      <c r="K166" s="27" t="inlineStr">
        <is>
          <t>Finance operating schedule</t>
        </is>
      </c>
      <c r="L166" s="47" t="inlineStr">
        <is>
          <t>2026-06-30</t>
        </is>
      </c>
      <c r="M166" s="27" t="inlineStr"/>
    </row>
    <row r="167">
      <c r="A167" s="36" t="inlineStr">
        <is>
          <t>CAP-00179</t>
        </is>
      </c>
      <c r="B167" s="27" t="inlineStr">
        <is>
          <t>Boise branch expansion business case</t>
        </is>
      </c>
      <c r="C167" s="27" t="inlineStr">
        <is>
          <t>Boise operating case</t>
        </is>
      </c>
      <c r="D167" s="27" t="inlineStr">
        <is>
          <t>Boise branch</t>
        </is>
      </c>
      <c r="E167" s="27" t="inlineStr">
        <is>
          <t>Year 2</t>
        </is>
      </c>
      <c r="F167" s="27" t="inlineStr">
        <is>
          <t>Approved case</t>
        </is>
      </c>
      <c r="G167" s="27" t="inlineStr">
        <is>
          <t>Maintenance capex</t>
        </is>
      </c>
      <c r="H167" s="46" t="n">
        <v>180000</v>
      </c>
      <c r="I167" s="27" t="inlineStr"/>
      <c r="J167" s="27" t="inlineStr">
        <is>
          <t>USD</t>
        </is>
      </c>
      <c r="K167" s="27" t="inlineStr">
        <is>
          <t>Finance operating schedule</t>
        </is>
      </c>
      <c r="L167" s="47" t="inlineStr">
        <is>
          <t>2026-06-30</t>
        </is>
      </c>
      <c r="M167" s="27" t="inlineStr"/>
    </row>
    <row r="168">
      <c r="A168" s="36" t="inlineStr">
        <is>
          <t>CAP-00180</t>
        </is>
      </c>
      <c r="B168" s="27" t="inlineStr">
        <is>
          <t>Boise branch expansion business case</t>
        </is>
      </c>
      <c r="C168" s="27" t="inlineStr">
        <is>
          <t>Boise operating case</t>
        </is>
      </c>
      <c r="D168" s="27" t="inlineStr">
        <is>
          <t>Boise branch</t>
        </is>
      </c>
      <c r="E168" s="27" t="inlineStr">
        <is>
          <t>Year 3</t>
        </is>
      </c>
      <c r="F168" s="27" t="inlineStr">
        <is>
          <t>Approved case</t>
        </is>
      </c>
      <c r="G168" s="27" t="inlineStr">
        <is>
          <t>Productive technicians</t>
        </is>
      </c>
      <c r="H168" s="46" t="n">
        <v>14</v>
      </c>
      <c r="I168" s="27" t="inlineStr"/>
      <c r="J168" s="27" t="inlineStr">
        <is>
          <t>count</t>
        </is>
      </c>
      <c r="K168" s="27" t="inlineStr">
        <is>
          <t>Finance operating schedule</t>
        </is>
      </c>
      <c r="L168" s="47" t="inlineStr">
        <is>
          <t>2026-06-30</t>
        </is>
      </c>
      <c r="M168" s="27" t="inlineStr"/>
    </row>
    <row r="169">
      <c r="A169" s="36" t="inlineStr">
        <is>
          <t>CAP-00181</t>
        </is>
      </c>
      <c r="B169" s="27" t="inlineStr">
        <is>
          <t>Boise branch expansion business case</t>
        </is>
      </c>
      <c r="C169" s="27" t="inlineStr">
        <is>
          <t>Boise operating case</t>
        </is>
      </c>
      <c r="D169" s="27" t="inlineStr">
        <is>
          <t>Boise branch</t>
        </is>
      </c>
      <c r="E169" s="27" t="inlineStr">
        <is>
          <t>Year 3</t>
        </is>
      </c>
      <c r="F169" s="27" t="inlineStr">
        <is>
          <t>Approved case</t>
        </is>
      </c>
      <c r="G169" s="27" t="inlineStr">
        <is>
          <t>Jobs per technician</t>
        </is>
      </c>
      <c r="H169" s="46" t="n">
        <v>235</v>
      </c>
      <c r="I169" s="27" t="inlineStr"/>
      <c r="J169" s="27" t="inlineStr">
        <is>
          <t>count</t>
        </is>
      </c>
      <c r="K169" s="27" t="inlineStr">
        <is>
          <t>Finance operating schedule</t>
        </is>
      </c>
      <c r="L169" s="47" t="inlineStr">
        <is>
          <t>2026-06-30</t>
        </is>
      </c>
      <c r="M169" s="27" t="inlineStr"/>
    </row>
    <row r="170">
      <c r="A170" s="36" t="inlineStr">
        <is>
          <t>CAP-00182</t>
        </is>
      </c>
      <c r="B170" s="27" t="inlineStr">
        <is>
          <t>Boise branch expansion business case</t>
        </is>
      </c>
      <c r="C170" s="27" t="inlineStr">
        <is>
          <t>Boise operating case</t>
        </is>
      </c>
      <c r="D170" s="27" t="inlineStr">
        <is>
          <t>Boise branch</t>
        </is>
      </c>
      <c r="E170" s="27" t="inlineStr">
        <is>
          <t>Year 3</t>
        </is>
      </c>
      <c r="F170" s="27" t="inlineStr">
        <is>
          <t>Approved case</t>
        </is>
      </c>
      <c r="G170" s="27" t="inlineStr">
        <is>
          <t>Average revenue per job</t>
        </is>
      </c>
      <c r="H170" s="46" t="n">
        <v>1510</v>
      </c>
      <c r="I170" s="27" t="inlineStr"/>
      <c r="J170" s="27" t="inlineStr">
        <is>
          <t>USD per job</t>
        </is>
      </c>
      <c r="K170" s="27" t="inlineStr">
        <is>
          <t>Finance operating schedule</t>
        </is>
      </c>
      <c r="L170" s="47" t="inlineStr">
        <is>
          <t>2026-06-30</t>
        </is>
      </c>
      <c r="M170" s="27" t="inlineStr"/>
    </row>
    <row r="171">
      <c r="A171" s="36" t="inlineStr">
        <is>
          <t>CAP-00183</t>
        </is>
      </c>
      <c r="B171" s="27" t="inlineStr">
        <is>
          <t>Boise branch expansion business case</t>
        </is>
      </c>
      <c r="C171" s="27" t="inlineStr">
        <is>
          <t>Boise operating case</t>
        </is>
      </c>
      <c r="D171" s="27" t="inlineStr">
        <is>
          <t>Boise branch</t>
        </is>
      </c>
      <c r="E171" s="27" t="inlineStr">
        <is>
          <t>Year 3</t>
        </is>
      </c>
      <c r="F171" s="27" t="inlineStr">
        <is>
          <t>Approved case</t>
        </is>
      </c>
      <c r="G171" s="27" t="inlineStr">
        <is>
          <t>Variable labor percent of revenue</t>
        </is>
      </c>
      <c r="H171" s="46" t="n">
        <v>0.305</v>
      </c>
      <c r="I171" s="27" t="inlineStr"/>
      <c r="J171" s="27" t="inlineStr">
        <is>
          <t>decimal ratio</t>
        </is>
      </c>
      <c r="K171" s="27" t="inlineStr">
        <is>
          <t>Finance operating schedule</t>
        </is>
      </c>
      <c r="L171" s="47" t="inlineStr">
        <is>
          <t>2026-06-30</t>
        </is>
      </c>
      <c r="M171" s="27" t="inlineStr"/>
    </row>
    <row r="172">
      <c r="A172" s="36" t="inlineStr">
        <is>
          <t>CAP-00184</t>
        </is>
      </c>
      <c r="B172" s="27" t="inlineStr">
        <is>
          <t>Boise branch expansion business case</t>
        </is>
      </c>
      <c r="C172" s="27" t="inlineStr">
        <is>
          <t>Boise operating case</t>
        </is>
      </c>
      <c r="D172" s="27" t="inlineStr">
        <is>
          <t>Boise branch</t>
        </is>
      </c>
      <c r="E172" s="27" t="inlineStr">
        <is>
          <t>Year 3</t>
        </is>
      </c>
      <c r="F172" s="27" t="inlineStr">
        <is>
          <t>Approved case</t>
        </is>
      </c>
      <c r="G172" s="27" t="inlineStr">
        <is>
          <t>Material percent of revenue</t>
        </is>
      </c>
      <c r="H172" s="46" t="n">
        <v>0.225</v>
      </c>
      <c r="I172" s="27" t="inlineStr"/>
      <c r="J172" s="27" t="inlineStr">
        <is>
          <t>decimal ratio</t>
        </is>
      </c>
      <c r="K172" s="27" t="inlineStr">
        <is>
          <t>Finance operating schedule</t>
        </is>
      </c>
      <c r="L172" s="47" t="inlineStr">
        <is>
          <t>2026-06-30</t>
        </is>
      </c>
      <c r="M172" s="27" t="inlineStr"/>
    </row>
    <row r="173">
      <c r="A173" s="36" t="inlineStr">
        <is>
          <t>CAP-00185</t>
        </is>
      </c>
      <c r="B173" s="27" t="inlineStr">
        <is>
          <t>Boise branch expansion business case</t>
        </is>
      </c>
      <c r="C173" s="27" t="inlineStr">
        <is>
          <t>Boise operating case</t>
        </is>
      </c>
      <c r="D173" s="27" t="inlineStr">
        <is>
          <t>Boise branch</t>
        </is>
      </c>
      <c r="E173" s="27" t="inlineStr">
        <is>
          <t>Year 3</t>
        </is>
      </c>
      <c r="F173" s="27" t="inlineStr">
        <is>
          <t>Approved case</t>
        </is>
      </c>
      <c r="G173" s="27" t="inlineStr">
        <is>
          <t>Local fixed operating cost</t>
        </is>
      </c>
      <c r="H173" s="46" t="n">
        <v>1113.945</v>
      </c>
      <c r="I173" s="27" t="inlineStr"/>
      <c r="J173" s="27" t="inlineStr">
        <is>
          <t>USD thousands</t>
        </is>
      </c>
      <c r="K173" s="27" t="inlineStr">
        <is>
          <t>Finance operating schedule</t>
        </is>
      </c>
      <c r="L173" s="47" t="inlineStr">
        <is>
          <t>2026-06-30</t>
        </is>
      </c>
      <c r="M173" s="27" t="inlineStr"/>
    </row>
    <row r="174">
      <c r="A174" s="36" t="inlineStr">
        <is>
          <t>CAP-00186</t>
        </is>
      </c>
      <c r="B174" s="27" t="inlineStr">
        <is>
          <t>Boise branch expansion business case</t>
        </is>
      </c>
      <c r="C174" s="27" t="inlineStr">
        <is>
          <t>Boise operating case</t>
        </is>
      </c>
      <c r="D174" s="27" t="inlineStr">
        <is>
          <t>Boise branch</t>
        </is>
      </c>
      <c r="E174" s="27" t="inlineStr">
        <is>
          <t>Year 3</t>
        </is>
      </c>
      <c r="F174" s="27" t="inlineStr">
        <is>
          <t>Approved case</t>
        </is>
      </c>
      <c r="G174" s="27" t="inlineStr">
        <is>
          <t>Maintenance capex</t>
        </is>
      </c>
      <c r="H174" s="46" t="n">
        <v>180000</v>
      </c>
      <c r="I174" s="27" t="inlineStr"/>
      <c r="J174" s="27" t="inlineStr">
        <is>
          <t>USD</t>
        </is>
      </c>
      <c r="K174" s="27" t="inlineStr">
        <is>
          <t>Finance operating schedule</t>
        </is>
      </c>
      <c r="L174" s="47" t="inlineStr">
        <is>
          <t>2026-06-30</t>
        </is>
      </c>
      <c r="M174" s="27" t="inlineStr"/>
    </row>
    <row r="175">
      <c r="A175" s="36" t="inlineStr">
        <is>
          <t>CAP-00187</t>
        </is>
      </c>
      <c r="B175" s="27" t="inlineStr">
        <is>
          <t>Boise branch expansion business case</t>
        </is>
      </c>
      <c r="C175" s="27" t="inlineStr">
        <is>
          <t>Boise operating case</t>
        </is>
      </c>
      <c r="D175" s="27" t="inlineStr">
        <is>
          <t>Boise branch</t>
        </is>
      </c>
      <c r="E175" s="27" t="inlineStr">
        <is>
          <t>Year 4</t>
        </is>
      </c>
      <c r="F175" s="27" t="inlineStr">
        <is>
          <t>Approved case</t>
        </is>
      </c>
      <c r="G175" s="27" t="inlineStr">
        <is>
          <t>Productive technicians</t>
        </is>
      </c>
      <c r="H175" s="46" t="n">
        <v>17</v>
      </c>
      <c r="I175" s="27" t="inlineStr"/>
      <c r="J175" s="27" t="inlineStr">
        <is>
          <t>count</t>
        </is>
      </c>
      <c r="K175" s="27" t="inlineStr">
        <is>
          <t>Finance operating schedule</t>
        </is>
      </c>
      <c r="L175" s="47" t="inlineStr">
        <is>
          <t>2026-06-30</t>
        </is>
      </c>
      <c r="M175" s="27" t="inlineStr"/>
    </row>
    <row r="176">
      <c r="A176" s="36" t="inlineStr">
        <is>
          <t>CAP-00188</t>
        </is>
      </c>
      <c r="B176" s="27" t="inlineStr">
        <is>
          <t>Boise branch expansion business case</t>
        </is>
      </c>
      <c r="C176" s="27" t="inlineStr">
        <is>
          <t>Boise operating case</t>
        </is>
      </c>
      <c r="D176" s="27" t="inlineStr">
        <is>
          <t>Boise branch</t>
        </is>
      </c>
      <c r="E176" s="27" t="inlineStr">
        <is>
          <t>Year 4</t>
        </is>
      </c>
      <c r="F176" s="27" t="inlineStr">
        <is>
          <t>Approved case</t>
        </is>
      </c>
      <c r="G176" s="27" t="inlineStr">
        <is>
          <t>Jobs per technician</t>
        </is>
      </c>
      <c r="H176" s="46" t="n">
        <v>250</v>
      </c>
      <c r="I176" s="27" t="inlineStr"/>
      <c r="J176" s="27" t="inlineStr">
        <is>
          <t>count</t>
        </is>
      </c>
      <c r="K176" s="27" t="inlineStr">
        <is>
          <t>Finance operating schedule</t>
        </is>
      </c>
      <c r="L176" s="47" t="inlineStr">
        <is>
          <t>2026-06-30</t>
        </is>
      </c>
      <c r="M176" s="27" t="inlineStr"/>
    </row>
    <row r="177">
      <c r="A177" s="36" t="inlineStr">
        <is>
          <t>CAP-00189</t>
        </is>
      </c>
      <c r="B177" s="27" t="inlineStr">
        <is>
          <t>Boise branch expansion business case</t>
        </is>
      </c>
      <c r="C177" s="27" t="inlineStr">
        <is>
          <t>Boise operating case</t>
        </is>
      </c>
      <c r="D177" s="27" t="inlineStr">
        <is>
          <t>Boise branch</t>
        </is>
      </c>
      <c r="E177" s="27" t="inlineStr">
        <is>
          <t>Year 4</t>
        </is>
      </c>
      <c r="F177" s="27" t="inlineStr">
        <is>
          <t>Approved case</t>
        </is>
      </c>
      <c r="G177" s="27" t="inlineStr">
        <is>
          <t>Average revenue per job</t>
        </is>
      </c>
      <c r="H177" s="46" t="n">
        <v>1555</v>
      </c>
      <c r="I177" s="27" t="inlineStr"/>
      <c r="J177" s="27" t="inlineStr">
        <is>
          <t>USD per job</t>
        </is>
      </c>
      <c r="K177" s="27" t="inlineStr">
        <is>
          <t>Finance operating schedule</t>
        </is>
      </c>
      <c r="L177" s="47" t="inlineStr">
        <is>
          <t>2026-06-30</t>
        </is>
      </c>
      <c r="M177" s="27" t="inlineStr"/>
    </row>
    <row r="178">
      <c r="A178" s="36" t="inlineStr">
        <is>
          <t>CAP-00190</t>
        </is>
      </c>
      <c r="B178" s="27" t="inlineStr">
        <is>
          <t>Boise branch expansion business case</t>
        </is>
      </c>
      <c r="C178" s="27" t="inlineStr">
        <is>
          <t>Boise operating case</t>
        </is>
      </c>
      <c r="D178" s="27" t="inlineStr">
        <is>
          <t>Boise branch</t>
        </is>
      </c>
      <c r="E178" s="27" t="inlineStr">
        <is>
          <t>Year 4</t>
        </is>
      </c>
      <c r="F178" s="27" t="inlineStr">
        <is>
          <t>Approved case</t>
        </is>
      </c>
      <c r="G178" s="27" t="inlineStr">
        <is>
          <t>Variable labor percent of revenue</t>
        </is>
      </c>
      <c r="H178" s="46" t="n">
        <v>0.305</v>
      </c>
      <c r="I178" s="27" t="inlineStr"/>
      <c r="J178" s="27" t="inlineStr">
        <is>
          <t>decimal ratio</t>
        </is>
      </c>
      <c r="K178" s="27" t="inlineStr">
        <is>
          <t>Finance operating schedule</t>
        </is>
      </c>
      <c r="L178" s="47" t="inlineStr">
        <is>
          <t>2026-06-30</t>
        </is>
      </c>
      <c r="M178" s="27" t="inlineStr"/>
    </row>
    <row r="179">
      <c r="A179" s="36" t="inlineStr">
        <is>
          <t>CAP-00191</t>
        </is>
      </c>
      <c r="B179" s="27" t="inlineStr">
        <is>
          <t>Boise branch expansion business case</t>
        </is>
      </c>
      <c r="C179" s="27" t="inlineStr">
        <is>
          <t>Boise operating case</t>
        </is>
      </c>
      <c r="D179" s="27" t="inlineStr">
        <is>
          <t>Boise branch</t>
        </is>
      </c>
      <c r="E179" s="27" t="inlineStr">
        <is>
          <t>Year 4</t>
        </is>
      </c>
      <c r="F179" s="27" t="inlineStr">
        <is>
          <t>Approved case</t>
        </is>
      </c>
      <c r="G179" s="27" t="inlineStr">
        <is>
          <t>Material percent of revenue</t>
        </is>
      </c>
      <c r="H179" s="46" t="n">
        <v>0.225</v>
      </c>
      <c r="I179" s="27" t="inlineStr"/>
      <c r="J179" s="27" t="inlineStr">
        <is>
          <t>decimal ratio</t>
        </is>
      </c>
      <c r="K179" s="27" t="inlineStr">
        <is>
          <t>Finance operating schedule</t>
        </is>
      </c>
      <c r="L179" s="47" t="inlineStr">
        <is>
          <t>2026-06-30</t>
        </is>
      </c>
      <c r="M179" s="27" t="inlineStr"/>
    </row>
    <row r="180">
      <c r="A180" s="36" t="inlineStr">
        <is>
          <t>CAP-00192</t>
        </is>
      </c>
      <c r="B180" s="27" t="inlineStr">
        <is>
          <t>Boise branch expansion business case</t>
        </is>
      </c>
      <c r="C180" s="27" t="inlineStr">
        <is>
          <t>Boise operating case</t>
        </is>
      </c>
      <c r="D180" s="27" t="inlineStr">
        <is>
          <t>Boise branch</t>
        </is>
      </c>
      <c r="E180" s="27" t="inlineStr">
        <is>
          <t>Year 4</t>
        </is>
      </c>
      <c r="F180" s="27" t="inlineStr">
        <is>
          <t>Approved case</t>
        </is>
      </c>
      <c r="G180" s="27" t="inlineStr">
        <is>
          <t>Local fixed operating cost</t>
        </is>
      </c>
      <c r="H180" s="46" t="n">
        <v>1147363.35</v>
      </c>
      <c r="I180" s="27" t="inlineStr"/>
      <c r="J180" s="27" t="inlineStr">
        <is>
          <t>USD</t>
        </is>
      </c>
      <c r="K180" s="27" t="inlineStr">
        <is>
          <t>Finance operating schedule</t>
        </is>
      </c>
      <c r="L180" s="47" t="inlineStr">
        <is>
          <t>2026-06-30</t>
        </is>
      </c>
      <c r="M180" s="27" t="inlineStr"/>
    </row>
    <row r="181">
      <c r="A181" s="36" t="inlineStr">
        <is>
          <t>CAP-00193</t>
        </is>
      </c>
      <c r="B181" s="27" t="inlineStr">
        <is>
          <t>Boise branch expansion business case</t>
        </is>
      </c>
      <c r="C181" s="27" t="inlineStr">
        <is>
          <t>Boise operating case</t>
        </is>
      </c>
      <c r="D181" s="27" t="inlineStr">
        <is>
          <t>Boise branch</t>
        </is>
      </c>
      <c r="E181" s="27" t="inlineStr">
        <is>
          <t>Year 4</t>
        </is>
      </c>
      <c r="F181" s="27" t="inlineStr">
        <is>
          <t>Approved case</t>
        </is>
      </c>
      <c r="G181" s="27" t="inlineStr">
        <is>
          <t>Maintenance capex</t>
        </is>
      </c>
      <c r="H181" s="46" t="n">
        <v>180</v>
      </c>
      <c r="I181" s="27" t="inlineStr"/>
      <c r="J181" s="27" t="inlineStr">
        <is>
          <t>USD thousands</t>
        </is>
      </c>
      <c r="K181" s="27" t="inlineStr">
        <is>
          <t>Finance operating schedule</t>
        </is>
      </c>
      <c r="L181" s="47" t="inlineStr">
        <is>
          <t>2026-06-30</t>
        </is>
      </c>
      <c r="M181" s="27" t="inlineStr"/>
    </row>
    <row r="182">
      <c r="A182" s="36" t="inlineStr">
        <is>
          <t>CAP-00194</t>
        </is>
      </c>
      <c r="B182" s="27" t="inlineStr">
        <is>
          <t>Boise branch expansion business case</t>
        </is>
      </c>
      <c r="C182" s="27" t="inlineStr">
        <is>
          <t>Boise operating case</t>
        </is>
      </c>
      <c r="D182" s="27" t="inlineStr">
        <is>
          <t>Boise branch</t>
        </is>
      </c>
      <c r="E182" s="27" t="inlineStr">
        <is>
          <t>Year 5</t>
        </is>
      </c>
      <c r="F182" s="27" t="inlineStr">
        <is>
          <t>Approved case</t>
        </is>
      </c>
      <c r="G182" s="27" t="inlineStr">
        <is>
          <t>Productive technicians</t>
        </is>
      </c>
      <c r="H182" s="46" t="n">
        <v>19</v>
      </c>
      <c r="I182" s="27" t="inlineStr"/>
      <c r="J182" s="27" t="inlineStr">
        <is>
          <t>count</t>
        </is>
      </c>
      <c r="K182" s="27" t="inlineStr">
        <is>
          <t>Finance operating schedule</t>
        </is>
      </c>
      <c r="L182" s="47" t="inlineStr">
        <is>
          <t>2026-06-30</t>
        </is>
      </c>
      <c r="M182" s="27" t="inlineStr"/>
    </row>
    <row r="183">
      <c r="A183" s="36" t="inlineStr">
        <is>
          <t>CAP-00195</t>
        </is>
      </c>
      <c r="B183" s="27" t="inlineStr">
        <is>
          <t>Boise branch expansion business case</t>
        </is>
      </c>
      <c r="C183" s="27" t="inlineStr">
        <is>
          <t>Boise operating case</t>
        </is>
      </c>
      <c r="D183" s="27" t="inlineStr">
        <is>
          <t>Boise branch</t>
        </is>
      </c>
      <c r="E183" s="27" t="inlineStr">
        <is>
          <t>Year 5</t>
        </is>
      </c>
      <c r="F183" s="27" t="inlineStr">
        <is>
          <t>Approved case</t>
        </is>
      </c>
      <c r="G183" s="27" t="inlineStr">
        <is>
          <t>Jobs per technician</t>
        </is>
      </c>
      <c r="H183" s="46" t="n">
        <v>260</v>
      </c>
      <c r="I183" s="27" t="inlineStr"/>
      <c r="J183" s="27" t="inlineStr">
        <is>
          <t>count</t>
        </is>
      </c>
      <c r="K183" s="27" t="inlineStr">
        <is>
          <t>Finance operating schedule</t>
        </is>
      </c>
      <c r="L183" s="47" t="inlineStr">
        <is>
          <t>2026-06-30</t>
        </is>
      </c>
      <c r="M183" s="27" t="inlineStr"/>
    </row>
    <row r="184">
      <c r="A184" s="36" t="inlineStr">
        <is>
          <t>CAP-00196</t>
        </is>
      </c>
      <c r="B184" s="27" t="inlineStr">
        <is>
          <t>Boise branch expansion business case</t>
        </is>
      </c>
      <c r="C184" s="27" t="inlineStr">
        <is>
          <t>Boise operating case</t>
        </is>
      </c>
      <c r="D184" s="27" t="inlineStr">
        <is>
          <t>Boise branch</t>
        </is>
      </c>
      <c r="E184" s="27" t="inlineStr">
        <is>
          <t>Year 5</t>
        </is>
      </c>
      <c r="F184" s="27" t="inlineStr">
        <is>
          <t>Approved case</t>
        </is>
      </c>
      <c r="G184" s="27" t="inlineStr">
        <is>
          <t>Average revenue per job</t>
        </is>
      </c>
      <c r="H184" s="46" t="n">
        <v>1602</v>
      </c>
      <c r="I184" s="27" t="inlineStr"/>
      <c r="J184" s="27" t="inlineStr">
        <is>
          <t>USD per job</t>
        </is>
      </c>
      <c r="K184" s="27" t="inlineStr">
        <is>
          <t>Finance operating schedule</t>
        </is>
      </c>
      <c r="L184" s="47" t="inlineStr">
        <is>
          <t>2026-06-30</t>
        </is>
      </c>
      <c r="M184" s="27" t="inlineStr"/>
    </row>
    <row r="185">
      <c r="A185" s="36" t="inlineStr">
        <is>
          <t>CAP-00197</t>
        </is>
      </c>
      <c r="B185" s="27" t="inlineStr">
        <is>
          <t>Boise branch expansion business case</t>
        </is>
      </c>
      <c r="C185" s="27" t="inlineStr">
        <is>
          <t>Boise operating case</t>
        </is>
      </c>
      <c r="D185" s="27" t="inlineStr">
        <is>
          <t>Boise branch</t>
        </is>
      </c>
      <c r="E185" s="27" t="inlineStr">
        <is>
          <t>Year 5</t>
        </is>
      </c>
      <c r="F185" s="27" t="inlineStr">
        <is>
          <t>Approved case</t>
        </is>
      </c>
      <c r="G185" s="27" t="inlineStr">
        <is>
          <t>Variable labor percent of revenue</t>
        </is>
      </c>
      <c r="H185" s="46" t="n">
        <v>0.305</v>
      </c>
      <c r="I185" s="27" t="inlineStr"/>
      <c r="J185" s="27" t="inlineStr">
        <is>
          <t>decimal ratio</t>
        </is>
      </c>
      <c r="K185" s="27" t="inlineStr">
        <is>
          <t>Finance operating schedule</t>
        </is>
      </c>
      <c r="L185" s="47" t="inlineStr">
        <is>
          <t>2026-06-30</t>
        </is>
      </c>
      <c r="M185" s="27" t="inlineStr"/>
    </row>
    <row r="186">
      <c r="A186" s="36" t="inlineStr">
        <is>
          <t>CAP-00198</t>
        </is>
      </c>
      <c r="B186" s="27" t="inlineStr">
        <is>
          <t>Boise branch expansion business case</t>
        </is>
      </c>
      <c r="C186" s="27" t="inlineStr">
        <is>
          <t>Boise operating case</t>
        </is>
      </c>
      <c r="D186" s="27" t="inlineStr">
        <is>
          <t>Boise branch</t>
        </is>
      </c>
      <c r="E186" s="27" t="inlineStr">
        <is>
          <t>Year 5</t>
        </is>
      </c>
      <c r="F186" s="27" t="inlineStr">
        <is>
          <t>Approved case</t>
        </is>
      </c>
      <c r="G186" s="27" t="inlineStr">
        <is>
          <t>Material percent of revenue</t>
        </is>
      </c>
      <c r="H186" s="46" t="n">
        <v>0.225</v>
      </c>
      <c r="I186" s="27" t="inlineStr"/>
      <c r="J186" s="27" t="inlineStr">
        <is>
          <t>decimal ratio</t>
        </is>
      </c>
      <c r="K186" s="27" t="inlineStr">
        <is>
          <t>Finance operating schedule</t>
        </is>
      </c>
      <c r="L186" s="47" t="inlineStr">
        <is>
          <t>2026-06-30</t>
        </is>
      </c>
      <c r="M186" s="27" t="inlineStr"/>
    </row>
    <row r="187">
      <c r="A187" s="36" t="inlineStr">
        <is>
          <t>CAP-00199</t>
        </is>
      </c>
      <c r="B187" s="27" t="inlineStr">
        <is>
          <t>Boise branch expansion business case</t>
        </is>
      </c>
      <c r="C187" s="27" t="inlineStr">
        <is>
          <t>Boise operating case</t>
        </is>
      </c>
      <c r="D187" s="27" t="inlineStr">
        <is>
          <t>Boise branch</t>
        </is>
      </c>
      <c r="E187" s="27" t="inlineStr">
        <is>
          <t>Year 5</t>
        </is>
      </c>
      <c r="F187" s="27" t="inlineStr">
        <is>
          <t>Approved case</t>
        </is>
      </c>
      <c r="G187" s="27" t="inlineStr">
        <is>
          <t>Local fixed operating cost</t>
        </is>
      </c>
      <c r="H187" s="46" t="n">
        <v>1181784.2505</v>
      </c>
      <c r="I187" s="27" t="inlineStr"/>
      <c r="J187" s="27" t="inlineStr">
        <is>
          <t>USD</t>
        </is>
      </c>
      <c r="K187" s="27" t="inlineStr">
        <is>
          <t>Finance operating schedule</t>
        </is>
      </c>
      <c r="L187" s="47" t="inlineStr">
        <is>
          <t>2026-06-30</t>
        </is>
      </c>
      <c r="M187" s="27" t="inlineStr"/>
    </row>
    <row r="188">
      <c r="A188" s="36" t="inlineStr">
        <is>
          <t>CAP-00200</t>
        </is>
      </c>
      <c r="B188" s="27" t="inlineStr">
        <is>
          <t>Boise branch expansion business case</t>
        </is>
      </c>
      <c r="C188" s="27" t="inlineStr">
        <is>
          <t>Boise operating case</t>
        </is>
      </c>
      <c r="D188" s="27" t="inlineStr">
        <is>
          <t>Boise branch</t>
        </is>
      </c>
      <c r="E188" s="27" t="inlineStr">
        <is>
          <t>Year 5</t>
        </is>
      </c>
      <c r="F188" s="27" t="inlineStr">
        <is>
          <t>Approved case</t>
        </is>
      </c>
      <c r="G188" s="27" t="inlineStr">
        <is>
          <t>Maintenance capex</t>
        </is>
      </c>
      <c r="H188" s="46" t="n">
        <v>180000</v>
      </c>
      <c r="I188" s="27" t="inlineStr"/>
      <c r="J188" s="27" t="inlineStr">
        <is>
          <t>USD</t>
        </is>
      </c>
      <c r="K188" s="27" t="inlineStr">
        <is>
          <t>Finance operating schedule</t>
        </is>
      </c>
      <c r="L188" s="47" t="inlineStr">
        <is>
          <t>2026-06-30</t>
        </is>
      </c>
      <c r="M188" s="27" t="inlineStr"/>
    </row>
    <row r="189">
      <c r="A189" s="36" t="inlineStr">
        <is>
          <t>CAP-00201</t>
        </is>
      </c>
      <c r="B189" s="27" t="inlineStr">
        <is>
          <t>Boise branch expansion business case</t>
        </is>
      </c>
      <c r="C189" s="27" t="inlineStr">
        <is>
          <t>Boise operating case</t>
        </is>
      </c>
      <c r="D189" s="27" t="inlineStr">
        <is>
          <t>Boise branch</t>
        </is>
      </c>
      <c r="E189" s="27" t="inlineStr">
        <is>
          <t>Year 6</t>
        </is>
      </c>
      <c r="F189" s="27" t="inlineStr">
        <is>
          <t>Approved case</t>
        </is>
      </c>
      <c r="G189" s="27" t="inlineStr">
        <is>
          <t>Productive technicians</t>
        </is>
      </c>
      <c r="H189" s="46" t="n">
        <v>20</v>
      </c>
      <c r="I189" s="27" t="inlineStr"/>
      <c r="J189" s="27" t="inlineStr">
        <is>
          <t>count</t>
        </is>
      </c>
      <c r="K189" s="27" t="inlineStr">
        <is>
          <t>Finance operating schedule</t>
        </is>
      </c>
      <c r="L189" s="47" t="inlineStr">
        <is>
          <t>2026-06-30</t>
        </is>
      </c>
      <c r="M189" s="27" t="inlineStr"/>
    </row>
    <row r="190">
      <c r="A190" s="36" t="inlineStr">
        <is>
          <t>CAP-00202</t>
        </is>
      </c>
      <c r="B190" s="27" t="inlineStr">
        <is>
          <t>Boise branch expansion business case</t>
        </is>
      </c>
      <c r="C190" s="27" t="inlineStr">
        <is>
          <t>Boise operating case</t>
        </is>
      </c>
      <c r="D190" s="27" t="inlineStr">
        <is>
          <t>Boise branch</t>
        </is>
      </c>
      <c r="E190" s="27" t="inlineStr">
        <is>
          <t>Year 6</t>
        </is>
      </c>
      <c r="F190" s="27" t="inlineStr">
        <is>
          <t>Approved case</t>
        </is>
      </c>
      <c r="G190" s="27" t="inlineStr">
        <is>
          <t>Jobs per technician</t>
        </is>
      </c>
      <c r="H190" s="46" t="n">
        <v>265</v>
      </c>
      <c r="I190" s="27" t="inlineStr"/>
      <c r="J190" s="27" t="inlineStr">
        <is>
          <t>count</t>
        </is>
      </c>
      <c r="K190" s="27" t="inlineStr">
        <is>
          <t>Finance operating schedule</t>
        </is>
      </c>
      <c r="L190" s="47" t="inlineStr">
        <is>
          <t>2026-06-30</t>
        </is>
      </c>
      <c r="M190" s="27" t="inlineStr"/>
    </row>
    <row r="191">
      <c r="A191" s="36" t="inlineStr">
        <is>
          <t>CAP-00203</t>
        </is>
      </c>
      <c r="B191" s="27" t="inlineStr">
        <is>
          <t>Boise branch expansion business case</t>
        </is>
      </c>
      <c r="C191" s="27" t="inlineStr">
        <is>
          <t>Boise operating case</t>
        </is>
      </c>
      <c r="D191" s="27" t="inlineStr">
        <is>
          <t>Boise branch</t>
        </is>
      </c>
      <c r="E191" s="27" t="inlineStr">
        <is>
          <t>Year 6</t>
        </is>
      </c>
      <c r="F191" s="27" t="inlineStr">
        <is>
          <t>Approved case</t>
        </is>
      </c>
      <c r="G191" s="27" t="inlineStr">
        <is>
          <t>Average revenue per job</t>
        </is>
      </c>
      <c r="H191" s="46" t="n">
        <v>1650</v>
      </c>
      <c r="I191" s="27" t="inlineStr"/>
      <c r="J191" s="27" t="inlineStr">
        <is>
          <t>USD per job</t>
        </is>
      </c>
      <c r="K191" s="27" t="inlineStr">
        <is>
          <t>Finance operating schedule</t>
        </is>
      </c>
      <c r="L191" s="47" t="inlineStr">
        <is>
          <t>2026-06-30</t>
        </is>
      </c>
      <c r="M191" s="27" t="inlineStr"/>
    </row>
    <row r="192">
      <c r="A192" s="36" t="inlineStr">
        <is>
          <t>CAP-00204</t>
        </is>
      </c>
      <c r="B192" s="27" t="inlineStr">
        <is>
          <t>Boise branch expansion business case</t>
        </is>
      </c>
      <c r="C192" s="27" t="inlineStr">
        <is>
          <t>Boise operating case</t>
        </is>
      </c>
      <c r="D192" s="27" t="inlineStr">
        <is>
          <t>Boise branch</t>
        </is>
      </c>
      <c r="E192" s="27" t="inlineStr">
        <is>
          <t>Year 6</t>
        </is>
      </c>
      <c r="F192" s="27" t="inlineStr">
        <is>
          <t>Approved case</t>
        </is>
      </c>
      <c r="G192" s="27" t="inlineStr">
        <is>
          <t>Variable labor percent of revenue</t>
        </is>
      </c>
      <c r="H192" s="46" t="n">
        <v>0.305</v>
      </c>
      <c r="I192" s="27" t="inlineStr"/>
      <c r="J192" s="27" t="inlineStr">
        <is>
          <t>decimal ratio</t>
        </is>
      </c>
      <c r="K192" s="27" t="inlineStr">
        <is>
          <t>Finance operating schedule</t>
        </is>
      </c>
      <c r="L192" s="47" t="inlineStr">
        <is>
          <t>2026-06-30</t>
        </is>
      </c>
      <c r="M192" s="27" t="inlineStr"/>
    </row>
    <row r="193">
      <c r="A193" s="36" t="inlineStr">
        <is>
          <t>CAP-00205</t>
        </is>
      </c>
      <c r="B193" s="27" t="inlineStr">
        <is>
          <t>Boise branch expansion business case</t>
        </is>
      </c>
      <c r="C193" s="27" t="inlineStr">
        <is>
          <t>Boise operating case</t>
        </is>
      </c>
      <c r="D193" s="27" t="inlineStr">
        <is>
          <t>Boise branch</t>
        </is>
      </c>
      <c r="E193" s="27" t="inlineStr">
        <is>
          <t>Year 6</t>
        </is>
      </c>
      <c r="F193" s="27" t="inlineStr">
        <is>
          <t>Approved case</t>
        </is>
      </c>
      <c r="G193" s="27" t="inlineStr">
        <is>
          <t>Material percent of revenue</t>
        </is>
      </c>
      <c r="H193" s="46" t="n">
        <v>0.225</v>
      </c>
      <c r="I193" s="27" t="inlineStr"/>
      <c r="J193" s="27" t="inlineStr">
        <is>
          <t>decimal ratio</t>
        </is>
      </c>
      <c r="K193" s="27" t="inlineStr">
        <is>
          <t>Finance operating schedule</t>
        </is>
      </c>
      <c r="L193" s="47" t="inlineStr">
        <is>
          <t>2026-06-30</t>
        </is>
      </c>
      <c r="M193" s="27" t="inlineStr"/>
    </row>
    <row r="194">
      <c r="A194" s="36" t="inlineStr">
        <is>
          <t>CAP-00206</t>
        </is>
      </c>
      <c r="B194" s="27" t="inlineStr">
        <is>
          <t>Boise branch expansion business case</t>
        </is>
      </c>
      <c r="C194" s="27" t="inlineStr">
        <is>
          <t>Boise operating case</t>
        </is>
      </c>
      <c r="D194" s="27" t="inlineStr">
        <is>
          <t>Boise branch</t>
        </is>
      </c>
      <c r="E194" s="27" t="inlineStr">
        <is>
          <t>Year 6</t>
        </is>
      </c>
      <c r="F194" s="27" t="inlineStr">
        <is>
          <t>Approved case</t>
        </is>
      </c>
      <c r="G194" s="27" t="inlineStr">
        <is>
          <t>Local fixed operating cost</t>
        </is>
      </c>
      <c r="H194" s="46" t="n">
        <v>1217237.778015</v>
      </c>
      <c r="I194" s="27" t="inlineStr"/>
      <c r="J194" s="27" t="inlineStr">
        <is>
          <t>USD</t>
        </is>
      </c>
      <c r="K194" s="27" t="inlineStr">
        <is>
          <t>Finance operating schedule</t>
        </is>
      </c>
      <c r="L194" s="47" t="inlineStr">
        <is>
          <t>2026-06-30</t>
        </is>
      </c>
      <c r="M194" s="27" t="inlineStr"/>
    </row>
    <row r="195">
      <c r="A195" s="36" t="inlineStr">
        <is>
          <t>CAP-00207</t>
        </is>
      </c>
      <c r="B195" s="27" t="inlineStr">
        <is>
          <t>Boise branch expansion business case</t>
        </is>
      </c>
      <c r="C195" s="27" t="inlineStr">
        <is>
          <t>Boise operating case</t>
        </is>
      </c>
      <c r="D195" s="27" t="inlineStr">
        <is>
          <t>Boise branch</t>
        </is>
      </c>
      <c r="E195" s="27" t="inlineStr">
        <is>
          <t>Year 6</t>
        </is>
      </c>
      <c r="F195" s="27" t="inlineStr">
        <is>
          <t>Approved case</t>
        </is>
      </c>
      <c r="G195" s="27" t="inlineStr">
        <is>
          <t>Maintenance capex</t>
        </is>
      </c>
      <c r="H195" s="46" t="n">
        <v>180000</v>
      </c>
      <c r="I195" s="27" t="inlineStr"/>
      <c r="J195" s="27" t="inlineStr">
        <is>
          <t>USD</t>
        </is>
      </c>
      <c r="K195" s="27" t="inlineStr">
        <is>
          <t>Finance operating schedule</t>
        </is>
      </c>
      <c r="L195" s="47" t="inlineStr">
        <is>
          <t>2026-06-30</t>
        </is>
      </c>
      <c r="M195" s="27" t="inlineStr"/>
    </row>
    <row r="196">
      <c r="A196" s="36" t="inlineStr">
        <is>
          <t>CAP-00208</t>
        </is>
      </c>
      <c r="B196" s="27" t="inlineStr">
        <is>
          <t>Boise branch expansion business case</t>
        </is>
      </c>
      <c r="C196" s="27" t="inlineStr">
        <is>
          <t>Boise investment assumptions</t>
        </is>
      </c>
      <c r="D196" s="27" t="inlineStr">
        <is>
          <t>Boise branch</t>
        </is>
      </c>
      <c r="E196" s="27" t="inlineStr">
        <is>
          <t>Opening / policy</t>
        </is>
      </c>
      <c r="F196" s="27" t="inlineStr">
        <is>
          <t>Approved case</t>
        </is>
      </c>
      <c r="G196" s="27" t="inlineStr">
        <is>
          <t>Opening capex</t>
        </is>
      </c>
      <c r="H196" s="46" t="n">
        <v>4250000</v>
      </c>
      <c r="I196" s="27" t="inlineStr"/>
      <c r="J196" s="27" t="inlineStr">
        <is>
          <t>USD</t>
        </is>
      </c>
      <c r="K196" s="27" t="inlineStr">
        <is>
          <t>Finance operating schedule</t>
        </is>
      </c>
      <c r="L196" s="47" t="inlineStr">
        <is>
          <t>2026-06-30</t>
        </is>
      </c>
      <c r="M196" s="27" t="inlineStr"/>
    </row>
    <row r="197">
      <c r="A197" s="36" t="inlineStr">
        <is>
          <t>CAP-00209</t>
        </is>
      </c>
      <c r="B197" s="27" t="inlineStr">
        <is>
          <t>Boise branch expansion business case</t>
        </is>
      </c>
      <c r="C197" s="27" t="inlineStr">
        <is>
          <t>Boise investment assumptions</t>
        </is>
      </c>
      <c r="D197" s="27" t="inlineStr">
        <is>
          <t>Boise branch</t>
        </is>
      </c>
      <c r="E197" s="27" t="inlineStr">
        <is>
          <t>Opening / policy</t>
        </is>
      </c>
      <c r="F197" s="27" t="inlineStr">
        <is>
          <t>Approved case</t>
        </is>
      </c>
      <c r="G197" s="27" t="inlineStr">
        <is>
          <t>Opening working capital</t>
        </is>
      </c>
      <c r="H197" s="46" t="n">
        <v>520</v>
      </c>
      <c r="I197" s="27" t="inlineStr"/>
      <c r="J197" s="27" t="inlineStr">
        <is>
          <t>USD thousands</t>
        </is>
      </c>
      <c r="K197" s="27" t="inlineStr">
        <is>
          <t>Finance operating schedule</t>
        </is>
      </c>
      <c r="L197" s="47" t="inlineStr">
        <is>
          <t>2026-06-30</t>
        </is>
      </c>
      <c r="M197" s="27" t="inlineStr"/>
    </row>
    <row r="198">
      <c r="A198" s="36" t="inlineStr">
        <is>
          <t>CAP-00210</t>
        </is>
      </c>
      <c r="B198" s="27" t="inlineStr">
        <is>
          <t>Boise branch expansion business case</t>
        </is>
      </c>
      <c r="C198" s="27" t="inlineStr">
        <is>
          <t>Boise investment assumptions</t>
        </is>
      </c>
      <c r="D198" s="27" t="inlineStr">
        <is>
          <t>Boise branch</t>
        </is>
      </c>
      <c r="E198" s="27" t="inlineStr">
        <is>
          <t>Opening / policy</t>
        </is>
      </c>
      <c r="F198" s="27" t="inlineStr">
        <is>
          <t>Approved case</t>
        </is>
      </c>
      <c r="G198" s="27" t="inlineStr">
        <is>
          <t>Working capital percent of revenue</t>
        </is>
      </c>
      <c r="H198" s="46" t="n">
        <v>0.075</v>
      </c>
      <c r="I198" s="27" t="inlineStr"/>
      <c r="J198" s="27" t="inlineStr">
        <is>
          <t>decimal ratio</t>
        </is>
      </c>
      <c r="K198" s="27" t="inlineStr">
        <is>
          <t>Finance operating schedule</t>
        </is>
      </c>
      <c r="L198" s="47" t="inlineStr">
        <is>
          <t>2026-06-30</t>
        </is>
      </c>
      <c r="M198" s="27" t="inlineStr"/>
    </row>
    <row r="199">
      <c r="A199" s="36" t="inlineStr">
        <is>
          <t>CAP-00211</t>
        </is>
      </c>
      <c r="B199" s="27" t="inlineStr">
        <is>
          <t>Boise branch expansion business case</t>
        </is>
      </c>
      <c r="C199" s="27" t="inlineStr">
        <is>
          <t>Boise investment assumptions</t>
        </is>
      </c>
      <c r="D199" s="27" t="inlineStr">
        <is>
          <t>Boise branch</t>
        </is>
      </c>
      <c r="E199" s="27" t="inlineStr">
        <is>
          <t>Opening / policy</t>
        </is>
      </c>
      <c r="F199" s="27" t="inlineStr">
        <is>
          <t>Approved case</t>
        </is>
      </c>
      <c r="G199" s="27" t="inlineStr">
        <is>
          <t>Tax rate</t>
        </is>
      </c>
      <c r="H199" s="46" t="n">
        <v>0.24</v>
      </c>
      <c r="I199" s="27" t="inlineStr"/>
      <c r="J199" s="27" t="inlineStr">
        <is>
          <t>decimal ratio</t>
        </is>
      </c>
      <c r="K199" s="27" t="inlineStr">
        <is>
          <t>Finance operating schedule</t>
        </is>
      </c>
      <c r="L199" s="47" t="inlineStr">
        <is>
          <t>2026-06-30</t>
        </is>
      </c>
      <c r="M199" s="27" t="inlineStr"/>
    </row>
    <row r="200">
      <c r="A200" s="36" t="inlineStr">
        <is>
          <t>CAP-00212</t>
        </is>
      </c>
      <c r="B200" s="27" t="inlineStr">
        <is>
          <t>Boise branch expansion business case</t>
        </is>
      </c>
      <c r="C200" s="27" t="inlineStr">
        <is>
          <t>Boise investment assumptions</t>
        </is>
      </c>
      <c r="D200" s="27" t="inlineStr">
        <is>
          <t>Boise branch</t>
        </is>
      </c>
      <c r="E200" s="27" t="inlineStr">
        <is>
          <t>Opening / policy</t>
        </is>
      </c>
      <c r="F200" s="27" t="inlineStr">
        <is>
          <t>Approved case</t>
        </is>
      </c>
      <c r="G200" s="27" t="inlineStr">
        <is>
          <t>Discount rate</t>
        </is>
      </c>
      <c r="H200" s="46" t="n">
        <v>0.12</v>
      </c>
      <c r="I200" s="27" t="inlineStr"/>
      <c r="J200" s="27" t="inlineStr">
        <is>
          <t>decimal ratio</t>
        </is>
      </c>
      <c r="K200" s="27" t="inlineStr">
        <is>
          <t>Finance operating schedule</t>
        </is>
      </c>
      <c r="L200" s="47" t="inlineStr">
        <is>
          <t>2026-06-30</t>
        </is>
      </c>
      <c r="M200" s="27" t="inlineStr"/>
    </row>
    <row r="201">
      <c r="A201" s="36" t="inlineStr">
        <is>
          <t>CAP-00213</t>
        </is>
      </c>
      <c r="B201" s="27" t="inlineStr">
        <is>
          <t>Boise branch expansion business case</t>
        </is>
      </c>
      <c r="C201" s="27" t="inlineStr">
        <is>
          <t>Boise investment assumptions</t>
        </is>
      </c>
      <c r="D201" s="27" t="inlineStr">
        <is>
          <t>Boise branch</t>
        </is>
      </c>
      <c r="E201" s="27" t="inlineStr">
        <is>
          <t>Opening / policy</t>
        </is>
      </c>
      <c r="F201" s="27" t="inlineStr">
        <is>
          <t>Approved case</t>
        </is>
      </c>
      <c r="G201" s="27" t="inlineStr">
        <is>
          <t>Terminal capex recovery</t>
        </is>
      </c>
      <c r="H201" s="46" t="n">
        <v>950</v>
      </c>
      <c r="I201" s="27" t="inlineStr"/>
      <c r="J201" s="27" t="inlineStr">
        <is>
          <t>USD thousands</t>
        </is>
      </c>
      <c r="K201" s="27" t="inlineStr">
        <is>
          <t>Finance operating schedule</t>
        </is>
      </c>
      <c r="L201" s="47" t="inlineStr">
        <is>
          <t>2026-06-30</t>
        </is>
      </c>
      <c r="M201" s="27" t="inlineStr"/>
    </row>
    <row r="202">
      <c r="A202" s="36" t="inlineStr">
        <is>
          <t>CAP-00214</t>
        </is>
      </c>
      <c r="B202" s="27" t="inlineStr">
        <is>
          <t>Boise branch expansion business case</t>
        </is>
      </c>
      <c r="C202" s="27" t="inlineStr">
        <is>
          <t>Boise investment assumptions</t>
        </is>
      </c>
      <c r="D202" s="27" t="inlineStr">
        <is>
          <t>Boise branch</t>
        </is>
      </c>
      <c r="E202" s="27" t="inlineStr">
        <is>
          <t>Opening / policy</t>
        </is>
      </c>
      <c r="F202" s="27" t="inlineStr">
        <is>
          <t>Approved case</t>
        </is>
      </c>
      <c r="G202" s="27" t="inlineStr">
        <is>
          <t>Corporate allocation excluded</t>
        </is>
      </c>
      <c r="H202" s="46" t="n">
        <v>680000</v>
      </c>
      <c r="I202" s="27" t="inlineStr"/>
      <c r="J202" s="27" t="inlineStr">
        <is>
          <t>USD</t>
        </is>
      </c>
      <c r="K202" s="27" t="inlineStr">
        <is>
          <t>Finance operating schedule</t>
        </is>
      </c>
      <c r="L202" s="47" t="inlineStr">
        <is>
          <t>2026-06-30</t>
        </is>
      </c>
      <c r="M202" s="27" t="inlineStr"/>
    </row>
    <row r="203">
      <c r="A203" s="36" t="inlineStr">
        <is>
          <t>CAP-00227</t>
        </is>
      </c>
      <c r="B203" s="27" t="inlineStr">
        <is>
          <t>Fleet replacement financing alternative</t>
        </is>
      </c>
      <c r="C203" s="27" t="inlineStr">
        <is>
          <t>Fleet financing terms</t>
        </is>
      </c>
      <c r="D203" s="27" t="inlineStr">
        <is>
          <t>FY27 fleet tranche</t>
        </is>
      </c>
      <c r="E203" s="27" t="inlineStr">
        <is>
          <t>2026-07-01</t>
        </is>
      </c>
      <c r="F203" s="27" t="inlineStr">
        <is>
          <t>Approved case</t>
        </is>
      </c>
      <c r="G203" s="27" t="inlineStr">
        <is>
          <t>Fleet cash price</t>
        </is>
      </c>
      <c r="H203" s="46" t="n">
        <v>2880000</v>
      </c>
      <c r="I203" s="27" t="inlineStr"/>
      <c r="J203" s="27" t="inlineStr">
        <is>
          <t>USD</t>
        </is>
      </c>
      <c r="K203" s="27" t="inlineStr">
        <is>
          <t>Finance operating schedule</t>
        </is>
      </c>
      <c r="L203" s="47" t="inlineStr">
        <is>
          <t>2026-06-30</t>
        </is>
      </c>
      <c r="M203" s="27" t="inlineStr"/>
    </row>
    <row r="204">
      <c r="A204" s="36" t="inlineStr">
        <is>
          <t>CAP-00228</t>
        </is>
      </c>
      <c r="B204" s="27" t="inlineStr">
        <is>
          <t>Fleet replacement financing alternative</t>
        </is>
      </c>
      <c r="C204" s="27" t="inlineStr">
        <is>
          <t>Fleet financing terms</t>
        </is>
      </c>
      <c r="D204" s="27" t="inlineStr">
        <is>
          <t>FY27 fleet tranche</t>
        </is>
      </c>
      <c r="E204" s="27" t="inlineStr">
        <is>
          <t>2026-07-01</t>
        </is>
      </c>
      <c r="F204" s="27" t="inlineStr">
        <is>
          <t>Approved case</t>
        </is>
      </c>
      <c r="G204" s="27" t="inlineStr">
        <is>
          <t>Tax rate</t>
        </is>
      </c>
      <c r="H204" s="46" t="n">
        <v>0.24</v>
      </c>
      <c r="I204" s="27" t="inlineStr"/>
      <c r="J204" s="27" t="inlineStr">
        <is>
          <t>decimal ratio</t>
        </is>
      </c>
      <c r="K204" s="27" t="inlineStr">
        <is>
          <t>Finance operating schedule</t>
        </is>
      </c>
      <c r="L204" s="47" t="inlineStr">
        <is>
          <t>2026-06-30</t>
        </is>
      </c>
      <c r="M204" s="27" t="inlineStr"/>
    </row>
    <row r="205">
      <c r="A205" s="36" t="inlineStr">
        <is>
          <t>CAP-00229</t>
        </is>
      </c>
      <c r="B205" s="27" t="inlineStr">
        <is>
          <t>Fleet replacement financing alternative</t>
        </is>
      </c>
      <c r="C205" s="27" t="inlineStr">
        <is>
          <t>Fleet financing terms</t>
        </is>
      </c>
      <c r="D205" s="27" t="inlineStr">
        <is>
          <t>FY27 fleet tranche</t>
        </is>
      </c>
      <c r="E205" s="27" t="inlineStr">
        <is>
          <t>2026-07-01</t>
        </is>
      </c>
      <c r="F205" s="27" t="inlineStr">
        <is>
          <t>Approved case</t>
        </is>
      </c>
      <c r="G205" s="27" t="inlineStr">
        <is>
          <t>Discount rate</t>
        </is>
      </c>
      <c r="H205" s="46" t="n">
        <v>0.075</v>
      </c>
      <c r="I205" s="27" t="inlineStr"/>
      <c r="J205" s="27" t="inlineStr">
        <is>
          <t>decimal ratio</t>
        </is>
      </c>
      <c r="K205" s="27" t="inlineStr">
        <is>
          <t>Finance operating schedule</t>
        </is>
      </c>
      <c r="L205" s="47" t="inlineStr">
        <is>
          <t>2026-06-30</t>
        </is>
      </c>
      <c r="M205" s="27" t="inlineStr"/>
    </row>
    <row r="206">
      <c r="A206" s="36" t="inlineStr">
        <is>
          <t>CAP-00230</t>
        </is>
      </c>
      <c r="B206" s="27" t="inlineStr">
        <is>
          <t>Fleet replacement financing alternative</t>
        </is>
      </c>
      <c r="C206" s="27" t="inlineStr">
        <is>
          <t>Fleet financing terms</t>
        </is>
      </c>
      <c r="D206" s="27" t="inlineStr">
        <is>
          <t>FY27 fleet tranche</t>
        </is>
      </c>
      <c r="E206" s="27" t="inlineStr">
        <is>
          <t>2026-07-01</t>
        </is>
      </c>
      <c r="F206" s="27" t="inlineStr">
        <is>
          <t>Approved case</t>
        </is>
      </c>
      <c r="G206" s="27" t="inlineStr">
        <is>
          <t>Five-year resale value</t>
        </is>
      </c>
      <c r="H206" s="46" t="n">
        <v>840</v>
      </c>
      <c r="I206" s="27" t="inlineStr"/>
      <c r="J206" s="27" t="inlineStr">
        <is>
          <t>USD thousands</t>
        </is>
      </c>
      <c r="K206" s="27" t="inlineStr">
        <is>
          <t>Finance operating schedule</t>
        </is>
      </c>
      <c r="L206" s="47" t="inlineStr">
        <is>
          <t>2026-06-30</t>
        </is>
      </c>
      <c r="M206" s="27" t="inlineStr"/>
    </row>
    <row r="207">
      <c r="A207" s="36" t="inlineStr">
        <is>
          <t>CAP-00231</t>
        </is>
      </c>
      <c r="B207" s="27" t="inlineStr">
        <is>
          <t>Fleet replacement financing alternative</t>
        </is>
      </c>
      <c r="C207" s="27" t="inlineStr">
        <is>
          <t>Fleet financing terms</t>
        </is>
      </c>
      <c r="D207" s="27" t="inlineStr">
        <is>
          <t>FY27 fleet tranche</t>
        </is>
      </c>
      <c r="E207" s="27" t="inlineStr">
        <is>
          <t>2026-07-01</t>
        </is>
      </c>
      <c r="F207" s="27" t="inlineStr">
        <is>
          <t>Approved case</t>
        </is>
      </c>
      <c r="G207" s="27" t="inlineStr">
        <is>
          <t>Annual purchase maintenance</t>
        </is>
      </c>
      <c r="H207" s="46" t="n">
        <v>165000</v>
      </c>
      <c r="I207" s="27" t="inlineStr"/>
      <c r="J207" s="27" t="inlineStr">
        <is>
          <t>USD</t>
        </is>
      </c>
      <c r="K207" s="27" t="inlineStr">
        <is>
          <t>Finance operating schedule</t>
        </is>
      </c>
      <c r="L207" s="47" t="inlineStr">
        <is>
          <t>2026-06-30</t>
        </is>
      </c>
      <c r="M207" s="27" t="inlineStr"/>
    </row>
    <row r="208">
      <c r="A208" s="36" t="inlineStr">
        <is>
          <t>CAP-00232</t>
        </is>
      </c>
      <c r="B208" s="27" t="inlineStr">
        <is>
          <t>Fleet replacement financing alternative</t>
        </is>
      </c>
      <c r="C208" s="27" t="inlineStr">
        <is>
          <t>Fleet financing terms</t>
        </is>
      </c>
      <c r="D208" s="27" t="inlineStr">
        <is>
          <t>FY27 fleet tranche</t>
        </is>
      </c>
      <c r="E208" s="27" t="inlineStr">
        <is>
          <t>2026-07-01</t>
        </is>
      </c>
      <c r="F208" s="27" t="inlineStr">
        <is>
          <t>Approved case</t>
        </is>
      </c>
      <c r="G208" s="27" t="inlineStr">
        <is>
          <t>Annual lease maintenance</t>
        </is>
      </c>
      <c r="H208" s="46" t="n">
        <v>72000</v>
      </c>
      <c r="I208" s="27" t="inlineStr"/>
      <c r="J208" s="27" t="inlineStr">
        <is>
          <t>USD</t>
        </is>
      </c>
      <c r="K208" s="27" t="inlineStr">
        <is>
          <t>Finance operating schedule</t>
        </is>
      </c>
      <c r="L208" s="47" t="inlineStr">
        <is>
          <t>2026-06-30</t>
        </is>
      </c>
      <c r="M208" s="27" t="inlineStr"/>
    </row>
    <row r="209">
      <c r="A209" s="36" t="inlineStr">
        <is>
          <t>CAP-00233</t>
        </is>
      </c>
      <c r="B209" s="27" t="inlineStr">
        <is>
          <t>Fleet replacement financing alternative</t>
        </is>
      </c>
      <c r="C209" s="27" t="inlineStr">
        <is>
          <t>Fleet financing terms</t>
        </is>
      </c>
      <c r="D209" s="27" t="inlineStr">
        <is>
          <t>FY27 fleet tranche</t>
        </is>
      </c>
      <c r="E209" s="27" t="inlineStr">
        <is>
          <t>2026-07-01</t>
        </is>
      </c>
      <c r="F209" s="27" t="inlineStr">
        <is>
          <t>Approved case</t>
        </is>
      </c>
      <c r="G209" s="27" t="inlineStr">
        <is>
          <t>Loan down payment</t>
        </is>
      </c>
      <c r="H209" s="46" t="n">
        <v>360000</v>
      </c>
      <c r="I209" s="27" t="inlineStr"/>
      <c r="J209" s="27" t="inlineStr">
        <is>
          <t>USD</t>
        </is>
      </c>
      <c r="K209" s="27" t="inlineStr">
        <is>
          <t>Finance operating schedule</t>
        </is>
      </c>
      <c r="L209" s="47" t="inlineStr">
        <is>
          <t>2026-06-30</t>
        </is>
      </c>
      <c r="M209" s="27" t="inlineStr"/>
    </row>
    <row r="210">
      <c r="A210" s="36" t="inlineStr">
        <is>
          <t>CAP-00234</t>
        </is>
      </c>
      <c r="B210" s="27" t="inlineStr">
        <is>
          <t>Fleet replacement financing alternative</t>
        </is>
      </c>
      <c r="C210" s="27" t="inlineStr">
        <is>
          <t>Fleet financing terms</t>
        </is>
      </c>
      <c r="D210" s="27" t="inlineStr">
        <is>
          <t>FY27 fleet tranche</t>
        </is>
      </c>
      <c r="E210" s="27" t="inlineStr">
        <is>
          <t>2026-07-01</t>
        </is>
      </c>
      <c r="F210" s="27" t="inlineStr">
        <is>
          <t>Approved case</t>
        </is>
      </c>
      <c r="G210" s="27" t="inlineStr">
        <is>
          <t>Loan principal</t>
        </is>
      </c>
      <c r="H210" s="46" t="n">
        <v>2520</v>
      </c>
      <c r="I210" s="27" t="inlineStr"/>
      <c r="J210" s="27" t="inlineStr">
        <is>
          <t>USD thousands</t>
        </is>
      </c>
      <c r="K210" s="27" t="inlineStr">
        <is>
          <t>Finance operating schedule</t>
        </is>
      </c>
      <c r="L210" s="47" t="inlineStr">
        <is>
          <t>2026-06-30</t>
        </is>
      </c>
      <c r="M210" s="27" t="inlineStr"/>
    </row>
    <row r="211">
      <c r="A211" s="36" t="inlineStr">
        <is>
          <t>CAP-00235</t>
        </is>
      </c>
      <c r="B211" s="27" t="inlineStr">
        <is>
          <t>Fleet replacement financing alternative</t>
        </is>
      </c>
      <c r="C211" s="27" t="inlineStr">
        <is>
          <t>Fleet financing terms</t>
        </is>
      </c>
      <c r="D211" s="27" t="inlineStr">
        <is>
          <t>FY27 fleet tranche</t>
        </is>
      </c>
      <c r="E211" s="27" t="inlineStr">
        <is>
          <t>2026-07-01</t>
        </is>
      </c>
      <c r="F211" s="27" t="inlineStr">
        <is>
          <t>Approved case</t>
        </is>
      </c>
      <c r="G211" s="27" t="inlineStr">
        <is>
          <t>Loan annual rate</t>
        </is>
      </c>
      <c r="H211" s="46" t="n">
        <v>0.0675</v>
      </c>
      <c r="I211" s="27" t="inlineStr"/>
      <c r="J211" s="27" t="inlineStr">
        <is>
          <t>decimal ratio</t>
        </is>
      </c>
      <c r="K211" s="27" t="inlineStr">
        <is>
          <t>Finance operating schedule</t>
        </is>
      </c>
      <c r="L211" s="47" t="inlineStr">
        <is>
          <t>2026-06-30</t>
        </is>
      </c>
      <c r="M211" s="27" t="inlineStr"/>
    </row>
    <row r="212">
      <c r="A212" s="36" t="inlineStr">
        <is>
          <t>CAP-00236</t>
        </is>
      </c>
      <c r="B212" s="27" t="inlineStr">
        <is>
          <t>Fleet replacement financing alternative</t>
        </is>
      </c>
      <c r="C212" s="27" t="inlineStr">
        <is>
          <t>Fleet financing terms</t>
        </is>
      </c>
      <c r="D212" s="27" t="inlineStr">
        <is>
          <t>FY27 fleet tranche</t>
        </is>
      </c>
      <c r="E212" s="27" t="inlineStr">
        <is>
          <t>2026-07-01</t>
        </is>
      </c>
      <c r="F212" s="27" t="inlineStr">
        <is>
          <t>Approved case</t>
        </is>
      </c>
      <c r="G212" s="27" t="inlineStr">
        <is>
          <t>Loan term months</t>
        </is>
      </c>
      <c r="H212" s="46" t="n">
        <v>60</v>
      </c>
      <c r="I212" s="27" t="inlineStr"/>
      <c r="J212" s="27" t="inlineStr">
        <is>
          <t>count</t>
        </is>
      </c>
      <c r="K212" s="27" t="inlineStr">
        <is>
          <t>Finance operating schedule</t>
        </is>
      </c>
      <c r="L212" s="47" t="inlineStr">
        <is>
          <t>2026-06-30</t>
        </is>
      </c>
      <c r="M212" s="27" t="inlineStr"/>
    </row>
    <row r="213">
      <c r="A213" s="36" t="inlineStr">
        <is>
          <t>CAP-00237</t>
        </is>
      </c>
      <c r="B213" s="27" t="inlineStr">
        <is>
          <t>Fleet replacement financing alternative</t>
        </is>
      </c>
      <c r="C213" s="27" t="inlineStr">
        <is>
          <t>Fleet financing terms</t>
        </is>
      </c>
      <c r="D213" s="27" t="inlineStr">
        <is>
          <t>FY27 fleet tranche</t>
        </is>
      </c>
      <c r="E213" s="27" t="inlineStr">
        <is>
          <t>2026-07-01</t>
        </is>
      </c>
      <c r="F213" s="27" t="inlineStr">
        <is>
          <t>Approved case</t>
        </is>
      </c>
      <c r="G213" s="27" t="inlineStr">
        <is>
          <t>Loan origination fee</t>
        </is>
      </c>
      <c r="H213" s="46" t="n">
        <v>38000</v>
      </c>
      <c r="I213" s="27" t="inlineStr"/>
      <c r="J213" s="27" t="inlineStr">
        <is>
          <t>USD</t>
        </is>
      </c>
      <c r="K213" s="27" t="inlineStr">
        <is>
          <t>Finance operating schedule</t>
        </is>
      </c>
      <c r="L213" s="47" t="inlineStr">
        <is>
          <t>2026-06-30</t>
        </is>
      </c>
      <c r="M213" s="27" t="inlineStr"/>
    </row>
    <row r="214">
      <c r="A214" s="36" t="inlineStr">
        <is>
          <t>CAP-00238</t>
        </is>
      </c>
      <c r="B214" s="27" t="inlineStr">
        <is>
          <t>Fleet replacement financing alternative</t>
        </is>
      </c>
      <c r="C214" s="27" t="inlineStr">
        <is>
          <t>Fleet financing terms</t>
        </is>
      </c>
      <c r="D214" s="27" t="inlineStr">
        <is>
          <t>FY27 fleet tranche</t>
        </is>
      </c>
      <c r="E214" s="27" t="inlineStr">
        <is>
          <t>2026-07-01</t>
        </is>
      </c>
      <c r="F214" s="27" t="inlineStr">
        <is>
          <t>Approved case</t>
        </is>
      </c>
      <c r="G214" s="27" t="inlineStr">
        <is>
          <t>Monthly operating lease payment</t>
        </is>
      </c>
      <c r="H214" s="46" t="n">
        <v>52.6</v>
      </c>
      <c r="I214" s="27" t="inlineStr"/>
      <c r="J214" s="27" t="inlineStr">
        <is>
          <t>USD thousands</t>
        </is>
      </c>
      <c r="K214" s="27" t="inlineStr">
        <is>
          <t>Finance operating schedule</t>
        </is>
      </c>
      <c r="L214" s="47" t="inlineStr">
        <is>
          <t>2026-06-30</t>
        </is>
      </c>
      <c r="M214" s="27" t="inlineStr"/>
    </row>
    <row r="215">
      <c r="A215" s="36" t="inlineStr">
        <is>
          <t>CAP-00239</t>
        </is>
      </c>
      <c r="B215" s="27" t="inlineStr">
        <is>
          <t>Fleet replacement financing alternative</t>
        </is>
      </c>
      <c r="C215" s="27" t="inlineStr">
        <is>
          <t>Fleet financing terms</t>
        </is>
      </c>
      <c r="D215" s="27" t="inlineStr">
        <is>
          <t>FY27 fleet tranche</t>
        </is>
      </c>
      <c r="E215" s="27" t="inlineStr">
        <is>
          <t>2026-07-01</t>
        </is>
      </c>
      <c r="F215" s="27" t="inlineStr">
        <is>
          <t>Approved case</t>
        </is>
      </c>
      <c r="G215" s="27" t="inlineStr">
        <is>
          <t>Lease upfront fee</t>
        </is>
      </c>
      <c r="H215" s="46" t="n">
        <v>64000</v>
      </c>
      <c r="I215" s="27" t="inlineStr"/>
      <c r="J215" s="27" t="inlineStr">
        <is>
          <t>USD</t>
        </is>
      </c>
      <c r="K215" s="27" t="inlineStr">
        <is>
          <t>Finance operating schedule</t>
        </is>
      </c>
      <c r="L215" s="47" t="inlineStr">
        <is>
          <t>2026-06-30</t>
        </is>
      </c>
      <c r="M215" s="27" t="inlineStr"/>
    </row>
  </sheetData>
  <autoFilter ref="A4:M215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Long Range Plan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CAP-00250</t>
        </is>
      </c>
      <c r="B5" s="27" t="inlineStr">
        <is>
          <t>Create the five-year long-range plan</t>
        </is>
      </c>
      <c r="C5" s="27" t="inlineStr">
        <is>
          <t>LRP opening balances</t>
        </is>
      </c>
      <c r="D5" s="27" t="inlineStr">
        <is>
          <t>Consolidated</t>
        </is>
      </c>
      <c r="E5" s="27" t="inlineStr">
        <is>
          <t>FY26A</t>
        </is>
      </c>
      <c r="F5" s="27" t="inlineStr">
        <is>
          <t>Approved case</t>
        </is>
      </c>
      <c r="G5" s="27" t="inlineStr">
        <is>
          <t>Revenue base</t>
        </is>
      </c>
      <c r="H5" s="46" t="n">
        <v>1</v>
      </c>
      <c r="I5" s="27" t="inlineStr"/>
      <c r="J5" s="27" t="inlineStr">
        <is>
          <t>ledger allocation factor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>
        <is>
          <t>Vista ERP P&amp;L, 2025-07-01 through 2026-06-30; Revenue total</t>
        </is>
      </c>
    </row>
    <row r="6">
      <c r="A6" s="36" t="inlineStr">
        <is>
          <t>CAP-00251</t>
        </is>
      </c>
      <c r="B6" s="27" t="inlineStr">
        <is>
          <t>Create the five-year long-range plan</t>
        </is>
      </c>
      <c r="C6" s="27" t="inlineStr">
        <is>
          <t>LRP opening balances</t>
        </is>
      </c>
      <c r="D6" s="27" t="inlineStr">
        <is>
          <t>Consolidated</t>
        </is>
      </c>
      <c r="E6" s="27" t="inlineStr">
        <is>
          <t>FY26A</t>
        </is>
      </c>
      <c r="F6" s="27" t="inlineStr">
        <is>
          <t>Approved case</t>
        </is>
      </c>
      <c r="G6" s="27" t="inlineStr">
        <is>
          <t>Fixed operating expense</t>
        </is>
      </c>
      <c r="H6" s="46" t="n">
        <v>1</v>
      </c>
      <c r="I6" s="27" t="inlineStr"/>
      <c r="J6" s="27" t="inlineStr">
        <is>
          <t>ledger allocation factor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>
        <is>
          <t>Vista ERP P&amp;L, 2025-07-01 through 2026-06-30; Operating Expense total</t>
        </is>
      </c>
    </row>
    <row r="7">
      <c r="A7" s="36" t="inlineStr">
        <is>
          <t>CAP-00252</t>
        </is>
      </c>
      <c r="B7" s="27" t="inlineStr">
        <is>
          <t>Create the five-year long-range plan</t>
        </is>
      </c>
      <c r="C7" s="27" t="inlineStr">
        <is>
          <t>LRP opening balances</t>
        </is>
      </c>
      <c r="D7" s="27" t="inlineStr">
        <is>
          <t>Consolidated</t>
        </is>
      </c>
      <c r="E7" s="27" t="inlineStr">
        <is>
          <t>2026-06-30</t>
        </is>
      </c>
      <c r="F7" s="27" t="inlineStr">
        <is>
          <t>Approved case</t>
        </is>
      </c>
      <c r="G7" s="27" t="inlineStr">
        <is>
          <t>Debt</t>
        </is>
      </c>
      <c r="H7" s="46" t="n">
        <v>1</v>
      </c>
      <c r="I7" s="27" t="inlineStr"/>
      <c r="J7" s="27" t="inlineStr">
        <is>
          <t>ledger allocation factor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>
        <is>
          <t>Vista ERP balance sheet as of 2026-06-30; accounts 2200, 2210, and 2300</t>
        </is>
      </c>
    </row>
    <row r="8">
      <c r="A8" s="36" t="inlineStr">
        <is>
          <t>CAP-00253</t>
        </is>
      </c>
      <c r="B8" s="27" t="inlineStr">
        <is>
          <t>Create the five-year long-range plan</t>
        </is>
      </c>
      <c r="C8" s="27" t="inlineStr">
        <is>
          <t>LRP opening balances</t>
        </is>
      </c>
      <c r="D8" s="27" t="inlineStr">
        <is>
          <t>Consolidated</t>
        </is>
      </c>
      <c r="E8" s="27" t="inlineStr">
        <is>
          <t>2026-06-30</t>
        </is>
      </c>
      <c r="F8" s="27" t="inlineStr">
        <is>
          <t>Approved case</t>
        </is>
      </c>
      <c r="G8" s="27" t="inlineStr">
        <is>
          <t>Cash</t>
        </is>
      </c>
      <c r="H8" s="46" t="n">
        <v>1</v>
      </c>
      <c r="I8" s="27" t="inlineStr"/>
      <c r="J8" s="27" t="inlineStr">
        <is>
          <t>ledger allocation factor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>
        <is>
          <t>Vista ERP cash detail as of 2026-06-30; unrestricted company cash accounts</t>
        </is>
      </c>
    </row>
    <row r="9">
      <c r="A9" s="36" t="inlineStr">
        <is>
          <t>CAP-00254</t>
        </is>
      </c>
      <c r="B9" s="27" t="inlineStr">
        <is>
          <t>Create the five-year long-range plan</t>
        </is>
      </c>
      <c r="C9" s="27" t="inlineStr">
        <is>
          <t>LRP scenario drivers</t>
        </is>
      </c>
      <c r="D9" s="27" t="inlineStr">
        <is>
          <t>Consolidated</t>
        </is>
      </c>
      <c r="E9" s="27" t="inlineStr">
        <is>
          <t>FY27</t>
        </is>
      </c>
      <c r="F9" s="27" t="inlineStr">
        <is>
          <t>Base</t>
        </is>
      </c>
      <c r="G9" s="27" t="inlineStr">
        <is>
          <t>Revenue growth</t>
        </is>
      </c>
      <c r="H9" s="46" t="n">
        <v>0.075</v>
      </c>
      <c r="I9" s="27" t="inlineStr"/>
      <c r="J9" s="27" t="inlineStr">
        <is>
          <t>decimal ratio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CAP-00255</t>
        </is>
      </c>
      <c r="B10" s="27" t="inlineStr">
        <is>
          <t>Create the five-year long-range plan</t>
        </is>
      </c>
      <c r="C10" s="27" t="inlineStr">
        <is>
          <t>LRP scenario drivers</t>
        </is>
      </c>
      <c r="D10" s="27" t="inlineStr">
        <is>
          <t>Consolidated</t>
        </is>
      </c>
      <c r="E10" s="27" t="inlineStr">
        <is>
          <t>FY27</t>
        </is>
      </c>
      <c r="F10" s="27" t="inlineStr">
        <is>
          <t>Base</t>
        </is>
      </c>
      <c r="G10" s="27" t="inlineStr">
        <is>
          <t>Gross margin</t>
        </is>
      </c>
      <c r="H10" s="46" t="n">
        <v>0.302</v>
      </c>
      <c r="I10" s="27" t="inlineStr"/>
      <c r="J10" s="27" t="inlineStr">
        <is>
          <t>decimal ratio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CAP-00256</t>
        </is>
      </c>
      <c r="B11" s="27" t="inlineStr">
        <is>
          <t>Create the five-year long-range plan</t>
        </is>
      </c>
      <c r="C11" s="27" t="inlineStr">
        <is>
          <t>LRP scenario drivers</t>
        </is>
      </c>
      <c r="D11" s="27" t="inlineStr">
        <is>
          <t>Consolidated</t>
        </is>
      </c>
      <c r="E11" s="27" t="inlineStr">
        <is>
          <t>FY27</t>
        </is>
      </c>
      <c r="F11" s="27" t="inlineStr">
        <is>
          <t>Base</t>
        </is>
      </c>
      <c r="G11" s="27" t="inlineStr">
        <is>
          <t>Fixed opex growth</t>
        </is>
      </c>
      <c r="H11" s="46" t="n">
        <v>0.04</v>
      </c>
      <c r="I11" s="27" t="inlineStr"/>
      <c r="J11" s="27" t="inlineStr">
        <is>
          <t>decimal ratio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CAP-00257</t>
        </is>
      </c>
      <c r="B12" s="27" t="inlineStr">
        <is>
          <t>Create the five-year long-range plan</t>
        </is>
      </c>
      <c r="C12" s="27" t="inlineStr">
        <is>
          <t>LRP scenario drivers</t>
        </is>
      </c>
      <c r="D12" s="27" t="inlineStr">
        <is>
          <t>Consolidated</t>
        </is>
      </c>
      <c r="E12" s="27" t="inlineStr">
        <is>
          <t>FY27</t>
        </is>
      </c>
      <c r="F12" s="27" t="inlineStr">
        <is>
          <t>Base</t>
        </is>
      </c>
      <c r="G12" s="27" t="inlineStr">
        <is>
          <t>Working capital investment percent of revenue growth</t>
        </is>
      </c>
      <c r="H12" s="46" t="n">
        <v>0.022</v>
      </c>
      <c r="I12" s="27" t="inlineStr"/>
      <c r="J12" s="27" t="inlineStr">
        <is>
          <t>decimal ratio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CAP-00258</t>
        </is>
      </c>
      <c r="B13" s="27" t="inlineStr">
        <is>
          <t>Create the five-year long-range plan</t>
        </is>
      </c>
      <c r="C13" s="27" t="inlineStr">
        <is>
          <t>LRP scenario drivers</t>
        </is>
      </c>
      <c r="D13" s="27" t="inlineStr">
        <is>
          <t>Consolidated</t>
        </is>
      </c>
      <c r="E13" s="27" t="inlineStr">
        <is>
          <t>FY27</t>
        </is>
      </c>
      <c r="F13" s="27" t="inlineStr">
        <is>
          <t>Base</t>
        </is>
      </c>
      <c r="G13" s="27" t="inlineStr">
        <is>
          <t>Cash tax rate</t>
        </is>
      </c>
      <c r="H13" s="46" t="n">
        <v>0.24</v>
      </c>
      <c r="I13" s="27" t="inlineStr"/>
      <c r="J13" s="27" t="inlineStr">
        <is>
          <t>decimal ratio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CAP-00259</t>
        </is>
      </c>
      <c r="B14" s="27" t="inlineStr">
        <is>
          <t>Create the five-year long-range plan</t>
        </is>
      </c>
      <c r="C14" s="27" t="inlineStr">
        <is>
          <t>LRP scenario drivers</t>
        </is>
      </c>
      <c r="D14" s="27" t="inlineStr">
        <is>
          <t>Consolidated</t>
        </is>
      </c>
      <c r="E14" s="27" t="inlineStr">
        <is>
          <t>FY27</t>
        </is>
      </c>
      <c r="F14" s="27" t="inlineStr">
        <is>
          <t>Base</t>
        </is>
      </c>
      <c r="G14" s="27" t="inlineStr">
        <is>
          <t>Capital expenditure</t>
        </is>
      </c>
      <c r="H14" s="46" t="n">
        <v>2800000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CAP-00260</t>
        </is>
      </c>
      <c r="B15" s="27" t="inlineStr">
        <is>
          <t>Create the five-year long-range plan</t>
        </is>
      </c>
      <c r="C15" s="27" t="inlineStr">
        <is>
          <t>LRP scenario drivers</t>
        </is>
      </c>
      <c r="D15" s="27" t="inlineStr">
        <is>
          <t>Consolidated</t>
        </is>
      </c>
      <c r="E15" s="27" t="inlineStr">
        <is>
          <t>FY27</t>
        </is>
      </c>
      <c r="F15" s="27" t="inlineStr">
        <is>
          <t>Base</t>
        </is>
      </c>
      <c r="G15" s="27" t="inlineStr">
        <is>
          <t>Scheduled debt repayment</t>
        </is>
      </c>
      <c r="H15" s="46" t="n">
        <v>350000</v>
      </c>
      <c r="I15" s="27" t="inlineStr"/>
      <c r="J15" s="27" t="inlineStr">
        <is>
          <t>USD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CAP-00261</t>
        </is>
      </c>
      <c r="B16" s="27" t="inlineStr">
        <is>
          <t>Create the five-year long-range plan</t>
        </is>
      </c>
      <c r="C16" s="27" t="inlineStr">
        <is>
          <t>LRP scenario drivers</t>
        </is>
      </c>
      <c r="D16" s="27" t="inlineStr">
        <is>
          <t>Consolidated</t>
        </is>
      </c>
      <c r="E16" s="27" t="inlineStr">
        <is>
          <t>FY27</t>
        </is>
      </c>
      <c r="F16" s="27" t="inlineStr">
        <is>
          <t>Base</t>
        </is>
      </c>
      <c r="G16" s="27" t="inlineStr">
        <is>
          <t>Minimum cash</t>
        </is>
      </c>
      <c r="H16" s="46" t="n">
        <v>2250</v>
      </c>
      <c r="I16" s="27" t="inlineStr"/>
      <c r="J16" s="27" t="inlineStr">
        <is>
          <t>USD thousands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CAP-00262</t>
        </is>
      </c>
      <c r="B17" s="27" t="inlineStr">
        <is>
          <t>Create the five-year long-range plan</t>
        </is>
      </c>
      <c r="C17" s="27" t="inlineStr">
        <is>
          <t>LRP scenario drivers</t>
        </is>
      </c>
      <c r="D17" s="27" t="inlineStr">
        <is>
          <t>Consolidated</t>
        </is>
      </c>
      <c r="E17" s="27" t="inlineStr">
        <is>
          <t>FY28</t>
        </is>
      </c>
      <c r="F17" s="27" t="inlineStr">
        <is>
          <t>Base</t>
        </is>
      </c>
      <c r="G17" s="27" t="inlineStr">
        <is>
          <t>Revenue growth</t>
        </is>
      </c>
      <c r="H17" s="46" t="n">
        <v>0.07099999999999999</v>
      </c>
      <c r="I17" s="27" t="inlineStr"/>
      <c r="J17" s="27" t="inlineStr">
        <is>
          <t>decimal ratio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CAP-00263</t>
        </is>
      </c>
      <c r="B18" s="27" t="inlineStr">
        <is>
          <t>Create the five-year long-range plan</t>
        </is>
      </c>
      <c r="C18" s="27" t="inlineStr">
        <is>
          <t>LRP scenario drivers</t>
        </is>
      </c>
      <c r="D18" s="27" t="inlineStr">
        <is>
          <t>Consolidated</t>
        </is>
      </c>
      <c r="E18" s="27" t="inlineStr">
        <is>
          <t>FY28</t>
        </is>
      </c>
      <c r="F18" s="27" t="inlineStr">
        <is>
          <t>Base</t>
        </is>
      </c>
      <c r="G18" s="27" t="inlineStr">
        <is>
          <t>Gross margin</t>
        </is>
      </c>
      <c r="H18" s="46" t="n">
        <v>0.305</v>
      </c>
      <c r="I18" s="27" t="inlineStr"/>
      <c r="J18" s="27" t="inlineStr">
        <is>
          <t>decimal ratio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CAP-00264</t>
        </is>
      </c>
      <c r="B19" s="27" t="inlineStr">
        <is>
          <t>Create the five-year long-range plan</t>
        </is>
      </c>
      <c r="C19" s="27" t="inlineStr">
        <is>
          <t>LRP scenario drivers</t>
        </is>
      </c>
      <c r="D19" s="27" t="inlineStr">
        <is>
          <t>Consolidated</t>
        </is>
      </c>
      <c r="E19" s="27" t="inlineStr">
        <is>
          <t>FY28</t>
        </is>
      </c>
      <c r="F19" s="27" t="inlineStr">
        <is>
          <t>Base</t>
        </is>
      </c>
      <c r="G19" s="27" t="inlineStr">
        <is>
          <t>Fixed opex growth</t>
        </is>
      </c>
      <c r="H19" s="46" t="n">
        <v>0.04</v>
      </c>
      <c r="I19" s="27" t="inlineStr"/>
      <c r="J19" s="27" t="inlineStr">
        <is>
          <t>decimal ratio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CAP-00265</t>
        </is>
      </c>
      <c r="B20" s="27" t="inlineStr">
        <is>
          <t>Create the five-year long-range plan</t>
        </is>
      </c>
      <c r="C20" s="27" t="inlineStr">
        <is>
          <t>LRP scenario drivers</t>
        </is>
      </c>
      <c r="D20" s="27" t="inlineStr">
        <is>
          <t>Consolidated</t>
        </is>
      </c>
      <c r="E20" s="27" t="inlineStr">
        <is>
          <t>FY28</t>
        </is>
      </c>
      <c r="F20" s="27" t="inlineStr">
        <is>
          <t>Base</t>
        </is>
      </c>
      <c r="G20" s="27" t="inlineStr">
        <is>
          <t>Working capital investment percent of revenue growth</t>
        </is>
      </c>
      <c r="H20" s="46" t="n">
        <v>0.022</v>
      </c>
      <c r="I20" s="27" t="inlineStr"/>
      <c r="J20" s="27" t="inlineStr">
        <is>
          <t>decimal ratio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/>
    </row>
    <row r="21">
      <c r="A21" s="36" t="inlineStr">
        <is>
          <t>CAP-00266</t>
        </is>
      </c>
      <c r="B21" s="27" t="inlineStr">
        <is>
          <t>Create the five-year long-range plan</t>
        </is>
      </c>
      <c r="C21" s="27" t="inlineStr">
        <is>
          <t>LRP scenario drivers</t>
        </is>
      </c>
      <c r="D21" s="27" t="inlineStr">
        <is>
          <t>Consolidated</t>
        </is>
      </c>
      <c r="E21" s="27" t="inlineStr">
        <is>
          <t>FY28</t>
        </is>
      </c>
      <c r="F21" s="27" t="inlineStr">
        <is>
          <t>Base</t>
        </is>
      </c>
      <c r="G21" s="27" t="inlineStr">
        <is>
          <t>Cash tax rate</t>
        </is>
      </c>
      <c r="H21" s="46" t="n">
        <v>0.24</v>
      </c>
      <c r="I21" s="27" t="inlineStr"/>
      <c r="J21" s="27" t="inlineStr">
        <is>
          <t>decimal ratio</t>
        </is>
      </c>
      <c r="K21" s="27" t="inlineStr">
        <is>
          <t>Finance operating schedule</t>
        </is>
      </c>
      <c r="L21" s="47" t="inlineStr">
        <is>
          <t>2026-06-30</t>
        </is>
      </c>
      <c r="M21" s="27" t="inlineStr"/>
    </row>
    <row r="22">
      <c r="A22" s="36" t="inlineStr">
        <is>
          <t>CAP-00267</t>
        </is>
      </c>
      <c r="B22" s="27" t="inlineStr">
        <is>
          <t>Create the five-year long-range plan</t>
        </is>
      </c>
      <c r="C22" s="27" t="inlineStr">
        <is>
          <t>LRP scenario drivers</t>
        </is>
      </c>
      <c r="D22" s="27" t="inlineStr">
        <is>
          <t>Consolidated</t>
        </is>
      </c>
      <c r="E22" s="27" t="inlineStr">
        <is>
          <t>FY28</t>
        </is>
      </c>
      <c r="F22" s="27" t="inlineStr">
        <is>
          <t>Base</t>
        </is>
      </c>
      <c r="G22" s="27" t="inlineStr">
        <is>
          <t>Capital expenditure</t>
        </is>
      </c>
      <c r="H22" s="46" t="n">
        <v>2884000</v>
      </c>
      <c r="I22" s="27" t="inlineStr"/>
      <c r="J22" s="27" t="inlineStr">
        <is>
          <t>USD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CAP-00268</t>
        </is>
      </c>
      <c r="B23" s="27" t="inlineStr">
        <is>
          <t>Create the five-year long-range plan</t>
        </is>
      </c>
      <c r="C23" s="27" t="inlineStr">
        <is>
          <t>LRP scenario drivers</t>
        </is>
      </c>
      <c r="D23" s="27" t="inlineStr">
        <is>
          <t>Consolidated</t>
        </is>
      </c>
      <c r="E23" s="27" t="inlineStr">
        <is>
          <t>FY28</t>
        </is>
      </c>
      <c r="F23" s="27" t="inlineStr">
        <is>
          <t>Base</t>
        </is>
      </c>
      <c r="G23" s="27" t="inlineStr">
        <is>
          <t>Scheduled debt repayment</t>
        </is>
      </c>
      <c r="H23" s="46" t="n">
        <v>400000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CAP-00269</t>
        </is>
      </c>
      <c r="B24" s="27" t="inlineStr">
        <is>
          <t>Create the five-year long-range plan</t>
        </is>
      </c>
      <c r="C24" s="27" t="inlineStr">
        <is>
          <t>LRP scenario drivers</t>
        </is>
      </c>
      <c r="D24" s="27" t="inlineStr">
        <is>
          <t>Consolidated</t>
        </is>
      </c>
      <c r="E24" s="27" t="inlineStr">
        <is>
          <t>FY28</t>
        </is>
      </c>
      <c r="F24" s="27" t="inlineStr">
        <is>
          <t>Base</t>
        </is>
      </c>
      <c r="G24" s="27" t="inlineStr">
        <is>
          <t>Minimum cash</t>
        </is>
      </c>
      <c r="H24" s="46" t="n">
        <v>2250</v>
      </c>
      <c r="I24" s="27" t="inlineStr"/>
      <c r="J24" s="27" t="inlineStr">
        <is>
          <t>USD thousands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CAP-00270</t>
        </is>
      </c>
      <c r="B25" s="27" t="inlineStr">
        <is>
          <t>Create the five-year long-range plan</t>
        </is>
      </c>
      <c r="C25" s="27" t="inlineStr">
        <is>
          <t>LRP scenario drivers</t>
        </is>
      </c>
      <c r="D25" s="27" t="inlineStr">
        <is>
          <t>Consolidated</t>
        </is>
      </c>
      <c r="E25" s="27" t="inlineStr">
        <is>
          <t>FY29</t>
        </is>
      </c>
      <c r="F25" s="27" t="inlineStr">
        <is>
          <t>Base</t>
        </is>
      </c>
      <c r="G25" s="27" t="inlineStr">
        <is>
          <t>Revenue growth</t>
        </is>
      </c>
      <c r="H25" s="46" t="n">
        <v>0.067</v>
      </c>
      <c r="I25" s="27" t="inlineStr"/>
      <c r="J25" s="27" t="inlineStr">
        <is>
          <t>decimal ratio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CAP-00271</t>
        </is>
      </c>
      <c r="B26" s="27" t="inlineStr">
        <is>
          <t>Create the five-year long-range plan</t>
        </is>
      </c>
      <c r="C26" s="27" t="inlineStr">
        <is>
          <t>LRP scenario drivers</t>
        </is>
      </c>
      <c r="D26" s="27" t="inlineStr">
        <is>
          <t>Consolidated</t>
        </is>
      </c>
      <c r="E26" s="27" t="inlineStr">
        <is>
          <t>FY29</t>
        </is>
      </c>
      <c r="F26" s="27" t="inlineStr">
        <is>
          <t>Base</t>
        </is>
      </c>
      <c r="G26" s="27" t="inlineStr">
        <is>
          <t>Gross margin</t>
        </is>
      </c>
      <c r="H26" s="46" t="n">
        <v>0.308</v>
      </c>
      <c r="I26" s="27" t="inlineStr"/>
      <c r="J26" s="27" t="inlineStr">
        <is>
          <t>decimal ratio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CAP-00272</t>
        </is>
      </c>
      <c r="B27" s="27" t="inlineStr">
        <is>
          <t>Create the five-year long-range plan</t>
        </is>
      </c>
      <c r="C27" s="27" t="inlineStr">
        <is>
          <t>LRP scenario drivers</t>
        </is>
      </c>
      <c r="D27" s="27" t="inlineStr">
        <is>
          <t>Consolidated</t>
        </is>
      </c>
      <c r="E27" s="27" t="inlineStr">
        <is>
          <t>FY29</t>
        </is>
      </c>
      <c r="F27" s="27" t="inlineStr">
        <is>
          <t>Base</t>
        </is>
      </c>
      <c r="G27" s="27" t="inlineStr">
        <is>
          <t>Fixed opex growth</t>
        </is>
      </c>
      <c r="H27" s="46" t="n">
        <v>0.04</v>
      </c>
      <c r="I27" s="27" t="inlineStr"/>
      <c r="J27" s="27" t="inlineStr">
        <is>
          <t>decimal ratio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CAP-00273</t>
        </is>
      </c>
      <c r="B28" s="27" t="inlineStr">
        <is>
          <t>Create the five-year long-range plan</t>
        </is>
      </c>
      <c r="C28" s="27" t="inlineStr">
        <is>
          <t>LRP scenario drivers</t>
        </is>
      </c>
      <c r="D28" s="27" t="inlineStr">
        <is>
          <t>Consolidated</t>
        </is>
      </c>
      <c r="E28" s="27" t="inlineStr">
        <is>
          <t>FY29</t>
        </is>
      </c>
      <c r="F28" s="27" t="inlineStr">
        <is>
          <t>Base</t>
        </is>
      </c>
      <c r="G28" s="27" t="inlineStr">
        <is>
          <t>Working capital investment percent of revenue growth</t>
        </is>
      </c>
      <c r="H28" s="46" t="n">
        <v>0.022</v>
      </c>
      <c r="I28" s="27" t="inlineStr"/>
      <c r="J28" s="27" t="inlineStr">
        <is>
          <t>decimal ratio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CAP-00274</t>
        </is>
      </c>
      <c r="B29" s="27" t="inlineStr">
        <is>
          <t>Create the five-year long-range plan</t>
        </is>
      </c>
      <c r="C29" s="27" t="inlineStr">
        <is>
          <t>LRP scenario drivers</t>
        </is>
      </c>
      <c r="D29" s="27" t="inlineStr">
        <is>
          <t>Consolidated</t>
        </is>
      </c>
      <c r="E29" s="27" t="inlineStr">
        <is>
          <t>FY29</t>
        </is>
      </c>
      <c r="F29" s="27" t="inlineStr">
        <is>
          <t>Base</t>
        </is>
      </c>
      <c r="G29" s="27" t="inlineStr">
        <is>
          <t>Cash tax rate</t>
        </is>
      </c>
      <c r="H29" s="46" t="n">
        <v>0.24</v>
      </c>
      <c r="I29" s="27" t="inlineStr"/>
      <c r="J29" s="27" t="inlineStr">
        <is>
          <t>decimal ratio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CAP-00275</t>
        </is>
      </c>
      <c r="B30" s="27" t="inlineStr">
        <is>
          <t>Create the five-year long-range plan</t>
        </is>
      </c>
      <c r="C30" s="27" t="inlineStr">
        <is>
          <t>LRP scenario drivers</t>
        </is>
      </c>
      <c r="D30" s="27" t="inlineStr">
        <is>
          <t>Consolidated</t>
        </is>
      </c>
      <c r="E30" s="27" t="inlineStr">
        <is>
          <t>FY29</t>
        </is>
      </c>
      <c r="F30" s="27" t="inlineStr">
        <is>
          <t>Base</t>
        </is>
      </c>
      <c r="G30" s="27" t="inlineStr">
        <is>
          <t>Capital expenditure</t>
        </is>
      </c>
      <c r="H30" s="46" t="n">
        <v>2970520</v>
      </c>
      <c r="I30" s="27" t="inlineStr"/>
      <c r="J30" s="27" t="inlineStr">
        <is>
          <t>USD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CAP-00276</t>
        </is>
      </c>
      <c r="B31" s="27" t="inlineStr">
        <is>
          <t>Create the five-year long-range plan</t>
        </is>
      </c>
      <c r="C31" s="27" t="inlineStr">
        <is>
          <t>LRP scenario drivers</t>
        </is>
      </c>
      <c r="D31" s="27" t="inlineStr">
        <is>
          <t>Consolidated</t>
        </is>
      </c>
      <c r="E31" s="27" t="inlineStr">
        <is>
          <t>FY29</t>
        </is>
      </c>
      <c r="F31" s="27" t="inlineStr">
        <is>
          <t>Base</t>
        </is>
      </c>
      <c r="G31" s="27" t="inlineStr">
        <is>
          <t>Scheduled debt repayment</t>
        </is>
      </c>
      <c r="H31" s="46" t="n">
        <v>450000</v>
      </c>
      <c r="I31" s="27" t="inlineStr"/>
      <c r="J31" s="27" t="inlineStr">
        <is>
          <t>USD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CAP-00277</t>
        </is>
      </c>
      <c r="B32" s="27" t="inlineStr">
        <is>
          <t>Create the five-year long-range plan</t>
        </is>
      </c>
      <c r="C32" s="27" t="inlineStr">
        <is>
          <t>LRP scenario drivers</t>
        </is>
      </c>
      <c r="D32" s="27" t="inlineStr">
        <is>
          <t>Consolidated</t>
        </is>
      </c>
      <c r="E32" s="27" t="inlineStr">
        <is>
          <t>FY29</t>
        </is>
      </c>
      <c r="F32" s="27" t="inlineStr">
        <is>
          <t>Base</t>
        </is>
      </c>
      <c r="G32" s="27" t="inlineStr">
        <is>
          <t>Minimum cash</t>
        </is>
      </c>
      <c r="H32" s="46" t="n">
        <v>2250</v>
      </c>
      <c r="I32" s="27" t="inlineStr"/>
      <c r="J32" s="27" t="inlineStr">
        <is>
          <t>USD thousands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CAP-00278</t>
        </is>
      </c>
      <c r="B33" s="27" t="inlineStr">
        <is>
          <t>Create the five-year long-range plan</t>
        </is>
      </c>
      <c r="C33" s="27" t="inlineStr">
        <is>
          <t>LRP scenario drivers</t>
        </is>
      </c>
      <c r="D33" s="27" t="inlineStr">
        <is>
          <t>Consolidated</t>
        </is>
      </c>
      <c r="E33" s="27" t="inlineStr">
        <is>
          <t>FY30</t>
        </is>
      </c>
      <c r="F33" s="27" t="inlineStr">
        <is>
          <t>Base</t>
        </is>
      </c>
      <c r="G33" s="27" t="inlineStr">
        <is>
          <t>Revenue growth</t>
        </is>
      </c>
      <c r="H33" s="46" t="n">
        <v>0.063</v>
      </c>
      <c r="I33" s="27" t="inlineStr"/>
      <c r="J33" s="27" t="inlineStr">
        <is>
          <t>decimal ratio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CAP-00279</t>
        </is>
      </c>
      <c r="B34" s="27" t="inlineStr">
        <is>
          <t>Create the five-year long-range plan</t>
        </is>
      </c>
      <c r="C34" s="27" t="inlineStr">
        <is>
          <t>LRP scenario drivers</t>
        </is>
      </c>
      <c r="D34" s="27" t="inlineStr">
        <is>
          <t>Consolidated</t>
        </is>
      </c>
      <c r="E34" s="27" t="inlineStr">
        <is>
          <t>FY30</t>
        </is>
      </c>
      <c r="F34" s="27" t="inlineStr">
        <is>
          <t>Base</t>
        </is>
      </c>
      <c r="G34" s="27" t="inlineStr">
        <is>
          <t>Gross margin</t>
        </is>
      </c>
      <c r="H34" s="46" t="n">
        <v>0.311</v>
      </c>
      <c r="I34" s="27" t="inlineStr"/>
      <c r="J34" s="27" t="inlineStr">
        <is>
          <t>decimal ratio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CAP-00280</t>
        </is>
      </c>
      <c r="B35" s="27" t="inlineStr">
        <is>
          <t>Create the five-year long-range plan</t>
        </is>
      </c>
      <c r="C35" s="27" t="inlineStr">
        <is>
          <t>LRP scenario drivers</t>
        </is>
      </c>
      <c r="D35" s="27" t="inlineStr">
        <is>
          <t>Consolidated</t>
        </is>
      </c>
      <c r="E35" s="27" t="inlineStr">
        <is>
          <t>FY30</t>
        </is>
      </c>
      <c r="F35" s="27" t="inlineStr">
        <is>
          <t>Base</t>
        </is>
      </c>
      <c r="G35" s="27" t="inlineStr">
        <is>
          <t>Fixed opex growth</t>
        </is>
      </c>
      <c r="H35" s="46" t="n">
        <v>0.04</v>
      </c>
      <c r="I35" s="27" t="inlineStr"/>
      <c r="J35" s="27" t="inlineStr">
        <is>
          <t>decimal ratio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CAP-00281</t>
        </is>
      </c>
      <c r="B36" s="27" t="inlineStr">
        <is>
          <t>Create the five-year long-range plan</t>
        </is>
      </c>
      <c r="C36" s="27" t="inlineStr">
        <is>
          <t>LRP scenario drivers</t>
        </is>
      </c>
      <c r="D36" s="27" t="inlineStr">
        <is>
          <t>Consolidated</t>
        </is>
      </c>
      <c r="E36" s="27" t="inlineStr">
        <is>
          <t>FY30</t>
        </is>
      </c>
      <c r="F36" s="27" t="inlineStr">
        <is>
          <t>Base</t>
        </is>
      </c>
      <c r="G36" s="27" t="inlineStr">
        <is>
          <t>Working capital investment percent of revenue growth</t>
        </is>
      </c>
      <c r="H36" s="46" t="n">
        <v>0.022</v>
      </c>
      <c r="I36" s="27" t="inlineStr"/>
      <c r="J36" s="27" t="inlineStr">
        <is>
          <t>decimal ratio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CAP-00282</t>
        </is>
      </c>
      <c r="B37" s="27" t="inlineStr">
        <is>
          <t>Create the five-year long-range plan</t>
        </is>
      </c>
      <c r="C37" s="27" t="inlineStr">
        <is>
          <t>LRP scenario drivers</t>
        </is>
      </c>
      <c r="D37" s="27" t="inlineStr">
        <is>
          <t>Consolidated</t>
        </is>
      </c>
      <c r="E37" s="27" t="inlineStr">
        <is>
          <t>FY30</t>
        </is>
      </c>
      <c r="F37" s="27" t="inlineStr">
        <is>
          <t>Base</t>
        </is>
      </c>
      <c r="G37" s="27" t="inlineStr">
        <is>
          <t>Cash tax rate</t>
        </is>
      </c>
      <c r="H37" s="46" t="n">
        <v>0.24</v>
      </c>
      <c r="I37" s="27" t="inlineStr"/>
      <c r="J37" s="27" t="inlineStr">
        <is>
          <t>decimal ratio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CAP-00283</t>
        </is>
      </c>
      <c r="B38" s="27" t="inlineStr">
        <is>
          <t>Create the five-year long-range plan</t>
        </is>
      </c>
      <c r="C38" s="27" t="inlineStr">
        <is>
          <t>LRP scenario drivers</t>
        </is>
      </c>
      <c r="D38" s="27" t="inlineStr">
        <is>
          <t>Consolidated</t>
        </is>
      </c>
      <c r="E38" s="27" t="inlineStr">
        <is>
          <t>FY30</t>
        </is>
      </c>
      <c r="F38" s="27" t="inlineStr">
        <is>
          <t>Base</t>
        </is>
      </c>
      <c r="G38" s="27" t="inlineStr">
        <is>
          <t>Capital expenditure</t>
        </is>
      </c>
      <c r="H38" s="46" t="n">
        <v>3059635.6</v>
      </c>
      <c r="I38" s="27" t="inlineStr"/>
      <c r="J38" s="27" t="inlineStr">
        <is>
          <t>USD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CAP-00284</t>
        </is>
      </c>
      <c r="B39" s="27" t="inlineStr">
        <is>
          <t>Create the five-year long-range plan</t>
        </is>
      </c>
      <c r="C39" s="27" t="inlineStr">
        <is>
          <t>LRP scenario drivers</t>
        </is>
      </c>
      <c r="D39" s="27" t="inlineStr">
        <is>
          <t>Consolidated</t>
        </is>
      </c>
      <c r="E39" s="27" t="inlineStr">
        <is>
          <t>FY30</t>
        </is>
      </c>
      <c r="F39" s="27" t="inlineStr">
        <is>
          <t>Base</t>
        </is>
      </c>
      <c r="G39" s="27" t="inlineStr">
        <is>
          <t>Scheduled debt repayment</t>
        </is>
      </c>
      <c r="H39" s="46" t="n">
        <v>500000</v>
      </c>
      <c r="I39" s="27" t="inlineStr"/>
      <c r="J39" s="27" t="inlineStr">
        <is>
          <t>USD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CAP-00285</t>
        </is>
      </c>
      <c r="B40" s="27" t="inlineStr">
        <is>
          <t>Create the five-year long-range plan</t>
        </is>
      </c>
      <c r="C40" s="27" t="inlineStr">
        <is>
          <t>LRP scenario drivers</t>
        </is>
      </c>
      <c r="D40" s="27" t="inlineStr">
        <is>
          <t>Consolidated</t>
        </is>
      </c>
      <c r="E40" s="27" t="inlineStr">
        <is>
          <t>FY30</t>
        </is>
      </c>
      <c r="F40" s="27" t="inlineStr">
        <is>
          <t>Base</t>
        </is>
      </c>
      <c r="G40" s="27" t="inlineStr">
        <is>
          <t>Minimum cash</t>
        </is>
      </c>
      <c r="H40" s="46" t="n">
        <v>2250</v>
      </c>
      <c r="I40" s="27" t="inlineStr"/>
      <c r="J40" s="27" t="inlineStr">
        <is>
          <t>USD thousands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CAP-00286</t>
        </is>
      </c>
      <c r="B41" s="27" t="inlineStr">
        <is>
          <t>Create the five-year long-range plan</t>
        </is>
      </c>
      <c r="C41" s="27" t="inlineStr">
        <is>
          <t>LRP scenario drivers</t>
        </is>
      </c>
      <c r="D41" s="27" t="inlineStr">
        <is>
          <t>Consolidated</t>
        </is>
      </c>
      <c r="E41" s="27" t="inlineStr">
        <is>
          <t>FY31</t>
        </is>
      </c>
      <c r="F41" s="27" t="inlineStr">
        <is>
          <t>Base</t>
        </is>
      </c>
      <c r="G41" s="27" t="inlineStr">
        <is>
          <t>Revenue growth</t>
        </is>
      </c>
      <c r="H41" s="46" t="n">
        <v>0.059</v>
      </c>
      <c r="I41" s="27" t="inlineStr"/>
      <c r="J41" s="27" t="inlineStr">
        <is>
          <t>decimal ratio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CAP-00287</t>
        </is>
      </c>
      <c r="B42" s="27" t="inlineStr">
        <is>
          <t>Create the five-year long-range plan</t>
        </is>
      </c>
      <c r="C42" s="27" t="inlineStr">
        <is>
          <t>LRP scenario drivers</t>
        </is>
      </c>
      <c r="D42" s="27" t="inlineStr">
        <is>
          <t>Consolidated</t>
        </is>
      </c>
      <c r="E42" s="27" t="inlineStr">
        <is>
          <t>FY31</t>
        </is>
      </c>
      <c r="F42" s="27" t="inlineStr">
        <is>
          <t>Base</t>
        </is>
      </c>
      <c r="G42" s="27" t="inlineStr">
        <is>
          <t>Gross margin</t>
        </is>
      </c>
      <c r="H42" s="46" t="n">
        <v>0.314</v>
      </c>
      <c r="I42" s="27" t="inlineStr"/>
      <c r="J42" s="27" t="inlineStr">
        <is>
          <t>decimal ratio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CAP-00288</t>
        </is>
      </c>
      <c r="B43" s="27" t="inlineStr">
        <is>
          <t>Create the five-year long-range plan</t>
        </is>
      </c>
      <c r="C43" s="27" t="inlineStr">
        <is>
          <t>LRP scenario drivers</t>
        </is>
      </c>
      <c r="D43" s="27" t="inlineStr">
        <is>
          <t>Consolidated</t>
        </is>
      </c>
      <c r="E43" s="27" t="inlineStr">
        <is>
          <t>FY31</t>
        </is>
      </c>
      <c r="F43" s="27" t="inlineStr">
        <is>
          <t>Base</t>
        </is>
      </c>
      <c r="G43" s="27" t="inlineStr">
        <is>
          <t>Fixed opex growth</t>
        </is>
      </c>
      <c r="H43" s="46" t="n">
        <v>0.04</v>
      </c>
      <c r="I43" s="27" t="inlineStr"/>
      <c r="J43" s="27" t="inlineStr">
        <is>
          <t>decimal ratio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CAP-00289</t>
        </is>
      </c>
      <c r="B44" s="27" t="inlineStr">
        <is>
          <t>Create the five-year long-range plan</t>
        </is>
      </c>
      <c r="C44" s="27" t="inlineStr">
        <is>
          <t>LRP scenario drivers</t>
        </is>
      </c>
      <c r="D44" s="27" t="inlineStr">
        <is>
          <t>Consolidated</t>
        </is>
      </c>
      <c r="E44" s="27" t="inlineStr">
        <is>
          <t>FY31</t>
        </is>
      </c>
      <c r="F44" s="27" t="inlineStr">
        <is>
          <t>Base</t>
        </is>
      </c>
      <c r="G44" s="27" t="inlineStr">
        <is>
          <t>Working capital investment percent of revenue growth</t>
        </is>
      </c>
      <c r="H44" s="46" t="n">
        <v>0.022</v>
      </c>
      <c r="I44" s="27" t="inlineStr"/>
      <c r="J44" s="27" t="inlineStr">
        <is>
          <t>decimal ratio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CAP-00290</t>
        </is>
      </c>
      <c r="B45" s="27" t="inlineStr">
        <is>
          <t>Create the five-year long-range plan</t>
        </is>
      </c>
      <c r="C45" s="27" t="inlineStr">
        <is>
          <t>LRP scenario drivers</t>
        </is>
      </c>
      <c r="D45" s="27" t="inlineStr">
        <is>
          <t>Consolidated</t>
        </is>
      </c>
      <c r="E45" s="27" t="inlineStr">
        <is>
          <t>FY31</t>
        </is>
      </c>
      <c r="F45" s="27" t="inlineStr">
        <is>
          <t>Base</t>
        </is>
      </c>
      <c r="G45" s="27" t="inlineStr">
        <is>
          <t>Cash tax rate</t>
        </is>
      </c>
      <c r="H45" s="46" t="n">
        <v>0.24</v>
      </c>
      <c r="I45" s="27" t="inlineStr"/>
      <c r="J45" s="27" t="inlineStr">
        <is>
          <t>decimal ratio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CAP-00291</t>
        </is>
      </c>
      <c r="B46" s="27" t="inlineStr">
        <is>
          <t>Create the five-year long-range plan</t>
        </is>
      </c>
      <c r="C46" s="27" t="inlineStr">
        <is>
          <t>LRP scenario drivers</t>
        </is>
      </c>
      <c r="D46" s="27" t="inlineStr">
        <is>
          <t>Consolidated</t>
        </is>
      </c>
      <c r="E46" s="27" t="inlineStr">
        <is>
          <t>FY31</t>
        </is>
      </c>
      <c r="F46" s="27" t="inlineStr">
        <is>
          <t>Base</t>
        </is>
      </c>
      <c r="G46" s="27" t="inlineStr">
        <is>
          <t>Capital expenditure</t>
        </is>
      </c>
      <c r="H46" s="46" t="n">
        <v>3151424.668000001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CAP-00292</t>
        </is>
      </c>
      <c r="B47" s="27" t="inlineStr">
        <is>
          <t>Create the five-year long-range plan</t>
        </is>
      </c>
      <c r="C47" s="27" t="inlineStr">
        <is>
          <t>LRP scenario drivers</t>
        </is>
      </c>
      <c r="D47" s="27" t="inlineStr">
        <is>
          <t>Consolidated</t>
        </is>
      </c>
      <c r="E47" s="27" t="inlineStr">
        <is>
          <t>FY31</t>
        </is>
      </c>
      <c r="F47" s="27" t="inlineStr">
        <is>
          <t>Base</t>
        </is>
      </c>
      <c r="G47" s="27" t="inlineStr">
        <is>
          <t>Scheduled debt repayment</t>
        </is>
      </c>
      <c r="H47" s="46" t="n">
        <v>550000</v>
      </c>
      <c r="I47" s="27" t="inlineStr"/>
      <c r="J47" s="27" t="inlineStr">
        <is>
          <t>USD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CAP-00293</t>
        </is>
      </c>
      <c r="B48" s="27" t="inlineStr">
        <is>
          <t>Create the five-year long-range plan</t>
        </is>
      </c>
      <c r="C48" s="27" t="inlineStr">
        <is>
          <t>LRP scenario drivers</t>
        </is>
      </c>
      <c r="D48" s="27" t="inlineStr">
        <is>
          <t>Consolidated</t>
        </is>
      </c>
      <c r="E48" s="27" t="inlineStr">
        <is>
          <t>FY31</t>
        </is>
      </c>
      <c r="F48" s="27" t="inlineStr">
        <is>
          <t>Base</t>
        </is>
      </c>
      <c r="G48" s="27" t="inlineStr">
        <is>
          <t>Minimum cash</t>
        </is>
      </c>
      <c r="H48" s="46" t="n">
        <v>2250</v>
      </c>
      <c r="I48" s="27" t="inlineStr"/>
      <c r="J48" s="27" t="inlineStr">
        <is>
          <t>USD thousands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CAP-00294</t>
        </is>
      </c>
      <c r="B49" s="27" t="inlineStr">
        <is>
          <t>Create the five-year long-range plan</t>
        </is>
      </c>
      <c r="C49" s="27" t="inlineStr">
        <is>
          <t>LRP scenario drivers</t>
        </is>
      </c>
      <c r="D49" s="27" t="inlineStr">
        <is>
          <t>Consolidated</t>
        </is>
      </c>
      <c r="E49" s="27" t="inlineStr">
        <is>
          <t>FY27</t>
        </is>
      </c>
      <c r="F49" s="27" t="inlineStr">
        <is>
          <t>Downside</t>
        </is>
      </c>
      <c r="G49" s="27" t="inlineStr">
        <is>
          <t>Revenue growth</t>
        </is>
      </c>
      <c r="H49" s="46" t="n">
        <v>0.015</v>
      </c>
      <c r="I49" s="27" t="inlineStr"/>
      <c r="J49" s="27" t="inlineStr">
        <is>
          <t>decimal ratio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CAP-00295</t>
        </is>
      </c>
      <c r="B50" s="27" t="inlineStr">
        <is>
          <t>Create the five-year long-range plan</t>
        </is>
      </c>
      <c r="C50" s="27" t="inlineStr">
        <is>
          <t>LRP scenario drivers</t>
        </is>
      </c>
      <c r="D50" s="27" t="inlineStr">
        <is>
          <t>Consolidated</t>
        </is>
      </c>
      <c r="E50" s="27" t="inlineStr">
        <is>
          <t>FY27</t>
        </is>
      </c>
      <c r="F50" s="27" t="inlineStr">
        <is>
          <t>Downside</t>
        </is>
      </c>
      <c r="G50" s="27" t="inlineStr">
        <is>
          <t>Gross margin</t>
        </is>
      </c>
      <c r="H50" s="46" t="n">
        <v>0.265</v>
      </c>
      <c r="I50" s="27" t="inlineStr"/>
      <c r="J50" s="27" t="inlineStr">
        <is>
          <t>decimal ratio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CAP-00296</t>
        </is>
      </c>
      <c r="B51" s="27" t="inlineStr">
        <is>
          <t>Create the five-year long-range plan</t>
        </is>
      </c>
      <c r="C51" s="27" t="inlineStr">
        <is>
          <t>LRP scenario drivers</t>
        </is>
      </c>
      <c r="D51" s="27" t="inlineStr">
        <is>
          <t>Consolidated</t>
        </is>
      </c>
      <c r="E51" s="27" t="inlineStr">
        <is>
          <t>FY27</t>
        </is>
      </c>
      <c r="F51" s="27" t="inlineStr">
        <is>
          <t>Downside</t>
        </is>
      </c>
      <c r="G51" s="27" t="inlineStr">
        <is>
          <t>Fixed opex growth</t>
        </is>
      </c>
      <c r="H51" s="46" t="n">
        <v>0.025</v>
      </c>
      <c r="I51" s="27" t="inlineStr"/>
      <c r="J51" s="27" t="inlineStr">
        <is>
          <t>decimal ratio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CAP-00297</t>
        </is>
      </c>
      <c r="B52" s="27" t="inlineStr">
        <is>
          <t>Create the five-year long-range plan</t>
        </is>
      </c>
      <c r="C52" s="27" t="inlineStr">
        <is>
          <t>LRP scenario drivers</t>
        </is>
      </c>
      <c r="D52" s="27" t="inlineStr">
        <is>
          <t>Consolidated</t>
        </is>
      </c>
      <c r="E52" s="27" t="inlineStr">
        <is>
          <t>FY27</t>
        </is>
      </c>
      <c r="F52" s="27" t="inlineStr">
        <is>
          <t>Downside</t>
        </is>
      </c>
      <c r="G52" s="27" t="inlineStr">
        <is>
          <t>Working capital investment percent of revenue growth</t>
        </is>
      </c>
      <c r="H52" s="46" t="n">
        <v>0.01</v>
      </c>
      <c r="I52" s="27" t="inlineStr"/>
      <c r="J52" s="27" t="inlineStr">
        <is>
          <t>decimal ratio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/>
    </row>
    <row r="53">
      <c r="A53" s="36" t="inlineStr">
        <is>
          <t>CAP-00298</t>
        </is>
      </c>
      <c r="B53" s="27" t="inlineStr">
        <is>
          <t>Create the five-year long-range plan</t>
        </is>
      </c>
      <c r="C53" s="27" t="inlineStr">
        <is>
          <t>LRP scenario drivers</t>
        </is>
      </c>
      <c r="D53" s="27" t="inlineStr">
        <is>
          <t>Consolidated</t>
        </is>
      </c>
      <c r="E53" s="27" t="inlineStr">
        <is>
          <t>FY27</t>
        </is>
      </c>
      <c r="F53" s="27" t="inlineStr">
        <is>
          <t>Downside</t>
        </is>
      </c>
      <c r="G53" s="27" t="inlineStr">
        <is>
          <t>Cash tax rate</t>
        </is>
      </c>
      <c r="H53" s="46" t="n">
        <v>0.21</v>
      </c>
      <c r="I53" s="27" t="inlineStr"/>
      <c r="J53" s="27" t="inlineStr">
        <is>
          <t>decimal ratio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CAP-00299</t>
        </is>
      </c>
      <c r="B54" s="27" t="inlineStr">
        <is>
          <t>Create the five-year long-range plan</t>
        </is>
      </c>
      <c r="C54" s="27" t="inlineStr">
        <is>
          <t>LRP scenario drivers</t>
        </is>
      </c>
      <c r="D54" s="27" t="inlineStr">
        <is>
          <t>Consolidated</t>
        </is>
      </c>
      <c r="E54" s="27" t="inlineStr">
        <is>
          <t>FY27</t>
        </is>
      </c>
      <c r="F54" s="27" t="inlineStr">
        <is>
          <t>Downside</t>
        </is>
      </c>
      <c r="G54" s="27" t="inlineStr">
        <is>
          <t>Capital expenditure</t>
        </is>
      </c>
      <c r="H54" s="46" t="n">
        <v>2100000</v>
      </c>
      <c r="I54" s="27" t="inlineStr"/>
      <c r="J54" s="27" t="inlineStr">
        <is>
          <t>USD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CAP-00300</t>
        </is>
      </c>
      <c r="B55" s="27" t="inlineStr">
        <is>
          <t>Create the five-year long-range plan</t>
        </is>
      </c>
      <c r="C55" s="27" t="inlineStr">
        <is>
          <t>LRP scenario drivers</t>
        </is>
      </c>
      <c r="D55" s="27" t="inlineStr">
        <is>
          <t>Consolidated</t>
        </is>
      </c>
      <c r="E55" s="27" t="inlineStr">
        <is>
          <t>FY27</t>
        </is>
      </c>
      <c r="F55" s="27" t="inlineStr">
        <is>
          <t>Downside</t>
        </is>
      </c>
      <c r="G55" s="27" t="inlineStr">
        <is>
          <t>Scheduled debt repayment</t>
        </is>
      </c>
      <c r="H55" s="46" t="n">
        <v>350000</v>
      </c>
      <c r="I55" s="27" t="inlineStr"/>
      <c r="J55" s="27" t="inlineStr">
        <is>
          <t>USD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CAP-00301</t>
        </is>
      </c>
      <c r="B56" s="27" t="inlineStr">
        <is>
          <t>Create the five-year long-range plan</t>
        </is>
      </c>
      <c r="C56" s="27" t="inlineStr">
        <is>
          <t>LRP scenario drivers</t>
        </is>
      </c>
      <c r="D56" s="27" t="inlineStr">
        <is>
          <t>Consolidated</t>
        </is>
      </c>
      <c r="E56" s="27" t="inlineStr">
        <is>
          <t>FY27</t>
        </is>
      </c>
      <c r="F56" s="27" t="inlineStr">
        <is>
          <t>Downside</t>
        </is>
      </c>
      <c r="G56" s="27" t="inlineStr">
        <is>
          <t>Minimum cash</t>
        </is>
      </c>
      <c r="H56" s="46" t="n">
        <v>2250</v>
      </c>
      <c r="I56" s="27" t="inlineStr"/>
      <c r="J56" s="27" t="inlineStr">
        <is>
          <t>USD thousands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CAP-00302</t>
        </is>
      </c>
      <c r="B57" s="27" t="inlineStr">
        <is>
          <t>Create the five-year long-range plan</t>
        </is>
      </c>
      <c r="C57" s="27" t="inlineStr">
        <is>
          <t>LRP scenario drivers</t>
        </is>
      </c>
      <c r="D57" s="27" t="inlineStr">
        <is>
          <t>Consolidated</t>
        </is>
      </c>
      <c r="E57" s="27" t="inlineStr">
        <is>
          <t>FY28</t>
        </is>
      </c>
      <c r="F57" s="27" t="inlineStr">
        <is>
          <t>Downside</t>
        </is>
      </c>
      <c r="G57" s="27" t="inlineStr">
        <is>
          <t>Revenue growth</t>
        </is>
      </c>
      <c r="H57" s="46" t="n">
        <v>0.011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CAP-00303</t>
        </is>
      </c>
      <c r="B58" s="27" t="inlineStr">
        <is>
          <t>Create the five-year long-range plan</t>
        </is>
      </c>
      <c r="C58" s="27" t="inlineStr">
        <is>
          <t>LRP scenario drivers</t>
        </is>
      </c>
      <c r="D58" s="27" t="inlineStr">
        <is>
          <t>Consolidated</t>
        </is>
      </c>
      <c r="E58" s="27" t="inlineStr">
        <is>
          <t>FY28</t>
        </is>
      </c>
      <c r="F58" s="27" t="inlineStr">
        <is>
          <t>Downside</t>
        </is>
      </c>
      <c r="G58" s="27" t="inlineStr">
        <is>
          <t>Gross margin</t>
        </is>
      </c>
      <c r="H58" s="46" t="n">
        <v>0.268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CAP-00304</t>
        </is>
      </c>
      <c r="B59" s="27" t="inlineStr">
        <is>
          <t>Create the five-year long-range plan</t>
        </is>
      </c>
      <c r="C59" s="27" t="inlineStr">
        <is>
          <t>LRP scenario drivers</t>
        </is>
      </c>
      <c r="D59" s="27" t="inlineStr">
        <is>
          <t>Consolidated</t>
        </is>
      </c>
      <c r="E59" s="27" t="inlineStr">
        <is>
          <t>FY28</t>
        </is>
      </c>
      <c r="F59" s="27" t="inlineStr">
        <is>
          <t>Downside</t>
        </is>
      </c>
      <c r="G59" s="27" t="inlineStr">
        <is>
          <t>Fixed opex growth</t>
        </is>
      </c>
      <c r="H59" s="46" t="n">
        <v>0.025</v>
      </c>
      <c r="I59" s="27" t="inlineStr"/>
      <c r="J59" s="27" t="inlineStr">
        <is>
          <t>decimal ratio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CAP-00305</t>
        </is>
      </c>
      <c r="B60" s="27" t="inlineStr">
        <is>
          <t>Create the five-year long-range plan</t>
        </is>
      </c>
      <c r="C60" s="27" t="inlineStr">
        <is>
          <t>LRP scenario drivers</t>
        </is>
      </c>
      <c r="D60" s="27" t="inlineStr">
        <is>
          <t>Consolidated</t>
        </is>
      </c>
      <c r="E60" s="27" t="inlineStr">
        <is>
          <t>FY28</t>
        </is>
      </c>
      <c r="F60" s="27" t="inlineStr">
        <is>
          <t>Downside</t>
        </is>
      </c>
      <c r="G60" s="27" t="inlineStr">
        <is>
          <t>Working capital investment percent of revenue growth</t>
        </is>
      </c>
      <c r="H60" s="46" t="n">
        <v>0.01</v>
      </c>
      <c r="I60" s="27" t="inlineStr"/>
      <c r="J60" s="27" t="inlineStr">
        <is>
          <t>decimal ratio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CAP-00306</t>
        </is>
      </c>
      <c r="B61" s="27" t="inlineStr">
        <is>
          <t>Create the five-year long-range plan</t>
        </is>
      </c>
      <c r="C61" s="27" t="inlineStr">
        <is>
          <t>LRP scenario drivers</t>
        </is>
      </c>
      <c r="D61" s="27" t="inlineStr">
        <is>
          <t>Consolidated</t>
        </is>
      </c>
      <c r="E61" s="27" t="inlineStr">
        <is>
          <t>FY28</t>
        </is>
      </c>
      <c r="F61" s="27" t="inlineStr">
        <is>
          <t>Downside</t>
        </is>
      </c>
      <c r="G61" s="27" t="inlineStr">
        <is>
          <t>Cash tax rate</t>
        </is>
      </c>
      <c r="H61" s="46" t="n">
        <v>0.21</v>
      </c>
      <c r="I61" s="27" t="inlineStr"/>
      <c r="J61" s="27" t="inlineStr">
        <is>
          <t>decimal ratio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CAP-00307</t>
        </is>
      </c>
      <c r="B62" s="27" t="inlineStr">
        <is>
          <t>Create the five-year long-range plan</t>
        </is>
      </c>
      <c r="C62" s="27" t="inlineStr">
        <is>
          <t>LRP scenario drivers</t>
        </is>
      </c>
      <c r="D62" s="27" t="inlineStr">
        <is>
          <t>Consolidated</t>
        </is>
      </c>
      <c r="E62" s="27" t="inlineStr">
        <is>
          <t>FY28</t>
        </is>
      </c>
      <c r="F62" s="27" t="inlineStr">
        <is>
          <t>Downside</t>
        </is>
      </c>
      <c r="G62" s="27" t="inlineStr">
        <is>
          <t>Capital expenditure</t>
        </is>
      </c>
      <c r="H62" s="46" t="n">
        <v>2163000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CAP-00308</t>
        </is>
      </c>
      <c r="B63" s="27" t="inlineStr">
        <is>
          <t>Create the five-year long-range plan</t>
        </is>
      </c>
      <c r="C63" s="27" t="inlineStr">
        <is>
          <t>LRP scenario drivers</t>
        </is>
      </c>
      <c r="D63" s="27" t="inlineStr">
        <is>
          <t>Consolidated</t>
        </is>
      </c>
      <c r="E63" s="27" t="inlineStr">
        <is>
          <t>FY28</t>
        </is>
      </c>
      <c r="F63" s="27" t="inlineStr">
        <is>
          <t>Downside</t>
        </is>
      </c>
      <c r="G63" s="27" t="inlineStr">
        <is>
          <t>Scheduled debt repayment</t>
        </is>
      </c>
      <c r="H63" s="46" t="n">
        <v>400000</v>
      </c>
      <c r="I63" s="27" t="inlineStr"/>
      <c r="J63" s="27" t="inlineStr">
        <is>
          <t>USD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CAP-00309</t>
        </is>
      </c>
      <c r="B64" s="27" t="inlineStr">
        <is>
          <t>Create the five-year long-range plan</t>
        </is>
      </c>
      <c r="C64" s="27" t="inlineStr">
        <is>
          <t>LRP scenario drivers</t>
        </is>
      </c>
      <c r="D64" s="27" t="inlineStr">
        <is>
          <t>Consolidated</t>
        </is>
      </c>
      <c r="E64" s="27" t="inlineStr">
        <is>
          <t>FY28</t>
        </is>
      </c>
      <c r="F64" s="27" t="inlineStr">
        <is>
          <t>Downside</t>
        </is>
      </c>
      <c r="G64" s="27" t="inlineStr">
        <is>
          <t>Minimum cash</t>
        </is>
      </c>
      <c r="H64" s="46" t="n">
        <v>2250</v>
      </c>
      <c r="I64" s="27" t="inlineStr"/>
      <c r="J64" s="27" t="inlineStr">
        <is>
          <t>USD thousands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CAP-00310</t>
        </is>
      </c>
      <c r="B65" s="27" t="inlineStr">
        <is>
          <t>Create the five-year long-range plan</t>
        </is>
      </c>
      <c r="C65" s="27" t="inlineStr">
        <is>
          <t>LRP scenario drivers</t>
        </is>
      </c>
      <c r="D65" s="27" t="inlineStr">
        <is>
          <t>Consolidated</t>
        </is>
      </c>
      <c r="E65" s="27" t="inlineStr">
        <is>
          <t>FY29</t>
        </is>
      </c>
      <c r="F65" s="27" t="inlineStr">
        <is>
          <t>Downside</t>
        </is>
      </c>
      <c r="G65" s="27" t="inlineStr">
        <is>
          <t>Revenue growth</t>
        </is>
      </c>
      <c r="H65" s="46" t="n">
        <v>0.006999999999999999</v>
      </c>
      <c r="I65" s="27" t="inlineStr"/>
      <c r="J65" s="27" t="inlineStr">
        <is>
          <t>decimal ratio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CAP-00311</t>
        </is>
      </c>
      <c r="B66" s="27" t="inlineStr">
        <is>
          <t>Create the five-year long-range plan</t>
        </is>
      </c>
      <c r="C66" s="27" t="inlineStr">
        <is>
          <t>LRP scenario drivers</t>
        </is>
      </c>
      <c r="D66" s="27" t="inlineStr">
        <is>
          <t>Consolidated</t>
        </is>
      </c>
      <c r="E66" s="27" t="inlineStr">
        <is>
          <t>FY29</t>
        </is>
      </c>
      <c r="F66" s="27" t="inlineStr">
        <is>
          <t>Downside</t>
        </is>
      </c>
      <c r="G66" s="27" t="inlineStr">
        <is>
          <t>Gross margin</t>
        </is>
      </c>
      <c r="H66" s="46" t="n">
        <v>0.271</v>
      </c>
      <c r="I66" s="27" t="inlineStr"/>
      <c r="J66" s="27" t="inlineStr">
        <is>
          <t>decimal ratio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CAP-00312</t>
        </is>
      </c>
      <c r="B67" s="27" t="inlineStr">
        <is>
          <t>Create the five-year long-range plan</t>
        </is>
      </c>
      <c r="C67" s="27" t="inlineStr">
        <is>
          <t>LRP scenario drivers</t>
        </is>
      </c>
      <c r="D67" s="27" t="inlineStr">
        <is>
          <t>Consolidated</t>
        </is>
      </c>
      <c r="E67" s="27" t="inlineStr">
        <is>
          <t>FY29</t>
        </is>
      </c>
      <c r="F67" s="27" t="inlineStr">
        <is>
          <t>Downside</t>
        </is>
      </c>
      <c r="G67" s="27" t="inlineStr">
        <is>
          <t>Fixed opex growth</t>
        </is>
      </c>
      <c r="H67" s="46" t="n">
        <v>0.025</v>
      </c>
      <c r="I67" s="27" t="inlineStr"/>
      <c r="J67" s="27" t="inlineStr">
        <is>
          <t>decimal ratio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CAP-00313</t>
        </is>
      </c>
      <c r="B68" s="27" t="inlineStr">
        <is>
          <t>Create the five-year long-range plan</t>
        </is>
      </c>
      <c r="C68" s="27" t="inlineStr">
        <is>
          <t>LRP scenario drivers</t>
        </is>
      </c>
      <c r="D68" s="27" t="inlineStr">
        <is>
          <t>Consolidated</t>
        </is>
      </c>
      <c r="E68" s="27" t="inlineStr">
        <is>
          <t>FY29</t>
        </is>
      </c>
      <c r="F68" s="27" t="inlineStr">
        <is>
          <t>Downside</t>
        </is>
      </c>
      <c r="G68" s="27" t="inlineStr">
        <is>
          <t>Working capital investment percent of revenue growth</t>
        </is>
      </c>
      <c r="H68" s="46" t="n">
        <v>0.01</v>
      </c>
      <c r="I68" s="27" t="inlineStr"/>
      <c r="J68" s="27" t="inlineStr">
        <is>
          <t>decimal ratio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CAP-00314</t>
        </is>
      </c>
      <c r="B69" s="27" t="inlineStr">
        <is>
          <t>Create the five-year long-range plan</t>
        </is>
      </c>
      <c r="C69" s="27" t="inlineStr">
        <is>
          <t>LRP scenario drivers</t>
        </is>
      </c>
      <c r="D69" s="27" t="inlineStr">
        <is>
          <t>Consolidated</t>
        </is>
      </c>
      <c r="E69" s="27" t="inlineStr">
        <is>
          <t>FY29</t>
        </is>
      </c>
      <c r="F69" s="27" t="inlineStr">
        <is>
          <t>Downside</t>
        </is>
      </c>
      <c r="G69" s="27" t="inlineStr">
        <is>
          <t>Cash tax rate</t>
        </is>
      </c>
      <c r="H69" s="46" t="n">
        <v>0.21</v>
      </c>
      <c r="I69" s="27" t="inlineStr"/>
      <c r="J69" s="27" t="inlineStr">
        <is>
          <t>decimal ratio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CAP-00315</t>
        </is>
      </c>
      <c r="B70" s="27" t="inlineStr">
        <is>
          <t>Create the five-year long-range plan</t>
        </is>
      </c>
      <c r="C70" s="27" t="inlineStr">
        <is>
          <t>LRP scenario drivers</t>
        </is>
      </c>
      <c r="D70" s="27" t="inlineStr">
        <is>
          <t>Consolidated</t>
        </is>
      </c>
      <c r="E70" s="27" t="inlineStr">
        <is>
          <t>FY29</t>
        </is>
      </c>
      <c r="F70" s="27" t="inlineStr">
        <is>
          <t>Downside</t>
        </is>
      </c>
      <c r="G70" s="27" t="inlineStr">
        <is>
          <t>Capital expenditure</t>
        </is>
      </c>
      <c r="H70" s="46" t="n">
        <v>2227890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CAP-00316</t>
        </is>
      </c>
      <c r="B71" s="27" t="inlineStr">
        <is>
          <t>Create the five-year long-range plan</t>
        </is>
      </c>
      <c r="C71" s="27" t="inlineStr">
        <is>
          <t>LRP scenario drivers</t>
        </is>
      </c>
      <c r="D71" s="27" t="inlineStr">
        <is>
          <t>Consolidated</t>
        </is>
      </c>
      <c r="E71" s="27" t="inlineStr">
        <is>
          <t>FY29</t>
        </is>
      </c>
      <c r="F71" s="27" t="inlineStr">
        <is>
          <t>Downside</t>
        </is>
      </c>
      <c r="G71" s="27" t="inlineStr">
        <is>
          <t>Scheduled debt repayment</t>
        </is>
      </c>
      <c r="H71" s="46" t="n">
        <v>450000</v>
      </c>
      <c r="I71" s="27" t="inlineStr"/>
      <c r="J71" s="27" t="inlineStr">
        <is>
          <t>USD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CAP-00317</t>
        </is>
      </c>
      <c r="B72" s="27" t="inlineStr">
        <is>
          <t>Create the five-year long-range plan</t>
        </is>
      </c>
      <c r="C72" s="27" t="inlineStr">
        <is>
          <t>LRP scenario drivers</t>
        </is>
      </c>
      <c r="D72" s="27" t="inlineStr">
        <is>
          <t>Consolidated</t>
        </is>
      </c>
      <c r="E72" s="27" t="inlineStr">
        <is>
          <t>FY29</t>
        </is>
      </c>
      <c r="F72" s="27" t="inlineStr">
        <is>
          <t>Downside</t>
        </is>
      </c>
      <c r="G72" s="27" t="inlineStr">
        <is>
          <t>Minimum cash</t>
        </is>
      </c>
      <c r="H72" s="46" t="n">
        <v>2250</v>
      </c>
      <c r="I72" s="27" t="inlineStr"/>
      <c r="J72" s="27" t="inlineStr">
        <is>
          <t>USD thousands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CAP-00318</t>
        </is>
      </c>
      <c r="B73" s="27" t="inlineStr">
        <is>
          <t>Create the five-year long-range plan</t>
        </is>
      </c>
      <c r="C73" s="27" t="inlineStr">
        <is>
          <t>LRP scenario drivers</t>
        </is>
      </c>
      <c r="D73" s="27" t="inlineStr">
        <is>
          <t>Consolidated</t>
        </is>
      </c>
      <c r="E73" s="27" t="inlineStr">
        <is>
          <t>FY30</t>
        </is>
      </c>
      <c r="F73" s="27" t="inlineStr">
        <is>
          <t>Downside</t>
        </is>
      </c>
      <c r="G73" s="27" t="inlineStr">
        <is>
          <t>Revenue growth</t>
        </is>
      </c>
      <c r="H73" s="46" t="n">
        <v>0.002999999999999999</v>
      </c>
      <c r="I73" s="27" t="inlineStr"/>
      <c r="J73" s="27" t="inlineStr">
        <is>
          <t>decimal ratio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CAP-00319</t>
        </is>
      </c>
      <c r="B74" s="27" t="inlineStr">
        <is>
          <t>Create the five-year long-range plan</t>
        </is>
      </c>
      <c r="C74" s="27" t="inlineStr">
        <is>
          <t>LRP scenario drivers</t>
        </is>
      </c>
      <c r="D74" s="27" t="inlineStr">
        <is>
          <t>Consolidated</t>
        </is>
      </c>
      <c r="E74" s="27" t="inlineStr">
        <is>
          <t>FY30</t>
        </is>
      </c>
      <c r="F74" s="27" t="inlineStr">
        <is>
          <t>Downside</t>
        </is>
      </c>
      <c r="G74" s="27" t="inlineStr">
        <is>
          <t>Gross margin</t>
        </is>
      </c>
      <c r="H74" s="46" t="n">
        <v>0.274</v>
      </c>
      <c r="I74" s="27" t="inlineStr"/>
      <c r="J74" s="27" t="inlineStr">
        <is>
          <t>decimal ratio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CAP-00320</t>
        </is>
      </c>
      <c r="B75" s="27" t="inlineStr">
        <is>
          <t>Create the five-year long-range plan</t>
        </is>
      </c>
      <c r="C75" s="27" t="inlineStr">
        <is>
          <t>LRP scenario drivers</t>
        </is>
      </c>
      <c r="D75" s="27" t="inlineStr">
        <is>
          <t>Consolidated</t>
        </is>
      </c>
      <c r="E75" s="27" t="inlineStr">
        <is>
          <t>FY30</t>
        </is>
      </c>
      <c r="F75" s="27" t="inlineStr">
        <is>
          <t>Downside</t>
        </is>
      </c>
      <c r="G75" s="27" t="inlineStr">
        <is>
          <t>Fixed opex growth</t>
        </is>
      </c>
      <c r="H75" s="46" t="n">
        <v>0.025</v>
      </c>
      <c r="I75" s="27" t="inlineStr"/>
      <c r="J75" s="27" t="inlineStr">
        <is>
          <t>decimal ratio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CAP-00321</t>
        </is>
      </c>
      <c r="B76" s="27" t="inlineStr">
        <is>
          <t>Create the five-year long-range plan</t>
        </is>
      </c>
      <c r="C76" s="27" t="inlineStr">
        <is>
          <t>LRP scenario drivers</t>
        </is>
      </c>
      <c r="D76" s="27" t="inlineStr">
        <is>
          <t>Consolidated</t>
        </is>
      </c>
      <c r="E76" s="27" t="inlineStr">
        <is>
          <t>FY30</t>
        </is>
      </c>
      <c r="F76" s="27" t="inlineStr">
        <is>
          <t>Downside</t>
        </is>
      </c>
      <c r="G76" s="27" t="inlineStr">
        <is>
          <t>Working capital investment percent of revenue growth</t>
        </is>
      </c>
      <c r="H76" s="46" t="n">
        <v>0.01</v>
      </c>
      <c r="I76" s="27" t="inlineStr"/>
      <c r="J76" s="27" t="inlineStr">
        <is>
          <t>decimal ratio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CAP-00322</t>
        </is>
      </c>
      <c r="B77" s="27" t="inlineStr">
        <is>
          <t>Create the five-year long-range plan</t>
        </is>
      </c>
      <c r="C77" s="27" t="inlineStr">
        <is>
          <t>LRP scenario drivers</t>
        </is>
      </c>
      <c r="D77" s="27" t="inlineStr">
        <is>
          <t>Consolidated</t>
        </is>
      </c>
      <c r="E77" s="27" t="inlineStr">
        <is>
          <t>FY30</t>
        </is>
      </c>
      <c r="F77" s="27" t="inlineStr">
        <is>
          <t>Downside</t>
        </is>
      </c>
      <c r="G77" s="27" t="inlineStr">
        <is>
          <t>Cash tax rate</t>
        </is>
      </c>
      <c r="H77" s="46" t="n">
        <v>0.21</v>
      </c>
      <c r="I77" s="27" t="inlineStr"/>
      <c r="J77" s="27" t="inlineStr">
        <is>
          <t>decimal ratio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CAP-00323</t>
        </is>
      </c>
      <c r="B78" s="27" t="inlineStr">
        <is>
          <t>Create the five-year long-range plan</t>
        </is>
      </c>
      <c r="C78" s="27" t="inlineStr">
        <is>
          <t>LRP scenario drivers</t>
        </is>
      </c>
      <c r="D78" s="27" t="inlineStr">
        <is>
          <t>Consolidated</t>
        </is>
      </c>
      <c r="E78" s="27" t="inlineStr">
        <is>
          <t>FY30</t>
        </is>
      </c>
      <c r="F78" s="27" t="inlineStr">
        <is>
          <t>Downside</t>
        </is>
      </c>
      <c r="G78" s="27" t="inlineStr">
        <is>
          <t>Capital expenditure</t>
        </is>
      </c>
      <c r="H78" s="46" t="n">
        <v>2294726.7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CAP-00324</t>
        </is>
      </c>
      <c r="B79" s="27" t="inlineStr">
        <is>
          <t>Create the five-year long-range plan</t>
        </is>
      </c>
      <c r="C79" s="27" t="inlineStr">
        <is>
          <t>LRP scenario drivers</t>
        </is>
      </c>
      <c r="D79" s="27" t="inlineStr">
        <is>
          <t>Consolidated</t>
        </is>
      </c>
      <c r="E79" s="27" t="inlineStr">
        <is>
          <t>FY30</t>
        </is>
      </c>
      <c r="F79" s="27" t="inlineStr">
        <is>
          <t>Downside</t>
        </is>
      </c>
      <c r="G79" s="27" t="inlineStr">
        <is>
          <t>Scheduled debt repayment</t>
        </is>
      </c>
      <c r="H79" s="46" t="n">
        <v>500000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CAP-00325</t>
        </is>
      </c>
      <c r="B80" s="27" t="inlineStr">
        <is>
          <t>Create the five-year long-range plan</t>
        </is>
      </c>
      <c r="C80" s="27" t="inlineStr">
        <is>
          <t>LRP scenario drivers</t>
        </is>
      </c>
      <c r="D80" s="27" t="inlineStr">
        <is>
          <t>Consolidated</t>
        </is>
      </c>
      <c r="E80" s="27" t="inlineStr">
        <is>
          <t>FY30</t>
        </is>
      </c>
      <c r="F80" s="27" t="inlineStr">
        <is>
          <t>Downside</t>
        </is>
      </c>
      <c r="G80" s="27" t="inlineStr">
        <is>
          <t>Minimum cash</t>
        </is>
      </c>
      <c r="H80" s="46" t="n">
        <v>2250</v>
      </c>
      <c r="I80" s="27" t="inlineStr"/>
      <c r="J80" s="27" t="inlineStr">
        <is>
          <t>USD thousands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CAP-00326</t>
        </is>
      </c>
      <c r="B81" s="27" t="inlineStr">
        <is>
          <t>Create the five-year long-range plan</t>
        </is>
      </c>
      <c r="C81" s="27" t="inlineStr">
        <is>
          <t>LRP scenario drivers</t>
        </is>
      </c>
      <c r="D81" s="27" t="inlineStr">
        <is>
          <t>Consolidated</t>
        </is>
      </c>
      <c r="E81" s="27" t="inlineStr">
        <is>
          <t>FY31</t>
        </is>
      </c>
      <c r="F81" s="27" t="inlineStr">
        <is>
          <t>Downside</t>
        </is>
      </c>
      <c r="G81" s="27" t="inlineStr">
        <is>
          <t>Revenue growth</t>
        </is>
      </c>
      <c r="H81" s="46" t="n">
        <v>-0.001000000000000001</v>
      </c>
      <c r="I81" s="27" t="inlineStr"/>
      <c r="J81" s="27" t="inlineStr">
        <is>
          <t>decimal ratio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CAP-00327</t>
        </is>
      </c>
      <c r="B82" s="27" t="inlineStr">
        <is>
          <t>Create the five-year long-range plan</t>
        </is>
      </c>
      <c r="C82" s="27" t="inlineStr">
        <is>
          <t>LRP scenario drivers</t>
        </is>
      </c>
      <c r="D82" s="27" t="inlineStr">
        <is>
          <t>Consolidated</t>
        </is>
      </c>
      <c r="E82" s="27" t="inlineStr">
        <is>
          <t>FY31</t>
        </is>
      </c>
      <c r="F82" s="27" t="inlineStr">
        <is>
          <t>Downside</t>
        </is>
      </c>
      <c r="G82" s="27" t="inlineStr">
        <is>
          <t>Gross margin</t>
        </is>
      </c>
      <c r="H82" s="46" t="n">
        <v>0.277</v>
      </c>
      <c r="I82" s="27" t="inlineStr"/>
      <c r="J82" s="27" t="inlineStr">
        <is>
          <t>decimal ratio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CAP-00328</t>
        </is>
      </c>
      <c r="B83" s="27" t="inlineStr">
        <is>
          <t>Create the five-year long-range plan</t>
        </is>
      </c>
      <c r="C83" s="27" t="inlineStr">
        <is>
          <t>LRP scenario drivers</t>
        </is>
      </c>
      <c r="D83" s="27" t="inlineStr">
        <is>
          <t>Consolidated</t>
        </is>
      </c>
      <c r="E83" s="27" t="inlineStr">
        <is>
          <t>FY31</t>
        </is>
      </c>
      <c r="F83" s="27" t="inlineStr">
        <is>
          <t>Downside</t>
        </is>
      </c>
      <c r="G83" s="27" t="inlineStr">
        <is>
          <t>Fixed opex growth</t>
        </is>
      </c>
      <c r="H83" s="46" t="n">
        <v>0.025</v>
      </c>
      <c r="I83" s="27" t="inlineStr"/>
      <c r="J83" s="27" t="inlineStr">
        <is>
          <t>decimal ratio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CAP-00329</t>
        </is>
      </c>
      <c r="B84" s="27" t="inlineStr">
        <is>
          <t>Create the five-year long-range plan</t>
        </is>
      </c>
      <c r="C84" s="27" t="inlineStr">
        <is>
          <t>LRP scenario drivers</t>
        </is>
      </c>
      <c r="D84" s="27" t="inlineStr">
        <is>
          <t>Consolidated</t>
        </is>
      </c>
      <c r="E84" s="27" t="inlineStr">
        <is>
          <t>FY31</t>
        </is>
      </c>
      <c r="F84" s="27" t="inlineStr">
        <is>
          <t>Downside</t>
        </is>
      </c>
      <c r="G84" s="27" t="inlineStr">
        <is>
          <t>Working capital investment percent of revenue growth</t>
        </is>
      </c>
      <c r="H84" s="46" t="n">
        <v>0.01</v>
      </c>
      <c r="I84" s="27" t="inlineStr"/>
      <c r="J84" s="27" t="inlineStr">
        <is>
          <t>decimal ratio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CAP-00330</t>
        </is>
      </c>
      <c r="B85" s="27" t="inlineStr">
        <is>
          <t>Create the five-year long-range plan</t>
        </is>
      </c>
      <c r="C85" s="27" t="inlineStr">
        <is>
          <t>LRP scenario drivers</t>
        </is>
      </c>
      <c r="D85" s="27" t="inlineStr">
        <is>
          <t>Consolidated</t>
        </is>
      </c>
      <c r="E85" s="27" t="inlineStr">
        <is>
          <t>FY31</t>
        </is>
      </c>
      <c r="F85" s="27" t="inlineStr">
        <is>
          <t>Downside</t>
        </is>
      </c>
      <c r="G85" s="27" t="inlineStr">
        <is>
          <t>Cash tax rate</t>
        </is>
      </c>
      <c r="H85" s="46" t="n">
        <v>0.21</v>
      </c>
      <c r="I85" s="27" t="inlineStr"/>
      <c r="J85" s="27" t="inlineStr">
        <is>
          <t>decimal ratio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CAP-00331</t>
        </is>
      </c>
      <c r="B86" s="27" t="inlineStr">
        <is>
          <t>Create the five-year long-range plan</t>
        </is>
      </c>
      <c r="C86" s="27" t="inlineStr">
        <is>
          <t>LRP scenario drivers</t>
        </is>
      </c>
      <c r="D86" s="27" t="inlineStr">
        <is>
          <t>Consolidated</t>
        </is>
      </c>
      <c r="E86" s="27" t="inlineStr">
        <is>
          <t>FY31</t>
        </is>
      </c>
      <c r="F86" s="27" t="inlineStr">
        <is>
          <t>Downside</t>
        </is>
      </c>
      <c r="G86" s="27" t="inlineStr">
        <is>
          <t>Capital expenditure</t>
        </is>
      </c>
      <c r="H86" s="46" t="n">
        <v>2363568.501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CAP-00332</t>
        </is>
      </c>
      <c r="B87" s="27" t="inlineStr">
        <is>
          <t>Create the five-year long-range plan</t>
        </is>
      </c>
      <c r="C87" s="27" t="inlineStr">
        <is>
          <t>LRP scenario drivers</t>
        </is>
      </c>
      <c r="D87" s="27" t="inlineStr">
        <is>
          <t>Consolidated</t>
        </is>
      </c>
      <c r="E87" s="27" t="inlineStr">
        <is>
          <t>FY31</t>
        </is>
      </c>
      <c r="F87" s="27" t="inlineStr">
        <is>
          <t>Downside</t>
        </is>
      </c>
      <c r="G87" s="27" t="inlineStr">
        <is>
          <t>Scheduled debt repayment</t>
        </is>
      </c>
      <c r="H87" s="46" t="n">
        <v>550000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CAP-00333</t>
        </is>
      </c>
      <c r="B88" s="27" t="inlineStr">
        <is>
          <t>Create the five-year long-range plan</t>
        </is>
      </c>
      <c r="C88" s="27" t="inlineStr">
        <is>
          <t>LRP scenario drivers</t>
        </is>
      </c>
      <c r="D88" s="27" t="inlineStr">
        <is>
          <t>Consolidated</t>
        </is>
      </c>
      <c r="E88" s="27" t="inlineStr">
        <is>
          <t>FY31</t>
        </is>
      </c>
      <c r="F88" s="27" t="inlineStr">
        <is>
          <t>Downside</t>
        </is>
      </c>
      <c r="G88" s="27" t="inlineStr">
        <is>
          <t>Minimum cash</t>
        </is>
      </c>
      <c r="H88" s="46" t="n">
        <v>2250</v>
      </c>
      <c r="I88" s="27" t="inlineStr"/>
      <c r="J88" s="27" t="inlineStr">
        <is>
          <t>USD thousands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CAP-00334</t>
        </is>
      </c>
      <c r="B89" s="27" t="inlineStr">
        <is>
          <t>Create the five-year long-range plan</t>
        </is>
      </c>
      <c r="C89" s="27" t="inlineStr">
        <is>
          <t>LRP scenario drivers</t>
        </is>
      </c>
      <c r="D89" s="27" t="inlineStr">
        <is>
          <t>Consolidated</t>
        </is>
      </c>
      <c r="E89" s="27" t="inlineStr">
        <is>
          <t>FY27</t>
        </is>
      </c>
      <c r="F89" s="27" t="inlineStr">
        <is>
          <t>Upside</t>
        </is>
      </c>
      <c r="G89" s="27" t="inlineStr">
        <is>
          <t>Revenue growth</t>
        </is>
      </c>
      <c r="H89" s="46" t="n">
        <v>0.115</v>
      </c>
      <c r="I89" s="27" t="inlineStr"/>
      <c r="J89" s="27" t="inlineStr">
        <is>
          <t>decimal ratio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CAP-00335</t>
        </is>
      </c>
      <c r="B90" s="27" t="inlineStr">
        <is>
          <t>Create the five-year long-range plan</t>
        </is>
      </c>
      <c r="C90" s="27" t="inlineStr">
        <is>
          <t>LRP scenario drivers</t>
        </is>
      </c>
      <c r="D90" s="27" t="inlineStr">
        <is>
          <t>Consolidated</t>
        </is>
      </c>
      <c r="E90" s="27" t="inlineStr">
        <is>
          <t>FY27</t>
        </is>
      </c>
      <c r="F90" s="27" t="inlineStr">
        <is>
          <t>Upside</t>
        </is>
      </c>
      <c r="G90" s="27" t="inlineStr">
        <is>
          <t>Gross margin</t>
        </is>
      </c>
      <c r="H90" s="46" t="n">
        <v>0.325</v>
      </c>
      <c r="I90" s="27" t="inlineStr"/>
      <c r="J90" s="27" t="inlineStr">
        <is>
          <t>decimal ratio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CAP-00336</t>
        </is>
      </c>
      <c r="B91" s="27" t="inlineStr">
        <is>
          <t>Create the five-year long-range plan</t>
        </is>
      </c>
      <c r="C91" s="27" t="inlineStr">
        <is>
          <t>LRP scenario drivers</t>
        </is>
      </c>
      <c r="D91" s="27" t="inlineStr">
        <is>
          <t>Consolidated</t>
        </is>
      </c>
      <c r="E91" s="27" t="inlineStr">
        <is>
          <t>FY27</t>
        </is>
      </c>
      <c r="F91" s="27" t="inlineStr">
        <is>
          <t>Upside</t>
        </is>
      </c>
      <c r="G91" s="27" t="inlineStr">
        <is>
          <t>Fixed opex growth</t>
        </is>
      </c>
      <c r="H91" s="46" t="n">
        <v>0.055</v>
      </c>
      <c r="I91" s="27" t="inlineStr"/>
      <c r="J91" s="27" t="inlineStr">
        <is>
          <t>decimal ratio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CAP-00337</t>
        </is>
      </c>
      <c r="B92" s="27" t="inlineStr">
        <is>
          <t>Create the five-year long-range plan</t>
        </is>
      </c>
      <c r="C92" s="27" t="inlineStr">
        <is>
          <t>LRP scenario drivers</t>
        </is>
      </c>
      <c r="D92" s="27" t="inlineStr">
        <is>
          <t>Consolidated</t>
        </is>
      </c>
      <c r="E92" s="27" t="inlineStr">
        <is>
          <t>FY27</t>
        </is>
      </c>
      <c r="F92" s="27" t="inlineStr">
        <is>
          <t>Upside</t>
        </is>
      </c>
      <c r="G92" s="27" t="inlineStr">
        <is>
          <t>Working capital investment percent of revenue growth</t>
        </is>
      </c>
      <c r="H92" s="46" t="n">
        <v>0.028</v>
      </c>
      <c r="I92" s="27" t="inlineStr"/>
      <c r="J92" s="27" t="inlineStr">
        <is>
          <t>decimal ratio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CAP-00338</t>
        </is>
      </c>
      <c r="B93" s="27" t="inlineStr">
        <is>
          <t>Create the five-year long-range plan</t>
        </is>
      </c>
      <c r="C93" s="27" t="inlineStr">
        <is>
          <t>LRP scenario drivers</t>
        </is>
      </c>
      <c r="D93" s="27" t="inlineStr">
        <is>
          <t>Consolidated</t>
        </is>
      </c>
      <c r="E93" s="27" t="inlineStr">
        <is>
          <t>FY27</t>
        </is>
      </c>
      <c r="F93" s="27" t="inlineStr">
        <is>
          <t>Upside</t>
        </is>
      </c>
      <c r="G93" s="27" t="inlineStr">
        <is>
          <t>Cash tax rate</t>
        </is>
      </c>
      <c r="H93" s="46" t="n">
        <v>0.25</v>
      </c>
      <c r="I93" s="27" t="inlineStr"/>
      <c r="J93" s="27" t="inlineStr">
        <is>
          <t>decimal ratio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CAP-00339</t>
        </is>
      </c>
      <c r="B94" s="27" t="inlineStr">
        <is>
          <t>Create the five-year long-range plan</t>
        </is>
      </c>
      <c r="C94" s="27" t="inlineStr">
        <is>
          <t>LRP scenario drivers</t>
        </is>
      </c>
      <c r="D94" s="27" t="inlineStr">
        <is>
          <t>Consolidated</t>
        </is>
      </c>
      <c r="E94" s="27" t="inlineStr">
        <is>
          <t>FY27</t>
        </is>
      </c>
      <c r="F94" s="27" t="inlineStr">
        <is>
          <t>Upside</t>
        </is>
      </c>
      <c r="G94" s="27" t="inlineStr">
        <is>
          <t>Capital expenditure</t>
        </is>
      </c>
      <c r="H94" s="46" t="n">
        <v>3600000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CAP-00340</t>
        </is>
      </c>
      <c r="B95" s="27" t="inlineStr">
        <is>
          <t>Create the five-year long-range plan</t>
        </is>
      </c>
      <c r="C95" s="27" t="inlineStr">
        <is>
          <t>LRP scenario drivers</t>
        </is>
      </c>
      <c r="D95" s="27" t="inlineStr">
        <is>
          <t>Consolidated</t>
        </is>
      </c>
      <c r="E95" s="27" t="inlineStr">
        <is>
          <t>FY27</t>
        </is>
      </c>
      <c r="F95" s="27" t="inlineStr">
        <is>
          <t>Upside</t>
        </is>
      </c>
      <c r="G95" s="27" t="inlineStr">
        <is>
          <t>Scheduled debt repayment</t>
        </is>
      </c>
      <c r="H95" s="46" t="n">
        <v>350000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CAP-00341</t>
        </is>
      </c>
      <c r="B96" s="27" t="inlineStr">
        <is>
          <t>Create the five-year long-range plan</t>
        </is>
      </c>
      <c r="C96" s="27" t="inlineStr">
        <is>
          <t>LRP scenario drivers</t>
        </is>
      </c>
      <c r="D96" s="27" t="inlineStr">
        <is>
          <t>Consolidated</t>
        </is>
      </c>
      <c r="E96" s="27" t="inlineStr">
        <is>
          <t>FY27</t>
        </is>
      </c>
      <c r="F96" s="27" t="inlineStr">
        <is>
          <t>Upside</t>
        </is>
      </c>
      <c r="G96" s="27" t="inlineStr">
        <is>
          <t>Minimum cash</t>
        </is>
      </c>
      <c r="H96" s="46" t="n">
        <v>2250</v>
      </c>
      <c r="I96" s="27" t="inlineStr"/>
      <c r="J96" s="27" t="inlineStr">
        <is>
          <t>USD thousands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CAP-00342</t>
        </is>
      </c>
      <c r="B97" s="27" t="inlineStr">
        <is>
          <t>Create the five-year long-range plan</t>
        </is>
      </c>
      <c r="C97" s="27" t="inlineStr">
        <is>
          <t>LRP scenario drivers</t>
        </is>
      </c>
      <c r="D97" s="27" t="inlineStr">
        <is>
          <t>Consolidated</t>
        </is>
      </c>
      <c r="E97" s="27" t="inlineStr">
        <is>
          <t>FY28</t>
        </is>
      </c>
      <c r="F97" s="27" t="inlineStr">
        <is>
          <t>Upside</t>
        </is>
      </c>
      <c r="G97" s="27" t="inlineStr">
        <is>
          <t>Revenue growth</t>
        </is>
      </c>
      <c r="H97" s="46" t="n">
        <v>0.111</v>
      </c>
      <c r="I97" s="27" t="inlineStr"/>
      <c r="J97" s="27" t="inlineStr">
        <is>
          <t>decimal ratio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CAP-00343</t>
        </is>
      </c>
      <c r="B98" s="27" t="inlineStr">
        <is>
          <t>Create the five-year long-range plan</t>
        </is>
      </c>
      <c r="C98" s="27" t="inlineStr">
        <is>
          <t>LRP scenario drivers</t>
        </is>
      </c>
      <c r="D98" s="27" t="inlineStr">
        <is>
          <t>Consolidated</t>
        </is>
      </c>
      <c r="E98" s="27" t="inlineStr">
        <is>
          <t>FY28</t>
        </is>
      </c>
      <c r="F98" s="27" t="inlineStr">
        <is>
          <t>Upside</t>
        </is>
      </c>
      <c r="G98" s="27" t="inlineStr">
        <is>
          <t>Gross margin</t>
        </is>
      </c>
      <c r="H98" s="46" t="n">
        <v>0.328</v>
      </c>
      <c r="I98" s="27" t="inlineStr"/>
      <c r="J98" s="27" t="inlineStr">
        <is>
          <t>decimal ratio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CAP-00344</t>
        </is>
      </c>
      <c r="B99" s="27" t="inlineStr">
        <is>
          <t>Create the five-year long-range plan</t>
        </is>
      </c>
      <c r="C99" s="27" t="inlineStr">
        <is>
          <t>LRP scenario drivers</t>
        </is>
      </c>
      <c r="D99" s="27" t="inlineStr">
        <is>
          <t>Consolidated</t>
        </is>
      </c>
      <c r="E99" s="27" t="inlineStr">
        <is>
          <t>FY28</t>
        </is>
      </c>
      <c r="F99" s="27" t="inlineStr">
        <is>
          <t>Upside</t>
        </is>
      </c>
      <c r="G99" s="27" t="inlineStr">
        <is>
          <t>Fixed opex growth</t>
        </is>
      </c>
      <c r="H99" s="46" t="n">
        <v>0.055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CAP-00345</t>
        </is>
      </c>
      <c r="B100" s="27" t="inlineStr">
        <is>
          <t>Create the five-year long-range plan</t>
        </is>
      </c>
      <c r="C100" s="27" t="inlineStr">
        <is>
          <t>LRP scenario drivers</t>
        </is>
      </c>
      <c r="D100" s="27" t="inlineStr">
        <is>
          <t>Consolidated</t>
        </is>
      </c>
      <c r="E100" s="27" t="inlineStr">
        <is>
          <t>FY28</t>
        </is>
      </c>
      <c r="F100" s="27" t="inlineStr">
        <is>
          <t>Upside</t>
        </is>
      </c>
      <c r="G100" s="27" t="inlineStr">
        <is>
          <t>Working capital investment percent of revenue growth</t>
        </is>
      </c>
      <c r="H100" s="46" t="n">
        <v>0.028</v>
      </c>
      <c r="I100" s="27" t="inlineStr"/>
      <c r="J100" s="27" t="inlineStr">
        <is>
          <t>decimal ratio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CAP-00346</t>
        </is>
      </c>
      <c r="B101" s="27" t="inlineStr">
        <is>
          <t>Create the five-year long-range plan</t>
        </is>
      </c>
      <c r="C101" s="27" t="inlineStr">
        <is>
          <t>LRP scenario drivers</t>
        </is>
      </c>
      <c r="D101" s="27" t="inlineStr">
        <is>
          <t>Consolidated</t>
        </is>
      </c>
      <c r="E101" s="27" t="inlineStr">
        <is>
          <t>FY28</t>
        </is>
      </c>
      <c r="F101" s="27" t="inlineStr">
        <is>
          <t>Upside</t>
        </is>
      </c>
      <c r="G101" s="27" t="inlineStr">
        <is>
          <t>Cash tax rate</t>
        </is>
      </c>
      <c r="H101" s="46" t="n">
        <v>0.25</v>
      </c>
      <c r="I101" s="27" t="inlineStr"/>
      <c r="J101" s="27" t="inlineStr">
        <is>
          <t>decimal ratio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CAP-00347</t>
        </is>
      </c>
      <c r="B102" s="27" t="inlineStr">
        <is>
          <t>Create the five-year long-range plan</t>
        </is>
      </c>
      <c r="C102" s="27" t="inlineStr">
        <is>
          <t>LRP scenario drivers</t>
        </is>
      </c>
      <c r="D102" s="27" t="inlineStr">
        <is>
          <t>Consolidated</t>
        </is>
      </c>
      <c r="E102" s="27" t="inlineStr">
        <is>
          <t>FY28</t>
        </is>
      </c>
      <c r="F102" s="27" t="inlineStr">
        <is>
          <t>Upside</t>
        </is>
      </c>
      <c r="G102" s="27" t="inlineStr">
        <is>
          <t>Capital expenditure</t>
        </is>
      </c>
      <c r="H102" s="46" t="n">
        <v>3708000</v>
      </c>
      <c r="I102" s="27" t="inlineStr"/>
      <c r="J102" s="27" t="inlineStr">
        <is>
          <t>USD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CAP-00348</t>
        </is>
      </c>
      <c r="B103" s="27" t="inlineStr">
        <is>
          <t>Create the five-year long-range plan</t>
        </is>
      </c>
      <c r="C103" s="27" t="inlineStr">
        <is>
          <t>LRP scenario drivers</t>
        </is>
      </c>
      <c r="D103" s="27" t="inlineStr">
        <is>
          <t>Consolidated</t>
        </is>
      </c>
      <c r="E103" s="27" t="inlineStr">
        <is>
          <t>FY28</t>
        </is>
      </c>
      <c r="F103" s="27" t="inlineStr">
        <is>
          <t>Upside</t>
        </is>
      </c>
      <c r="G103" s="27" t="inlineStr">
        <is>
          <t>Scheduled debt repayment</t>
        </is>
      </c>
      <c r="H103" s="46" t="n">
        <v>400000</v>
      </c>
      <c r="I103" s="27" t="inlineStr"/>
      <c r="J103" s="27" t="inlineStr">
        <is>
          <t>USD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CAP-00349</t>
        </is>
      </c>
      <c r="B104" s="27" t="inlineStr">
        <is>
          <t>Create the five-year long-range plan</t>
        </is>
      </c>
      <c r="C104" s="27" t="inlineStr">
        <is>
          <t>LRP scenario drivers</t>
        </is>
      </c>
      <c r="D104" s="27" t="inlineStr">
        <is>
          <t>Consolidated</t>
        </is>
      </c>
      <c r="E104" s="27" t="inlineStr">
        <is>
          <t>FY28</t>
        </is>
      </c>
      <c r="F104" s="27" t="inlineStr">
        <is>
          <t>Upside</t>
        </is>
      </c>
      <c r="G104" s="27" t="inlineStr">
        <is>
          <t>Minimum cash</t>
        </is>
      </c>
      <c r="H104" s="46" t="n">
        <v>2250</v>
      </c>
      <c r="I104" s="27" t="inlineStr"/>
      <c r="J104" s="27" t="inlineStr">
        <is>
          <t>USD thousands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  <row r="105">
      <c r="A105" s="36" t="inlineStr">
        <is>
          <t>CAP-00350</t>
        </is>
      </c>
      <c r="B105" s="27" t="inlineStr">
        <is>
          <t>Create the five-year long-range plan</t>
        </is>
      </c>
      <c r="C105" s="27" t="inlineStr">
        <is>
          <t>LRP scenario drivers</t>
        </is>
      </c>
      <c r="D105" s="27" t="inlineStr">
        <is>
          <t>Consolidated</t>
        </is>
      </c>
      <c r="E105" s="27" t="inlineStr">
        <is>
          <t>FY29</t>
        </is>
      </c>
      <c r="F105" s="27" t="inlineStr">
        <is>
          <t>Upside</t>
        </is>
      </c>
      <c r="G105" s="27" t="inlineStr">
        <is>
          <t>Revenue growth</t>
        </is>
      </c>
      <c r="H105" s="46" t="n">
        <v>0.107</v>
      </c>
      <c r="I105" s="27" t="inlineStr"/>
      <c r="J105" s="27" t="inlineStr">
        <is>
          <t>decimal ratio</t>
        </is>
      </c>
      <c r="K105" s="27" t="inlineStr">
        <is>
          <t>Finance operating schedule</t>
        </is>
      </c>
      <c r="L105" s="47" t="inlineStr">
        <is>
          <t>2026-06-30</t>
        </is>
      </c>
      <c r="M105" s="27" t="inlineStr"/>
    </row>
    <row r="106">
      <c r="A106" s="36" t="inlineStr">
        <is>
          <t>CAP-00351</t>
        </is>
      </c>
      <c r="B106" s="27" t="inlineStr">
        <is>
          <t>Create the five-year long-range plan</t>
        </is>
      </c>
      <c r="C106" s="27" t="inlineStr">
        <is>
          <t>LRP scenario drivers</t>
        </is>
      </c>
      <c r="D106" s="27" t="inlineStr">
        <is>
          <t>Consolidated</t>
        </is>
      </c>
      <c r="E106" s="27" t="inlineStr">
        <is>
          <t>FY29</t>
        </is>
      </c>
      <c r="F106" s="27" t="inlineStr">
        <is>
          <t>Upside</t>
        </is>
      </c>
      <c r="G106" s="27" t="inlineStr">
        <is>
          <t>Gross margin</t>
        </is>
      </c>
      <c r="H106" s="46" t="n">
        <v>0.331</v>
      </c>
      <c r="I106" s="27" t="inlineStr"/>
      <c r="J106" s="27" t="inlineStr">
        <is>
          <t>decimal ratio</t>
        </is>
      </c>
      <c r="K106" s="27" t="inlineStr">
        <is>
          <t>Finance operating schedule</t>
        </is>
      </c>
      <c r="L106" s="47" t="inlineStr">
        <is>
          <t>2026-06-30</t>
        </is>
      </c>
      <c r="M106" s="27" t="inlineStr"/>
    </row>
    <row r="107">
      <c r="A107" s="36" t="inlineStr">
        <is>
          <t>CAP-00352</t>
        </is>
      </c>
      <c r="B107" s="27" t="inlineStr">
        <is>
          <t>Create the five-year long-range plan</t>
        </is>
      </c>
      <c r="C107" s="27" t="inlineStr">
        <is>
          <t>LRP scenario drivers</t>
        </is>
      </c>
      <c r="D107" s="27" t="inlineStr">
        <is>
          <t>Consolidated</t>
        </is>
      </c>
      <c r="E107" s="27" t="inlineStr">
        <is>
          <t>FY29</t>
        </is>
      </c>
      <c r="F107" s="27" t="inlineStr">
        <is>
          <t>Upside</t>
        </is>
      </c>
      <c r="G107" s="27" t="inlineStr">
        <is>
          <t>Fixed opex growth</t>
        </is>
      </c>
      <c r="H107" s="46" t="n">
        <v>0.055</v>
      </c>
      <c r="I107" s="27" t="inlineStr"/>
      <c r="J107" s="27" t="inlineStr">
        <is>
          <t>decimal ratio</t>
        </is>
      </c>
      <c r="K107" s="27" t="inlineStr">
        <is>
          <t>Finance operating schedule</t>
        </is>
      </c>
      <c r="L107" s="47" t="inlineStr">
        <is>
          <t>2026-06-30</t>
        </is>
      </c>
      <c r="M107" s="27" t="inlineStr"/>
    </row>
    <row r="108">
      <c r="A108" s="36" t="inlineStr">
        <is>
          <t>CAP-00353</t>
        </is>
      </c>
      <c r="B108" s="27" t="inlineStr">
        <is>
          <t>Create the five-year long-range plan</t>
        </is>
      </c>
      <c r="C108" s="27" t="inlineStr">
        <is>
          <t>LRP scenario drivers</t>
        </is>
      </c>
      <c r="D108" s="27" t="inlineStr">
        <is>
          <t>Consolidated</t>
        </is>
      </c>
      <c r="E108" s="27" t="inlineStr">
        <is>
          <t>FY29</t>
        </is>
      </c>
      <c r="F108" s="27" t="inlineStr">
        <is>
          <t>Upside</t>
        </is>
      </c>
      <c r="G108" s="27" t="inlineStr">
        <is>
          <t>Working capital investment percent of revenue growth</t>
        </is>
      </c>
      <c r="H108" s="46" t="n">
        <v>0.028</v>
      </c>
      <c r="I108" s="27" t="inlineStr"/>
      <c r="J108" s="27" t="inlineStr">
        <is>
          <t>decimal ratio</t>
        </is>
      </c>
      <c r="K108" s="27" t="inlineStr">
        <is>
          <t>Finance operating schedule</t>
        </is>
      </c>
      <c r="L108" s="47" t="inlineStr">
        <is>
          <t>2026-06-30</t>
        </is>
      </c>
      <c r="M108" s="27" t="inlineStr"/>
    </row>
    <row r="109">
      <c r="A109" s="36" t="inlineStr">
        <is>
          <t>CAP-00354</t>
        </is>
      </c>
      <c r="B109" s="27" t="inlineStr">
        <is>
          <t>Create the five-year long-range plan</t>
        </is>
      </c>
      <c r="C109" s="27" t="inlineStr">
        <is>
          <t>LRP scenario drivers</t>
        </is>
      </c>
      <c r="D109" s="27" t="inlineStr">
        <is>
          <t>Consolidated</t>
        </is>
      </c>
      <c r="E109" s="27" t="inlineStr">
        <is>
          <t>FY29</t>
        </is>
      </c>
      <c r="F109" s="27" t="inlineStr">
        <is>
          <t>Upside</t>
        </is>
      </c>
      <c r="G109" s="27" t="inlineStr">
        <is>
          <t>Cash tax rate</t>
        </is>
      </c>
      <c r="H109" s="46" t="n">
        <v>0.25</v>
      </c>
      <c r="I109" s="27" t="inlineStr"/>
      <c r="J109" s="27" t="inlineStr">
        <is>
          <t>decimal ratio</t>
        </is>
      </c>
      <c r="K109" s="27" t="inlineStr">
        <is>
          <t>Finance operating schedule</t>
        </is>
      </c>
      <c r="L109" s="47" t="inlineStr">
        <is>
          <t>2026-06-30</t>
        </is>
      </c>
      <c r="M109" s="27" t="inlineStr"/>
    </row>
    <row r="110">
      <c r="A110" s="36" t="inlineStr">
        <is>
          <t>CAP-00355</t>
        </is>
      </c>
      <c r="B110" s="27" t="inlineStr">
        <is>
          <t>Create the five-year long-range plan</t>
        </is>
      </c>
      <c r="C110" s="27" t="inlineStr">
        <is>
          <t>LRP scenario drivers</t>
        </is>
      </c>
      <c r="D110" s="27" t="inlineStr">
        <is>
          <t>Consolidated</t>
        </is>
      </c>
      <c r="E110" s="27" t="inlineStr">
        <is>
          <t>FY29</t>
        </is>
      </c>
      <c r="F110" s="27" t="inlineStr">
        <is>
          <t>Upside</t>
        </is>
      </c>
      <c r="G110" s="27" t="inlineStr">
        <is>
          <t>Capital expenditure</t>
        </is>
      </c>
      <c r="H110" s="46" t="n">
        <v>3819240</v>
      </c>
      <c r="I110" s="27" t="inlineStr"/>
      <c r="J110" s="27" t="inlineStr">
        <is>
          <t>USD</t>
        </is>
      </c>
      <c r="K110" s="27" t="inlineStr">
        <is>
          <t>Finance operating schedule</t>
        </is>
      </c>
      <c r="L110" s="47" t="inlineStr">
        <is>
          <t>2026-06-30</t>
        </is>
      </c>
      <c r="M110" s="27" t="inlineStr"/>
    </row>
    <row r="111">
      <c r="A111" s="36" t="inlineStr">
        <is>
          <t>CAP-00356</t>
        </is>
      </c>
      <c r="B111" s="27" t="inlineStr">
        <is>
          <t>Create the five-year long-range plan</t>
        </is>
      </c>
      <c r="C111" s="27" t="inlineStr">
        <is>
          <t>LRP scenario drivers</t>
        </is>
      </c>
      <c r="D111" s="27" t="inlineStr">
        <is>
          <t>Consolidated</t>
        </is>
      </c>
      <c r="E111" s="27" t="inlineStr">
        <is>
          <t>FY29</t>
        </is>
      </c>
      <c r="F111" s="27" t="inlineStr">
        <is>
          <t>Upside</t>
        </is>
      </c>
      <c r="G111" s="27" t="inlineStr">
        <is>
          <t>Scheduled debt repayment</t>
        </is>
      </c>
      <c r="H111" s="46" t="n">
        <v>450000</v>
      </c>
      <c r="I111" s="27" t="inlineStr"/>
      <c r="J111" s="27" t="inlineStr">
        <is>
          <t>USD</t>
        </is>
      </c>
      <c r="K111" s="27" t="inlineStr">
        <is>
          <t>Finance operating schedule</t>
        </is>
      </c>
      <c r="L111" s="47" t="inlineStr">
        <is>
          <t>2026-06-30</t>
        </is>
      </c>
      <c r="M111" s="27" t="inlineStr"/>
    </row>
    <row r="112">
      <c r="A112" s="36" t="inlineStr">
        <is>
          <t>CAP-00357</t>
        </is>
      </c>
      <c r="B112" s="27" t="inlineStr">
        <is>
          <t>Create the five-year long-range plan</t>
        </is>
      </c>
      <c r="C112" s="27" t="inlineStr">
        <is>
          <t>LRP scenario drivers</t>
        </is>
      </c>
      <c r="D112" s="27" t="inlineStr">
        <is>
          <t>Consolidated</t>
        </is>
      </c>
      <c r="E112" s="27" t="inlineStr">
        <is>
          <t>FY29</t>
        </is>
      </c>
      <c r="F112" s="27" t="inlineStr">
        <is>
          <t>Upside</t>
        </is>
      </c>
      <c r="G112" s="27" t="inlineStr">
        <is>
          <t>Minimum cash</t>
        </is>
      </c>
      <c r="H112" s="46" t="n">
        <v>2250</v>
      </c>
      <c r="I112" s="27" t="inlineStr"/>
      <c r="J112" s="27" t="inlineStr">
        <is>
          <t>USD thousands</t>
        </is>
      </c>
      <c r="K112" s="27" t="inlineStr">
        <is>
          <t>Finance operating schedule</t>
        </is>
      </c>
      <c r="L112" s="47" t="inlineStr">
        <is>
          <t>2026-06-30</t>
        </is>
      </c>
      <c r="M112" s="27" t="inlineStr"/>
    </row>
    <row r="113">
      <c r="A113" s="36" t="inlineStr">
        <is>
          <t>CAP-00358</t>
        </is>
      </c>
      <c r="B113" s="27" t="inlineStr">
        <is>
          <t>Create the five-year long-range plan</t>
        </is>
      </c>
      <c r="C113" s="27" t="inlineStr">
        <is>
          <t>LRP scenario drivers</t>
        </is>
      </c>
      <c r="D113" s="27" t="inlineStr">
        <is>
          <t>Consolidated</t>
        </is>
      </c>
      <c r="E113" s="27" t="inlineStr">
        <is>
          <t>FY30</t>
        </is>
      </c>
      <c r="F113" s="27" t="inlineStr">
        <is>
          <t>Upside</t>
        </is>
      </c>
      <c r="G113" s="27" t="inlineStr">
        <is>
          <t>Revenue growth</t>
        </is>
      </c>
      <c r="H113" s="46" t="n">
        <v>0.103</v>
      </c>
      <c r="I113" s="27" t="inlineStr"/>
      <c r="J113" s="27" t="inlineStr">
        <is>
          <t>decimal ratio</t>
        </is>
      </c>
      <c r="K113" s="27" t="inlineStr">
        <is>
          <t>Finance operating schedule</t>
        </is>
      </c>
      <c r="L113" s="47" t="inlineStr">
        <is>
          <t>2026-06-30</t>
        </is>
      </c>
      <c r="M113" s="27" t="inlineStr"/>
    </row>
    <row r="114">
      <c r="A114" s="36" t="inlineStr">
        <is>
          <t>CAP-00359</t>
        </is>
      </c>
      <c r="B114" s="27" t="inlineStr">
        <is>
          <t>Create the five-year long-range plan</t>
        </is>
      </c>
      <c r="C114" s="27" t="inlineStr">
        <is>
          <t>LRP scenario drivers</t>
        </is>
      </c>
      <c r="D114" s="27" t="inlineStr">
        <is>
          <t>Consolidated</t>
        </is>
      </c>
      <c r="E114" s="27" t="inlineStr">
        <is>
          <t>FY30</t>
        </is>
      </c>
      <c r="F114" s="27" t="inlineStr">
        <is>
          <t>Upside</t>
        </is>
      </c>
      <c r="G114" s="27" t="inlineStr">
        <is>
          <t>Gross margin</t>
        </is>
      </c>
      <c r="H114" s="46" t="n">
        <v>0.334</v>
      </c>
      <c r="I114" s="27" t="inlineStr"/>
      <c r="J114" s="27" t="inlineStr">
        <is>
          <t>decimal ratio</t>
        </is>
      </c>
      <c r="K114" s="27" t="inlineStr">
        <is>
          <t>Finance operating schedule</t>
        </is>
      </c>
      <c r="L114" s="47" t="inlineStr">
        <is>
          <t>2026-06-30</t>
        </is>
      </c>
      <c r="M114" s="27" t="inlineStr"/>
    </row>
    <row r="115">
      <c r="A115" s="36" t="inlineStr">
        <is>
          <t>CAP-00360</t>
        </is>
      </c>
      <c r="B115" s="27" t="inlineStr">
        <is>
          <t>Create the five-year long-range plan</t>
        </is>
      </c>
      <c r="C115" s="27" t="inlineStr">
        <is>
          <t>LRP scenario drivers</t>
        </is>
      </c>
      <c r="D115" s="27" t="inlineStr">
        <is>
          <t>Consolidated</t>
        </is>
      </c>
      <c r="E115" s="27" t="inlineStr">
        <is>
          <t>FY30</t>
        </is>
      </c>
      <c r="F115" s="27" t="inlineStr">
        <is>
          <t>Upside</t>
        </is>
      </c>
      <c r="G115" s="27" t="inlineStr">
        <is>
          <t>Fixed opex growth</t>
        </is>
      </c>
      <c r="H115" s="46" t="n">
        <v>0.055</v>
      </c>
      <c r="I115" s="27" t="inlineStr"/>
      <c r="J115" s="27" t="inlineStr">
        <is>
          <t>decimal ratio</t>
        </is>
      </c>
      <c r="K115" s="27" t="inlineStr">
        <is>
          <t>Finance operating schedule</t>
        </is>
      </c>
      <c r="L115" s="47" t="inlineStr">
        <is>
          <t>2026-06-30</t>
        </is>
      </c>
      <c r="M115" s="27" t="inlineStr"/>
    </row>
    <row r="116">
      <c r="A116" s="36" t="inlineStr">
        <is>
          <t>CAP-00361</t>
        </is>
      </c>
      <c r="B116" s="27" t="inlineStr">
        <is>
          <t>Create the five-year long-range plan</t>
        </is>
      </c>
      <c r="C116" s="27" t="inlineStr">
        <is>
          <t>LRP scenario drivers</t>
        </is>
      </c>
      <c r="D116" s="27" t="inlineStr">
        <is>
          <t>Consolidated</t>
        </is>
      </c>
      <c r="E116" s="27" t="inlineStr">
        <is>
          <t>FY30</t>
        </is>
      </c>
      <c r="F116" s="27" t="inlineStr">
        <is>
          <t>Upside</t>
        </is>
      </c>
      <c r="G116" s="27" t="inlineStr">
        <is>
          <t>Working capital investment percent of revenue growth</t>
        </is>
      </c>
      <c r="H116" s="46" t="n">
        <v>0.028</v>
      </c>
      <c r="I116" s="27" t="inlineStr"/>
      <c r="J116" s="27" t="inlineStr">
        <is>
          <t>decimal ratio</t>
        </is>
      </c>
      <c r="K116" s="27" t="inlineStr">
        <is>
          <t>Finance operating schedule</t>
        </is>
      </c>
      <c r="L116" s="47" t="inlineStr">
        <is>
          <t>2026-06-30</t>
        </is>
      </c>
      <c r="M116" s="27" t="inlineStr"/>
    </row>
    <row r="117">
      <c r="A117" s="36" t="inlineStr">
        <is>
          <t>CAP-00362</t>
        </is>
      </c>
      <c r="B117" s="27" t="inlineStr">
        <is>
          <t>Create the five-year long-range plan</t>
        </is>
      </c>
      <c r="C117" s="27" t="inlineStr">
        <is>
          <t>LRP scenario drivers</t>
        </is>
      </c>
      <c r="D117" s="27" t="inlineStr">
        <is>
          <t>Consolidated</t>
        </is>
      </c>
      <c r="E117" s="27" t="inlineStr">
        <is>
          <t>FY30</t>
        </is>
      </c>
      <c r="F117" s="27" t="inlineStr">
        <is>
          <t>Upside</t>
        </is>
      </c>
      <c r="G117" s="27" t="inlineStr">
        <is>
          <t>Cash tax rate</t>
        </is>
      </c>
      <c r="H117" s="46" t="n">
        <v>0.25</v>
      </c>
      <c r="I117" s="27" t="inlineStr"/>
      <c r="J117" s="27" t="inlineStr">
        <is>
          <t>decimal ratio</t>
        </is>
      </c>
      <c r="K117" s="27" t="inlineStr">
        <is>
          <t>Finance operating schedule</t>
        </is>
      </c>
      <c r="L117" s="47" t="inlineStr">
        <is>
          <t>2026-06-30</t>
        </is>
      </c>
      <c r="M117" s="27" t="inlineStr"/>
    </row>
    <row r="118">
      <c r="A118" s="36" t="inlineStr">
        <is>
          <t>CAP-00363</t>
        </is>
      </c>
      <c r="B118" s="27" t="inlineStr">
        <is>
          <t>Create the five-year long-range plan</t>
        </is>
      </c>
      <c r="C118" s="27" t="inlineStr">
        <is>
          <t>LRP scenario drivers</t>
        </is>
      </c>
      <c r="D118" s="27" t="inlineStr">
        <is>
          <t>Consolidated</t>
        </is>
      </c>
      <c r="E118" s="27" t="inlineStr">
        <is>
          <t>FY30</t>
        </is>
      </c>
      <c r="F118" s="27" t="inlineStr">
        <is>
          <t>Upside</t>
        </is>
      </c>
      <c r="G118" s="27" t="inlineStr">
        <is>
          <t>Capital expenditure</t>
        </is>
      </c>
      <c r="H118" s="46" t="n">
        <v>3933817.2</v>
      </c>
      <c r="I118" s="27" t="inlineStr"/>
      <c r="J118" s="27" t="inlineStr">
        <is>
          <t>USD</t>
        </is>
      </c>
      <c r="K118" s="27" t="inlineStr">
        <is>
          <t>Finance operating schedule</t>
        </is>
      </c>
      <c r="L118" s="47" t="inlineStr">
        <is>
          <t>2026-06-30</t>
        </is>
      </c>
      <c r="M118" s="27" t="inlineStr"/>
    </row>
    <row r="119">
      <c r="A119" s="36" t="inlineStr">
        <is>
          <t>CAP-00364</t>
        </is>
      </c>
      <c r="B119" s="27" t="inlineStr">
        <is>
          <t>Create the five-year long-range plan</t>
        </is>
      </c>
      <c r="C119" s="27" t="inlineStr">
        <is>
          <t>LRP scenario drivers</t>
        </is>
      </c>
      <c r="D119" s="27" t="inlineStr">
        <is>
          <t>Consolidated</t>
        </is>
      </c>
      <c r="E119" s="27" t="inlineStr">
        <is>
          <t>FY30</t>
        </is>
      </c>
      <c r="F119" s="27" t="inlineStr">
        <is>
          <t>Upside</t>
        </is>
      </c>
      <c r="G119" s="27" t="inlineStr">
        <is>
          <t>Scheduled debt repayment</t>
        </is>
      </c>
      <c r="H119" s="46" t="n">
        <v>500000</v>
      </c>
      <c r="I119" s="27" t="inlineStr"/>
      <c r="J119" s="27" t="inlineStr">
        <is>
          <t>USD</t>
        </is>
      </c>
      <c r="K119" s="27" t="inlineStr">
        <is>
          <t>Finance operating schedule</t>
        </is>
      </c>
      <c r="L119" s="47" t="inlineStr">
        <is>
          <t>2026-06-30</t>
        </is>
      </c>
      <c r="M119" s="27" t="inlineStr"/>
    </row>
    <row r="120">
      <c r="A120" s="36" t="inlineStr">
        <is>
          <t>CAP-00365</t>
        </is>
      </c>
      <c r="B120" s="27" t="inlineStr">
        <is>
          <t>Create the five-year long-range plan</t>
        </is>
      </c>
      <c r="C120" s="27" t="inlineStr">
        <is>
          <t>LRP scenario drivers</t>
        </is>
      </c>
      <c r="D120" s="27" t="inlineStr">
        <is>
          <t>Consolidated</t>
        </is>
      </c>
      <c r="E120" s="27" t="inlineStr">
        <is>
          <t>FY30</t>
        </is>
      </c>
      <c r="F120" s="27" t="inlineStr">
        <is>
          <t>Upside</t>
        </is>
      </c>
      <c r="G120" s="27" t="inlineStr">
        <is>
          <t>Minimum cash</t>
        </is>
      </c>
      <c r="H120" s="46" t="n">
        <v>2250</v>
      </c>
      <c r="I120" s="27" t="inlineStr"/>
      <c r="J120" s="27" t="inlineStr">
        <is>
          <t>USD thousands</t>
        </is>
      </c>
      <c r="K120" s="27" t="inlineStr">
        <is>
          <t>Finance operating schedule</t>
        </is>
      </c>
      <c r="L120" s="47" t="inlineStr">
        <is>
          <t>2026-06-30</t>
        </is>
      </c>
      <c r="M120" s="27" t="inlineStr"/>
    </row>
    <row r="121">
      <c r="A121" s="36" t="inlineStr">
        <is>
          <t>CAP-00366</t>
        </is>
      </c>
      <c r="B121" s="27" t="inlineStr">
        <is>
          <t>Create the five-year long-range plan</t>
        </is>
      </c>
      <c r="C121" s="27" t="inlineStr">
        <is>
          <t>LRP scenario drivers</t>
        </is>
      </c>
      <c r="D121" s="27" t="inlineStr">
        <is>
          <t>Consolidated</t>
        </is>
      </c>
      <c r="E121" s="27" t="inlineStr">
        <is>
          <t>FY31</t>
        </is>
      </c>
      <c r="F121" s="27" t="inlineStr">
        <is>
          <t>Upside</t>
        </is>
      </c>
      <c r="G121" s="27" t="inlineStr">
        <is>
          <t>Revenue growth</t>
        </is>
      </c>
      <c r="H121" s="46" t="n">
        <v>0.099</v>
      </c>
      <c r="I121" s="27" t="inlineStr"/>
      <c r="J121" s="27" t="inlineStr">
        <is>
          <t>decimal ratio</t>
        </is>
      </c>
      <c r="K121" s="27" t="inlineStr">
        <is>
          <t>Finance operating schedule</t>
        </is>
      </c>
      <c r="L121" s="47" t="inlineStr">
        <is>
          <t>2026-06-30</t>
        </is>
      </c>
      <c r="M121" s="27" t="inlineStr"/>
    </row>
    <row r="122">
      <c r="A122" s="36" t="inlineStr">
        <is>
          <t>CAP-00367</t>
        </is>
      </c>
      <c r="B122" s="27" t="inlineStr">
        <is>
          <t>Create the five-year long-range plan</t>
        </is>
      </c>
      <c r="C122" s="27" t="inlineStr">
        <is>
          <t>LRP scenario drivers</t>
        </is>
      </c>
      <c r="D122" s="27" t="inlineStr">
        <is>
          <t>Consolidated</t>
        </is>
      </c>
      <c r="E122" s="27" t="inlineStr">
        <is>
          <t>FY31</t>
        </is>
      </c>
      <c r="F122" s="27" t="inlineStr">
        <is>
          <t>Upside</t>
        </is>
      </c>
      <c r="G122" s="27" t="inlineStr">
        <is>
          <t>Gross margin</t>
        </is>
      </c>
      <c r="H122" s="46" t="n">
        <v>0.337</v>
      </c>
      <c r="I122" s="27" t="inlineStr"/>
      <c r="J122" s="27" t="inlineStr">
        <is>
          <t>decimal ratio</t>
        </is>
      </c>
      <c r="K122" s="27" t="inlineStr">
        <is>
          <t>Finance operating schedule</t>
        </is>
      </c>
      <c r="L122" s="47" t="inlineStr">
        <is>
          <t>2026-06-30</t>
        </is>
      </c>
      <c r="M122" s="27" t="inlineStr"/>
    </row>
    <row r="123">
      <c r="A123" s="36" t="inlineStr">
        <is>
          <t>CAP-00368</t>
        </is>
      </c>
      <c r="B123" s="27" t="inlineStr">
        <is>
          <t>Create the five-year long-range plan</t>
        </is>
      </c>
      <c r="C123" s="27" t="inlineStr">
        <is>
          <t>LRP scenario drivers</t>
        </is>
      </c>
      <c r="D123" s="27" t="inlineStr">
        <is>
          <t>Consolidated</t>
        </is>
      </c>
      <c r="E123" s="27" t="inlineStr">
        <is>
          <t>FY31</t>
        </is>
      </c>
      <c r="F123" s="27" t="inlineStr">
        <is>
          <t>Upside</t>
        </is>
      </c>
      <c r="G123" s="27" t="inlineStr">
        <is>
          <t>Fixed opex growth</t>
        </is>
      </c>
      <c r="H123" s="46" t="n">
        <v>0.055</v>
      </c>
      <c r="I123" s="27" t="inlineStr"/>
      <c r="J123" s="27" t="inlineStr">
        <is>
          <t>decimal ratio</t>
        </is>
      </c>
      <c r="K123" s="27" t="inlineStr">
        <is>
          <t>Finance operating schedule</t>
        </is>
      </c>
      <c r="L123" s="47" t="inlineStr">
        <is>
          <t>2026-06-30</t>
        </is>
      </c>
      <c r="M123" s="27" t="inlineStr"/>
    </row>
    <row r="124">
      <c r="A124" s="36" t="inlineStr">
        <is>
          <t>CAP-00369</t>
        </is>
      </c>
      <c r="B124" s="27" t="inlineStr">
        <is>
          <t>Create the five-year long-range plan</t>
        </is>
      </c>
      <c r="C124" s="27" t="inlineStr">
        <is>
          <t>LRP scenario drivers</t>
        </is>
      </c>
      <c r="D124" s="27" t="inlineStr">
        <is>
          <t>Consolidated</t>
        </is>
      </c>
      <c r="E124" s="27" t="inlineStr">
        <is>
          <t>FY31</t>
        </is>
      </c>
      <c r="F124" s="27" t="inlineStr">
        <is>
          <t>Upside</t>
        </is>
      </c>
      <c r="G124" s="27" t="inlineStr">
        <is>
          <t>Working capital investment percent of revenue growth</t>
        </is>
      </c>
      <c r="H124" s="46" t="n">
        <v>0.028</v>
      </c>
      <c r="I124" s="27" t="inlineStr"/>
      <c r="J124" s="27" t="inlineStr">
        <is>
          <t>decimal ratio</t>
        </is>
      </c>
      <c r="K124" s="27" t="inlineStr">
        <is>
          <t>Finance operating schedule</t>
        </is>
      </c>
      <c r="L124" s="47" t="inlineStr">
        <is>
          <t>2026-06-30</t>
        </is>
      </c>
      <c r="M124" s="27" t="inlineStr"/>
    </row>
    <row r="125">
      <c r="A125" s="36" t="inlineStr">
        <is>
          <t>CAP-00370</t>
        </is>
      </c>
      <c r="B125" s="27" t="inlineStr">
        <is>
          <t>Create the five-year long-range plan</t>
        </is>
      </c>
      <c r="C125" s="27" t="inlineStr">
        <is>
          <t>LRP scenario drivers</t>
        </is>
      </c>
      <c r="D125" s="27" t="inlineStr">
        <is>
          <t>Consolidated</t>
        </is>
      </c>
      <c r="E125" s="27" t="inlineStr">
        <is>
          <t>FY31</t>
        </is>
      </c>
      <c r="F125" s="27" t="inlineStr">
        <is>
          <t>Upside</t>
        </is>
      </c>
      <c r="G125" s="27" t="inlineStr">
        <is>
          <t>Cash tax rate</t>
        </is>
      </c>
      <c r="H125" s="46" t="n">
        <v>0.25</v>
      </c>
      <c r="I125" s="27" t="inlineStr"/>
      <c r="J125" s="27" t="inlineStr">
        <is>
          <t>decimal ratio</t>
        </is>
      </c>
      <c r="K125" s="27" t="inlineStr">
        <is>
          <t>Finance operating schedule</t>
        </is>
      </c>
      <c r="L125" s="47" t="inlineStr">
        <is>
          <t>2026-06-30</t>
        </is>
      </c>
      <c r="M125" s="27" t="inlineStr"/>
    </row>
    <row r="126">
      <c r="A126" s="36" t="inlineStr">
        <is>
          <t>CAP-00371</t>
        </is>
      </c>
      <c r="B126" s="27" t="inlineStr">
        <is>
          <t>Create the five-year long-range plan</t>
        </is>
      </c>
      <c r="C126" s="27" t="inlineStr">
        <is>
          <t>LRP scenario drivers</t>
        </is>
      </c>
      <c r="D126" s="27" t="inlineStr">
        <is>
          <t>Consolidated</t>
        </is>
      </c>
      <c r="E126" s="27" t="inlineStr">
        <is>
          <t>FY31</t>
        </is>
      </c>
      <c r="F126" s="27" t="inlineStr">
        <is>
          <t>Upside</t>
        </is>
      </c>
      <c r="G126" s="27" t="inlineStr">
        <is>
          <t>Capital expenditure</t>
        </is>
      </c>
      <c r="H126" s="46" t="n">
        <v>4051831.716</v>
      </c>
      <c r="I126" s="27" t="inlineStr"/>
      <c r="J126" s="27" t="inlineStr">
        <is>
          <t>USD</t>
        </is>
      </c>
      <c r="K126" s="27" t="inlineStr">
        <is>
          <t>Finance operating schedule</t>
        </is>
      </c>
      <c r="L126" s="47" t="inlineStr">
        <is>
          <t>2026-06-30</t>
        </is>
      </c>
      <c r="M126" s="27" t="inlineStr"/>
    </row>
    <row r="127">
      <c r="A127" s="36" t="inlineStr">
        <is>
          <t>CAP-00372</t>
        </is>
      </c>
      <c r="B127" s="27" t="inlineStr">
        <is>
          <t>Create the five-year long-range plan</t>
        </is>
      </c>
      <c r="C127" s="27" t="inlineStr">
        <is>
          <t>LRP scenario drivers</t>
        </is>
      </c>
      <c r="D127" s="27" t="inlineStr">
        <is>
          <t>Consolidated</t>
        </is>
      </c>
      <c r="E127" s="27" t="inlineStr">
        <is>
          <t>FY31</t>
        </is>
      </c>
      <c r="F127" s="27" t="inlineStr">
        <is>
          <t>Upside</t>
        </is>
      </c>
      <c r="G127" s="27" t="inlineStr">
        <is>
          <t>Scheduled debt repayment</t>
        </is>
      </c>
      <c r="H127" s="46" t="n">
        <v>550000</v>
      </c>
      <c r="I127" s="27" t="inlineStr"/>
      <c r="J127" s="27" t="inlineStr">
        <is>
          <t>USD</t>
        </is>
      </c>
      <c r="K127" s="27" t="inlineStr">
        <is>
          <t>Finance operating schedule</t>
        </is>
      </c>
      <c r="L127" s="47" t="inlineStr">
        <is>
          <t>2026-06-30</t>
        </is>
      </c>
      <c r="M127" s="27" t="inlineStr"/>
    </row>
    <row r="128">
      <c r="A128" s="36" t="inlineStr">
        <is>
          <t>CAP-00373</t>
        </is>
      </c>
      <c r="B128" s="27" t="inlineStr">
        <is>
          <t>Create the five-year long-range plan</t>
        </is>
      </c>
      <c r="C128" s="27" t="inlineStr">
        <is>
          <t>LRP scenario drivers</t>
        </is>
      </c>
      <c r="D128" s="27" t="inlineStr">
        <is>
          <t>Consolidated</t>
        </is>
      </c>
      <c r="E128" s="27" t="inlineStr">
        <is>
          <t>FY31</t>
        </is>
      </c>
      <c r="F128" s="27" t="inlineStr">
        <is>
          <t>Upside</t>
        </is>
      </c>
      <c r="G128" s="27" t="inlineStr">
        <is>
          <t>Minimum cash</t>
        </is>
      </c>
      <c r="H128" s="46" t="n">
        <v>2250</v>
      </c>
      <c r="I128" s="27" t="inlineStr"/>
      <c r="J128" s="27" t="inlineStr">
        <is>
          <t>USD thousands</t>
        </is>
      </c>
      <c r="K128" s="27" t="inlineStr">
        <is>
          <t>Finance operating schedule</t>
        </is>
      </c>
      <c r="L128" s="47" t="inlineStr">
        <is>
          <t>2026-06-30</t>
        </is>
      </c>
      <c r="M128" s="27" t="inlineStr"/>
    </row>
  </sheetData>
  <autoFilter ref="A4:M128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capital committee and long-range plan | Capital Capacity</t>
        </is>
      </c>
    </row>
    <row r="2" ht="25" customHeight="1">
      <c r="A2" s="11" t="inlineStr">
        <is>
          <t>CURRENT WORKING SOURCE - controller tie completed 2026-07-03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CAP-00390</t>
        </is>
      </c>
      <c r="B5" s="27" t="inlineStr">
        <is>
          <t>Shareholder distribution capacity</t>
        </is>
      </c>
      <c r="C5" s="27" t="inlineStr">
        <is>
          <t>Opening balances</t>
        </is>
      </c>
      <c r="D5" s="27" t="inlineStr">
        <is>
          <t>Cash</t>
        </is>
      </c>
      <c r="E5" s="27" t="inlineStr">
        <is>
          <t>2026-06-30</t>
        </is>
      </c>
      <c r="F5" s="27" t="inlineStr">
        <is>
          <t>Approved case</t>
        </is>
      </c>
      <c r="G5" s="27" t="inlineStr">
        <is>
          <t>Posted unrestricted cash</t>
        </is>
      </c>
      <c r="H5" s="46" t="n">
        <v>1</v>
      </c>
      <c r="I5" s="27" t="inlineStr"/>
      <c r="J5" s="27" t="inlineStr">
        <is>
          <t>ledger allocation factor</t>
        </is>
      </c>
      <c r="K5" s="27" t="inlineStr">
        <is>
          <t>Finance operating schedule</t>
        </is>
      </c>
      <c r="L5" s="47" t="inlineStr">
        <is>
          <t>2026-06-30</t>
        </is>
      </c>
      <c r="M5" s="27" t="inlineStr">
        <is>
          <t>Vista ERP cash detail as of 2026-06-30; unrestricted company cash accounts</t>
        </is>
      </c>
    </row>
    <row r="6">
      <c r="A6" s="36" t="inlineStr">
        <is>
          <t>CAP-00391</t>
        </is>
      </c>
      <c r="B6" s="27" t="inlineStr">
        <is>
          <t>Shareholder distribution capacity</t>
        </is>
      </c>
      <c r="C6" s="27" t="inlineStr">
        <is>
          <t>Opening balances</t>
        </is>
      </c>
      <c r="D6" s="27" t="inlineStr">
        <is>
          <t>Funded debt</t>
        </is>
      </c>
      <c r="E6" s="27" t="inlineStr">
        <is>
          <t>2026-06-30</t>
        </is>
      </c>
      <c r="F6" s="27" t="inlineStr">
        <is>
          <t>Approved case</t>
        </is>
      </c>
      <c r="G6" s="27" t="inlineStr">
        <is>
          <t>Posted funded debt</t>
        </is>
      </c>
      <c r="H6" s="46" t="n">
        <v>1</v>
      </c>
      <c r="I6" s="27" t="inlineStr"/>
      <c r="J6" s="27" t="inlineStr">
        <is>
          <t>ledger allocation factor</t>
        </is>
      </c>
      <c r="K6" s="27" t="inlineStr">
        <is>
          <t>Finance operating schedule</t>
        </is>
      </c>
      <c r="L6" s="47" t="inlineStr">
        <is>
          <t>2026-06-30</t>
        </is>
      </c>
      <c r="M6" s="27" t="inlineStr">
        <is>
          <t>Vista ERP balance sheet as of 2026-06-30; accounts 2200, 2210, and 2300</t>
        </is>
      </c>
    </row>
    <row r="7">
      <c r="A7" s="36" t="inlineStr">
        <is>
          <t>CAP-00392</t>
        </is>
      </c>
      <c r="B7" s="27" t="inlineStr">
        <is>
          <t>Shareholder distribution capacity</t>
        </is>
      </c>
      <c r="C7" s="27" t="inlineStr">
        <is>
          <t>Distribution constraints</t>
        </is>
      </c>
      <c r="D7" s="27" t="inlineStr">
        <is>
          <t>Policy</t>
        </is>
      </c>
      <c r="E7" s="27" t="inlineStr">
        <is>
          <t>FY27</t>
        </is>
      </c>
      <c r="F7" s="27" t="inlineStr">
        <is>
          <t>Approved case</t>
        </is>
      </c>
      <c r="G7" s="27" t="inlineStr">
        <is>
          <t>FY27 operating cash generation before funded capex and debt amortization</t>
        </is>
      </c>
      <c r="H7" s="46" t="n">
        <v>4943399.25</v>
      </c>
      <c r="I7" s="27" t="inlineStr"/>
      <c r="J7" s="27" t="inlineStr">
        <is>
          <t>USD</t>
        </is>
      </c>
      <c r="K7" s="27" t="inlineStr">
        <is>
          <t>Finance operating schedule</t>
        </is>
      </c>
      <c r="L7" s="47" t="inlineStr">
        <is>
          <t>2026-06-30</t>
        </is>
      </c>
      <c r="M7" s="27" t="inlineStr"/>
    </row>
    <row r="8">
      <c r="A8" s="36" t="inlineStr">
        <is>
          <t>CAP-00393</t>
        </is>
      </c>
      <c r="B8" s="27" t="inlineStr">
        <is>
          <t>Shareholder distribution capacity</t>
        </is>
      </c>
      <c r="C8" s="27" t="inlineStr">
        <is>
          <t>Distribution constraints</t>
        </is>
      </c>
      <c r="D8" s="27" t="inlineStr">
        <is>
          <t>Policy</t>
        </is>
      </c>
      <c r="E8" s="27" t="inlineStr">
        <is>
          <t>FY27</t>
        </is>
      </c>
      <c r="F8" s="27" t="inlineStr">
        <is>
          <t>Approved case</t>
        </is>
      </c>
      <c r="G8" s="27" t="inlineStr">
        <is>
          <t>FY27 funded capital expenditure</t>
        </is>
      </c>
      <c r="H8" s="46" t="n">
        <v>2800</v>
      </c>
      <c r="I8" s="27" t="inlineStr"/>
      <c r="J8" s="27" t="inlineStr">
        <is>
          <t>USD thousands</t>
        </is>
      </c>
      <c r="K8" s="27" t="inlineStr">
        <is>
          <t>Finance operating schedule</t>
        </is>
      </c>
      <c r="L8" s="47" t="inlineStr">
        <is>
          <t>2026-06-30</t>
        </is>
      </c>
      <c r="M8" s="27" t="inlineStr"/>
    </row>
    <row r="9">
      <c r="A9" s="36" t="inlineStr">
        <is>
          <t>CAP-00394</t>
        </is>
      </c>
      <c r="B9" s="27" t="inlineStr">
        <is>
          <t>Shareholder distribution capacity</t>
        </is>
      </c>
      <c r="C9" s="27" t="inlineStr">
        <is>
          <t>Distribution constraints</t>
        </is>
      </c>
      <c r="D9" s="27" t="inlineStr">
        <is>
          <t>Policy</t>
        </is>
      </c>
      <c r="E9" s="27" t="inlineStr">
        <is>
          <t>FY27</t>
        </is>
      </c>
      <c r="F9" s="27" t="inlineStr">
        <is>
          <t>Approved case</t>
        </is>
      </c>
      <c r="G9" s="27" t="inlineStr">
        <is>
          <t>FY27 required debt amortization</t>
        </is>
      </c>
      <c r="H9" s="46" t="n">
        <v>350000</v>
      </c>
      <c r="I9" s="27" t="inlineStr"/>
      <c r="J9" s="27" t="inlineStr">
        <is>
          <t>USD</t>
        </is>
      </c>
      <c r="K9" s="27" t="inlineStr">
        <is>
          <t>Finance operating schedule</t>
        </is>
      </c>
      <c r="L9" s="47" t="inlineStr">
        <is>
          <t>2026-06-30</t>
        </is>
      </c>
      <c r="M9" s="27" t="inlineStr"/>
    </row>
    <row r="10">
      <c r="A10" s="36" t="inlineStr">
        <is>
          <t>CAP-00395</t>
        </is>
      </c>
      <c r="B10" s="27" t="inlineStr">
        <is>
          <t>Shareholder distribution capacity</t>
        </is>
      </c>
      <c r="C10" s="27" t="inlineStr">
        <is>
          <t>Distribution constraints</t>
        </is>
      </c>
      <c r="D10" s="27" t="inlineStr">
        <is>
          <t>Policy</t>
        </is>
      </c>
      <c r="E10" s="27" t="inlineStr">
        <is>
          <t>FY27</t>
        </is>
      </c>
      <c r="F10" s="27" t="inlineStr">
        <is>
          <t>Approved case</t>
        </is>
      </c>
      <c r="G10" s="27" t="inlineStr">
        <is>
          <t>Minimum operating cash</t>
        </is>
      </c>
      <c r="H10" s="46" t="n">
        <v>2250000</v>
      </c>
      <c r="I10" s="27" t="inlineStr"/>
      <c r="J10" s="27" t="inlineStr">
        <is>
          <t>USD</t>
        </is>
      </c>
      <c r="K10" s="27" t="inlineStr">
        <is>
          <t>Finance operating schedule</t>
        </is>
      </c>
      <c r="L10" s="47" t="inlineStr">
        <is>
          <t>2026-06-30</t>
        </is>
      </c>
      <c r="M10" s="27" t="inlineStr"/>
    </row>
    <row r="11">
      <c r="A11" s="36" t="inlineStr">
        <is>
          <t>CAP-00396</t>
        </is>
      </c>
      <c r="B11" s="27" t="inlineStr">
        <is>
          <t>Shareholder distribution capacity</t>
        </is>
      </c>
      <c r="C11" s="27" t="inlineStr">
        <is>
          <t>Distribution constraints</t>
        </is>
      </c>
      <c r="D11" s="27" t="inlineStr">
        <is>
          <t>Policy</t>
        </is>
      </c>
      <c r="E11" s="27" t="inlineStr">
        <is>
          <t>FY27</t>
        </is>
      </c>
      <c r="F11" s="27" t="inlineStr">
        <is>
          <t>Approved case</t>
        </is>
      </c>
      <c r="G11" s="27" t="inlineStr">
        <is>
          <t>Downside liquidity reserve</t>
        </is>
      </c>
      <c r="H11" s="46" t="n">
        <v>500000</v>
      </c>
      <c r="I11" s="27" t="inlineStr"/>
      <c r="J11" s="27" t="inlineStr">
        <is>
          <t>USD</t>
        </is>
      </c>
      <c r="K11" s="27" t="inlineStr">
        <is>
          <t>Finance operating schedule</t>
        </is>
      </c>
      <c r="L11" s="47" t="inlineStr">
        <is>
          <t>2026-06-30</t>
        </is>
      </c>
      <c r="M11" s="27" t="inlineStr"/>
    </row>
    <row r="12">
      <c r="A12" s="36" t="inlineStr">
        <is>
          <t>CAP-00397</t>
        </is>
      </c>
      <c r="B12" s="27" t="inlineStr">
        <is>
          <t>Shareholder distribution capacity</t>
        </is>
      </c>
      <c r="C12" s="27" t="inlineStr">
        <is>
          <t>Distribution constraints</t>
        </is>
      </c>
      <c r="D12" s="27" t="inlineStr">
        <is>
          <t>Policy</t>
        </is>
      </c>
      <c r="E12" s="27" t="inlineStr">
        <is>
          <t>FY27</t>
        </is>
      </c>
      <c r="F12" s="27" t="inlineStr">
        <is>
          <t>Approved case</t>
        </is>
      </c>
      <c r="G12" s="27" t="inlineStr">
        <is>
          <t>Forecast covenant EBITDA</t>
        </is>
      </c>
      <c r="H12" s="46" t="n">
        <v>7200</v>
      </c>
      <c r="I12" s="27" t="inlineStr"/>
      <c r="J12" s="27" t="inlineStr">
        <is>
          <t>USD thousands</t>
        </is>
      </c>
      <c r="K12" s="27" t="inlineStr">
        <is>
          <t>Finance operating schedule</t>
        </is>
      </c>
      <c r="L12" s="47" t="inlineStr">
        <is>
          <t>2026-06-30</t>
        </is>
      </c>
      <c r="M12" s="27" t="inlineStr"/>
    </row>
    <row r="13">
      <c r="A13" s="36" t="inlineStr">
        <is>
          <t>CAP-00398</t>
        </is>
      </c>
      <c r="B13" s="27" t="inlineStr">
        <is>
          <t>Shareholder distribution capacity</t>
        </is>
      </c>
      <c r="C13" s="27" t="inlineStr">
        <is>
          <t>Distribution constraints</t>
        </is>
      </c>
      <c r="D13" s="27" t="inlineStr">
        <is>
          <t>Policy</t>
        </is>
      </c>
      <c r="E13" s="27" t="inlineStr">
        <is>
          <t>FY27</t>
        </is>
      </c>
      <c r="F13" s="27" t="inlineStr">
        <is>
          <t>Approved case</t>
        </is>
      </c>
      <c r="G13" s="27" t="inlineStr">
        <is>
          <t>Maximum leverage</t>
        </is>
      </c>
      <c r="H13" s="46" t="n">
        <v>2.75</v>
      </c>
      <c r="I13" s="27" t="inlineStr"/>
      <c r="J13" s="27" t="inlineStr">
        <is>
          <t>multiple</t>
        </is>
      </c>
      <c r="K13" s="27" t="inlineStr">
        <is>
          <t>Finance operating schedule</t>
        </is>
      </c>
      <c r="L13" s="47" t="inlineStr">
        <is>
          <t>2026-06-30</t>
        </is>
      </c>
      <c r="M13" s="27" t="inlineStr"/>
    </row>
    <row r="14">
      <c r="A14" s="36" t="inlineStr">
        <is>
          <t>CAP-00399</t>
        </is>
      </c>
      <c r="B14" s="27" t="inlineStr">
        <is>
          <t>Shareholder distribution capacity</t>
        </is>
      </c>
      <c r="C14" s="27" t="inlineStr">
        <is>
          <t>Distribution constraints</t>
        </is>
      </c>
      <c r="D14" s="27" t="inlineStr">
        <is>
          <t>Policy</t>
        </is>
      </c>
      <c r="E14" s="27" t="inlineStr">
        <is>
          <t>FY27</t>
        </is>
      </c>
      <c r="F14" s="27" t="inlineStr">
        <is>
          <t>Approved case</t>
        </is>
      </c>
      <c r="G14" s="27" t="inlineStr">
        <is>
          <t>Base fixed charges before shareholder distributions</t>
        </is>
      </c>
      <c r="H14" s="46" t="n">
        <v>4050000</v>
      </c>
      <c r="I14" s="27" t="inlineStr"/>
      <c r="J14" s="27" t="inlineStr">
        <is>
          <t>USD</t>
        </is>
      </c>
      <c r="K14" s="27" t="inlineStr">
        <is>
          <t>Finance operating schedule</t>
        </is>
      </c>
      <c r="L14" s="47" t="inlineStr">
        <is>
          <t>2026-06-30</t>
        </is>
      </c>
      <c r="M14" s="27" t="inlineStr"/>
    </row>
    <row r="15">
      <c r="A15" s="36" t="inlineStr">
        <is>
          <t>CAP-00400</t>
        </is>
      </c>
      <c r="B15" s="27" t="inlineStr">
        <is>
          <t>Shareholder distribution capacity</t>
        </is>
      </c>
      <c r="C15" s="27" t="inlineStr">
        <is>
          <t>Distribution constraints</t>
        </is>
      </c>
      <c r="D15" s="27" t="inlineStr">
        <is>
          <t>Policy</t>
        </is>
      </c>
      <c r="E15" s="27" t="inlineStr">
        <is>
          <t>FY27</t>
        </is>
      </c>
      <c r="F15" s="27" t="inlineStr">
        <is>
          <t>Approved case</t>
        </is>
      </c>
      <c r="G15" s="27" t="inlineStr">
        <is>
          <t>Minimum FCCR</t>
        </is>
      </c>
      <c r="H15" s="46" t="n">
        <v>1.35</v>
      </c>
      <c r="I15" s="27" t="inlineStr"/>
      <c r="J15" s="27" t="inlineStr">
        <is>
          <t>multiple</t>
        </is>
      </c>
      <c r="K15" s="27" t="inlineStr">
        <is>
          <t>Finance operating schedule</t>
        </is>
      </c>
      <c r="L15" s="47" t="inlineStr">
        <is>
          <t>2026-06-30</t>
        </is>
      </c>
      <c r="M15" s="27" t="inlineStr"/>
    </row>
    <row r="16">
      <c r="A16" s="36" t="inlineStr">
        <is>
          <t>CAP-00401</t>
        </is>
      </c>
      <c r="B16" s="27" t="inlineStr">
        <is>
          <t>Shareholder distribution capacity</t>
        </is>
      </c>
      <c r="C16" s="27" t="inlineStr">
        <is>
          <t>Distribution constraints</t>
        </is>
      </c>
      <c r="D16" s="27" t="inlineStr">
        <is>
          <t>Policy</t>
        </is>
      </c>
      <c r="E16" s="27" t="inlineStr">
        <is>
          <t>FY27</t>
        </is>
      </c>
      <c r="F16" s="27" t="inlineStr">
        <is>
          <t>Approved case</t>
        </is>
      </c>
      <c r="G16" s="27" t="inlineStr">
        <is>
          <t>Tangible net worth</t>
        </is>
      </c>
      <c r="H16" s="46" t="n">
        <v>22600</v>
      </c>
      <c r="I16" s="27" t="inlineStr"/>
      <c r="J16" s="27" t="inlineStr">
        <is>
          <t>USD thousands</t>
        </is>
      </c>
      <c r="K16" s="27" t="inlineStr">
        <is>
          <t>Finance operating schedule</t>
        </is>
      </c>
      <c r="L16" s="47" t="inlineStr">
        <is>
          <t>2026-06-30</t>
        </is>
      </c>
      <c r="M16" s="27" t="inlineStr"/>
    </row>
    <row r="17">
      <c r="A17" s="36" t="inlineStr">
        <is>
          <t>CAP-00402</t>
        </is>
      </c>
      <c r="B17" s="27" t="inlineStr">
        <is>
          <t>Shareholder distribution capacity</t>
        </is>
      </c>
      <c r="C17" s="27" t="inlineStr">
        <is>
          <t>Distribution constraints</t>
        </is>
      </c>
      <c r="D17" s="27" t="inlineStr">
        <is>
          <t>Policy</t>
        </is>
      </c>
      <c r="E17" s="27" t="inlineStr">
        <is>
          <t>FY27</t>
        </is>
      </c>
      <c r="F17" s="27" t="inlineStr">
        <is>
          <t>Approved case</t>
        </is>
      </c>
      <c r="G17" s="27" t="inlineStr">
        <is>
          <t>Minimum tangible net worth</t>
        </is>
      </c>
      <c r="H17" s="46" t="n">
        <v>18500000</v>
      </c>
      <c r="I17" s="27" t="inlineStr"/>
      <c r="J17" s="27" t="inlineStr">
        <is>
          <t>USD</t>
        </is>
      </c>
      <c r="K17" s="27" t="inlineStr">
        <is>
          <t>Finance operating schedule</t>
        </is>
      </c>
      <c r="L17" s="47" t="inlineStr">
        <is>
          <t>2026-06-30</t>
        </is>
      </c>
      <c r="M17" s="27" t="inlineStr"/>
    </row>
    <row r="18">
      <c r="A18" s="36" t="inlineStr">
        <is>
          <t>CAP-00403</t>
        </is>
      </c>
      <c r="B18" s="27" t="inlineStr">
        <is>
          <t>Shareholder distribution capacity</t>
        </is>
      </c>
      <c r="C18" s="27" t="inlineStr">
        <is>
          <t>Distribution constraints</t>
        </is>
      </c>
      <c r="D18" s="27" t="inlineStr">
        <is>
          <t>Policy</t>
        </is>
      </c>
      <c r="E18" s="27" t="inlineStr">
        <is>
          <t>FY27</t>
        </is>
      </c>
      <c r="F18" s="27" t="inlineStr">
        <is>
          <t>Approved case</t>
        </is>
      </c>
      <c r="G18" s="27" t="inlineStr">
        <is>
          <t>Surety working capital</t>
        </is>
      </c>
      <c r="H18" s="46" t="n">
        <v>9300000</v>
      </c>
      <c r="I18" s="27" t="inlineStr"/>
      <c r="J18" s="27" t="inlineStr">
        <is>
          <t>USD</t>
        </is>
      </c>
      <c r="K18" s="27" t="inlineStr">
        <is>
          <t>Finance operating schedule</t>
        </is>
      </c>
      <c r="L18" s="47" t="inlineStr">
        <is>
          <t>2026-06-30</t>
        </is>
      </c>
      <c r="M18" s="27" t="inlineStr"/>
    </row>
    <row r="19">
      <c r="A19" s="36" t="inlineStr">
        <is>
          <t>CAP-00404</t>
        </is>
      </c>
      <c r="B19" s="27" t="inlineStr">
        <is>
          <t>Shareholder distribution capacity</t>
        </is>
      </c>
      <c r="C19" s="27" t="inlineStr">
        <is>
          <t>Distribution constraints</t>
        </is>
      </c>
      <c r="D19" s="27" t="inlineStr">
        <is>
          <t>Policy</t>
        </is>
      </c>
      <c r="E19" s="27" t="inlineStr">
        <is>
          <t>FY27</t>
        </is>
      </c>
      <c r="F19" s="27" t="inlineStr">
        <is>
          <t>Approved case</t>
        </is>
      </c>
      <c r="G19" s="27" t="inlineStr">
        <is>
          <t>Minimum surety working capital</t>
        </is>
      </c>
      <c r="H19" s="46" t="n">
        <v>6500000</v>
      </c>
      <c r="I19" s="27" t="inlineStr"/>
      <c r="J19" s="27" t="inlineStr">
        <is>
          <t>USD</t>
        </is>
      </c>
      <c r="K19" s="27" t="inlineStr">
        <is>
          <t>Finance operating schedule</t>
        </is>
      </c>
      <c r="L19" s="47" t="inlineStr">
        <is>
          <t>2026-06-30</t>
        </is>
      </c>
      <c r="M19" s="27" t="inlineStr"/>
    </row>
    <row r="20">
      <c r="A20" s="36" t="inlineStr">
        <is>
          <t>CAP-00413</t>
        </is>
      </c>
      <c r="B20" s="27" t="inlineStr">
        <is>
          <t>Create the FY27 strategic capital-allocation memorandum</t>
        </is>
      </c>
      <c r="C20" s="27" t="inlineStr">
        <is>
          <t>Capital capacity</t>
        </is>
      </c>
      <c r="D20" s="27" t="inlineStr">
        <is>
          <t>Opening unrestricted cash</t>
        </is>
      </c>
      <c r="E20" s="27" t="inlineStr">
        <is>
          <t>2026-06-30</t>
        </is>
      </c>
      <c r="F20" s="27" t="inlineStr">
        <is>
          <t>Approved case</t>
        </is>
      </c>
      <c r="G20" s="27" t="inlineStr">
        <is>
          <t>Posted cash</t>
        </is>
      </c>
      <c r="H20" s="46" t="n">
        <v>1</v>
      </c>
      <c r="I20" s="27" t="inlineStr"/>
      <c r="J20" s="27" t="inlineStr">
        <is>
          <t>ledger allocation factor</t>
        </is>
      </c>
      <c r="K20" s="27" t="inlineStr">
        <is>
          <t>Finance operating schedule</t>
        </is>
      </c>
      <c r="L20" s="47" t="inlineStr">
        <is>
          <t>2026-06-30</t>
        </is>
      </c>
      <c r="M20" s="27" t="inlineStr">
        <is>
          <t>Vista ERP cash detail as of 2026-06-30; unrestricted company cash accounts</t>
        </is>
      </c>
    </row>
    <row r="21">
      <c r="A21" s="36" t="inlineStr">
        <is>
          <t>CAP-00414</t>
        </is>
      </c>
      <c r="B21" s="27" t="inlineStr">
        <is>
          <t>Create the FY27 strategic capital-allocation memorandum</t>
        </is>
      </c>
      <c r="C21" s="27" t="inlineStr">
        <is>
          <t>Capital capacity</t>
        </is>
      </c>
      <c r="D21" s="27" t="inlineStr">
        <is>
          <t>Posted funded debt</t>
        </is>
      </c>
      <c r="E21" s="27" t="inlineStr">
        <is>
          <t>2026-06-30</t>
        </is>
      </c>
      <c r="F21" s="27" t="inlineStr">
        <is>
          <t>Approved case</t>
        </is>
      </c>
      <c r="G21" s="27" t="inlineStr">
        <is>
          <t>Posted funded debt</t>
        </is>
      </c>
      <c r="H21" s="46" t="n">
        <v>1</v>
      </c>
      <c r="I21" s="27" t="inlineStr"/>
      <c r="J21" s="27" t="inlineStr">
        <is>
          <t>ledger allocation factor</t>
        </is>
      </c>
      <c r="K21" s="27" t="inlineStr">
        <is>
          <t>Vista ERP posted balance sheet</t>
        </is>
      </c>
      <c r="L21" s="47" t="inlineStr">
        <is>
          <t>2026-06-30</t>
        </is>
      </c>
      <c r="M21" s="27" t="inlineStr">
        <is>
          <t>Vista ERP balance sheet as of 2026-06-30; accounts 2200, 2210, and 2300</t>
        </is>
      </c>
    </row>
    <row r="22">
      <c r="A22" s="36" t="inlineStr">
        <is>
          <t>CAP-00416</t>
        </is>
      </c>
      <c r="B22" s="27" t="inlineStr">
        <is>
          <t>Create the FY27 strategic capital-allocation memorandum</t>
        </is>
      </c>
      <c r="C22" s="27" t="inlineStr">
        <is>
          <t>Capital capacity</t>
        </is>
      </c>
      <c r="D22" s="27" t="inlineStr">
        <is>
          <t>Alder Ridge</t>
        </is>
      </c>
      <c r="E22" s="27" t="inlineStr">
        <is>
          <t>FY27</t>
        </is>
      </c>
      <c r="F22" s="27" t="inlineStr">
        <is>
          <t>Approved case</t>
        </is>
      </c>
      <c r="G22" s="27" t="inlineStr">
        <is>
          <t>FY27 free cash flow before allocation</t>
        </is>
      </c>
      <c r="H22" s="46" t="n">
        <v>12200</v>
      </c>
      <c r="I22" s="27" t="inlineStr"/>
      <c r="J22" s="27" t="inlineStr">
        <is>
          <t>USD thousands</t>
        </is>
      </c>
      <c r="K22" s="27" t="inlineStr">
        <is>
          <t>Finance operating schedule</t>
        </is>
      </c>
      <c r="L22" s="47" t="inlineStr">
        <is>
          <t>2026-06-30</t>
        </is>
      </c>
      <c r="M22" s="27" t="inlineStr"/>
    </row>
    <row r="23">
      <c r="A23" s="36" t="inlineStr">
        <is>
          <t>CAP-00417</t>
        </is>
      </c>
      <c r="B23" s="27" t="inlineStr">
        <is>
          <t>Create the FY27 strategic capital-allocation memorandum</t>
        </is>
      </c>
      <c r="C23" s="27" t="inlineStr">
        <is>
          <t>Capital capacity</t>
        </is>
      </c>
      <c r="D23" s="27" t="inlineStr">
        <is>
          <t>Alder Ridge</t>
        </is>
      </c>
      <c r="E23" s="27" t="inlineStr">
        <is>
          <t>FY27</t>
        </is>
      </c>
      <c r="F23" s="27" t="inlineStr">
        <is>
          <t>Approved case</t>
        </is>
      </c>
      <c r="G23" s="27" t="inlineStr">
        <is>
          <t>Minimum ending cash</t>
        </is>
      </c>
      <c r="H23" s="46" t="n">
        <v>2250000</v>
      </c>
      <c r="I23" s="27" t="inlineStr"/>
      <c r="J23" s="27" t="inlineStr">
        <is>
          <t>USD</t>
        </is>
      </c>
      <c r="K23" s="27" t="inlineStr">
        <is>
          <t>Finance operating schedule</t>
        </is>
      </c>
      <c r="L23" s="47" t="inlineStr">
        <is>
          <t>2026-06-30</t>
        </is>
      </c>
      <c r="M23" s="27" t="inlineStr"/>
    </row>
    <row r="24">
      <c r="A24" s="36" t="inlineStr">
        <is>
          <t>CAP-00418</t>
        </is>
      </c>
      <c r="B24" s="27" t="inlineStr">
        <is>
          <t>Create the FY27 strategic capital-allocation memorandum</t>
        </is>
      </c>
      <c r="C24" s="27" t="inlineStr">
        <is>
          <t>Capital capacity</t>
        </is>
      </c>
      <c r="D24" s="27" t="inlineStr">
        <is>
          <t>Alder Ridge</t>
        </is>
      </c>
      <c r="E24" s="27" t="inlineStr">
        <is>
          <t>FY27</t>
        </is>
      </c>
      <c r="F24" s="27" t="inlineStr">
        <is>
          <t>Approved case</t>
        </is>
      </c>
      <c r="G24" s="27" t="inlineStr">
        <is>
          <t>Distribution prudence buffer</t>
        </is>
      </c>
      <c r="H24" s="46" t="n">
        <v>2750000</v>
      </c>
      <c r="I24" s="27" t="inlineStr"/>
      <c r="J24" s="27" t="inlineStr">
        <is>
          <t>USD</t>
        </is>
      </c>
      <c r="K24" s="27" t="inlineStr">
        <is>
          <t>Finance operating schedule</t>
        </is>
      </c>
      <c r="L24" s="47" t="inlineStr">
        <is>
          <t>2026-06-30</t>
        </is>
      </c>
      <c r="M24" s="27" t="inlineStr"/>
    </row>
    <row r="25">
      <c r="A25" s="36" t="inlineStr">
        <is>
          <t>CAP-00419</t>
        </is>
      </c>
      <c r="B25" s="27" t="inlineStr">
        <is>
          <t>Create the FY27 strategic capital-allocation memorandum</t>
        </is>
      </c>
      <c r="C25" s="27" t="inlineStr">
        <is>
          <t>Capital capacity</t>
        </is>
      </c>
      <c r="D25" s="27" t="inlineStr">
        <is>
          <t>Alder Ridge</t>
        </is>
      </c>
      <c r="E25" s="27" t="inlineStr">
        <is>
          <t>FY27</t>
        </is>
      </c>
      <c r="F25" s="27" t="inlineStr">
        <is>
          <t>Approved case</t>
        </is>
      </c>
      <c r="G25" s="27" t="inlineStr">
        <is>
          <t>Revolver headroom usable for growth</t>
        </is>
      </c>
      <c r="H25" s="46" t="n">
        <v>3000000</v>
      </c>
      <c r="I25" s="27" t="inlineStr"/>
      <c r="J25" s="27" t="inlineStr">
        <is>
          <t>USD</t>
        </is>
      </c>
      <c r="K25" s="27" t="inlineStr">
        <is>
          <t>Finance operating schedule</t>
        </is>
      </c>
      <c r="L25" s="47" t="inlineStr">
        <is>
          <t>2026-06-30</t>
        </is>
      </c>
      <c r="M25" s="27" t="inlineStr"/>
    </row>
    <row r="26">
      <c r="A26" s="36" t="inlineStr">
        <is>
          <t>CAP-00420</t>
        </is>
      </c>
      <c r="B26" s="27" t="inlineStr">
        <is>
          <t>Create the FY27 strategic capital-allocation memorandum</t>
        </is>
      </c>
      <c r="C26" s="27" t="inlineStr">
        <is>
          <t>Capital capacity</t>
        </is>
      </c>
      <c r="D26" s="27" t="inlineStr">
        <is>
          <t>Alder Ridge</t>
        </is>
      </c>
      <c r="E26" s="27" t="inlineStr">
        <is>
          <t>FY27</t>
        </is>
      </c>
      <c r="F26" s="27" t="inlineStr">
        <is>
          <t>Approved case</t>
        </is>
      </c>
      <c r="G26" s="27" t="inlineStr">
        <is>
          <t>Maximum capital deployment</t>
        </is>
      </c>
      <c r="H26" s="46" t="n">
        <v>15000</v>
      </c>
      <c r="I26" s="27" t="inlineStr"/>
      <c r="J26" s="27" t="inlineStr">
        <is>
          <t>USD thousands</t>
        </is>
      </c>
      <c r="K26" s="27" t="inlineStr">
        <is>
          <t>Finance operating schedule</t>
        </is>
      </c>
      <c r="L26" s="47" t="inlineStr">
        <is>
          <t>2026-06-30</t>
        </is>
      </c>
      <c r="M26" s="27" t="inlineStr"/>
    </row>
    <row r="27">
      <c r="A27" s="36" t="inlineStr">
        <is>
          <t>CAP-00421</t>
        </is>
      </c>
      <c r="B27" s="27" t="inlineStr">
        <is>
          <t>Create the FY27 strategic capital-allocation memorandum</t>
        </is>
      </c>
      <c r="C27" s="27" t="inlineStr">
        <is>
          <t>Capital capacity</t>
        </is>
      </c>
      <c r="D27" s="27" t="inlineStr">
        <is>
          <t>Alder Ridge</t>
        </is>
      </c>
      <c r="E27" s="27" t="inlineStr">
        <is>
          <t>FY27</t>
        </is>
      </c>
      <c r="F27" s="27" t="inlineStr">
        <is>
          <t>Approved case</t>
        </is>
      </c>
      <c r="G27" s="27" t="inlineStr">
        <is>
          <t>FY27 covenant EBITDA</t>
        </is>
      </c>
      <c r="H27" s="46" t="n">
        <v>8200000</v>
      </c>
      <c r="I27" s="27" t="inlineStr"/>
      <c r="J27" s="27" t="inlineStr">
        <is>
          <t>USD</t>
        </is>
      </c>
      <c r="K27" s="27" t="inlineStr">
        <is>
          <t>Finance operating schedule</t>
        </is>
      </c>
      <c r="L27" s="47" t="inlineStr">
        <is>
          <t>2026-06-30</t>
        </is>
      </c>
      <c r="M27" s="27" t="inlineStr"/>
    </row>
    <row r="28">
      <c r="A28" s="36" t="inlineStr">
        <is>
          <t>CAP-00422</t>
        </is>
      </c>
      <c r="B28" s="27" t="inlineStr">
        <is>
          <t>Create the FY27 strategic capital-allocation memorandum</t>
        </is>
      </c>
      <c r="C28" s="27" t="inlineStr">
        <is>
          <t>Capital capacity</t>
        </is>
      </c>
      <c r="D28" s="27" t="inlineStr">
        <is>
          <t>Alder Ridge</t>
        </is>
      </c>
      <c r="E28" s="27" t="inlineStr">
        <is>
          <t>FY27</t>
        </is>
      </c>
      <c r="F28" s="27" t="inlineStr">
        <is>
          <t>Approved case</t>
        </is>
      </c>
      <c r="G28" s="27" t="inlineStr">
        <is>
          <t>Maximum policy leverage</t>
        </is>
      </c>
      <c r="H28" s="46" t="n">
        <v>2.75</v>
      </c>
      <c r="I28" s="27" t="inlineStr"/>
      <c r="J28" s="27" t="inlineStr">
        <is>
          <t>multiple</t>
        </is>
      </c>
      <c r="K28" s="27" t="inlineStr">
        <is>
          <t>Finance operating schedule</t>
        </is>
      </c>
      <c r="L28" s="47" t="inlineStr">
        <is>
          <t>2026-06-30</t>
        </is>
      </c>
      <c r="M28" s="27" t="inlineStr"/>
    </row>
    <row r="29">
      <c r="A29" s="36" t="inlineStr">
        <is>
          <t>CAP-00423</t>
        </is>
      </c>
      <c r="B29" s="27" t="inlineStr">
        <is>
          <t>Create the FY27 strategic capital-allocation memorandum</t>
        </is>
      </c>
      <c r="C29" s="27" t="inlineStr">
        <is>
          <t>Alternative uses</t>
        </is>
      </c>
      <c r="D29" s="27" t="inlineStr">
        <is>
          <t>Maintenance capex</t>
        </is>
      </c>
      <c r="E29" s="27" t="inlineStr">
        <is>
          <t>FY27</t>
        </is>
      </c>
      <c r="F29" s="27" t="inlineStr">
        <is>
          <t>Approved case</t>
        </is>
      </c>
      <c r="G29" s="27" t="inlineStr">
        <is>
          <t>Proposed allocation</t>
        </is>
      </c>
      <c r="H29" s="46" t="n">
        <v>4000000</v>
      </c>
      <c r="I29" s="27" t="inlineStr"/>
      <c r="J29" s="27" t="inlineStr">
        <is>
          <t>USD</t>
        </is>
      </c>
      <c r="K29" s="27" t="inlineStr">
        <is>
          <t>Finance operating schedule</t>
        </is>
      </c>
      <c r="L29" s="47" t="inlineStr">
        <is>
          <t>2026-06-30</t>
        </is>
      </c>
      <c r="M29" s="27" t="inlineStr"/>
    </row>
    <row r="30">
      <c r="A30" s="36" t="inlineStr">
        <is>
          <t>CAP-00424</t>
        </is>
      </c>
      <c r="B30" s="27" t="inlineStr">
        <is>
          <t>Create the FY27 strategic capital-allocation memorandum</t>
        </is>
      </c>
      <c r="C30" s="27" t="inlineStr">
        <is>
          <t>Alternative uses</t>
        </is>
      </c>
      <c r="D30" s="27" t="inlineStr">
        <is>
          <t>Maintenance capex</t>
        </is>
      </c>
      <c r="E30" s="27" t="inlineStr">
        <is>
          <t>FY27</t>
        </is>
      </c>
      <c r="F30" s="27" t="inlineStr">
        <is>
          <t>Approved case</t>
        </is>
      </c>
      <c r="G30" s="27" t="inlineStr">
        <is>
          <t>Estimated value creation</t>
        </is>
      </c>
      <c r="H30" s="46" t="n">
        <v>1200</v>
      </c>
      <c r="I30" s="27" t="inlineStr"/>
      <c r="J30" s="27" t="inlineStr">
        <is>
          <t>USD thousands</t>
        </is>
      </c>
      <c r="K30" s="27" t="inlineStr">
        <is>
          <t>Finance operating schedule</t>
        </is>
      </c>
      <c r="L30" s="47" t="inlineStr">
        <is>
          <t>2026-06-30</t>
        </is>
      </c>
      <c r="M30" s="27" t="inlineStr"/>
    </row>
    <row r="31">
      <c r="A31" s="36" t="inlineStr">
        <is>
          <t>CAP-00425</t>
        </is>
      </c>
      <c r="B31" s="27" t="inlineStr">
        <is>
          <t>Create the FY27 strategic capital-allocation memorandum</t>
        </is>
      </c>
      <c r="C31" s="27" t="inlineStr">
        <is>
          <t>Alternative uses</t>
        </is>
      </c>
      <c r="D31" s="27" t="inlineStr">
        <is>
          <t>Maintenance capex</t>
        </is>
      </c>
      <c r="E31" s="27" t="inlineStr">
        <is>
          <t>FY27</t>
        </is>
      </c>
      <c r="F31" s="27" t="inlineStr">
        <is>
          <t>Approved case</t>
        </is>
      </c>
      <c r="G31" s="27" t="inlineStr">
        <is>
          <t>Priority</t>
        </is>
      </c>
      <c r="H31" s="46" t="n">
        <v>1</v>
      </c>
      <c r="I31" s="27" t="inlineStr"/>
      <c r="J31" s="27" t="inlineStr">
        <is>
          <t>count</t>
        </is>
      </c>
      <c r="K31" s="27" t="inlineStr">
        <is>
          <t>Finance operating schedule</t>
        </is>
      </c>
      <c r="L31" s="47" t="inlineStr">
        <is>
          <t>2026-06-30</t>
        </is>
      </c>
      <c r="M31" s="27" t="inlineStr"/>
    </row>
    <row r="32">
      <c r="A32" s="36" t="inlineStr">
        <is>
          <t>CAP-00426</t>
        </is>
      </c>
      <c r="B32" s="27" t="inlineStr">
        <is>
          <t>Create the FY27 strategic capital-allocation memorandum</t>
        </is>
      </c>
      <c r="C32" s="27" t="inlineStr">
        <is>
          <t>Alternative uses</t>
        </is>
      </c>
      <c r="D32" s="27" t="inlineStr">
        <is>
          <t>Maintenance capex</t>
        </is>
      </c>
      <c r="E32" s="27" t="inlineStr">
        <is>
          <t>FY27</t>
        </is>
      </c>
      <c r="F32" s="27" t="inlineStr">
        <is>
          <t>Approved case</t>
        </is>
      </c>
      <c r="G32" s="27" t="inlineStr">
        <is>
          <t>Decision status</t>
        </is>
      </c>
      <c r="H32" s="46" t="inlineStr"/>
      <c r="I32" s="27" t="inlineStr">
        <is>
          <t>Mandatory</t>
        </is>
      </c>
      <c r="J32" s="27" t="inlineStr">
        <is>
          <t>classification</t>
        </is>
      </c>
      <c r="K32" s="27" t="inlineStr">
        <is>
          <t>Finance operating schedule</t>
        </is>
      </c>
      <c r="L32" s="47" t="inlineStr">
        <is>
          <t>2026-06-30</t>
        </is>
      </c>
      <c r="M32" s="27" t="inlineStr"/>
    </row>
    <row r="33">
      <c r="A33" s="36" t="inlineStr">
        <is>
          <t>CAP-00427</t>
        </is>
      </c>
      <c r="B33" s="27" t="inlineStr">
        <is>
          <t>Create the FY27 strategic capital-allocation memorandum</t>
        </is>
      </c>
      <c r="C33" s="27" t="inlineStr">
        <is>
          <t>Alternative uses</t>
        </is>
      </c>
      <c r="D33" s="27" t="inlineStr">
        <is>
          <t>Growth capex</t>
        </is>
      </c>
      <c r="E33" s="27" t="inlineStr">
        <is>
          <t>FY27</t>
        </is>
      </c>
      <c r="F33" s="27" t="inlineStr">
        <is>
          <t>Approved case</t>
        </is>
      </c>
      <c r="G33" s="27" t="inlineStr">
        <is>
          <t>Proposed allocation</t>
        </is>
      </c>
      <c r="H33" s="46" t="n">
        <v>3500000</v>
      </c>
      <c r="I33" s="27" t="inlineStr"/>
      <c r="J33" s="27" t="inlineStr">
        <is>
          <t>USD</t>
        </is>
      </c>
      <c r="K33" s="27" t="inlineStr">
        <is>
          <t>Finance operating schedule</t>
        </is>
      </c>
      <c r="L33" s="47" t="inlineStr">
        <is>
          <t>2026-06-30</t>
        </is>
      </c>
      <c r="M33" s="27" t="inlineStr"/>
    </row>
    <row r="34">
      <c r="A34" s="36" t="inlineStr">
        <is>
          <t>CAP-00428</t>
        </is>
      </c>
      <c r="B34" s="27" t="inlineStr">
        <is>
          <t>Create the FY27 strategic capital-allocation memorandum</t>
        </is>
      </c>
      <c r="C34" s="27" t="inlineStr">
        <is>
          <t>Alternative uses</t>
        </is>
      </c>
      <c r="D34" s="27" t="inlineStr">
        <is>
          <t>Growth capex</t>
        </is>
      </c>
      <c r="E34" s="27" t="inlineStr">
        <is>
          <t>FY27</t>
        </is>
      </c>
      <c r="F34" s="27" t="inlineStr">
        <is>
          <t>Approved case</t>
        </is>
      </c>
      <c r="G34" s="27" t="inlineStr">
        <is>
          <t>Estimated value creation</t>
        </is>
      </c>
      <c r="H34" s="46" t="n">
        <v>2450</v>
      </c>
      <c r="I34" s="27" t="inlineStr"/>
      <c r="J34" s="27" t="inlineStr">
        <is>
          <t>USD thousands</t>
        </is>
      </c>
      <c r="K34" s="27" t="inlineStr">
        <is>
          <t>Finance operating schedule</t>
        </is>
      </c>
      <c r="L34" s="47" t="inlineStr">
        <is>
          <t>2026-06-30</t>
        </is>
      </c>
      <c r="M34" s="27" t="inlineStr"/>
    </row>
    <row r="35">
      <c r="A35" s="36" t="inlineStr">
        <is>
          <t>CAP-00429</t>
        </is>
      </c>
      <c r="B35" s="27" t="inlineStr">
        <is>
          <t>Create the FY27 strategic capital-allocation memorandum</t>
        </is>
      </c>
      <c r="C35" s="27" t="inlineStr">
        <is>
          <t>Alternative uses</t>
        </is>
      </c>
      <c r="D35" s="27" t="inlineStr">
        <is>
          <t>Growth capex</t>
        </is>
      </c>
      <c r="E35" s="27" t="inlineStr">
        <is>
          <t>FY27</t>
        </is>
      </c>
      <c r="F35" s="27" t="inlineStr">
        <is>
          <t>Approved case</t>
        </is>
      </c>
      <c r="G35" s="27" t="inlineStr">
        <is>
          <t>Priority</t>
        </is>
      </c>
      <c r="H35" s="46" t="n">
        <v>2</v>
      </c>
      <c r="I35" s="27" t="inlineStr"/>
      <c r="J35" s="27" t="inlineStr">
        <is>
          <t>count</t>
        </is>
      </c>
      <c r="K35" s="27" t="inlineStr">
        <is>
          <t>Finance operating schedule</t>
        </is>
      </c>
      <c r="L35" s="47" t="inlineStr">
        <is>
          <t>2026-06-30</t>
        </is>
      </c>
      <c r="M35" s="27" t="inlineStr"/>
    </row>
    <row r="36">
      <c r="A36" s="36" t="inlineStr">
        <is>
          <t>CAP-00430</t>
        </is>
      </c>
      <c r="B36" s="27" t="inlineStr">
        <is>
          <t>Create the FY27 strategic capital-allocation memorandum</t>
        </is>
      </c>
      <c r="C36" s="27" t="inlineStr">
        <is>
          <t>Alternative uses</t>
        </is>
      </c>
      <c r="D36" s="27" t="inlineStr">
        <is>
          <t>Growth capex</t>
        </is>
      </c>
      <c r="E36" s="27" t="inlineStr">
        <is>
          <t>FY27</t>
        </is>
      </c>
      <c r="F36" s="27" t="inlineStr">
        <is>
          <t>Approved case</t>
        </is>
      </c>
      <c r="G36" s="27" t="inlineStr">
        <is>
          <t>Decision status</t>
        </is>
      </c>
      <c r="H36" s="46" t="inlineStr"/>
      <c r="I36" s="27" t="inlineStr">
        <is>
          <t>Approved</t>
        </is>
      </c>
      <c r="J36" s="27" t="inlineStr">
        <is>
          <t>classification</t>
        </is>
      </c>
      <c r="K36" s="27" t="inlineStr">
        <is>
          <t>Finance operating schedule</t>
        </is>
      </c>
      <c r="L36" s="47" t="inlineStr">
        <is>
          <t>2026-06-30</t>
        </is>
      </c>
      <c r="M36" s="27" t="inlineStr"/>
    </row>
    <row r="37">
      <c r="A37" s="36" t="inlineStr">
        <is>
          <t>CAP-00431</t>
        </is>
      </c>
      <c r="B37" s="27" t="inlineStr">
        <is>
          <t>Create the FY27 strategic capital-allocation memorandum</t>
        </is>
      </c>
      <c r="C37" s="27" t="inlineStr">
        <is>
          <t>Alternative uses</t>
        </is>
      </c>
      <c r="D37" s="27" t="inlineStr">
        <is>
          <t>Debt reduction</t>
        </is>
      </c>
      <c r="E37" s="27" t="inlineStr">
        <is>
          <t>FY27</t>
        </is>
      </c>
      <c r="F37" s="27" t="inlineStr">
        <is>
          <t>Approved case</t>
        </is>
      </c>
      <c r="G37" s="27" t="inlineStr">
        <is>
          <t>Proposed allocation</t>
        </is>
      </c>
      <c r="H37" s="46" t="n">
        <v>4000000</v>
      </c>
      <c r="I37" s="27" t="inlineStr"/>
      <c r="J37" s="27" t="inlineStr">
        <is>
          <t>USD</t>
        </is>
      </c>
      <c r="K37" s="27" t="inlineStr">
        <is>
          <t>Finance operating schedule</t>
        </is>
      </c>
      <c r="L37" s="47" t="inlineStr">
        <is>
          <t>2026-06-30</t>
        </is>
      </c>
      <c r="M37" s="27" t="inlineStr"/>
    </row>
    <row r="38">
      <c r="A38" s="36" t="inlineStr">
        <is>
          <t>CAP-00432</t>
        </is>
      </c>
      <c r="B38" s="27" t="inlineStr">
        <is>
          <t>Create the FY27 strategic capital-allocation memorandum</t>
        </is>
      </c>
      <c r="C38" s="27" t="inlineStr">
        <is>
          <t>Alternative uses</t>
        </is>
      </c>
      <c r="D38" s="27" t="inlineStr">
        <is>
          <t>Debt reduction</t>
        </is>
      </c>
      <c r="E38" s="27" t="inlineStr">
        <is>
          <t>FY27</t>
        </is>
      </c>
      <c r="F38" s="27" t="inlineStr">
        <is>
          <t>Approved case</t>
        </is>
      </c>
      <c r="G38" s="27" t="inlineStr">
        <is>
          <t>Estimated value creation</t>
        </is>
      </c>
      <c r="H38" s="46" t="n">
        <v>900</v>
      </c>
      <c r="I38" s="27" t="inlineStr"/>
      <c r="J38" s="27" t="inlineStr">
        <is>
          <t>USD thousands</t>
        </is>
      </c>
      <c r="K38" s="27" t="inlineStr">
        <is>
          <t>Finance operating schedule</t>
        </is>
      </c>
      <c r="L38" s="47" t="inlineStr">
        <is>
          <t>2026-06-30</t>
        </is>
      </c>
      <c r="M38" s="27" t="inlineStr"/>
    </row>
    <row r="39">
      <c r="A39" s="36" t="inlineStr">
        <is>
          <t>CAP-00433</t>
        </is>
      </c>
      <c r="B39" s="27" t="inlineStr">
        <is>
          <t>Create the FY27 strategic capital-allocation memorandum</t>
        </is>
      </c>
      <c r="C39" s="27" t="inlineStr">
        <is>
          <t>Alternative uses</t>
        </is>
      </c>
      <c r="D39" s="27" t="inlineStr">
        <is>
          <t>Debt reduction</t>
        </is>
      </c>
      <c r="E39" s="27" t="inlineStr">
        <is>
          <t>FY27</t>
        </is>
      </c>
      <c r="F39" s="27" t="inlineStr">
        <is>
          <t>Approved case</t>
        </is>
      </c>
      <c r="G39" s="27" t="inlineStr">
        <is>
          <t>Priority</t>
        </is>
      </c>
      <c r="H39" s="46" t="n">
        <v>3</v>
      </c>
      <c r="I39" s="27" t="inlineStr"/>
      <c r="J39" s="27" t="inlineStr">
        <is>
          <t>count</t>
        </is>
      </c>
      <c r="K39" s="27" t="inlineStr">
        <is>
          <t>Finance operating schedule</t>
        </is>
      </c>
      <c r="L39" s="47" t="inlineStr">
        <is>
          <t>2026-06-30</t>
        </is>
      </c>
      <c r="M39" s="27" t="inlineStr"/>
    </row>
    <row r="40">
      <c r="A40" s="36" t="inlineStr">
        <is>
          <t>CAP-00434</t>
        </is>
      </c>
      <c r="B40" s="27" t="inlineStr">
        <is>
          <t>Create the FY27 strategic capital-allocation memorandum</t>
        </is>
      </c>
      <c r="C40" s="27" t="inlineStr">
        <is>
          <t>Alternative uses</t>
        </is>
      </c>
      <c r="D40" s="27" t="inlineStr">
        <is>
          <t>Debt reduction</t>
        </is>
      </c>
      <c r="E40" s="27" t="inlineStr">
        <is>
          <t>FY27</t>
        </is>
      </c>
      <c r="F40" s="27" t="inlineStr">
        <is>
          <t>Approved case</t>
        </is>
      </c>
      <c r="G40" s="27" t="inlineStr">
        <is>
          <t>Decision status</t>
        </is>
      </c>
      <c r="H40" s="46" t="inlineStr"/>
      <c r="I40" s="27" t="inlineStr">
        <is>
          <t>Approved</t>
        </is>
      </c>
      <c r="J40" s="27" t="inlineStr">
        <is>
          <t>classification</t>
        </is>
      </c>
      <c r="K40" s="27" t="inlineStr">
        <is>
          <t>Finance operating schedule</t>
        </is>
      </c>
      <c r="L40" s="47" t="inlineStr">
        <is>
          <t>2026-06-30</t>
        </is>
      </c>
      <c r="M40" s="27" t="inlineStr"/>
    </row>
    <row r="41">
      <c r="A41" s="36" t="inlineStr">
        <is>
          <t>CAP-00435</t>
        </is>
      </c>
      <c r="B41" s="27" t="inlineStr">
        <is>
          <t>Create the FY27 strategic capital-allocation memorandum</t>
        </is>
      </c>
      <c r="C41" s="27" t="inlineStr">
        <is>
          <t>Alternative uses</t>
        </is>
      </c>
      <c r="D41" s="27" t="inlineStr">
        <is>
          <t>Acquisition capacity</t>
        </is>
      </c>
      <c r="E41" s="27" t="inlineStr">
        <is>
          <t>FY27</t>
        </is>
      </c>
      <c r="F41" s="27" t="inlineStr">
        <is>
          <t>Approved case</t>
        </is>
      </c>
      <c r="G41" s="27" t="inlineStr">
        <is>
          <t>Proposed allocation</t>
        </is>
      </c>
      <c r="H41" s="46" t="n">
        <v>2500000</v>
      </c>
      <c r="I41" s="27" t="inlineStr"/>
      <c r="J41" s="27" t="inlineStr">
        <is>
          <t>USD</t>
        </is>
      </c>
      <c r="K41" s="27" t="inlineStr">
        <is>
          <t>Finance operating schedule</t>
        </is>
      </c>
      <c r="L41" s="47" t="inlineStr">
        <is>
          <t>2026-06-30</t>
        </is>
      </c>
      <c r="M41" s="27" t="inlineStr"/>
    </row>
    <row r="42">
      <c r="A42" s="36" t="inlineStr">
        <is>
          <t>CAP-00436</t>
        </is>
      </c>
      <c r="B42" s="27" t="inlineStr">
        <is>
          <t>Create the FY27 strategic capital-allocation memorandum</t>
        </is>
      </c>
      <c r="C42" s="27" t="inlineStr">
        <is>
          <t>Alternative uses</t>
        </is>
      </c>
      <c r="D42" s="27" t="inlineStr">
        <is>
          <t>Acquisition capacity</t>
        </is>
      </c>
      <c r="E42" s="27" t="inlineStr">
        <is>
          <t>FY27</t>
        </is>
      </c>
      <c r="F42" s="27" t="inlineStr">
        <is>
          <t>Approved case</t>
        </is>
      </c>
      <c r="G42" s="27" t="inlineStr">
        <is>
          <t>Estimated value creation</t>
        </is>
      </c>
      <c r="H42" s="46" t="n">
        <v>2900</v>
      </c>
      <c r="I42" s="27" t="inlineStr"/>
      <c r="J42" s="27" t="inlineStr">
        <is>
          <t>USD thousands</t>
        </is>
      </c>
      <c r="K42" s="27" t="inlineStr">
        <is>
          <t>Finance operating schedule</t>
        </is>
      </c>
      <c r="L42" s="47" t="inlineStr">
        <is>
          <t>2026-06-30</t>
        </is>
      </c>
      <c r="M42" s="27" t="inlineStr"/>
    </row>
    <row r="43">
      <c r="A43" s="36" t="inlineStr">
        <is>
          <t>CAP-00437</t>
        </is>
      </c>
      <c r="B43" s="27" t="inlineStr">
        <is>
          <t>Create the FY27 strategic capital-allocation memorandum</t>
        </is>
      </c>
      <c r="C43" s="27" t="inlineStr">
        <is>
          <t>Alternative uses</t>
        </is>
      </c>
      <c r="D43" s="27" t="inlineStr">
        <is>
          <t>Acquisition capacity</t>
        </is>
      </c>
      <c r="E43" s="27" t="inlineStr">
        <is>
          <t>FY27</t>
        </is>
      </c>
      <c r="F43" s="27" t="inlineStr">
        <is>
          <t>Approved case</t>
        </is>
      </c>
      <c r="G43" s="27" t="inlineStr">
        <is>
          <t>Priority</t>
        </is>
      </c>
      <c r="H43" s="46" t="n">
        <v>4</v>
      </c>
      <c r="I43" s="27" t="inlineStr"/>
      <c r="J43" s="27" t="inlineStr">
        <is>
          <t>count</t>
        </is>
      </c>
      <c r="K43" s="27" t="inlineStr">
        <is>
          <t>Finance operating schedule</t>
        </is>
      </c>
      <c r="L43" s="47" t="inlineStr">
        <is>
          <t>2026-06-30</t>
        </is>
      </c>
      <c r="M43" s="27" t="inlineStr"/>
    </row>
    <row r="44">
      <c r="A44" s="36" t="inlineStr">
        <is>
          <t>CAP-00438</t>
        </is>
      </c>
      <c r="B44" s="27" t="inlineStr">
        <is>
          <t>Create the FY27 strategic capital-allocation memorandum</t>
        </is>
      </c>
      <c r="C44" s="27" t="inlineStr">
        <is>
          <t>Alternative uses</t>
        </is>
      </c>
      <c r="D44" s="27" t="inlineStr">
        <is>
          <t>Acquisition capacity</t>
        </is>
      </c>
      <c r="E44" s="27" t="inlineStr">
        <is>
          <t>FY27</t>
        </is>
      </c>
      <c r="F44" s="27" t="inlineStr">
        <is>
          <t>Approved case</t>
        </is>
      </c>
      <c r="G44" s="27" t="inlineStr">
        <is>
          <t>Decision status</t>
        </is>
      </c>
      <c r="H44" s="46" t="inlineStr"/>
      <c r="I44" s="27" t="inlineStr">
        <is>
          <t>Conditional</t>
        </is>
      </c>
      <c r="J44" s="27" t="inlineStr">
        <is>
          <t>classification</t>
        </is>
      </c>
      <c r="K44" s="27" t="inlineStr">
        <is>
          <t>Finance operating schedule</t>
        </is>
      </c>
      <c r="L44" s="47" t="inlineStr">
        <is>
          <t>2026-06-30</t>
        </is>
      </c>
      <c r="M44" s="27" t="inlineStr"/>
    </row>
    <row r="45">
      <c r="A45" s="36" t="inlineStr">
        <is>
          <t>CAP-00439</t>
        </is>
      </c>
      <c r="B45" s="27" t="inlineStr">
        <is>
          <t>Create the FY27 strategic capital-allocation memorandum</t>
        </is>
      </c>
      <c r="C45" s="27" t="inlineStr">
        <is>
          <t>Alternative uses</t>
        </is>
      </c>
      <c r="D45" s="27" t="inlineStr">
        <is>
          <t>Shareholder distribution</t>
        </is>
      </c>
      <c r="E45" s="27" t="inlineStr">
        <is>
          <t>FY27</t>
        </is>
      </c>
      <c r="F45" s="27" t="inlineStr">
        <is>
          <t>Approved case</t>
        </is>
      </c>
      <c r="G45" s="27" t="inlineStr">
        <is>
          <t>Proposed allocation</t>
        </is>
      </c>
      <c r="H45" s="46" t="n">
        <v>1000000</v>
      </c>
      <c r="I45" s="27" t="inlineStr"/>
      <c r="J45" s="27" t="inlineStr">
        <is>
          <t>USD</t>
        </is>
      </c>
      <c r="K45" s="27" t="inlineStr">
        <is>
          <t>Finance operating schedule</t>
        </is>
      </c>
      <c r="L45" s="47" t="inlineStr">
        <is>
          <t>2026-06-30</t>
        </is>
      </c>
      <c r="M45" s="27" t="inlineStr"/>
    </row>
    <row r="46">
      <c r="A46" s="36" t="inlineStr">
        <is>
          <t>CAP-00440</t>
        </is>
      </c>
      <c r="B46" s="27" t="inlineStr">
        <is>
          <t>Create the FY27 strategic capital-allocation memorandum</t>
        </is>
      </c>
      <c r="C46" s="27" t="inlineStr">
        <is>
          <t>Alternative uses</t>
        </is>
      </c>
      <c r="D46" s="27" t="inlineStr">
        <is>
          <t>Shareholder distribution</t>
        </is>
      </c>
      <c r="E46" s="27" t="inlineStr">
        <is>
          <t>FY27</t>
        </is>
      </c>
      <c r="F46" s="27" t="inlineStr">
        <is>
          <t>Approved case</t>
        </is>
      </c>
      <c r="G46" s="27" t="inlineStr">
        <is>
          <t>Estimated value creation</t>
        </is>
      </c>
      <c r="H46" s="46" t="n">
        <v>0</v>
      </c>
      <c r="I46" s="27" t="inlineStr"/>
      <c r="J46" s="27" t="inlineStr">
        <is>
          <t>USD</t>
        </is>
      </c>
      <c r="K46" s="27" t="inlineStr">
        <is>
          <t>Finance operating schedule</t>
        </is>
      </c>
      <c r="L46" s="47" t="inlineStr">
        <is>
          <t>2026-06-30</t>
        </is>
      </c>
      <c r="M46" s="27" t="inlineStr"/>
    </row>
    <row r="47">
      <c r="A47" s="36" t="inlineStr">
        <is>
          <t>CAP-00441</t>
        </is>
      </c>
      <c r="B47" s="27" t="inlineStr">
        <is>
          <t>Create the FY27 strategic capital-allocation memorandum</t>
        </is>
      </c>
      <c r="C47" s="27" t="inlineStr">
        <is>
          <t>Alternative uses</t>
        </is>
      </c>
      <c r="D47" s="27" t="inlineStr">
        <is>
          <t>Shareholder distribution</t>
        </is>
      </c>
      <c r="E47" s="27" t="inlineStr">
        <is>
          <t>FY27</t>
        </is>
      </c>
      <c r="F47" s="27" t="inlineStr">
        <is>
          <t>Approved case</t>
        </is>
      </c>
      <c r="G47" s="27" t="inlineStr">
        <is>
          <t>Priority</t>
        </is>
      </c>
      <c r="H47" s="46" t="n">
        <v>5</v>
      </c>
      <c r="I47" s="27" t="inlineStr"/>
      <c r="J47" s="27" t="inlineStr">
        <is>
          <t>count</t>
        </is>
      </c>
      <c r="K47" s="27" t="inlineStr">
        <is>
          <t>Finance operating schedule</t>
        </is>
      </c>
      <c r="L47" s="47" t="inlineStr">
        <is>
          <t>2026-06-30</t>
        </is>
      </c>
      <c r="M47" s="27" t="inlineStr"/>
    </row>
    <row r="48">
      <c r="A48" s="36" t="inlineStr">
        <is>
          <t>CAP-00442</t>
        </is>
      </c>
      <c r="B48" s="27" t="inlineStr">
        <is>
          <t>Create the FY27 strategic capital-allocation memorandum</t>
        </is>
      </c>
      <c r="C48" s="27" t="inlineStr">
        <is>
          <t>Alternative uses</t>
        </is>
      </c>
      <c r="D48" s="27" t="inlineStr">
        <is>
          <t>Shareholder distribution</t>
        </is>
      </c>
      <c r="E48" s="27" t="inlineStr">
        <is>
          <t>FY27</t>
        </is>
      </c>
      <c r="F48" s="27" t="inlineStr">
        <is>
          <t>Approved case</t>
        </is>
      </c>
      <c r="G48" s="27" t="inlineStr">
        <is>
          <t>Decision status</t>
        </is>
      </c>
      <c r="H48" s="46" t="inlineStr"/>
      <c r="I48" s="27" t="inlineStr">
        <is>
          <t>Residual</t>
        </is>
      </c>
      <c r="J48" s="27" t="inlineStr">
        <is>
          <t>classification</t>
        </is>
      </c>
      <c r="K48" s="27" t="inlineStr">
        <is>
          <t>Finance operating schedule</t>
        </is>
      </c>
      <c r="L48" s="47" t="inlineStr">
        <is>
          <t>2026-06-30</t>
        </is>
      </c>
      <c r="M48" s="27" t="inlineStr"/>
    </row>
    <row r="49">
      <c r="A49" s="36" t="inlineStr">
        <is>
          <t>CAP-00443</t>
        </is>
      </c>
      <c r="B49" s="27" t="inlineStr">
        <is>
          <t>Create the FY27 strategic capital-allocation memorandum</t>
        </is>
      </c>
      <c r="C49" s="27" t="inlineStr">
        <is>
          <t>Risk cases</t>
        </is>
      </c>
      <c r="D49" s="27" t="inlineStr">
        <is>
          <t>Alder Ridge</t>
        </is>
      </c>
      <c r="E49" s="27" t="inlineStr">
        <is>
          <t>Base</t>
        </is>
      </c>
      <c r="F49" s="27" t="inlineStr">
        <is>
          <t>Approved case</t>
        </is>
      </c>
      <c r="G49" s="27" t="inlineStr">
        <is>
          <t>Ending cash before mitigation</t>
        </is>
      </c>
      <c r="H49" s="46" t="n">
        <v>3100000</v>
      </c>
      <c r="I49" s="27" t="inlineStr"/>
      <c r="J49" s="27" t="inlineStr">
        <is>
          <t>USD</t>
        </is>
      </c>
      <c r="K49" s="27" t="inlineStr">
        <is>
          <t>Finance operating schedule</t>
        </is>
      </c>
      <c r="L49" s="47" t="inlineStr">
        <is>
          <t>2026-06-30</t>
        </is>
      </c>
      <c r="M49" s="27" t="inlineStr"/>
    </row>
    <row r="50">
      <c r="A50" s="36" t="inlineStr">
        <is>
          <t>CAP-00444</t>
        </is>
      </c>
      <c r="B50" s="27" t="inlineStr">
        <is>
          <t>Create the FY27 strategic capital-allocation memorandum</t>
        </is>
      </c>
      <c r="C50" s="27" t="inlineStr">
        <is>
          <t>Risk cases</t>
        </is>
      </c>
      <c r="D50" s="27" t="inlineStr">
        <is>
          <t>Alder Ridge</t>
        </is>
      </c>
      <c r="E50" s="27" t="inlineStr">
        <is>
          <t>Downside</t>
        </is>
      </c>
      <c r="F50" s="27" t="inlineStr">
        <is>
          <t>Approved case</t>
        </is>
      </c>
      <c r="G50" s="27" t="inlineStr">
        <is>
          <t>Ending cash before mitigation</t>
        </is>
      </c>
      <c r="H50" s="46" t="n">
        <v>2420</v>
      </c>
      <c r="I50" s="27" t="inlineStr"/>
      <c r="J50" s="27" t="inlineStr">
        <is>
          <t>USD thousands</t>
        </is>
      </c>
      <c r="K50" s="27" t="inlineStr">
        <is>
          <t>Finance operating schedule</t>
        </is>
      </c>
      <c r="L50" s="47" t="inlineStr">
        <is>
          <t>2026-06-30</t>
        </is>
      </c>
      <c r="M50" s="27" t="inlineStr"/>
    </row>
    <row r="51">
      <c r="A51" s="36" t="inlineStr">
        <is>
          <t>CAP-00445</t>
        </is>
      </c>
      <c r="B51" s="27" t="inlineStr">
        <is>
          <t>Create the FY27 strategic capital-allocation memorandum</t>
        </is>
      </c>
      <c r="C51" s="27" t="inlineStr">
        <is>
          <t>Risk cases</t>
        </is>
      </c>
      <c r="D51" s="27" t="inlineStr">
        <is>
          <t>Alder Ridge</t>
        </is>
      </c>
      <c r="E51" s="27" t="inlineStr">
        <is>
          <t>Severe downside</t>
        </is>
      </c>
      <c r="F51" s="27" t="inlineStr">
        <is>
          <t>Approved case</t>
        </is>
      </c>
      <c r="G51" s="27" t="inlineStr">
        <is>
          <t>Ending cash before mitigation</t>
        </is>
      </c>
      <c r="H51" s="46" t="n">
        <v>1880000</v>
      </c>
      <c r="I51" s="27" t="inlineStr"/>
      <c r="J51" s="27" t="inlineStr">
        <is>
          <t>USD</t>
        </is>
      </c>
      <c r="K51" s="27" t="inlineStr">
        <is>
          <t>Finance operating schedule</t>
        </is>
      </c>
      <c r="L51" s="47" t="inlineStr">
        <is>
          <t>2026-06-30</t>
        </is>
      </c>
      <c r="M51" s="27" t="inlineStr"/>
    </row>
    <row r="52">
      <c r="A52" s="36" t="inlineStr">
        <is>
          <t>CAP-00456</t>
        </is>
      </c>
      <c r="B52" s="27" t="inlineStr">
        <is>
          <t>Repurchase-versus-debt-paydown decision</t>
        </is>
      </c>
      <c r="C52" s="27" t="inlineStr">
        <is>
          <t>Capital return baseline</t>
        </is>
      </c>
      <c r="D52" s="27" t="inlineStr">
        <is>
          <t>Alder Ridge</t>
        </is>
      </c>
      <c r="E52" s="27" t="inlineStr">
        <is>
          <t>2026-06-30</t>
        </is>
      </c>
      <c r="F52" s="27" t="inlineStr">
        <is>
          <t>Approved case</t>
        </is>
      </c>
      <c r="G52" s="27" t="inlineStr">
        <is>
          <t>Posted funded debt</t>
        </is>
      </c>
      <c r="H52" s="46" t="n">
        <v>1</v>
      </c>
      <c r="I52" s="27" t="inlineStr"/>
      <c r="J52" s="27" t="inlineStr">
        <is>
          <t>ledger allocation factor</t>
        </is>
      </c>
      <c r="K52" s="27" t="inlineStr">
        <is>
          <t>Finance operating schedule</t>
        </is>
      </c>
      <c r="L52" s="47" t="inlineStr">
        <is>
          <t>2026-06-30</t>
        </is>
      </c>
      <c r="M52" s="27" t="inlineStr">
        <is>
          <t>Vista ERP balance sheet as of 2026-06-30; accounts 2200, 2210, and 2300</t>
        </is>
      </c>
    </row>
    <row r="53">
      <c r="A53" s="36" t="inlineStr">
        <is>
          <t>CAP-00457</t>
        </is>
      </c>
      <c r="B53" s="27" t="inlineStr">
        <is>
          <t>Repurchase-versus-debt-paydown decision</t>
        </is>
      </c>
      <c r="C53" s="27" t="inlineStr">
        <is>
          <t>Capital return policy</t>
        </is>
      </c>
      <c r="D53" s="27" t="inlineStr">
        <is>
          <t>Alder Ridge</t>
        </is>
      </c>
      <c r="E53" s="27" t="inlineStr">
        <is>
          <t>FY27</t>
        </is>
      </c>
      <c r="F53" s="27" t="inlineStr">
        <is>
          <t>Approved case</t>
        </is>
      </c>
      <c r="G53" s="27" t="inlineStr">
        <is>
          <t>Excess deployable cash</t>
        </is>
      </c>
      <c r="H53" s="46" t="n">
        <v>4200000</v>
      </c>
      <c r="I53" s="27" t="inlineStr"/>
      <c r="J53" s="27" t="inlineStr">
        <is>
          <t>USD</t>
        </is>
      </c>
      <c r="K53" s="27" t="inlineStr">
        <is>
          <t>Finance operating schedule</t>
        </is>
      </c>
      <c r="L53" s="47" t="inlineStr">
        <is>
          <t>2026-06-30</t>
        </is>
      </c>
      <c r="M53" s="27" t="inlineStr"/>
    </row>
    <row r="54">
      <c r="A54" s="36" t="inlineStr">
        <is>
          <t>CAP-00458</t>
        </is>
      </c>
      <c r="B54" s="27" t="inlineStr">
        <is>
          <t>Repurchase-versus-debt-paydown decision</t>
        </is>
      </c>
      <c r="C54" s="27" t="inlineStr">
        <is>
          <t>Capital return policy</t>
        </is>
      </c>
      <c r="D54" s="27" t="inlineStr">
        <is>
          <t>Alder Ridge</t>
        </is>
      </c>
      <c r="E54" s="27" t="inlineStr">
        <is>
          <t>FY27</t>
        </is>
      </c>
      <c r="F54" s="27" t="inlineStr">
        <is>
          <t>Approved case</t>
        </is>
      </c>
      <c r="G54" s="27" t="inlineStr">
        <is>
          <t>Share price</t>
        </is>
      </c>
      <c r="H54" s="46" t="n">
        <v>18.75</v>
      </c>
      <c r="I54" s="27" t="inlineStr"/>
      <c r="J54" s="27" t="inlineStr">
        <is>
          <t>USD per share</t>
        </is>
      </c>
      <c r="K54" s="27" t="inlineStr">
        <is>
          <t>Finance operating schedule</t>
        </is>
      </c>
      <c r="L54" s="47" t="inlineStr">
        <is>
          <t>2026-06-30</t>
        </is>
      </c>
      <c r="M54" s="27" t="inlineStr"/>
    </row>
    <row r="55">
      <c r="A55" s="36" t="inlineStr">
        <is>
          <t>CAP-00459</t>
        </is>
      </c>
      <c r="B55" s="27" t="inlineStr">
        <is>
          <t>Repurchase-versus-debt-paydown decision</t>
        </is>
      </c>
      <c r="C55" s="27" t="inlineStr">
        <is>
          <t>Capital return policy</t>
        </is>
      </c>
      <c r="D55" s="27" t="inlineStr">
        <is>
          <t>Alder Ridge</t>
        </is>
      </c>
      <c r="E55" s="27" t="inlineStr">
        <is>
          <t>FY27</t>
        </is>
      </c>
      <c r="F55" s="27" t="inlineStr">
        <is>
          <t>Approved case</t>
        </is>
      </c>
      <c r="G55" s="27" t="inlineStr">
        <is>
          <t>Diluted shares</t>
        </is>
      </c>
      <c r="H55" s="46" t="n">
        <v>4500000</v>
      </c>
      <c r="I55" s="27" t="inlineStr"/>
      <c r="J55" s="27" t="inlineStr">
        <is>
          <t>shares</t>
        </is>
      </c>
      <c r="K55" s="27" t="inlineStr">
        <is>
          <t>Finance operating schedule</t>
        </is>
      </c>
      <c r="L55" s="47" t="inlineStr">
        <is>
          <t>2026-06-30</t>
        </is>
      </c>
      <c r="M55" s="27" t="inlineStr"/>
    </row>
    <row r="56">
      <c r="A56" s="36" t="inlineStr">
        <is>
          <t>CAP-00460</t>
        </is>
      </c>
      <c r="B56" s="27" t="inlineStr">
        <is>
          <t>Repurchase-versus-debt-paydown decision</t>
        </is>
      </c>
      <c r="C56" s="27" t="inlineStr">
        <is>
          <t>Capital return policy</t>
        </is>
      </c>
      <c r="D56" s="27" t="inlineStr">
        <is>
          <t>Alder Ridge</t>
        </is>
      </c>
      <c r="E56" s="27" t="inlineStr">
        <is>
          <t>FY27</t>
        </is>
      </c>
      <c r="F56" s="27" t="inlineStr">
        <is>
          <t>Approved case</t>
        </is>
      </c>
      <c r="G56" s="27" t="inlineStr">
        <is>
          <t>Net income before allocation</t>
        </is>
      </c>
      <c r="H56" s="46" t="n">
        <v>8250000</v>
      </c>
      <c r="I56" s="27" t="inlineStr"/>
      <c r="J56" s="27" t="inlineStr">
        <is>
          <t>USD</t>
        </is>
      </c>
      <c r="K56" s="27" t="inlineStr">
        <is>
          <t>Finance operating schedule</t>
        </is>
      </c>
      <c r="L56" s="47" t="inlineStr">
        <is>
          <t>2026-06-30</t>
        </is>
      </c>
      <c r="M56" s="27" t="inlineStr"/>
    </row>
    <row r="57">
      <c r="A57" s="36" t="inlineStr">
        <is>
          <t>CAP-00461</t>
        </is>
      </c>
      <c r="B57" s="27" t="inlineStr">
        <is>
          <t>Repurchase-versus-debt-paydown decision</t>
        </is>
      </c>
      <c r="C57" s="27" t="inlineStr">
        <is>
          <t>Capital return policy</t>
        </is>
      </c>
      <c r="D57" s="27" t="inlineStr">
        <is>
          <t>Alder Ridge</t>
        </is>
      </c>
      <c r="E57" s="27" t="inlineStr">
        <is>
          <t>FY27</t>
        </is>
      </c>
      <c r="F57" s="27" t="inlineStr">
        <is>
          <t>Approved case</t>
        </is>
      </c>
      <c r="G57" s="27" t="inlineStr">
        <is>
          <t>Debt interest rate</t>
        </is>
      </c>
      <c r="H57" s="46" t="n">
        <v>0.078</v>
      </c>
      <c r="I57" s="27" t="inlineStr"/>
      <c r="J57" s="27" t="inlineStr">
        <is>
          <t>decimal ratio</t>
        </is>
      </c>
      <c r="K57" s="27" t="inlineStr">
        <is>
          <t>Finance operating schedule</t>
        </is>
      </c>
      <c r="L57" s="47" t="inlineStr">
        <is>
          <t>2026-06-30</t>
        </is>
      </c>
      <c r="M57" s="27" t="inlineStr"/>
    </row>
    <row r="58">
      <c r="A58" s="36" t="inlineStr">
        <is>
          <t>CAP-00462</t>
        </is>
      </c>
      <c r="B58" s="27" t="inlineStr">
        <is>
          <t>Repurchase-versus-debt-paydown decision</t>
        </is>
      </c>
      <c r="C58" s="27" t="inlineStr">
        <is>
          <t>Capital return policy</t>
        </is>
      </c>
      <c r="D58" s="27" t="inlineStr">
        <is>
          <t>Alder Ridge</t>
        </is>
      </c>
      <c r="E58" s="27" t="inlineStr">
        <is>
          <t>FY27</t>
        </is>
      </c>
      <c r="F58" s="27" t="inlineStr">
        <is>
          <t>Approved case</t>
        </is>
      </c>
      <c r="G58" s="27" t="inlineStr">
        <is>
          <t>Cash yield</t>
        </is>
      </c>
      <c r="H58" s="46" t="n">
        <v>0.042</v>
      </c>
      <c r="I58" s="27" t="inlineStr"/>
      <c r="J58" s="27" t="inlineStr">
        <is>
          <t>decimal ratio</t>
        </is>
      </c>
      <c r="K58" s="27" t="inlineStr">
        <is>
          <t>Finance operating schedule</t>
        </is>
      </c>
      <c r="L58" s="47" t="inlineStr">
        <is>
          <t>2026-06-30</t>
        </is>
      </c>
      <c r="M58" s="27" t="inlineStr"/>
    </row>
    <row r="59">
      <c r="A59" s="36" t="inlineStr">
        <is>
          <t>CAP-00463</t>
        </is>
      </c>
      <c r="B59" s="27" t="inlineStr">
        <is>
          <t>Repurchase-versus-debt-paydown decision</t>
        </is>
      </c>
      <c r="C59" s="27" t="inlineStr">
        <is>
          <t>Capital return policy</t>
        </is>
      </c>
      <c r="D59" s="27" t="inlineStr">
        <is>
          <t>Alder Ridge</t>
        </is>
      </c>
      <c r="E59" s="27" t="inlineStr">
        <is>
          <t>FY27</t>
        </is>
      </c>
      <c r="F59" s="27" t="inlineStr">
        <is>
          <t>Approved case</t>
        </is>
      </c>
      <c r="G59" s="27" t="inlineStr">
        <is>
          <t>Tax rate</t>
        </is>
      </c>
      <c r="H59" s="46" t="n">
        <v>0.26</v>
      </c>
      <c r="I59" s="27" t="inlineStr"/>
      <c r="J59" s="27" t="inlineStr">
        <is>
          <t>decimal ratio</t>
        </is>
      </c>
      <c r="K59" s="27" t="inlineStr">
        <is>
          <t>Finance operating schedule</t>
        </is>
      </c>
      <c r="L59" s="47" t="inlineStr">
        <is>
          <t>2026-06-30</t>
        </is>
      </c>
      <c r="M59" s="27" t="inlineStr"/>
    </row>
    <row r="60">
      <c r="A60" s="36" t="inlineStr">
        <is>
          <t>CAP-00464</t>
        </is>
      </c>
      <c r="B60" s="27" t="inlineStr">
        <is>
          <t>Repurchase-versus-debt-paydown decision</t>
        </is>
      </c>
      <c r="C60" s="27" t="inlineStr">
        <is>
          <t>Capital return policy</t>
        </is>
      </c>
      <c r="D60" s="27" t="inlineStr">
        <is>
          <t>Alder Ridge</t>
        </is>
      </c>
      <c r="E60" s="27" t="inlineStr">
        <is>
          <t>FY27</t>
        </is>
      </c>
      <c r="F60" s="27" t="inlineStr">
        <is>
          <t>Approved case</t>
        </is>
      </c>
      <c r="G60" s="27" t="inlineStr">
        <is>
          <t>Maximum repurchase percent of volume</t>
        </is>
      </c>
      <c r="H60" s="46" t="n">
        <v>0.004</v>
      </c>
      <c r="I60" s="27" t="inlineStr"/>
      <c r="J60" s="27" t="inlineStr">
        <is>
          <t>decimal ratio</t>
        </is>
      </c>
      <c r="K60" s="27" t="inlineStr">
        <is>
          <t>Finance operating schedule</t>
        </is>
      </c>
      <c r="L60" s="47" t="inlineStr">
        <is>
          <t>2026-06-30</t>
        </is>
      </c>
      <c r="M60" s="27" t="inlineStr"/>
    </row>
    <row r="61">
      <c r="A61" s="36" t="inlineStr">
        <is>
          <t>CAP-00465</t>
        </is>
      </c>
      <c r="B61" s="27" t="inlineStr">
        <is>
          <t>Repurchase-versus-debt-paydown decision</t>
        </is>
      </c>
      <c r="C61" s="27" t="inlineStr">
        <is>
          <t>Capital return policy</t>
        </is>
      </c>
      <c r="D61" s="27" t="inlineStr">
        <is>
          <t>Alder Ridge</t>
        </is>
      </c>
      <c r="E61" s="27" t="inlineStr">
        <is>
          <t>FY27</t>
        </is>
      </c>
      <c r="F61" s="27" t="inlineStr">
        <is>
          <t>Approved case</t>
        </is>
      </c>
      <c r="G61" s="27" t="inlineStr">
        <is>
          <t>Expected annual trading volume</t>
        </is>
      </c>
      <c r="H61" s="46" t="n">
        <v>28000000</v>
      </c>
      <c r="I61" s="27" t="inlineStr"/>
      <c r="J61" s="27" t="inlineStr">
        <is>
          <t>shares</t>
        </is>
      </c>
      <c r="K61" s="27" t="inlineStr">
        <is>
          <t>Finance operating schedule</t>
        </is>
      </c>
      <c r="L61" s="47" t="inlineStr">
        <is>
          <t>2026-06-30</t>
        </is>
      </c>
      <c r="M61" s="27" t="inlineStr"/>
    </row>
    <row r="62">
      <c r="A62" s="36" t="inlineStr">
        <is>
          <t>CAP-00466</t>
        </is>
      </c>
      <c r="B62" s="27" t="inlineStr">
        <is>
          <t>Repurchase-versus-debt-paydown decision</t>
        </is>
      </c>
      <c r="C62" s="27" t="inlineStr">
        <is>
          <t>Capital return policy</t>
        </is>
      </c>
      <c r="D62" s="27" t="inlineStr">
        <is>
          <t>Alder Ridge</t>
        </is>
      </c>
      <c r="E62" s="27" t="inlineStr">
        <is>
          <t>FY27</t>
        </is>
      </c>
      <c r="F62" s="27" t="inlineStr">
        <is>
          <t>Approved case</t>
        </is>
      </c>
      <c r="G62" s="27" t="inlineStr">
        <is>
          <t>Minimum ending cash reserve</t>
        </is>
      </c>
      <c r="H62" s="46" t="n">
        <v>2250000</v>
      </c>
      <c r="I62" s="27" t="inlineStr"/>
      <c r="J62" s="27" t="inlineStr">
        <is>
          <t>USD</t>
        </is>
      </c>
      <c r="K62" s="27" t="inlineStr">
        <is>
          <t>Finance operating schedule</t>
        </is>
      </c>
      <c r="L62" s="47" t="inlineStr">
        <is>
          <t>2026-06-30</t>
        </is>
      </c>
      <c r="M62" s="27" t="inlineStr"/>
    </row>
    <row r="63">
      <c r="A63" s="36" t="inlineStr">
        <is>
          <t>CAP-00467</t>
        </is>
      </c>
      <c r="B63" s="27" t="inlineStr">
        <is>
          <t>Repurchase-versus-debt-paydown decision</t>
        </is>
      </c>
      <c r="C63" s="27" t="inlineStr">
        <is>
          <t>Capital return policy</t>
        </is>
      </c>
      <c r="D63" s="27" t="inlineStr">
        <is>
          <t>Alder Ridge</t>
        </is>
      </c>
      <c r="E63" s="27" t="inlineStr">
        <is>
          <t>FY27</t>
        </is>
      </c>
      <c r="F63" s="27" t="inlineStr">
        <is>
          <t>Approved case</t>
        </is>
      </c>
      <c r="G63" s="27" t="inlineStr">
        <is>
          <t>Opening unrestricted cash</t>
        </is>
      </c>
      <c r="H63" s="46" t="n">
        <v>6450</v>
      </c>
      <c r="I63" s="27" t="inlineStr"/>
      <c r="J63" s="27" t="inlineStr">
        <is>
          <t>USD thousands</t>
        </is>
      </c>
      <c r="K63" s="27" t="inlineStr">
        <is>
          <t>Finance operating schedule</t>
        </is>
      </c>
      <c r="L63" s="47" t="inlineStr">
        <is>
          <t>2026-06-30</t>
        </is>
      </c>
      <c r="M63" s="27" t="inlineStr"/>
    </row>
    <row r="64">
      <c r="A64" s="36" t="inlineStr">
        <is>
          <t>CAP-00468</t>
        </is>
      </c>
      <c r="B64" s="27" t="inlineStr">
        <is>
          <t>Repurchase-versus-debt-paydown decision</t>
        </is>
      </c>
      <c r="C64" s="27" t="inlineStr">
        <is>
          <t>Capital return policy</t>
        </is>
      </c>
      <c r="D64" s="27" t="inlineStr">
        <is>
          <t>Alder Ridge</t>
        </is>
      </c>
      <c r="E64" s="27" t="inlineStr">
        <is>
          <t>FY27</t>
        </is>
      </c>
      <c r="F64" s="27" t="inlineStr">
        <is>
          <t>Approved case</t>
        </is>
      </c>
      <c r="G64" s="27" t="inlineStr">
        <is>
          <t>Minimum EPS accretion</t>
        </is>
      </c>
      <c r="H64" s="46" t="n">
        <v>0.01</v>
      </c>
      <c r="I64" s="27" t="inlineStr"/>
      <c r="J64" s="27" t="inlineStr">
        <is>
          <t>decimal ratio</t>
        </is>
      </c>
      <c r="K64" s="27" t="inlineStr">
        <is>
          <t>Finance operating schedule</t>
        </is>
      </c>
      <c r="L64" s="47" t="inlineStr">
        <is>
          <t>2026-06-30</t>
        </is>
      </c>
      <c r="M64" s="27" t="inlineStr"/>
    </row>
    <row r="65">
      <c r="A65" s="36" t="inlineStr">
        <is>
          <t>CAP-00469</t>
        </is>
      </c>
      <c r="B65" s="27" t="inlineStr">
        <is>
          <t>Repurchase-versus-debt-paydown decision</t>
        </is>
      </c>
      <c r="C65" s="27" t="inlineStr">
        <is>
          <t>Capital return policy</t>
        </is>
      </c>
      <c r="D65" s="27" t="inlineStr">
        <is>
          <t>Alder Ridge</t>
        </is>
      </c>
      <c r="E65" s="27" t="inlineStr">
        <is>
          <t>FY27</t>
        </is>
      </c>
      <c r="F65" s="27" t="inlineStr">
        <is>
          <t>Approved case</t>
        </is>
      </c>
      <c r="G65" s="27" t="inlineStr">
        <is>
          <t>Maximum gross leverage</t>
        </is>
      </c>
      <c r="H65" s="46" t="n">
        <v>1.5</v>
      </c>
      <c r="I65" s="27" t="inlineStr"/>
      <c r="J65" s="27" t="inlineStr">
        <is>
          <t>multiple</t>
        </is>
      </c>
      <c r="K65" s="27" t="inlineStr">
        <is>
          <t>Finance operating schedule</t>
        </is>
      </c>
      <c r="L65" s="47" t="inlineStr">
        <is>
          <t>2026-06-30</t>
        </is>
      </c>
      <c r="M65" s="27" t="inlineStr"/>
    </row>
    <row r="66">
      <c r="A66" s="36" t="inlineStr">
        <is>
          <t>CAP-00470</t>
        </is>
      </c>
      <c r="B66" s="27" t="inlineStr">
        <is>
          <t>Repurchase-versus-debt-paydown decision</t>
        </is>
      </c>
      <c r="C66" s="27" t="inlineStr">
        <is>
          <t>Capital return policy</t>
        </is>
      </c>
      <c r="D66" s="27" t="inlineStr">
        <is>
          <t>Alder Ridge</t>
        </is>
      </c>
      <c r="E66" s="27" t="inlineStr">
        <is>
          <t>FY27</t>
        </is>
      </c>
      <c r="F66" s="27" t="inlineStr">
        <is>
          <t>Approved case</t>
        </is>
      </c>
      <c r="G66" s="27" t="inlineStr">
        <is>
          <t>Covenant EBITDA</t>
        </is>
      </c>
      <c r="H66" s="46" t="n">
        <v>5500000</v>
      </c>
      <c r="I66" s="27" t="inlineStr"/>
      <c r="J66" s="27" t="inlineStr">
        <is>
          <t>USD</t>
        </is>
      </c>
      <c r="K66" s="27" t="inlineStr">
        <is>
          <t>Finance operating schedule</t>
        </is>
      </c>
      <c r="L66" s="47" t="inlineStr">
        <is>
          <t>2026-06-30</t>
        </is>
      </c>
      <c r="M66" s="27" t="inlineStr"/>
    </row>
    <row r="67">
      <c r="A67" s="36" t="inlineStr">
        <is>
          <t>CAP-00471</t>
        </is>
      </c>
      <c r="B67" s="27" t="inlineStr">
        <is>
          <t>Repurchase-versus-debt-paydown decision</t>
        </is>
      </c>
      <c r="C67" s="27" t="inlineStr">
        <is>
          <t>Capital return alternatives</t>
        </is>
      </c>
      <c r="D67" s="27" t="inlineStr">
        <is>
          <t>Debt paydown</t>
        </is>
      </c>
      <c r="E67" s="27" t="inlineStr">
        <is>
          <t>FY27</t>
        </is>
      </c>
      <c r="F67" s="27" t="inlineStr">
        <is>
          <t>Approved case</t>
        </is>
      </c>
      <c r="G67" s="27" t="inlineStr">
        <is>
          <t>Debt paydown</t>
        </is>
      </c>
      <c r="H67" s="46" t="n">
        <v>2000</v>
      </c>
      <c r="I67" s="27" t="inlineStr"/>
      <c r="J67" s="27" t="inlineStr">
        <is>
          <t>USD thousands</t>
        </is>
      </c>
      <c r="K67" s="27" t="inlineStr">
        <is>
          <t>Finance operating schedule</t>
        </is>
      </c>
      <c r="L67" s="47" t="inlineStr">
        <is>
          <t>2026-06-30</t>
        </is>
      </c>
      <c r="M67" s="27" t="inlineStr"/>
    </row>
    <row r="68">
      <c r="A68" s="36" t="inlineStr">
        <is>
          <t>CAP-00472</t>
        </is>
      </c>
      <c r="B68" s="27" t="inlineStr">
        <is>
          <t>Repurchase-versus-debt-paydown decision</t>
        </is>
      </c>
      <c r="C68" s="27" t="inlineStr">
        <is>
          <t>Capital return alternatives</t>
        </is>
      </c>
      <c r="D68" s="27" t="inlineStr">
        <is>
          <t>Debt paydown</t>
        </is>
      </c>
      <c r="E68" s="27" t="inlineStr">
        <is>
          <t>FY27</t>
        </is>
      </c>
      <c r="F68" s="27" t="inlineStr">
        <is>
          <t>Approved case</t>
        </is>
      </c>
      <c r="G68" s="27" t="inlineStr">
        <is>
          <t>Share repurchase</t>
        </is>
      </c>
      <c r="H68" s="46" t="n">
        <v>0</v>
      </c>
      <c r="I68" s="27" t="inlineStr"/>
      <c r="J68" s="27" t="inlineStr">
        <is>
          <t>USD</t>
        </is>
      </c>
      <c r="K68" s="27" t="inlineStr">
        <is>
          <t>Finance operating schedule</t>
        </is>
      </c>
      <c r="L68" s="47" t="inlineStr">
        <is>
          <t>2026-06-30</t>
        </is>
      </c>
      <c r="M68" s="27" t="inlineStr"/>
    </row>
    <row r="69">
      <c r="A69" s="36" t="inlineStr">
        <is>
          <t>CAP-00473</t>
        </is>
      </c>
      <c r="B69" s="27" t="inlineStr">
        <is>
          <t>Repurchase-versus-debt-paydown decision</t>
        </is>
      </c>
      <c r="C69" s="27" t="inlineStr">
        <is>
          <t>Capital return alternatives</t>
        </is>
      </c>
      <c r="D69" s="27" t="inlineStr">
        <is>
          <t>Share repurchase</t>
        </is>
      </c>
      <c r="E69" s="27" t="inlineStr">
        <is>
          <t>FY27</t>
        </is>
      </c>
      <c r="F69" s="27" t="inlineStr">
        <is>
          <t>Approved case</t>
        </is>
      </c>
      <c r="G69" s="27" t="inlineStr">
        <is>
          <t>Debt paydown</t>
        </is>
      </c>
      <c r="H69" s="46" t="n">
        <v>0</v>
      </c>
      <c r="I69" s="27" t="inlineStr"/>
      <c r="J69" s="27" t="inlineStr">
        <is>
          <t>USD</t>
        </is>
      </c>
      <c r="K69" s="27" t="inlineStr">
        <is>
          <t>Finance operating schedule</t>
        </is>
      </c>
      <c r="L69" s="47" t="inlineStr">
        <is>
          <t>2026-06-30</t>
        </is>
      </c>
      <c r="M69" s="27" t="inlineStr"/>
    </row>
    <row r="70">
      <c r="A70" s="36" t="inlineStr">
        <is>
          <t>CAP-00474</t>
        </is>
      </c>
      <c r="B70" s="27" t="inlineStr">
        <is>
          <t>Repurchase-versus-debt-paydown decision</t>
        </is>
      </c>
      <c r="C70" s="27" t="inlineStr">
        <is>
          <t>Capital return alternatives</t>
        </is>
      </c>
      <c r="D70" s="27" t="inlineStr">
        <is>
          <t>Share repurchase</t>
        </is>
      </c>
      <c r="E70" s="27" t="inlineStr">
        <is>
          <t>FY27</t>
        </is>
      </c>
      <c r="F70" s="27" t="inlineStr">
        <is>
          <t>Approved case</t>
        </is>
      </c>
      <c r="G70" s="27" t="inlineStr">
        <is>
          <t>Share repurchase</t>
        </is>
      </c>
      <c r="H70" s="46" t="n">
        <v>2200000</v>
      </c>
      <c r="I70" s="27" t="inlineStr"/>
      <c r="J70" s="27" t="inlineStr">
        <is>
          <t>USD</t>
        </is>
      </c>
      <c r="K70" s="27" t="inlineStr">
        <is>
          <t>Finance operating schedule</t>
        </is>
      </c>
      <c r="L70" s="47" t="inlineStr">
        <is>
          <t>2026-06-30</t>
        </is>
      </c>
      <c r="M70" s="27" t="inlineStr"/>
    </row>
    <row r="71">
      <c r="A71" s="36" t="inlineStr">
        <is>
          <t>CAP-00475</t>
        </is>
      </c>
      <c r="B71" s="27" t="inlineStr">
        <is>
          <t>Repurchase-versus-debt-paydown decision</t>
        </is>
      </c>
      <c r="C71" s="27" t="inlineStr">
        <is>
          <t>Capital return alternatives</t>
        </is>
      </c>
      <c r="D71" s="27" t="inlineStr">
        <is>
          <t>Balanced</t>
        </is>
      </c>
      <c r="E71" s="27" t="inlineStr">
        <is>
          <t>FY27</t>
        </is>
      </c>
      <c r="F71" s="27" t="inlineStr">
        <is>
          <t>Approved case</t>
        </is>
      </c>
      <c r="G71" s="27" t="inlineStr">
        <is>
          <t>Debt paydown</t>
        </is>
      </c>
      <c r="H71" s="46" t="n">
        <v>1000</v>
      </c>
      <c r="I71" s="27" t="inlineStr"/>
      <c r="J71" s="27" t="inlineStr">
        <is>
          <t>USD thousands</t>
        </is>
      </c>
      <c r="K71" s="27" t="inlineStr">
        <is>
          <t>Finance operating schedule</t>
        </is>
      </c>
      <c r="L71" s="47" t="inlineStr">
        <is>
          <t>2026-06-30</t>
        </is>
      </c>
      <c r="M71" s="27" t="inlineStr"/>
    </row>
    <row r="72">
      <c r="A72" s="36" t="inlineStr">
        <is>
          <t>CAP-00476</t>
        </is>
      </c>
      <c r="B72" s="27" t="inlineStr">
        <is>
          <t>Repurchase-versus-debt-paydown decision</t>
        </is>
      </c>
      <c r="C72" s="27" t="inlineStr">
        <is>
          <t>Capital return alternatives</t>
        </is>
      </c>
      <c r="D72" s="27" t="inlineStr">
        <is>
          <t>Balanced</t>
        </is>
      </c>
      <c r="E72" s="27" t="inlineStr">
        <is>
          <t>FY27</t>
        </is>
      </c>
      <c r="F72" s="27" t="inlineStr">
        <is>
          <t>Approved case</t>
        </is>
      </c>
      <c r="G72" s="27" t="inlineStr">
        <is>
          <t>Share repurchase</t>
        </is>
      </c>
      <c r="H72" s="46" t="n">
        <v>1200000</v>
      </c>
      <c r="I72" s="27" t="inlineStr"/>
      <c r="J72" s="27" t="inlineStr">
        <is>
          <t>USD</t>
        </is>
      </c>
      <c r="K72" s="27" t="inlineStr">
        <is>
          <t>Finance operating schedule</t>
        </is>
      </c>
      <c r="L72" s="47" t="inlineStr">
        <is>
          <t>2026-06-30</t>
        </is>
      </c>
      <c r="M72" s="27" t="inlineStr"/>
    </row>
    <row r="73">
      <c r="A73" s="36" t="inlineStr">
        <is>
          <t>CAP-00489</t>
        </is>
      </c>
      <c r="B73" s="27" t="inlineStr">
        <is>
          <t>Repurchase-versus-debt-paydown decision</t>
        </is>
      </c>
      <c r="C73" s="27" t="inlineStr">
        <is>
          <t>Two-year capital return cadence</t>
        </is>
      </c>
      <c r="D73" s="27" t="inlineStr">
        <is>
          <t>Accelerated deleveraging</t>
        </is>
      </c>
      <c r="E73" s="27" t="inlineStr">
        <is>
          <t>Plan</t>
        </is>
      </c>
      <c r="F73" s="27" t="inlineStr">
        <is>
          <t>Approved case</t>
        </is>
      </c>
      <c r="G73" s="27" t="inlineStr">
        <is>
          <t>FY27 debt paydown</t>
        </is>
      </c>
      <c r="H73" s="46" t="n">
        <v>950000</v>
      </c>
      <c r="I73" s="27" t="inlineStr"/>
      <c r="J73" s="27" t="inlineStr">
        <is>
          <t>USD</t>
        </is>
      </c>
      <c r="K73" s="27" t="inlineStr">
        <is>
          <t>Finance operating schedule</t>
        </is>
      </c>
      <c r="L73" s="47" t="inlineStr">
        <is>
          <t>2026-06-30</t>
        </is>
      </c>
      <c r="M73" s="27" t="inlineStr"/>
    </row>
    <row r="74">
      <c r="A74" s="36" t="inlineStr">
        <is>
          <t>CAP-00490</t>
        </is>
      </c>
      <c r="B74" s="27" t="inlineStr">
        <is>
          <t>Repurchase-versus-debt-paydown decision</t>
        </is>
      </c>
      <c r="C74" s="27" t="inlineStr">
        <is>
          <t>Two-year capital return cadence</t>
        </is>
      </c>
      <c r="D74" s="27" t="inlineStr">
        <is>
          <t>Accelerated deleveraging</t>
        </is>
      </c>
      <c r="E74" s="27" t="inlineStr">
        <is>
          <t>Plan</t>
        </is>
      </c>
      <c r="F74" s="27" t="inlineStr">
        <is>
          <t>Approved case</t>
        </is>
      </c>
      <c r="G74" s="27" t="inlineStr">
        <is>
          <t>FY27 repurchase</t>
        </is>
      </c>
      <c r="H74" s="46" t="n">
        <v>750000</v>
      </c>
      <c r="I74" s="27" t="inlineStr"/>
      <c r="J74" s="27" t="inlineStr">
        <is>
          <t>USD</t>
        </is>
      </c>
      <c r="K74" s="27" t="inlineStr">
        <is>
          <t>Finance operating schedule</t>
        </is>
      </c>
      <c r="L74" s="47" t="inlineStr">
        <is>
          <t>2026-06-30</t>
        </is>
      </c>
      <c r="M74" s="27" t="inlineStr"/>
    </row>
    <row r="75">
      <c r="A75" s="36" t="inlineStr">
        <is>
          <t>CAP-00491</t>
        </is>
      </c>
      <c r="B75" s="27" t="inlineStr">
        <is>
          <t>Repurchase-versus-debt-paydown decision</t>
        </is>
      </c>
      <c r="C75" s="27" t="inlineStr">
        <is>
          <t>Two-year capital return cadence</t>
        </is>
      </c>
      <c r="D75" s="27" t="inlineStr">
        <is>
          <t>Accelerated deleveraging</t>
        </is>
      </c>
      <c r="E75" s="27" t="inlineStr">
        <is>
          <t>Plan</t>
        </is>
      </c>
      <c r="F75" s="27" t="inlineStr">
        <is>
          <t>Approved case</t>
        </is>
      </c>
      <c r="G75" s="27" t="inlineStr">
        <is>
          <t>FY27 dividend</t>
        </is>
      </c>
      <c r="H75" s="46" t="n">
        <v>162000</v>
      </c>
      <c r="I75" s="27" t="inlineStr"/>
      <c r="J75" s="27" t="inlineStr">
        <is>
          <t>USD</t>
        </is>
      </c>
      <c r="K75" s="27" t="inlineStr">
        <is>
          <t>Finance operating schedule</t>
        </is>
      </c>
      <c r="L75" s="47" t="inlineStr">
        <is>
          <t>2026-06-30</t>
        </is>
      </c>
      <c r="M75" s="27" t="inlineStr"/>
    </row>
    <row r="76">
      <c r="A76" s="36" t="inlineStr">
        <is>
          <t>CAP-00492</t>
        </is>
      </c>
      <c r="B76" s="27" t="inlineStr">
        <is>
          <t>Repurchase-versus-debt-paydown decision</t>
        </is>
      </c>
      <c r="C76" s="27" t="inlineStr">
        <is>
          <t>Two-year capital return cadence</t>
        </is>
      </c>
      <c r="D76" s="27" t="inlineStr">
        <is>
          <t>Accelerated deleveraging</t>
        </is>
      </c>
      <c r="E76" s="27" t="inlineStr">
        <is>
          <t>Plan</t>
        </is>
      </c>
      <c r="F76" s="27" t="inlineStr">
        <is>
          <t>Approved case</t>
        </is>
      </c>
      <c r="G76" s="27" t="inlineStr">
        <is>
          <t>FY28 debt paydown</t>
        </is>
      </c>
      <c r="H76" s="46" t="n">
        <v>750</v>
      </c>
      <c r="I76" s="27" t="inlineStr"/>
      <c r="J76" s="27" t="inlineStr">
        <is>
          <t>USD thousands</t>
        </is>
      </c>
      <c r="K76" s="27" t="inlineStr">
        <is>
          <t>Finance operating schedule</t>
        </is>
      </c>
      <c r="L76" s="47" t="inlineStr">
        <is>
          <t>2026-06-30</t>
        </is>
      </c>
      <c r="M76" s="27" t="inlineStr"/>
    </row>
    <row r="77">
      <c r="A77" s="36" t="inlineStr">
        <is>
          <t>CAP-00493</t>
        </is>
      </c>
      <c r="B77" s="27" t="inlineStr">
        <is>
          <t>Repurchase-versus-debt-paydown decision</t>
        </is>
      </c>
      <c r="C77" s="27" t="inlineStr">
        <is>
          <t>Two-year capital return cadence</t>
        </is>
      </c>
      <c r="D77" s="27" t="inlineStr">
        <is>
          <t>Accelerated deleveraging</t>
        </is>
      </c>
      <c r="E77" s="27" t="inlineStr">
        <is>
          <t>Plan</t>
        </is>
      </c>
      <c r="F77" s="27" t="inlineStr">
        <is>
          <t>Approved case</t>
        </is>
      </c>
      <c r="G77" s="27" t="inlineStr">
        <is>
          <t>FY28 repurchase</t>
        </is>
      </c>
      <c r="H77" s="46" t="n">
        <v>1350000</v>
      </c>
      <c r="I77" s="27" t="inlineStr"/>
      <c r="J77" s="27" t="inlineStr">
        <is>
          <t>USD</t>
        </is>
      </c>
      <c r="K77" s="27" t="inlineStr">
        <is>
          <t>Finance operating schedule</t>
        </is>
      </c>
      <c r="L77" s="47" t="inlineStr">
        <is>
          <t>2026-06-30</t>
        </is>
      </c>
      <c r="M77" s="27" t="inlineStr"/>
    </row>
    <row r="78">
      <c r="A78" s="36" t="inlineStr">
        <is>
          <t>CAP-00494</t>
        </is>
      </c>
      <c r="B78" s="27" t="inlineStr">
        <is>
          <t>Repurchase-versus-debt-paydown decision</t>
        </is>
      </c>
      <c r="C78" s="27" t="inlineStr">
        <is>
          <t>Two-year capital return cadence</t>
        </is>
      </c>
      <c r="D78" s="27" t="inlineStr">
        <is>
          <t>Accelerated deleveraging</t>
        </is>
      </c>
      <c r="E78" s="27" t="inlineStr">
        <is>
          <t>Plan</t>
        </is>
      </c>
      <c r="F78" s="27" t="inlineStr">
        <is>
          <t>Approved case</t>
        </is>
      </c>
      <c r="G78" s="27" t="inlineStr">
        <is>
          <t>FY28 dividend</t>
        </is>
      </c>
      <c r="H78" s="46" t="n">
        <v>180000</v>
      </c>
      <c r="I78" s="27" t="inlineStr"/>
      <c r="J78" s="27" t="inlineStr">
        <is>
          <t>USD</t>
        </is>
      </c>
      <c r="K78" s="27" t="inlineStr">
        <is>
          <t>Finance operating schedule</t>
        </is>
      </c>
      <c r="L78" s="47" t="inlineStr">
        <is>
          <t>2026-06-30</t>
        </is>
      </c>
      <c r="M78" s="27" t="inlineStr"/>
    </row>
    <row r="79">
      <c r="A79" s="36" t="inlineStr">
        <is>
          <t>CAP-00495</t>
        </is>
      </c>
      <c r="B79" s="27" t="inlineStr">
        <is>
          <t>Repurchase-versus-debt-paydown decision</t>
        </is>
      </c>
      <c r="C79" s="27" t="inlineStr">
        <is>
          <t>Two-year capital return cadence</t>
        </is>
      </c>
      <c r="D79" s="27" t="inlineStr">
        <is>
          <t>Front-loaded repurchase</t>
        </is>
      </c>
      <c r="E79" s="27" t="inlineStr">
        <is>
          <t>Plan</t>
        </is>
      </c>
      <c r="F79" s="27" t="inlineStr">
        <is>
          <t>Approved case</t>
        </is>
      </c>
      <c r="G79" s="27" t="inlineStr">
        <is>
          <t>FY27 debt paydown</t>
        </is>
      </c>
      <c r="H79" s="46" t="n">
        <v>350000</v>
      </c>
      <c r="I79" s="27" t="inlineStr"/>
      <c r="J79" s="27" t="inlineStr">
        <is>
          <t>USD</t>
        </is>
      </c>
      <c r="K79" s="27" t="inlineStr">
        <is>
          <t>Finance operating schedule</t>
        </is>
      </c>
      <c r="L79" s="47" t="inlineStr">
        <is>
          <t>2026-06-30</t>
        </is>
      </c>
      <c r="M79" s="27" t="inlineStr"/>
    </row>
    <row r="80">
      <c r="A80" s="36" t="inlineStr">
        <is>
          <t>CAP-00496</t>
        </is>
      </c>
      <c r="B80" s="27" t="inlineStr">
        <is>
          <t>Repurchase-versus-debt-paydown decision</t>
        </is>
      </c>
      <c r="C80" s="27" t="inlineStr">
        <is>
          <t>Two-year capital return cadence</t>
        </is>
      </c>
      <c r="D80" s="27" t="inlineStr">
        <is>
          <t>Front-loaded repurchase</t>
        </is>
      </c>
      <c r="E80" s="27" t="inlineStr">
        <is>
          <t>Plan</t>
        </is>
      </c>
      <c r="F80" s="27" t="inlineStr">
        <is>
          <t>Approved case</t>
        </is>
      </c>
      <c r="G80" s="27" t="inlineStr">
        <is>
          <t>FY27 repurchase</t>
        </is>
      </c>
      <c r="H80" s="46" t="n">
        <v>1650</v>
      </c>
      <c r="I80" s="27" t="inlineStr"/>
      <c r="J80" s="27" t="inlineStr">
        <is>
          <t>USD thousands</t>
        </is>
      </c>
      <c r="K80" s="27" t="inlineStr">
        <is>
          <t>Finance operating schedule</t>
        </is>
      </c>
      <c r="L80" s="47" t="inlineStr">
        <is>
          <t>2026-06-30</t>
        </is>
      </c>
      <c r="M80" s="27" t="inlineStr"/>
    </row>
    <row r="81">
      <c r="A81" s="36" t="inlineStr">
        <is>
          <t>CAP-00497</t>
        </is>
      </c>
      <c r="B81" s="27" t="inlineStr">
        <is>
          <t>Repurchase-versus-debt-paydown decision</t>
        </is>
      </c>
      <c r="C81" s="27" t="inlineStr">
        <is>
          <t>Two-year capital return cadence</t>
        </is>
      </c>
      <c r="D81" s="27" t="inlineStr">
        <is>
          <t>Front-loaded repurchase</t>
        </is>
      </c>
      <c r="E81" s="27" t="inlineStr">
        <is>
          <t>Plan</t>
        </is>
      </c>
      <c r="F81" s="27" t="inlineStr">
        <is>
          <t>Approved case</t>
        </is>
      </c>
      <c r="G81" s="27" t="inlineStr">
        <is>
          <t>FY27 dividend</t>
        </is>
      </c>
      <c r="H81" s="46" t="n">
        <v>120000</v>
      </c>
      <c r="I81" s="27" t="inlineStr"/>
      <c r="J81" s="27" t="inlineStr">
        <is>
          <t>USD</t>
        </is>
      </c>
      <c r="K81" s="27" t="inlineStr">
        <is>
          <t>Finance operating schedule</t>
        </is>
      </c>
      <c r="L81" s="47" t="inlineStr">
        <is>
          <t>2026-06-30</t>
        </is>
      </c>
      <c r="M81" s="27" t="inlineStr"/>
    </row>
    <row r="82">
      <c r="A82" s="36" t="inlineStr">
        <is>
          <t>CAP-00498</t>
        </is>
      </c>
      <c r="B82" s="27" t="inlineStr">
        <is>
          <t>Repurchase-versus-debt-paydown decision</t>
        </is>
      </c>
      <c r="C82" s="27" t="inlineStr">
        <is>
          <t>Two-year capital return cadence</t>
        </is>
      </c>
      <c r="D82" s="27" t="inlineStr">
        <is>
          <t>Front-loaded repurchase</t>
        </is>
      </c>
      <c r="E82" s="27" t="inlineStr">
        <is>
          <t>Plan</t>
        </is>
      </c>
      <c r="F82" s="27" t="inlineStr">
        <is>
          <t>Approved case</t>
        </is>
      </c>
      <c r="G82" s="27" t="inlineStr">
        <is>
          <t>FY28 debt paydown</t>
        </is>
      </c>
      <c r="H82" s="46" t="n">
        <v>500000</v>
      </c>
      <c r="I82" s="27" t="inlineStr"/>
      <c r="J82" s="27" t="inlineStr">
        <is>
          <t>USD</t>
        </is>
      </c>
      <c r="K82" s="27" t="inlineStr">
        <is>
          <t>Finance operating schedule</t>
        </is>
      </c>
      <c r="L82" s="47" t="inlineStr">
        <is>
          <t>2026-06-30</t>
        </is>
      </c>
      <c r="M82" s="27" t="inlineStr"/>
    </row>
    <row r="83">
      <c r="A83" s="36" t="inlineStr">
        <is>
          <t>CAP-00499</t>
        </is>
      </c>
      <c r="B83" s="27" t="inlineStr">
        <is>
          <t>Repurchase-versus-debt-paydown decision</t>
        </is>
      </c>
      <c r="C83" s="27" t="inlineStr">
        <is>
          <t>Two-year capital return cadence</t>
        </is>
      </c>
      <c r="D83" s="27" t="inlineStr">
        <is>
          <t>Front-loaded repurchase</t>
        </is>
      </c>
      <c r="E83" s="27" t="inlineStr">
        <is>
          <t>Plan</t>
        </is>
      </c>
      <c r="F83" s="27" t="inlineStr">
        <is>
          <t>Approved case</t>
        </is>
      </c>
      <c r="G83" s="27" t="inlineStr">
        <is>
          <t>FY28 repurchase</t>
        </is>
      </c>
      <c r="H83" s="46" t="n">
        <v>1250000</v>
      </c>
      <c r="I83" s="27" t="inlineStr"/>
      <c r="J83" s="27" t="inlineStr">
        <is>
          <t>USD</t>
        </is>
      </c>
      <c r="K83" s="27" t="inlineStr">
        <is>
          <t>Finance operating schedule</t>
        </is>
      </c>
      <c r="L83" s="47" t="inlineStr">
        <is>
          <t>2026-06-30</t>
        </is>
      </c>
      <c r="M83" s="27" t="inlineStr"/>
    </row>
    <row r="84">
      <c r="A84" s="36" t="inlineStr">
        <is>
          <t>CAP-00500</t>
        </is>
      </c>
      <c r="B84" s="27" t="inlineStr">
        <is>
          <t>Repurchase-versus-debt-paydown decision</t>
        </is>
      </c>
      <c r="C84" s="27" t="inlineStr">
        <is>
          <t>Two-year capital return cadence</t>
        </is>
      </c>
      <c r="D84" s="27" t="inlineStr">
        <is>
          <t>Front-loaded repurchase</t>
        </is>
      </c>
      <c r="E84" s="27" t="inlineStr">
        <is>
          <t>Plan</t>
        </is>
      </c>
      <c r="F84" s="27" t="inlineStr">
        <is>
          <t>Approved case</t>
        </is>
      </c>
      <c r="G84" s="27" t="inlineStr">
        <is>
          <t>FY28 dividend</t>
        </is>
      </c>
      <c r="H84" s="46" t="n">
        <v>180</v>
      </c>
      <c r="I84" s="27" t="inlineStr"/>
      <c r="J84" s="27" t="inlineStr">
        <is>
          <t>USD thousands</t>
        </is>
      </c>
      <c r="K84" s="27" t="inlineStr">
        <is>
          <t>Finance operating schedule</t>
        </is>
      </c>
      <c r="L84" s="47" t="inlineStr">
        <is>
          <t>2026-06-30</t>
        </is>
      </c>
      <c r="M84" s="27" t="inlineStr"/>
    </row>
    <row r="85">
      <c r="A85" s="36" t="inlineStr">
        <is>
          <t>CAP-00501</t>
        </is>
      </c>
      <c r="B85" s="27" t="inlineStr">
        <is>
          <t>Repurchase-versus-debt-paydown decision</t>
        </is>
      </c>
      <c r="C85" s="27" t="inlineStr">
        <is>
          <t>Two-year capital return cadence</t>
        </is>
      </c>
      <c r="D85" s="27" t="inlineStr">
        <is>
          <t>Balanced cadence</t>
        </is>
      </c>
      <c r="E85" s="27" t="inlineStr">
        <is>
          <t>Plan</t>
        </is>
      </c>
      <c r="F85" s="27" t="inlineStr">
        <is>
          <t>Approved case</t>
        </is>
      </c>
      <c r="G85" s="27" t="inlineStr">
        <is>
          <t>FY27 debt paydown</t>
        </is>
      </c>
      <c r="H85" s="46" t="n">
        <v>700000</v>
      </c>
      <c r="I85" s="27" t="inlineStr"/>
      <c r="J85" s="27" t="inlineStr">
        <is>
          <t>USD</t>
        </is>
      </c>
      <c r="K85" s="27" t="inlineStr">
        <is>
          <t>Finance operating schedule</t>
        </is>
      </c>
      <c r="L85" s="47" t="inlineStr">
        <is>
          <t>2026-06-30</t>
        </is>
      </c>
      <c r="M85" s="27" t="inlineStr"/>
    </row>
    <row r="86">
      <c r="A86" s="36" t="inlineStr">
        <is>
          <t>CAP-00502</t>
        </is>
      </c>
      <c r="B86" s="27" t="inlineStr">
        <is>
          <t>Repurchase-versus-debt-paydown decision</t>
        </is>
      </c>
      <c r="C86" s="27" t="inlineStr">
        <is>
          <t>Two-year capital return cadence</t>
        </is>
      </c>
      <c r="D86" s="27" t="inlineStr">
        <is>
          <t>Balanced cadence</t>
        </is>
      </c>
      <c r="E86" s="27" t="inlineStr">
        <is>
          <t>Plan</t>
        </is>
      </c>
      <c r="F86" s="27" t="inlineStr">
        <is>
          <t>Approved case</t>
        </is>
      </c>
      <c r="G86" s="27" t="inlineStr">
        <is>
          <t>FY27 repurchase</t>
        </is>
      </c>
      <c r="H86" s="46" t="n">
        <v>1100000</v>
      </c>
      <c r="I86" s="27" t="inlineStr"/>
      <c r="J86" s="27" t="inlineStr">
        <is>
          <t>USD</t>
        </is>
      </c>
      <c r="K86" s="27" t="inlineStr">
        <is>
          <t>Finance operating schedule</t>
        </is>
      </c>
      <c r="L86" s="47" t="inlineStr">
        <is>
          <t>2026-06-30</t>
        </is>
      </c>
      <c r="M86" s="27" t="inlineStr"/>
    </row>
    <row r="87">
      <c r="A87" s="36" t="inlineStr">
        <is>
          <t>CAP-00503</t>
        </is>
      </c>
      <c r="B87" s="27" t="inlineStr">
        <is>
          <t>Repurchase-versus-debt-paydown decision</t>
        </is>
      </c>
      <c r="C87" s="27" t="inlineStr">
        <is>
          <t>Two-year capital return cadence</t>
        </is>
      </c>
      <c r="D87" s="27" t="inlineStr">
        <is>
          <t>Balanced cadence</t>
        </is>
      </c>
      <c r="E87" s="27" t="inlineStr">
        <is>
          <t>Plan</t>
        </is>
      </c>
      <c r="F87" s="27" t="inlineStr">
        <is>
          <t>Approved case</t>
        </is>
      </c>
      <c r="G87" s="27" t="inlineStr">
        <is>
          <t>FY27 dividend</t>
        </is>
      </c>
      <c r="H87" s="46" t="n">
        <v>150000</v>
      </c>
      <c r="I87" s="27" t="inlineStr"/>
      <c r="J87" s="27" t="inlineStr">
        <is>
          <t>USD</t>
        </is>
      </c>
      <c r="K87" s="27" t="inlineStr">
        <is>
          <t>Finance operating schedule</t>
        </is>
      </c>
      <c r="L87" s="47" t="inlineStr">
        <is>
          <t>2026-06-30</t>
        </is>
      </c>
      <c r="M87" s="27" t="inlineStr"/>
    </row>
    <row r="88">
      <c r="A88" s="36" t="inlineStr">
        <is>
          <t>CAP-00504</t>
        </is>
      </c>
      <c r="B88" s="27" t="inlineStr">
        <is>
          <t>Repurchase-versus-debt-paydown decision</t>
        </is>
      </c>
      <c r="C88" s="27" t="inlineStr">
        <is>
          <t>Two-year capital return cadence</t>
        </is>
      </c>
      <c r="D88" s="27" t="inlineStr">
        <is>
          <t>Balanced cadence</t>
        </is>
      </c>
      <c r="E88" s="27" t="inlineStr">
        <is>
          <t>Plan</t>
        </is>
      </c>
      <c r="F88" s="27" t="inlineStr">
        <is>
          <t>Approved case</t>
        </is>
      </c>
      <c r="G88" s="27" t="inlineStr">
        <is>
          <t>FY28 debt paydown</t>
        </is>
      </c>
      <c r="H88" s="46" t="n">
        <v>650</v>
      </c>
      <c r="I88" s="27" t="inlineStr"/>
      <c r="J88" s="27" t="inlineStr">
        <is>
          <t>USD thousands</t>
        </is>
      </c>
      <c r="K88" s="27" t="inlineStr">
        <is>
          <t>Finance operating schedule</t>
        </is>
      </c>
      <c r="L88" s="47" t="inlineStr">
        <is>
          <t>2026-06-30</t>
        </is>
      </c>
      <c r="M88" s="27" t="inlineStr"/>
    </row>
    <row r="89">
      <c r="A89" s="36" t="inlineStr">
        <is>
          <t>CAP-00505</t>
        </is>
      </c>
      <c r="B89" s="27" t="inlineStr">
        <is>
          <t>Repurchase-versus-debt-paydown decision</t>
        </is>
      </c>
      <c r="C89" s="27" t="inlineStr">
        <is>
          <t>Two-year capital return cadence</t>
        </is>
      </c>
      <c r="D89" s="27" t="inlineStr">
        <is>
          <t>Balanced cadence</t>
        </is>
      </c>
      <c r="E89" s="27" t="inlineStr">
        <is>
          <t>Plan</t>
        </is>
      </c>
      <c r="F89" s="27" t="inlineStr">
        <is>
          <t>Approved case</t>
        </is>
      </c>
      <c r="G89" s="27" t="inlineStr">
        <is>
          <t>FY28 repurchase</t>
        </is>
      </c>
      <c r="H89" s="46" t="n">
        <v>1300000</v>
      </c>
      <c r="I89" s="27" t="inlineStr"/>
      <c r="J89" s="27" t="inlineStr">
        <is>
          <t>USD</t>
        </is>
      </c>
      <c r="K89" s="27" t="inlineStr">
        <is>
          <t>Finance operating schedule</t>
        </is>
      </c>
      <c r="L89" s="47" t="inlineStr">
        <is>
          <t>2026-06-30</t>
        </is>
      </c>
      <c r="M89" s="27" t="inlineStr"/>
    </row>
    <row r="90">
      <c r="A90" s="36" t="inlineStr">
        <is>
          <t>CAP-00506</t>
        </is>
      </c>
      <c r="B90" s="27" t="inlineStr">
        <is>
          <t>Repurchase-versus-debt-paydown decision</t>
        </is>
      </c>
      <c r="C90" s="27" t="inlineStr">
        <is>
          <t>Two-year capital return cadence</t>
        </is>
      </c>
      <c r="D90" s="27" t="inlineStr">
        <is>
          <t>Balanced cadence</t>
        </is>
      </c>
      <c r="E90" s="27" t="inlineStr">
        <is>
          <t>Plan</t>
        </is>
      </c>
      <c r="F90" s="27" t="inlineStr">
        <is>
          <t>Approved case</t>
        </is>
      </c>
      <c r="G90" s="27" t="inlineStr">
        <is>
          <t>FY28 dividend</t>
        </is>
      </c>
      <c r="H90" s="46" t="n">
        <v>200000</v>
      </c>
      <c r="I90" s="27" t="inlineStr"/>
      <c r="J90" s="27" t="inlineStr">
        <is>
          <t>USD</t>
        </is>
      </c>
      <c r="K90" s="27" t="inlineStr">
        <is>
          <t>Finance operating schedule</t>
        </is>
      </c>
      <c r="L90" s="47" t="inlineStr">
        <is>
          <t>2026-06-30</t>
        </is>
      </c>
      <c r="M90" s="27" t="inlineStr"/>
    </row>
    <row r="91">
      <c r="A91" s="36" t="inlineStr">
        <is>
          <t>CAP-00507</t>
        </is>
      </c>
      <c r="B91" s="27" t="inlineStr">
        <is>
          <t>Repurchase-versus-debt-paydown decision</t>
        </is>
      </c>
      <c r="C91" s="27" t="inlineStr">
        <is>
          <t>Two-year capital return cadence</t>
        </is>
      </c>
      <c r="D91" s="27" t="inlineStr">
        <is>
          <t>Dividend and buyback</t>
        </is>
      </c>
      <c r="E91" s="27" t="inlineStr">
        <is>
          <t>Plan</t>
        </is>
      </c>
      <c r="F91" s="27" t="inlineStr">
        <is>
          <t>Approved case</t>
        </is>
      </c>
      <c r="G91" s="27" t="inlineStr">
        <is>
          <t>FY27 debt paydown</t>
        </is>
      </c>
      <c r="H91" s="46" t="n">
        <v>250000</v>
      </c>
      <c r="I91" s="27" t="inlineStr"/>
      <c r="J91" s="27" t="inlineStr">
        <is>
          <t>USD</t>
        </is>
      </c>
      <c r="K91" s="27" t="inlineStr">
        <is>
          <t>Finance operating schedule</t>
        </is>
      </c>
      <c r="L91" s="47" t="inlineStr">
        <is>
          <t>2026-06-30</t>
        </is>
      </c>
      <c r="M91" s="27" t="inlineStr"/>
    </row>
    <row r="92">
      <c r="A92" s="36" t="inlineStr">
        <is>
          <t>CAP-00508</t>
        </is>
      </c>
      <c r="B92" s="27" t="inlineStr">
        <is>
          <t>Repurchase-versus-debt-paydown decision</t>
        </is>
      </c>
      <c r="C92" s="27" t="inlineStr">
        <is>
          <t>Two-year capital return cadence</t>
        </is>
      </c>
      <c r="D92" s="27" t="inlineStr">
        <is>
          <t>Dividend and buyback</t>
        </is>
      </c>
      <c r="E92" s="27" t="inlineStr">
        <is>
          <t>Plan</t>
        </is>
      </c>
      <c r="F92" s="27" t="inlineStr">
        <is>
          <t>Approved case</t>
        </is>
      </c>
      <c r="G92" s="27" t="inlineStr">
        <is>
          <t>FY27 repurchase</t>
        </is>
      </c>
      <c r="H92" s="46" t="n">
        <v>950</v>
      </c>
      <c r="I92" s="27" t="inlineStr"/>
      <c r="J92" s="27" t="inlineStr">
        <is>
          <t>USD thousands</t>
        </is>
      </c>
      <c r="K92" s="27" t="inlineStr">
        <is>
          <t>Finance operating schedule</t>
        </is>
      </c>
      <c r="L92" s="47" t="inlineStr">
        <is>
          <t>2026-06-30</t>
        </is>
      </c>
      <c r="M92" s="27" t="inlineStr"/>
    </row>
    <row r="93">
      <c r="A93" s="36" t="inlineStr">
        <is>
          <t>CAP-00509</t>
        </is>
      </c>
      <c r="B93" s="27" t="inlineStr">
        <is>
          <t>Repurchase-versus-debt-paydown decision</t>
        </is>
      </c>
      <c r="C93" s="27" t="inlineStr">
        <is>
          <t>Two-year capital return cadence</t>
        </is>
      </c>
      <c r="D93" s="27" t="inlineStr">
        <is>
          <t>Dividend and buyback</t>
        </is>
      </c>
      <c r="E93" s="27" t="inlineStr">
        <is>
          <t>Plan</t>
        </is>
      </c>
      <c r="F93" s="27" t="inlineStr">
        <is>
          <t>Approved case</t>
        </is>
      </c>
      <c r="G93" s="27" t="inlineStr">
        <is>
          <t>FY27 dividend</t>
        </is>
      </c>
      <c r="H93" s="46" t="n">
        <v>650000</v>
      </c>
      <c r="I93" s="27" t="inlineStr"/>
      <c r="J93" s="27" t="inlineStr">
        <is>
          <t>USD</t>
        </is>
      </c>
      <c r="K93" s="27" t="inlineStr">
        <is>
          <t>Finance operating schedule</t>
        </is>
      </c>
      <c r="L93" s="47" t="inlineStr">
        <is>
          <t>2026-06-30</t>
        </is>
      </c>
      <c r="M93" s="27" t="inlineStr"/>
    </row>
    <row r="94">
      <c r="A94" s="36" t="inlineStr">
        <is>
          <t>CAP-00510</t>
        </is>
      </c>
      <c r="B94" s="27" t="inlineStr">
        <is>
          <t>Repurchase-versus-debt-paydown decision</t>
        </is>
      </c>
      <c r="C94" s="27" t="inlineStr">
        <is>
          <t>Two-year capital return cadence</t>
        </is>
      </c>
      <c r="D94" s="27" t="inlineStr">
        <is>
          <t>Dividend and buyback</t>
        </is>
      </c>
      <c r="E94" s="27" t="inlineStr">
        <is>
          <t>Plan</t>
        </is>
      </c>
      <c r="F94" s="27" t="inlineStr">
        <is>
          <t>Approved case</t>
        </is>
      </c>
      <c r="G94" s="27" t="inlineStr">
        <is>
          <t>FY28 debt paydown</t>
        </is>
      </c>
      <c r="H94" s="46" t="n">
        <v>300000</v>
      </c>
      <c r="I94" s="27" t="inlineStr"/>
      <c r="J94" s="27" t="inlineStr">
        <is>
          <t>USD</t>
        </is>
      </c>
      <c r="K94" s="27" t="inlineStr">
        <is>
          <t>Finance operating schedule</t>
        </is>
      </c>
      <c r="L94" s="47" t="inlineStr">
        <is>
          <t>2026-06-30</t>
        </is>
      </c>
      <c r="M94" s="27" t="inlineStr"/>
    </row>
    <row r="95">
      <c r="A95" s="36" t="inlineStr">
        <is>
          <t>CAP-00511</t>
        </is>
      </c>
      <c r="B95" s="27" t="inlineStr">
        <is>
          <t>Repurchase-versus-debt-paydown decision</t>
        </is>
      </c>
      <c r="C95" s="27" t="inlineStr">
        <is>
          <t>Two-year capital return cadence</t>
        </is>
      </c>
      <c r="D95" s="27" t="inlineStr">
        <is>
          <t>Dividend and buyback</t>
        </is>
      </c>
      <c r="E95" s="27" t="inlineStr">
        <is>
          <t>Plan</t>
        </is>
      </c>
      <c r="F95" s="27" t="inlineStr">
        <is>
          <t>Approved case</t>
        </is>
      </c>
      <c r="G95" s="27" t="inlineStr">
        <is>
          <t>FY28 repurchase</t>
        </is>
      </c>
      <c r="H95" s="46" t="n">
        <v>1050000</v>
      </c>
      <c r="I95" s="27" t="inlineStr"/>
      <c r="J95" s="27" t="inlineStr">
        <is>
          <t>USD</t>
        </is>
      </c>
      <c r="K95" s="27" t="inlineStr">
        <is>
          <t>Finance operating schedule</t>
        </is>
      </c>
      <c r="L95" s="47" t="inlineStr">
        <is>
          <t>2026-06-30</t>
        </is>
      </c>
      <c r="M95" s="27" t="inlineStr"/>
    </row>
    <row r="96">
      <c r="A96" s="36" t="inlineStr">
        <is>
          <t>CAP-00512</t>
        </is>
      </c>
      <c r="B96" s="27" t="inlineStr">
        <is>
          <t>Repurchase-versus-debt-paydown decision</t>
        </is>
      </c>
      <c r="C96" s="27" t="inlineStr">
        <is>
          <t>Two-year capital return cadence</t>
        </is>
      </c>
      <c r="D96" s="27" t="inlineStr">
        <is>
          <t>Dividend and buyback</t>
        </is>
      </c>
      <c r="E96" s="27" t="inlineStr">
        <is>
          <t>Plan</t>
        </is>
      </c>
      <c r="F96" s="27" t="inlineStr">
        <is>
          <t>Approved case</t>
        </is>
      </c>
      <c r="G96" s="27" t="inlineStr">
        <is>
          <t>FY28 dividend</t>
        </is>
      </c>
      <c r="H96" s="46" t="n">
        <v>750</v>
      </c>
      <c r="I96" s="27" t="inlineStr"/>
      <c r="J96" s="27" t="inlineStr">
        <is>
          <t>USD thousands</t>
        </is>
      </c>
      <c r="K96" s="27" t="inlineStr">
        <is>
          <t>Finance operating schedule</t>
        </is>
      </c>
      <c r="L96" s="47" t="inlineStr">
        <is>
          <t>2026-06-30</t>
        </is>
      </c>
      <c r="M96" s="27" t="inlineStr"/>
    </row>
    <row r="97">
      <c r="A97" s="36" t="inlineStr">
        <is>
          <t>CAP-00513</t>
        </is>
      </c>
      <c r="B97" s="27" t="inlineStr">
        <is>
          <t>Repurchase-versus-debt-paydown decision</t>
        </is>
      </c>
      <c r="C97" s="27" t="inlineStr">
        <is>
          <t>Two-year capital return policy</t>
        </is>
      </c>
      <c r="D97" s="27" t="inlineStr">
        <is>
          <t>Alder Ridge</t>
        </is>
      </c>
      <c r="E97" s="27" t="inlineStr">
        <is>
          <t>Plan</t>
        </is>
      </c>
      <c r="F97" s="27" t="inlineStr">
        <is>
          <t>Approved case</t>
        </is>
      </c>
      <c r="G97" s="27" t="inlineStr">
        <is>
          <t>FY27 free cash flow before returns</t>
        </is>
      </c>
      <c r="H97" s="46" t="n">
        <v>3250000</v>
      </c>
      <c r="I97" s="27" t="inlineStr"/>
      <c r="J97" s="27" t="inlineStr">
        <is>
          <t>USD</t>
        </is>
      </c>
      <c r="K97" s="27" t="inlineStr">
        <is>
          <t>Finance operating schedule</t>
        </is>
      </c>
      <c r="L97" s="47" t="inlineStr">
        <is>
          <t>2026-06-30</t>
        </is>
      </c>
      <c r="M97" s="27" t="inlineStr"/>
    </row>
    <row r="98">
      <c r="A98" s="36" t="inlineStr">
        <is>
          <t>CAP-00514</t>
        </is>
      </c>
      <c r="B98" s="27" t="inlineStr">
        <is>
          <t>Repurchase-versus-debt-paydown decision</t>
        </is>
      </c>
      <c r="C98" s="27" t="inlineStr">
        <is>
          <t>Two-year capital return policy</t>
        </is>
      </c>
      <c r="D98" s="27" t="inlineStr">
        <is>
          <t>Alder Ridge</t>
        </is>
      </c>
      <c r="E98" s="27" t="inlineStr">
        <is>
          <t>Plan</t>
        </is>
      </c>
      <c r="F98" s="27" t="inlineStr">
        <is>
          <t>Approved case</t>
        </is>
      </c>
      <c r="G98" s="27" t="inlineStr">
        <is>
          <t>FY28 free cash flow before returns</t>
        </is>
      </c>
      <c r="H98" s="46" t="n">
        <v>3700000</v>
      </c>
      <c r="I98" s="27" t="inlineStr"/>
      <c r="J98" s="27" t="inlineStr">
        <is>
          <t>USD</t>
        </is>
      </c>
      <c r="K98" s="27" t="inlineStr">
        <is>
          <t>Finance operating schedule</t>
        </is>
      </c>
      <c r="L98" s="47" t="inlineStr">
        <is>
          <t>2026-06-30</t>
        </is>
      </c>
      <c r="M98" s="27" t="inlineStr"/>
    </row>
    <row r="99">
      <c r="A99" s="36" t="inlineStr">
        <is>
          <t>CAP-00515</t>
        </is>
      </c>
      <c r="B99" s="27" t="inlineStr">
        <is>
          <t>Repurchase-versus-debt-paydown decision</t>
        </is>
      </c>
      <c r="C99" s="27" t="inlineStr">
        <is>
          <t>Two-year capital return policy</t>
        </is>
      </c>
      <c r="D99" s="27" t="inlineStr">
        <is>
          <t>Alder Ridge</t>
        </is>
      </c>
      <c r="E99" s="27" t="inlineStr">
        <is>
          <t>Plan</t>
        </is>
      </c>
      <c r="F99" s="27" t="inlineStr">
        <is>
          <t>Approved case</t>
        </is>
      </c>
      <c r="G99" s="27" t="inlineStr">
        <is>
          <t>FY28 net income growth</t>
        </is>
      </c>
      <c r="H99" s="46" t="n">
        <v>0.055</v>
      </c>
      <c r="I99" s="27" t="inlineStr"/>
      <c r="J99" s="27" t="inlineStr">
        <is>
          <t>decimal ratio</t>
        </is>
      </c>
      <c r="K99" s="27" t="inlineStr">
        <is>
          <t>Finance operating schedule</t>
        </is>
      </c>
      <c r="L99" s="47" t="inlineStr">
        <is>
          <t>2026-06-30</t>
        </is>
      </c>
      <c r="M99" s="27" t="inlineStr"/>
    </row>
    <row r="100">
      <c r="A100" s="36" t="inlineStr">
        <is>
          <t>CAP-00516</t>
        </is>
      </c>
      <c r="B100" s="27" t="inlineStr">
        <is>
          <t>Repurchase-versus-debt-paydown decision</t>
        </is>
      </c>
      <c r="C100" s="27" t="inlineStr">
        <is>
          <t>Two-year capital return policy</t>
        </is>
      </c>
      <c r="D100" s="27" t="inlineStr">
        <is>
          <t>Alder Ridge</t>
        </is>
      </c>
      <c r="E100" s="27" t="inlineStr">
        <is>
          <t>Plan</t>
        </is>
      </c>
      <c r="F100" s="27" t="inlineStr">
        <is>
          <t>Approved case</t>
        </is>
      </c>
      <c r="G100" s="27" t="inlineStr">
        <is>
          <t>FY28 share price growth</t>
        </is>
      </c>
      <c r="H100" s="46" t="n">
        <v>0.1</v>
      </c>
      <c r="I100" s="27" t="inlineStr"/>
      <c r="J100" s="27" t="inlineStr">
        <is>
          <t>decimal ratio</t>
        </is>
      </c>
      <c r="K100" s="27" t="inlineStr">
        <is>
          <t>Finance operating schedule</t>
        </is>
      </c>
      <c r="L100" s="47" t="inlineStr">
        <is>
          <t>2026-06-30</t>
        </is>
      </c>
      <c r="M100" s="27" t="inlineStr"/>
    </row>
    <row r="101">
      <c r="A101" s="36" t="inlineStr">
        <is>
          <t>CAP-00517</t>
        </is>
      </c>
      <c r="B101" s="27" t="inlineStr">
        <is>
          <t>Repurchase-versus-debt-paydown decision</t>
        </is>
      </c>
      <c r="C101" s="27" t="inlineStr">
        <is>
          <t>Two-year capital return policy</t>
        </is>
      </c>
      <c r="D101" s="27" t="inlineStr">
        <is>
          <t>Alder Ridge</t>
        </is>
      </c>
      <c r="E101" s="27" t="inlineStr">
        <is>
          <t>Plan</t>
        </is>
      </c>
      <c r="F101" s="27" t="inlineStr">
        <is>
          <t>Approved case</t>
        </is>
      </c>
      <c r="G101" s="27" t="inlineStr">
        <is>
          <t>FY28 trading volume growth</t>
        </is>
      </c>
      <c r="H101" s="46" t="n">
        <v>0.08</v>
      </c>
      <c r="I101" s="27" t="inlineStr"/>
      <c r="J101" s="27" t="inlineStr">
        <is>
          <t>decimal ratio</t>
        </is>
      </c>
      <c r="K101" s="27" t="inlineStr">
        <is>
          <t>Finance operating schedule</t>
        </is>
      </c>
      <c r="L101" s="47" t="inlineStr">
        <is>
          <t>2026-06-30</t>
        </is>
      </c>
      <c r="M101" s="27" t="inlineStr"/>
    </row>
    <row r="102">
      <c r="A102" s="36" t="inlineStr">
        <is>
          <t>CAP-00518</t>
        </is>
      </c>
      <c r="B102" s="27" t="inlineStr">
        <is>
          <t>Repurchase-versus-debt-paydown decision</t>
        </is>
      </c>
      <c r="C102" s="27" t="inlineStr">
        <is>
          <t>Two-year capital return policy</t>
        </is>
      </c>
      <c r="D102" s="27" t="inlineStr">
        <is>
          <t>Alder Ridge</t>
        </is>
      </c>
      <c r="E102" s="27" t="inlineStr">
        <is>
          <t>Plan</t>
        </is>
      </c>
      <c r="F102" s="27" t="inlineStr">
        <is>
          <t>Approved case</t>
        </is>
      </c>
      <c r="G102" s="27" t="inlineStr">
        <is>
          <t>Minimum annual EPS accretion</t>
        </is>
      </c>
      <c r="H102" s="46" t="n">
        <v>0.01</v>
      </c>
      <c r="I102" s="27" t="inlineStr"/>
      <c r="J102" s="27" t="inlineStr">
        <is>
          <t>decimal ratio</t>
        </is>
      </c>
      <c r="K102" s="27" t="inlineStr">
        <is>
          <t>Finance operating schedule</t>
        </is>
      </c>
      <c r="L102" s="47" t="inlineStr">
        <is>
          <t>2026-06-30</t>
        </is>
      </c>
      <c r="M102" s="27" t="inlineStr"/>
    </row>
    <row r="103">
      <c r="A103" s="36" t="inlineStr">
        <is>
          <t>CAP-00519</t>
        </is>
      </c>
      <c r="B103" s="27" t="inlineStr">
        <is>
          <t>Repurchase-versus-debt-paydown decision</t>
        </is>
      </c>
      <c r="C103" s="27" t="inlineStr">
        <is>
          <t>Two-year capital return policy</t>
        </is>
      </c>
      <c r="D103" s="27" t="inlineStr">
        <is>
          <t>Alder Ridge</t>
        </is>
      </c>
      <c r="E103" s="27" t="inlineStr">
        <is>
          <t>Plan</t>
        </is>
      </c>
      <c r="F103" s="27" t="inlineStr">
        <is>
          <t>Approved case</t>
        </is>
      </c>
      <c r="G103" s="27" t="inlineStr">
        <is>
          <t>Cash-flow timing convention</t>
        </is>
      </c>
      <c r="H103" s="46" t="inlineStr"/>
      <c r="I103" s="27" t="inlineStr">
        <is>
          <t>Capital-return actions occur at the start of each fiscal year; free cash flow before returns excludes both the actions and their after-tax interest-saving and foregone-yield effects, so add those effects to annual cash</t>
        </is>
      </c>
      <c r="J103" s="27" t="inlineStr">
        <is>
          <t>classification</t>
        </is>
      </c>
      <c r="K103" s="27" t="inlineStr">
        <is>
          <t>Finance operating schedule</t>
        </is>
      </c>
      <c r="L103" s="47" t="inlineStr">
        <is>
          <t>2026-06-30</t>
        </is>
      </c>
      <c r="M103" s="27" t="inlineStr"/>
    </row>
    <row r="104">
      <c r="A104" s="36" t="inlineStr">
        <is>
          <t>CAP-00520</t>
        </is>
      </c>
      <c r="B104" s="27" t="inlineStr">
        <is>
          <t>Repurchase-versus-debt-paydown decision</t>
        </is>
      </c>
      <c r="C104" s="27" t="inlineStr">
        <is>
          <t>Two-year capital return policy</t>
        </is>
      </c>
      <c r="D104" s="27" t="inlineStr">
        <is>
          <t>Alder Ridge</t>
        </is>
      </c>
      <c r="E104" s="27" t="inlineStr">
        <is>
          <t>Plan</t>
        </is>
      </c>
      <c r="F104" s="27" t="inlineStr">
        <is>
          <t>Approved case</t>
        </is>
      </c>
      <c r="G104" s="27" t="inlineStr">
        <is>
          <t>Debt-paydown cap treatment</t>
        </is>
      </c>
      <c r="H104" s="46" t="inlineStr"/>
      <c r="I104" s="27" t="inlineStr">
        <is>
          <t>Cap each year's requested debt paydown at funded debt outstanding at the start of that year; leave any excess requested amount unspent and do not fail the cadence solely because the request exceeded remaining debt</t>
        </is>
      </c>
      <c r="J104" s="27" t="inlineStr">
        <is>
          <t>classification</t>
        </is>
      </c>
      <c r="K104" s="27" t="inlineStr">
        <is>
          <t>Finance operating schedule</t>
        </is>
      </c>
      <c r="L104" s="47" t="inlineStr">
        <is>
          <t>2026-06-30</t>
        </is>
      </c>
      <c r="M104" s="27" t="inlineStr"/>
    </row>
  </sheetData>
  <autoFilter ref="A4:M104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capital committee and long-range plan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Project Cases</t>
        </is>
      </c>
      <c r="B5" s="40" t="n">
        <v>211</v>
      </c>
      <c r="C5" s="40">
        <f>COUNTA('Project Cases'!$A$5:$A$215)</f>
        <v/>
      </c>
      <c r="D5" s="40">
        <f>C5-B5</f>
        <v/>
      </c>
      <c r="E5" s="43">
        <f>IF(D5=0,"OK","CHECK")</f>
        <v/>
      </c>
      <c r="F5" s="40" t="inlineStr">
        <is>
          <t>CURRENT • CONTROLLER REVIEW COMPLETE</t>
        </is>
      </c>
    </row>
    <row r="6">
      <c r="A6" s="41" t="inlineStr">
        <is>
          <t>Long Range Plan</t>
        </is>
      </c>
      <c r="B6" s="41" t="n">
        <v>124</v>
      </c>
      <c r="C6" s="41">
        <f>COUNTA('Long Range Plan'!$A$5:$A$128)</f>
        <v/>
      </c>
      <c r="D6" s="41">
        <f>C6-B6</f>
        <v/>
      </c>
      <c r="E6" s="44">
        <f>IF(D6=0,"OK","CHECK")</f>
        <v/>
      </c>
      <c r="F6" s="41" t="inlineStr">
        <is>
          <t>CURRENT • CONTROLLER REVIEW COMPLETE</t>
        </is>
      </c>
    </row>
    <row r="7">
      <c r="A7" s="42" t="inlineStr">
        <is>
          <t>Capital Capacity</t>
        </is>
      </c>
      <c r="B7" s="42" t="n">
        <v>97</v>
      </c>
      <c r="C7" s="42">
        <f>COUNTA('Capital Capacity'!$A$5:$A$101)</f>
        <v/>
      </c>
      <c r="D7" s="42">
        <f>C7-B7</f>
        <v/>
      </c>
      <c r="E7" s="45">
        <f>IF(D7=0,"OK","CHECK")</f>
        <v/>
      </c>
      <c r="F7" s="42" t="inlineStr">
        <is>
          <t>CURRENT • CONTROLLER REVIEW COMPLETE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2026-08-01T05:21:42Z</dcterms:created>
  <dcterms:modified xmlns:dcterms="http://purl.org/dc/terms/" xmlns:xsi="http://www.w3.org/2001/XMLSchema-instance" xsi:type="dcterms:W3CDTF">2026-08-01T05:21:42Z</dcterms:modified>
</cp:coreProperties>
</file>