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tail - working" sheetId="1" state="visible" r:id="rId1"/>
    <sheet xmlns:r="http://schemas.openxmlformats.org/officeDocument/2006/relationships" name="working summary" sheetId="2" state="visible" r:id="rId2"/>
    <sheet xmlns:r="http://schemas.openxmlformats.org/officeDocument/2006/relationships" name="links + lineage" sheetId="3" state="visible" r:id="rId3"/>
    <sheet xmlns:r="http://schemas.openxmlformats.org/officeDocument/2006/relationships" name="checks + signoff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$#,##0;[Red]($#,##0);-"/>
  </numFmts>
  <fonts count="6">
    <font>
      <name val="Carlito"/>
      <sz val="11"/>
    </font>
    <font>
      <name val="Arial"/>
      <b val="1"/>
      <color rgb="FF2A4337"/>
      <sz val="15"/>
    </font>
    <font>
      <name val="Arial"/>
      <i val="1"/>
      <color rgb="FF5E5A55"/>
      <sz val="9"/>
    </font>
    <font>
      <name val="Arial"/>
      <b val="1"/>
      <color rgb="FFFFFFFF"/>
      <sz val="9"/>
    </font>
    <font>
      <name val="Arial"/>
      <color rgb="FF252321"/>
      <sz val="9"/>
    </font>
    <font>
      <name val="Carlito"/>
      <sz val="11"/>
    </font>
  </fonts>
  <fills count="5">
    <fill>
      <patternFill/>
    </fill>
    <fill>
      <patternFill patternType="gray125"/>
    </fill>
    <fill>
      <patternFill patternType="solid">
        <fgColor rgb="FFF8F5EF"/>
      </patternFill>
    </fill>
    <fill>
      <patternFill patternType="solid">
        <fgColor rgb="FFF3E6D5"/>
      </patternFill>
    </fill>
    <fill>
      <patternFill patternType="solid">
        <fgColor rgb="FF2A433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B5E3C"/>
      </bottom>
      <diagonal/>
    </border>
    <border>
      <left style="thin">
        <color rgb="FF2A4337"/>
      </left>
      <right/>
      <top style="thin">
        <color rgb="FF2A4337"/>
      </top>
      <bottom style="thin">
        <color rgb="FF2A4337"/>
      </bottom>
      <diagonal/>
    </border>
    <border>
      <left/>
      <right/>
      <top style="thin">
        <color rgb="FF2A4337"/>
      </top>
      <bottom style="thin">
        <color rgb="FF2A4337"/>
      </bottom>
      <diagonal/>
    </border>
    <border>
      <left/>
      <right style="thin">
        <color rgb="FF2A4337"/>
      </right>
      <top style="thin">
        <color rgb="FF2A4337"/>
      </top>
      <bottom style="thin">
        <color rgb="FF2A4337"/>
      </bottom>
      <diagonal/>
    </border>
  </borders>
  <cellStyleXfs count="1">
    <xf numFmtId="0" fontId="5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0" pivotButton="0" quotePrefix="0" xfId="0"/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0" borderId="0" pivotButton="0" quotePrefix="0" xfId="0"/>
    <xf numFmtId="164" fontId="5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selection activeCell="A1" sqref="A1"/>
    </sheetView>
  </sheetViews>
  <sheetFormatPr baseColWidth="8" defaultRowHeight="15" outlineLevelRow="0"/>
  <cols>
    <col width="18" customWidth="1" min="1" max="1"/>
    <col width="14" customWidth="1" min="2" max="2"/>
    <col width="24" customWidth="1" min="3" max="3"/>
    <col width="28" customWidth="1" min="4" max="4"/>
    <col width="50" customWidth="1" min="5" max="5"/>
    <col width="18" customWidth="1" min="6" max="6"/>
    <col width="20" customWidth="1" min="7" max="7"/>
    <col width="18" customWidth="1" min="8" max="8"/>
    <col width="22" customWidth="1" min="9" max="9"/>
    <col width="35" customWidth="1" min="10" max="10"/>
  </cols>
  <sheetData>
    <row r="1" ht="23" customHeight="1">
      <c r="A1" s="1" t="inlineStr">
        <is>
          <t>Backlog conversion and award pipeline — supporting detail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23" customHeight="1">
      <c r="A2" s="2" t="inlineStr">
        <is>
          <t>Operations pipeline contains probability overrides that do not exist in Vista ERP. Source amounts reflect the current 6/30 company records.</t>
        </is>
      </c>
    </row>
    <row r="3"/>
    <row r="4"/>
    <row r="5" ht="30" customHeight="1">
      <c r="A5" s="3" t="inlineStr">
        <is>
          <t>record</t>
        </is>
      </c>
      <c r="B5" s="4" t="inlineStr">
        <is>
          <t>date</t>
        </is>
      </c>
      <c r="C5" s="4" t="inlineStr">
        <is>
          <t>category</t>
        </is>
      </c>
      <c r="D5" s="4" t="inlineStr">
        <is>
          <t>dimension</t>
        </is>
      </c>
      <c r="E5" s="4" t="inlineStr">
        <is>
          <t>description</t>
        </is>
      </c>
      <c r="F5" s="4" t="inlineStr">
        <is>
          <t>source amount</t>
        </is>
      </c>
      <c r="G5" s="4" t="inlineStr">
        <is>
          <t>documented adjustment</t>
        </is>
      </c>
      <c r="H5" s="4" t="inlineStr">
        <is>
          <t>working amount</t>
        </is>
      </c>
      <c r="I5" s="4" t="inlineStr">
        <is>
          <t>status</t>
        </is>
      </c>
      <c r="J5" s="5" t="inlineStr">
        <is>
          <t>source / cutoff</t>
        </is>
      </c>
    </row>
    <row r="6">
      <c r="A6" s="6" t="inlineStr">
        <is>
          <t>ARM-2318</t>
        </is>
      </c>
      <c r="B6" s="6" t="inlineStr">
        <is>
          <t>2026-06-30</t>
        </is>
      </c>
      <c r="C6" s="6" t="inlineStr">
        <is>
          <t>signed backlog</t>
        </is>
      </c>
      <c r="D6" s="6" t="inlineStr">
        <is>
          <t>Maya Chen</t>
        </is>
      </c>
      <c r="E6" s="6" t="inlineStr">
        <is>
          <t>Columbia Biologics Clean Utilities</t>
        </is>
      </c>
      <c r="F6" s="7" t="n">
        <v>280434.3499999996</v>
      </c>
      <c r="G6" s="7" t="n">
        <v>0</v>
      </c>
      <c r="H6" s="7">
        <f>F6+G6</f>
        <v/>
      </c>
      <c r="I6" s="6" t="inlineStr">
        <is>
          <t>Substantially Complete</t>
        </is>
      </c>
      <c r="J6" s="6" t="inlineStr">
        <is>
          <t>June WIP schedule</t>
        </is>
      </c>
    </row>
    <row r="7">
      <c r="A7" s="6" t="inlineStr">
        <is>
          <t>ARM-2403</t>
        </is>
      </c>
      <c r="B7" s="6" t="inlineStr">
        <is>
          <t>2026-06-30</t>
        </is>
      </c>
      <c r="C7" s="6" t="inlineStr">
        <is>
          <t>signed backlog</t>
        </is>
      </c>
      <c r="D7" s="6" t="inlineStr">
        <is>
          <t>Elliot Marks</t>
        </is>
      </c>
      <c r="E7" s="6" t="inlineStr">
        <is>
          <t>Riverton Civic Center HVAC Renewal</t>
        </is>
      </c>
      <c r="F7" s="7" t="n">
        <v>1169422.95</v>
      </c>
      <c r="G7" s="7" t="n">
        <v>0</v>
      </c>
      <c r="H7" s="7">
        <f>F7+G7</f>
        <v/>
      </c>
      <c r="I7" s="6" t="inlineStr">
        <is>
          <t>Active</t>
        </is>
      </c>
      <c r="J7" s="6" t="inlineStr">
        <is>
          <t>June WIP schedule</t>
        </is>
      </c>
    </row>
    <row r="8">
      <c r="A8" s="6" t="inlineStr">
        <is>
          <t>ARM-2409</t>
        </is>
      </c>
      <c r="B8" s="6" t="inlineStr">
        <is>
          <t>2026-06-30</t>
        </is>
      </c>
      <c r="C8" s="6" t="inlineStr">
        <is>
          <t>signed backlog</t>
        </is>
      </c>
      <c r="D8" s="6" t="inlineStr">
        <is>
          <t>Priya Raman</t>
        </is>
      </c>
      <c r="E8" s="6" t="inlineStr">
        <is>
          <t>Northline Cold Storage Expansion</t>
        </is>
      </c>
      <c r="F8" s="7" t="n">
        <v>944227.0899999999</v>
      </c>
      <c r="G8" s="7" t="n">
        <v>0</v>
      </c>
      <c r="H8" s="7">
        <f>F8+G8</f>
        <v/>
      </c>
      <c r="I8" s="6" t="inlineStr">
        <is>
          <t>Active</t>
        </is>
      </c>
      <c r="J8" s="6" t="inlineStr">
        <is>
          <t>June WIP schedule</t>
        </is>
      </c>
    </row>
    <row r="9">
      <c r="A9" s="6" t="inlineStr">
        <is>
          <t>ARM-2412</t>
        </is>
      </c>
      <c r="B9" s="6" t="inlineStr">
        <is>
          <t>2026-06-30</t>
        </is>
      </c>
      <c r="C9" s="6" t="inlineStr">
        <is>
          <t>signed backlog</t>
        </is>
      </c>
      <c r="D9" s="6" t="inlineStr">
        <is>
          <t>Elliot Marks</t>
        </is>
      </c>
      <c r="E9" s="6" t="inlineStr">
        <is>
          <t>OSU Kelley Engineering Lab Ventilation</t>
        </is>
      </c>
      <c r="F9" s="7" t="n">
        <v>1248834.32</v>
      </c>
      <c r="G9" s="7" t="n">
        <v>0</v>
      </c>
      <c r="H9" s="7">
        <f>F9+G9</f>
        <v/>
      </c>
      <c r="I9" s="6" t="inlineStr">
        <is>
          <t>Active</t>
        </is>
      </c>
      <c r="J9" s="6" t="inlineStr">
        <is>
          <t>June WIP schedule</t>
        </is>
      </c>
    </row>
    <row r="10">
      <c r="A10" s="6" t="inlineStr">
        <is>
          <t>ARM-2417</t>
        </is>
      </c>
      <c r="B10" s="6" t="inlineStr">
        <is>
          <t>2026-06-30</t>
        </is>
      </c>
      <c r="C10" s="6" t="inlineStr">
        <is>
          <t>signed backlog</t>
        </is>
      </c>
      <c r="D10" s="6" t="inlineStr">
        <is>
          <t>Maya Chen</t>
        </is>
      </c>
      <c r="E10" s="6" t="inlineStr">
        <is>
          <t>Cascade Health Ambulatory Pavilion</t>
        </is>
      </c>
      <c r="F10" s="7" t="n">
        <v>4084040.53</v>
      </c>
      <c r="G10" s="7" t="n">
        <v>0</v>
      </c>
      <c r="H10" s="7">
        <f>F10+G10</f>
        <v/>
      </c>
      <c r="I10" s="6" t="inlineStr">
        <is>
          <t>Active</t>
        </is>
      </c>
      <c r="J10" s="6" t="inlineStr">
        <is>
          <t>June WIP schedule</t>
        </is>
      </c>
    </row>
    <row r="11">
      <c r="A11" s="6" t="inlineStr">
        <is>
          <t>ARM-2421</t>
        </is>
      </c>
      <c r="B11" s="6" t="inlineStr">
        <is>
          <t>2026-06-30</t>
        </is>
      </c>
      <c r="C11" s="6" t="inlineStr">
        <is>
          <t>signed backlog</t>
        </is>
      </c>
      <c r="D11" s="6" t="inlineStr">
        <is>
          <t>Lucas Bennett</t>
        </is>
      </c>
      <c r="E11" s="6" t="inlineStr">
        <is>
          <t>Juniper Hotel Boiler Plant Replacement</t>
        </is>
      </c>
      <c r="F11" s="7" t="n">
        <v>40449.25</v>
      </c>
      <c r="G11" s="7" t="n">
        <v>0</v>
      </c>
      <c r="H11" s="7">
        <f>F11+G11</f>
        <v/>
      </c>
      <c r="I11" s="6" t="inlineStr">
        <is>
          <t>Warranty</t>
        </is>
      </c>
      <c r="J11" s="6" t="inlineStr">
        <is>
          <t>June WIP schedule</t>
        </is>
      </c>
    </row>
    <row r="12">
      <c r="A12" s="6" t="inlineStr">
        <is>
          <t>ARM-2501</t>
        </is>
      </c>
      <c r="B12" s="6" t="inlineStr">
        <is>
          <t>2026-06-30</t>
        </is>
      </c>
      <c r="C12" s="6" t="inlineStr">
        <is>
          <t>signed backlog</t>
        </is>
      </c>
      <c r="D12" s="6" t="inlineStr">
        <is>
          <t>Sofia Alvarez</t>
        </is>
      </c>
      <c r="E12" s="6" t="inlineStr">
        <is>
          <t>PDX Concourse E Controls Retrofit</t>
        </is>
      </c>
      <c r="F12" s="7" t="n">
        <v>1178488.97</v>
      </c>
      <c r="G12" s="7" t="n">
        <v>0</v>
      </c>
      <c r="H12" s="7">
        <f>F12+G12</f>
        <v/>
      </c>
      <c r="I12" s="6" t="inlineStr">
        <is>
          <t>Active</t>
        </is>
      </c>
      <c r="J12" s="6" t="inlineStr">
        <is>
          <t>June WIP schedule</t>
        </is>
      </c>
    </row>
    <row r="13">
      <c r="A13" s="6" t="inlineStr">
        <is>
          <t>ARM-2506</t>
        </is>
      </c>
      <c r="B13" s="6" t="inlineStr">
        <is>
          <t>2026-06-30</t>
        </is>
      </c>
      <c r="C13" s="6" t="inlineStr">
        <is>
          <t>signed backlog</t>
        </is>
      </c>
      <c r="D13" s="6" t="inlineStr">
        <is>
          <t>Priya Raman</t>
        </is>
      </c>
      <c r="E13" s="6" t="inlineStr">
        <is>
          <t>Eastbank Data Hall Cooling Expansion</t>
        </is>
      </c>
      <c r="F13" s="7" t="n">
        <v>6202428.21</v>
      </c>
      <c r="G13" s="7" t="n">
        <v>0</v>
      </c>
      <c r="H13" s="7">
        <f>F13+G13</f>
        <v/>
      </c>
      <c r="I13" s="6" t="inlineStr">
        <is>
          <t>Active</t>
        </is>
      </c>
      <c r="J13" s="6" t="inlineStr">
        <is>
          <t>June WIP schedule</t>
        </is>
      </c>
    </row>
    <row r="14">
      <c r="A14" s="6" t="inlineStr">
        <is>
          <t>ARM-2510</t>
        </is>
      </c>
      <c r="B14" s="6" t="inlineStr">
        <is>
          <t>2026-06-30</t>
        </is>
      </c>
      <c r="C14" s="6" t="inlineStr">
        <is>
          <t>signed backlog</t>
        </is>
      </c>
      <c r="D14" s="6" t="inlineStr">
        <is>
          <t>Maya Chen</t>
        </is>
      </c>
      <c r="E14" s="6" t="inlineStr">
        <is>
          <t>Hawthorne Yard Mixed-Use Mechanical</t>
        </is>
      </c>
      <c r="F14" s="7" t="n">
        <v>4202610.4</v>
      </c>
      <c r="G14" s="7" t="n">
        <v>0</v>
      </c>
      <c r="H14" s="7">
        <f>F14+G14</f>
        <v/>
      </c>
      <c r="I14" s="6" t="inlineStr">
        <is>
          <t>Active</t>
        </is>
      </c>
      <c r="J14" s="6" t="inlineStr">
        <is>
          <t>June WIP schedule</t>
        </is>
      </c>
    </row>
    <row r="15">
      <c r="A15" s="6" t="inlineStr">
        <is>
          <t>ARM-2514</t>
        </is>
      </c>
      <c r="B15" s="6" t="inlineStr">
        <is>
          <t>2026-06-30</t>
        </is>
      </c>
      <c r="C15" s="6" t="inlineStr">
        <is>
          <t>signed backlog</t>
        </is>
      </c>
      <c r="D15" s="6" t="inlineStr">
        <is>
          <t>Lucas Bennett</t>
        </is>
      </c>
      <c r="E15" s="6" t="inlineStr">
        <is>
          <t>Redmond Unified Schools Phase 2</t>
        </is>
      </c>
      <c r="F15" s="7" t="n">
        <v>2007078.51</v>
      </c>
      <c r="G15" s="7" t="n">
        <v>0</v>
      </c>
      <c r="H15" s="7">
        <f>F15+G15</f>
        <v/>
      </c>
      <c r="I15" s="6" t="inlineStr">
        <is>
          <t>Active</t>
        </is>
      </c>
      <c r="J15" s="6" t="inlineStr">
        <is>
          <t>June WIP schedule</t>
        </is>
      </c>
    </row>
    <row r="16">
      <c r="A16" s="6" t="inlineStr">
        <is>
          <t>ARM-2518</t>
        </is>
      </c>
      <c r="B16" s="6" t="inlineStr">
        <is>
          <t>2026-06-30</t>
        </is>
      </c>
      <c r="C16" s="6" t="inlineStr">
        <is>
          <t>signed backlog</t>
        </is>
      </c>
      <c r="D16" s="6" t="inlineStr">
        <is>
          <t>Lucas Bennett</t>
        </is>
      </c>
      <c r="E16" s="6" t="inlineStr">
        <is>
          <t>Deschutes Fleet Services Maintenance Facility</t>
        </is>
      </c>
      <c r="F16" s="7" t="n">
        <v>1678857.81</v>
      </c>
      <c r="G16" s="7" t="n">
        <v>0</v>
      </c>
      <c r="H16" s="7">
        <f>F16+G16</f>
        <v/>
      </c>
      <c r="I16" s="6" t="inlineStr">
        <is>
          <t>Active</t>
        </is>
      </c>
      <c r="J16" s="6" t="inlineStr">
        <is>
          <t>June WIP schedule</t>
        </is>
      </c>
    </row>
    <row r="17">
      <c r="A17" s="6" t="inlineStr">
        <is>
          <t>ARM-2522</t>
        </is>
      </c>
      <c r="B17" s="6" t="inlineStr">
        <is>
          <t>2026-06-30</t>
        </is>
      </c>
      <c r="C17" s="6" t="inlineStr">
        <is>
          <t>signed backlog</t>
        </is>
      </c>
      <c r="D17" s="6" t="inlineStr">
        <is>
          <t>Elliot Marks</t>
        </is>
      </c>
      <c r="E17" s="6" t="inlineStr">
        <is>
          <t>Summit Surgical Center Central Plant</t>
        </is>
      </c>
      <c r="F17" s="7" t="n">
        <v>2618037.51</v>
      </c>
      <c r="G17" s="7" t="n">
        <v>0</v>
      </c>
      <c r="H17" s="7">
        <f>F17+G17</f>
        <v/>
      </c>
      <c r="I17" s="6" t="inlineStr">
        <is>
          <t>Active</t>
        </is>
      </c>
      <c r="J17" s="6" t="inlineStr">
        <is>
          <t>June WIP schedule</t>
        </is>
      </c>
    </row>
    <row r="18">
      <c r="A18" s="6" t="inlineStr">
        <is>
          <t>ARM-2526</t>
        </is>
      </c>
      <c r="B18" s="6" t="inlineStr">
        <is>
          <t>2026-06-30</t>
        </is>
      </c>
      <c r="C18" s="6" t="inlineStr">
        <is>
          <t>signed backlog</t>
        </is>
      </c>
      <c r="D18" s="6" t="inlineStr">
        <is>
          <t>Sofia Alvarez</t>
        </is>
      </c>
      <c r="E18" s="6" t="inlineStr">
        <is>
          <t>Willamette Food Co-op Refrigeration Upgrade</t>
        </is>
      </c>
      <c r="F18" s="7" t="n">
        <v>457912.45</v>
      </c>
      <c r="G18" s="7" t="n">
        <v>0</v>
      </c>
      <c r="H18" s="7">
        <f>F18+G18</f>
        <v/>
      </c>
      <c r="I18" s="6" t="inlineStr">
        <is>
          <t>Active</t>
        </is>
      </c>
      <c r="J18" s="6" t="inlineStr">
        <is>
          <t>June WIP schedule</t>
        </is>
      </c>
    </row>
    <row r="19">
      <c r="A19" s="6" t="inlineStr">
        <is>
          <t>ARM-2602</t>
        </is>
      </c>
      <c r="B19" s="6" t="inlineStr">
        <is>
          <t>2026-06-30</t>
        </is>
      </c>
      <c r="C19" s="6" t="inlineStr">
        <is>
          <t>signed backlog</t>
        </is>
      </c>
      <c r="D19" s="6" t="inlineStr">
        <is>
          <t>Priya Raman</t>
        </is>
      </c>
      <c r="E19" s="6" t="inlineStr">
        <is>
          <t>Pacific NW Distribution Center Heat Recovery</t>
        </is>
      </c>
      <c r="F19" s="7" t="n">
        <v>4728111.16</v>
      </c>
      <c r="G19" s="7" t="n">
        <v>0</v>
      </c>
      <c r="H19" s="7">
        <f>F19+G19</f>
        <v/>
      </c>
      <c r="I19" s="6" t="inlineStr">
        <is>
          <t>Active</t>
        </is>
      </c>
      <c r="J19" s="6" t="inlineStr">
        <is>
          <t>June WIP schedule</t>
        </is>
      </c>
    </row>
    <row r="20">
      <c r="A20" s="6" t="inlineStr">
        <is>
          <t>ARM-2605</t>
        </is>
      </c>
      <c r="B20" s="6" t="inlineStr">
        <is>
          <t>2026-06-30</t>
        </is>
      </c>
      <c r="C20" s="6" t="inlineStr">
        <is>
          <t>signed backlog</t>
        </is>
      </c>
      <c r="D20" s="6" t="inlineStr">
        <is>
          <t>Elliot Marks</t>
        </is>
      </c>
      <c r="E20" s="6" t="inlineStr">
        <is>
          <t>Rose Quarter Event Level Ventilation</t>
        </is>
      </c>
      <c r="F20" s="7" t="n">
        <v>5432384.74</v>
      </c>
      <c r="G20" s="7" t="n">
        <v>0</v>
      </c>
      <c r="H20" s="7">
        <f>F20+G20</f>
        <v/>
      </c>
      <c r="I20" s="6" t="inlineStr">
        <is>
          <t>Active</t>
        </is>
      </c>
      <c r="J20" s="6" t="inlineStr">
        <is>
          <t>June WIP schedule</t>
        </is>
      </c>
    </row>
    <row r="21">
      <c r="A21" s="6" t="inlineStr">
        <is>
          <t>ARM-2608</t>
        </is>
      </c>
      <c r="B21" s="6" t="inlineStr">
        <is>
          <t>2026-06-30</t>
        </is>
      </c>
      <c r="C21" s="6" t="inlineStr">
        <is>
          <t>signed backlog</t>
        </is>
      </c>
      <c r="D21" s="6" t="inlineStr">
        <is>
          <t>Sofia Alvarez</t>
        </is>
      </c>
      <c r="E21" s="6" t="inlineStr">
        <is>
          <t>Cascade Health Imaging Suite Controls</t>
        </is>
      </c>
      <c r="F21" s="7" t="n">
        <v>1235070.02</v>
      </c>
      <c r="G21" s="7" t="n">
        <v>0</v>
      </c>
      <c r="H21" s="7">
        <f>F21+G21</f>
        <v/>
      </c>
      <c r="I21" s="6" t="inlineStr">
        <is>
          <t>Active</t>
        </is>
      </c>
      <c r="J21" s="6" t="inlineStr">
        <is>
          <t>June WIP schedule</t>
        </is>
      </c>
    </row>
    <row r="22">
      <c r="A22" s="6" t="inlineStr">
        <is>
          <t>BD-26-001</t>
        </is>
      </c>
      <c r="B22" s="6" t="inlineStr">
        <is>
          <t>2026-08-10</t>
        </is>
      </c>
      <c r="C22" s="6" t="inlineStr">
        <is>
          <t>award pipeline</t>
        </is>
      </c>
      <c r="D22" s="6" t="inlineStr">
        <is>
          <t>Estimating / 35%</t>
        </is>
      </c>
      <c r="E22" s="6" t="inlineStr">
        <is>
          <t>City of Riverton Facilities Bureau; School district boiler program; start 2026-10-05; Normal bid assumptions; no award recorded in accounting</t>
        </is>
      </c>
      <c r="F22" s="7" t="n">
        <v>890000</v>
      </c>
      <c r="G22" s="7" t="n">
        <v>-578500</v>
      </c>
      <c r="H22" s="7">
        <f>F22+G22</f>
        <v/>
      </c>
      <c r="I22" s="6" t="inlineStr">
        <is>
          <t>Within plan</t>
        </is>
      </c>
      <c r="J22" s="6" t="inlineStr">
        <is>
          <t>business-development register</t>
        </is>
      </c>
    </row>
    <row r="23">
      <c r="A23" s="6" t="inlineStr">
        <is>
          <t>BD-26-002</t>
        </is>
      </c>
      <c r="B23" s="6" t="inlineStr">
        <is>
          <t>2026-09-13</t>
        </is>
      </c>
      <c r="C23" s="6" t="inlineStr">
        <is>
          <t>award pipeline</t>
        </is>
      </c>
      <c r="D23" s="6" t="inlineStr">
        <is>
          <t>Shortlisted / 55%</t>
        </is>
      </c>
      <c r="E23" s="6" t="inlineStr">
        <is>
          <t>Cascade Health Properties, LLC; Manufacturing ventilation project; start 2026-11-29; Normal bid assumptions; no award recorded in accounting</t>
        </is>
      </c>
      <c r="F23" s="7" t="n">
        <v>1300000</v>
      </c>
      <c r="G23" s="7" t="n">
        <v>-585000</v>
      </c>
      <c r="H23" s="7">
        <f>F23+G23</f>
        <v/>
      </c>
      <c r="I23" s="6" t="inlineStr">
        <is>
          <t>Within plan</t>
        </is>
      </c>
      <c r="J23" s="6" t="inlineStr">
        <is>
          <t>business-development register</t>
        </is>
      </c>
    </row>
    <row r="24">
      <c r="A24" s="6" t="inlineStr">
        <is>
          <t>BD-26-003</t>
        </is>
      </c>
      <c r="B24" s="6" t="inlineStr">
        <is>
          <t>2026-10-16</t>
        </is>
      </c>
      <c r="C24" s="6" t="inlineStr">
        <is>
          <t>award pipeline</t>
        </is>
      </c>
      <c r="D24" s="6" t="inlineStr">
        <is>
          <t>Best and final / 75%</t>
        </is>
      </c>
      <c r="E24" s="6" t="inlineStr">
        <is>
          <t>Northline Cold Storage Holdings; Laboratory exhaust and controls upgrade; start 2027-01-22; Normal bid assumptions; no award recorded in accounting</t>
        </is>
      </c>
      <c r="F24" s="7" t="n">
        <v>1710000</v>
      </c>
      <c r="G24" s="7" t="n">
        <v>-427500</v>
      </c>
      <c r="H24" s="7">
        <f>F24+G24</f>
        <v/>
      </c>
      <c r="I24" s="6" t="inlineStr">
        <is>
          <t>Within plan</t>
        </is>
      </c>
      <c r="J24" s="6" t="inlineStr">
        <is>
          <t>business-development register</t>
        </is>
      </c>
    </row>
    <row r="25">
      <c r="A25" s="6" t="inlineStr">
        <is>
          <t>BD-26-004</t>
        </is>
      </c>
      <c r="B25" s="6" t="inlineStr">
        <is>
          <t>2026-11-19</t>
        </is>
      </c>
      <c r="C25" s="6" t="inlineStr">
        <is>
          <t>award pipeline</t>
        </is>
      </c>
      <c r="D25" s="6" t="inlineStr">
        <is>
          <t>Budget / relationship / 20%</t>
        </is>
      </c>
      <c r="E25" s="6" t="inlineStr">
        <is>
          <t>Redmond Unified School District; Warehouse heat-pump conversion; start 2026-12-24; Normal bid assumptions; no award recorded in accounting</t>
        </is>
      </c>
      <c r="F25" s="7" t="n">
        <v>2120000</v>
      </c>
      <c r="G25" s="7" t="n">
        <v>-1696000</v>
      </c>
      <c r="H25" s="7">
        <f>F25+G25</f>
        <v/>
      </c>
      <c r="I25" s="6" t="inlineStr">
        <is>
          <t>Within plan</t>
        </is>
      </c>
      <c r="J25" s="6" t="inlineStr">
        <is>
          <t>business-development register</t>
        </is>
      </c>
    </row>
    <row r="26">
      <c r="A26" s="6" t="inlineStr">
        <is>
          <t>BD-26-005</t>
        </is>
      </c>
      <c r="B26" s="6" t="inlineStr">
        <is>
          <t>2026-07-22</t>
        </is>
      </c>
      <c r="C26" s="6" t="inlineStr">
        <is>
          <t>award pipeline</t>
        </is>
      </c>
      <c r="D26" s="6" t="inlineStr">
        <is>
          <t>Estimating / 35%</t>
        </is>
      </c>
      <c r="E26" s="6" t="inlineStr">
        <is>
          <t>Port of Portland Aviation; Occupied hospital air-handler replacement; start 2026-09-16; Owner schedule not final</t>
        </is>
      </c>
      <c r="F26" s="7" t="n">
        <v>2530000</v>
      </c>
      <c r="G26" s="7" t="n">
        <v>-1644500</v>
      </c>
      <c r="H26" s="7">
        <f>F26+G26</f>
        <v/>
      </c>
      <c r="I26" s="6" t="inlineStr">
        <is>
          <t>Required</t>
        </is>
      </c>
      <c r="J26" s="6" t="inlineStr">
        <is>
          <t>business-development register</t>
        </is>
      </c>
    </row>
    <row r="27">
      <c r="A27" s="6" t="inlineStr">
        <is>
          <t>BD-26-006</t>
        </is>
      </c>
      <c r="B27" s="6" t="inlineStr">
        <is>
          <t>2026-08-25</t>
        </is>
      </c>
      <c r="C27" s="6" t="inlineStr">
        <is>
          <t>award pipeline</t>
        </is>
      </c>
      <c r="D27" s="6" t="inlineStr">
        <is>
          <t>Shortlisted / 55%</t>
        </is>
      </c>
      <c r="E27" s="6" t="inlineStr">
        <is>
          <t>Columbia Biologics, Inc.; Medical office tenant improvement; start 2026-11-10; Normal bid assumptions; no award recorded in accounting</t>
        </is>
      </c>
      <c r="F27" s="7" t="n">
        <v>4557000</v>
      </c>
      <c r="G27" s="7" t="n">
        <v>-2050650</v>
      </c>
      <c r="H27" s="7">
        <f>F27+G27</f>
        <v/>
      </c>
      <c r="I27" s="6" t="inlineStr">
        <is>
          <t>Required</t>
        </is>
      </c>
      <c r="J27" s="6" t="inlineStr">
        <is>
          <t>business-development register</t>
        </is>
      </c>
    </row>
    <row r="28">
      <c r="A28" s="6" t="inlineStr">
        <is>
          <t>BD-26-007</t>
        </is>
      </c>
      <c r="B28" s="6" t="inlineStr">
        <is>
          <t>2026-09-09</t>
        </is>
      </c>
      <c r="C28" s="6" t="inlineStr">
        <is>
          <t>award pipeline</t>
        </is>
      </c>
      <c r="D28" s="6" t="inlineStr">
        <is>
          <t>Best and final / 75%</t>
        </is>
      </c>
      <c r="E28" s="6" t="inlineStr">
        <is>
          <t>Juniper Hospitality Partners; Preventive-maintenance portfolio conversion; start 2026-12-16; Normal bid assumptions; no award recorded in accounting</t>
        </is>
      </c>
      <c r="F28" s="7" t="n">
        <v>3350000</v>
      </c>
      <c r="G28" s="7" t="n">
        <v>-837500</v>
      </c>
      <c r="H28" s="7">
        <f>F28+G28</f>
        <v/>
      </c>
      <c r="I28" s="6" t="inlineStr">
        <is>
          <t>Within plan</t>
        </is>
      </c>
      <c r="J28" s="6" t="inlineStr">
        <is>
          <t>business-development register</t>
        </is>
      </c>
    </row>
    <row r="29">
      <c r="A29" s="6" t="inlineStr">
        <is>
          <t>BD-26-008</t>
        </is>
      </c>
      <c r="B29" s="6" t="inlineStr">
        <is>
          <t>2026-10-12</t>
        </is>
      </c>
      <c r="C29" s="6" t="inlineStr">
        <is>
          <t>award pipeline</t>
        </is>
      </c>
      <c r="D29" s="6" t="inlineStr">
        <is>
          <t>Budget / relationship / 20%</t>
        </is>
      </c>
      <c r="E29" s="6" t="inlineStr">
        <is>
          <t>Eastbank Data Infrastructure, LP; Distribution-center mechanical build-out; start 2026-11-16; Normal bid assumptions; no award recorded in accounting</t>
        </is>
      </c>
      <c r="F29" s="7" t="n">
        <v>480000</v>
      </c>
      <c r="G29" s="7" t="n">
        <v>-384000</v>
      </c>
      <c r="H29" s="7">
        <f>F29+G29</f>
        <v/>
      </c>
      <c r="I29" s="6" t="inlineStr">
        <is>
          <t>Within plan</t>
        </is>
      </c>
      <c r="J29" s="6" t="inlineStr">
        <is>
          <t>business-development register</t>
        </is>
      </c>
    </row>
    <row r="30">
      <c r="A30" s="6" t="inlineStr">
        <is>
          <t>BD-26-009</t>
        </is>
      </c>
      <c r="B30" s="6" t="inlineStr">
        <is>
          <t>2026-11-15</t>
        </is>
      </c>
      <c r="C30" s="6" t="inlineStr">
        <is>
          <t>award pipeline</t>
        </is>
      </c>
      <c r="D30" s="6" t="inlineStr">
        <is>
          <t>Estimating / 35%</t>
        </is>
      </c>
      <c r="E30" s="6" t="inlineStr">
        <is>
          <t>Oregon State University - Capital Planning; Domestic-water and plumbing renewal; start 2027-01-10; Normal bid assumptions; no award recorded in accounting</t>
        </is>
      </c>
      <c r="F30" s="7" t="n">
        <v>890000</v>
      </c>
      <c r="G30" s="7" t="n">
        <v>-578500</v>
      </c>
      <c r="H30" s="7">
        <f>F30+G30</f>
        <v/>
      </c>
      <c r="I30" s="6" t="inlineStr">
        <is>
          <t>Within plan</t>
        </is>
      </c>
      <c r="J30" s="6" t="inlineStr">
        <is>
          <t>business-development register</t>
        </is>
      </c>
    </row>
    <row r="31">
      <c r="A31" s="6" t="inlineStr">
        <is>
          <t>BD-26-010</t>
        </is>
      </c>
      <c r="B31" s="6" t="inlineStr">
        <is>
          <t>2026-07-18</t>
        </is>
      </c>
      <c r="C31" s="6" t="inlineStr">
        <is>
          <t>award pipeline</t>
        </is>
      </c>
      <c r="D31" s="6" t="inlineStr">
        <is>
          <t>Shortlisted / 55%</t>
        </is>
      </c>
      <c r="E31" s="6" t="inlineStr">
        <is>
          <t>Willamette Food Cooperative; Food-process refrigeration expansion; start 2026-10-03; Owner schedule not final</t>
        </is>
      </c>
      <c r="F31" s="7" t="n">
        <v>1300000</v>
      </c>
      <c r="G31" s="7" t="n">
        <v>-585000</v>
      </c>
      <c r="H31" s="7">
        <f>F31+G31</f>
        <v/>
      </c>
      <c r="I31" s="6" t="inlineStr">
        <is>
          <t>Within plan</t>
        </is>
      </c>
      <c r="J31" s="6" t="inlineStr">
        <is>
          <t>business-development register</t>
        </is>
      </c>
    </row>
    <row r="32">
      <c r="A32" s="6" t="inlineStr">
        <is>
          <t>BD-26-011</t>
        </is>
      </c>
      <c r="B32" s="6" t="inlineStr">
        <is>
          <t>2026-08-21</t>
        </is>
      </c>
      <c r="C32" s="6" t="inlineStr">
        <is>
          <t>award pipeline</t>
        </is>
      </c>
      <c r="D32" s="6" t="inlineStr">
        <is>
          <t>Best and final / 75%</t>
        </is>
      </c>
      <c r="E32" s="6" t="inlineStr">
        <is>
          <t>Hawthorne Urban Development, LLC; Campus controls standardization; start 2026-11-27; Normal bid assumptions; no award recorded in accounting</t>
        </is>
      </c>
      <c r="F32" s="7" t="n">
        <v>1710000</v>
      </c>
      <c r="G32" s="7" t="n">
        <v>-427500</v>
      </c>
      <c r="H32" s="7">
        <f>F32+G32</f>
        <v/>
      </c>
      <c r="I32" s="6" t="inlineStr">
        <is>
          <t>Within plan</t>
        </is>
      </c>
      <c r="J32" s="6" t="inlineStr">
        <is>
          <t>business-development register</t>
        </is>
      </c>
    </row>
    <row r="33">
      <c r="A33" s="6" t="inlineStr">
        <is>
          <t>BD-26-012</t>
        </is>
      </c>
      <c r="B33" s="6" t="inlineStr">
        <is>
          <t>2026-09-24</t>
        </is>
      </c>
      <c r="C33" s="6" t="inlineStr">
        <is>
          <t>award pipeline</t>
        </is>
      </c>
      <c r="D33" s="6" t="inlineStr">
        <is>
          <t>Budget / relationship / 20%</t>
        </is>
      </c>
      <c r="E33" s="6" t="inlineStr">
        <is>
          <t>Deschutes County Public Works; Central utility plant modernization; start 2026-10-29; Normal bid assumptions; no award recorded in accounting</t>
        </is>
      </c>
      <c r="F33" s="7" t="n">
        <v>2120000</v>
      </c>
      <c r="G33" s="7" t="n">
        <v>-1696000</v>
      </c>
      <c r="H33" s="7">
        <f>F33+G33</f>
        <v/>
      </c>
      <c r="I33" s="6" t="inlineStr">
        <is>
          <t>Within plan</t>
        </is>
      </c>
      <c r="J33" s="6" t="inlineStr">
        <is>
          <t>business-development register</t>
        </is>
      </c>
    </row>
    <row r="34">
      <c r="A34" s="6" t="inlineStr">
        <is>
          <t>BD-26-013</t>
        </is>
      </c>
      <c r="B34" s="6" t="inlineStr">
        <is>
          <t>2026-10-08</t>
        </is>
      </c>
      <c r="C34" s="6" t="inlineStr">
        <is>
          <t>award pipeline</t>
        </is>
      </c>
      <c r="D34" s="6" t="inlineStr">
        <is>
          <t>Estimating / 35%</t>
        </is>
      </c>
      <c r="E34" s="6" t="inlineStr">
        <is>
          <t>Summit Surgical Properties; School district boiler program; start 2026-12-03; Normal bid assumptions; no award recorded in accounting</t>
        </is>
      </c>
      <c r="F34" s="7" t="n">
        <v>3922000</v>
      </c>
      <c r="G34" s="7" t="n">
        <v>-2549300</v>
      </c>
      <c r="H34" s="7">
        <f>F34+G34</f>
        <v/>
      </c>
      <c r="I34" s="6" t="inlineStr">
        <is>
          <t>Required</t>
        </is>
      </c>
      <c r="J34" s="6" t="inlineStr">
        <is>
          <t>business-development register</t>
        </is>
      </c>
    </row>
    <row r="35">
      <c r="A35" s="6" t="inlineStr">
        <is>
          <t>BD-26-014</t>
        </is>
      </c>
      <c r="B35" s="6" t="inlineStr">
        <is>
          <t>2026-11-11</t>
        </is>
      </c>
      <c r="C35" s="6" t="inlineStr">
        <is>
          <t>award pipeline</t>
        </is>
      </c>
      <c r="D35" s="6" t="inlineStr">
        <is>
          <t>Shortlisted / 55%</t>
        </is>
      </c>
      <c r="E35" s="6" t="inlineStr">
        <is>
          <t>Pacific Northwest Distribution REIT; Manufacturing ventilation project; start 2027-01-27; Normal bid assumptions; no award recorded in accounting</t>
        </is>
      </c>
      <c r="F35" s="7" t="n">
        <v>2940000</v>
      </c>
      <c r="G35" s="7" t="n">
        <v>-1323000</v>
      </c>
      <c r="H35" s="7">
        <f>F35+G35</f>
        <v/>
      </c>
      <c r="I35" s="6" t="inlineStr">
        <is>
          <t>Within plan</t>
        </is>
      </c>
      <c r="J35" s="6" t="inlineStr">
        <is>
          <t>business-development register</t>
        </is>
      </c>
    </row>
    <row r="36">
      <c r="A36" s="6" t="inlineStr">
        <is>
          <t>BD-26-015</t>
        </is>
      </c>
      <c r="B36" s="6" t="inlineStr">
        <is>
          <t>2026-07-14</t>
        </is>
      </c>
      <c r="C36" s="6" t="inlineStr">
        <is>
          <t>award pipeline</t>
        </is>
      </c>
      <c r="D36" s="6" t="inlineStr">
        <is>
          <t>Best and final / 75%</t>
        </is>
      </c>
      <c r="E36" s="6" t="inlineStr">
        <is>
          <t>Rose Quarter Entertainment Holdings; Laboratory exhaust and controls upgrade; start 2026-10-20; Owner schedule not final</t>
        </is>
      </c>
      <c r="F36" s="7" t="n">
        <v>3350000</v>
      </c>
      <c r="G36" s="7" t="n">
        <v>-837500</v>
      </c>
      <c r="H36" s="7">
        <f>F36+G36</f>
        <v/>
      </c>
      <c r="I36" s="6" t="inlineStr">
        <is>
          <t>Within plan</t>
        </is>
      </c>
      <c r="J36" s="6" t="inlineStr">
        <is>
          <t>business-development register</t>
        </is>
      </c>
    </row>
    <row r="37">
      <c r="A37" s="6" t="inlineStr">
        <is>
          <t>BD-26-016</t>
        </is>
      </c>
      <c r="B37" s="6" t="inlineStr">
        <is>
          <t>2026-08-17</t>
        </is>
      </c>
      <c r="C37" s="6" t="inlineStr">
        <is>
          <t>award pipeline</t>
        </is>
      </c>
      <c r="D37" s="6" t="inlineStr">
        <is>
          <t>Budget / relationship / 20%</t>
        </is>
      </c>
      <c r="E37" s="6" t="inlineStr">
        <is>
          <t>Beacon Industrial Campus Services; Warehouse heat-pump conversion; start 2026-09-21; Normal bid assumptions; no award recorded in accounting</t>
        </is>
      </c>
      <c r="F37" s="7" t="n">
        <v>480000</v>
      </c>
      <c r="G37" s="7" t="n">
        <v>-384000</v>
      </c>
      <c r="H37" s="7">
        <f>F37+G37</f>
        <v/>
      </c>
      <c r="I37" s="6" t="inlineStr">
        <is>
          <t>Required</t>
        </is>
      </c>
      <c r="J37" s="6" t="inlineStr">
        <is>
          <t>business-development register</t>
        </is>
      </c>
    </row>
    <row r="38">
      <c r="A38" s="6" t="inlineStr">
        <is>
          <t>BD-26-017</t>
        </is>
      </c>
      <c r="B38" s="6" t="inlineStr">
        <is>
          <t>2026-09-20</t>
        </is>
      </c>
      <c r="C38" s="6" t="inlineStr">
        <is>
          <t>award pipeline</t>
        </is>
      </c>
      <c r="D38" s="6" t="inlineStr">
        <is>
          <t>Estimating / 35%</t>
        </is>
      </c>
      <c r="E38" s="6" t="inlineStr">
        <is>
          <t>Cedar Grove Schools Holdings, LLC; Occupied hospital air-handler replacement; start 2026-11-15; Normal bid assumptions; no award recorded in accounting</t>
        </is>
      </c>
      <c r="F38" s="7" t="n">
        <v>890000</v>
      </c>
      <c r="G38" s="7" t="n">
        <v>-578500</v>
      </c>
      <c r="H38" s="7">
        <f>F38+G38</f>
        <v/>
      </c>
      <c r="I38" s="6" t="inlineStr">
        <is>
          <t>Within plan</t>
        </is>
      </c>
      <c r="J38" s="6" t="inlineStr">
        <is>
          <t>business-development register</t>
        </is>
      </c>
    </row>
    <row r="39">
      <c r="A39" s="6" t="inlineStr">
        <is>
          <t>BD-26-018</t>
        </is>
      </c>
      <c r="B39" s="6" t="inlineStr">
        <is>
          <t>2026-10-23</t>
        </is>
      </c>
      <c r="C39" s="6" t="inlineStr">
        <is>
          <t>award pipeline</t>
        </is>
      </c>
      <c r="D39" s="6" t="inlineStr">
        <is>
          <t>Shortlisted / 55%</t>
        </is>
      </c>
      <c r="E39" s="6" t="inlineStr">
        <is>
          <t>Clackamas Health Network Operating Company; Medical office tenant improvement; start 2027-01-08; Normal bid assumptions; no award recorded in accounting</t>
        </is>
      </c>
      <c r="F39" s="7" t="n">
        <v>1300000</v>
      </c>
      <c r="G39" s="7" t="n">
        <v>-585000</v>
      </c>
      <c r="H39" s="7">
        <f>F39+G39</f>
        <v/>
      </c>
      <c r="I39" s="6" t="inlineStr">
        <is>
          <t>Within plan</t>
        </is>
      </c>
      <c r="J39" s="6" t="inlineStr">
        <is>
          <t>business-development register</t>
        </is>
      </c>
    </row>
    <row r="40">
      <c r="A40" s="6" t="inlineStr">
        <is>
          <t>BD-26-019</t>
        </is>
      </c>
      <c r="B40" s="6" t="inlineStr">
        <is>
          <t>2026-11-07</t>
        </is>
      </c>
      <c r="C40" s="6" t="inlineStr">
        <is>
          <t>award pipeline</t>
        </is>
      </c>
      <c r="D40" s="6" t="inlineStr">
        <is>
          <t>Best and final / 75%</t>
        </is>
      </c>
      <c r="E40" s="6" t="inlineStr">
        <is>
          <t>Copperline Apartments Development Company; Preventive-maintenance portfolio conversion; start 2027-02-13; Normal bid assumptions; no award recorded in accounting</t>
        </is>
      </c>
      <c r="F40" s="7" t="n">
        <v>2650000</v>
      </c>
      <c r="G40" s="7" t="n">
        <v>-662500</v>
      </c>
      <c r="H40" s="7">
        <f>F40+G40</f>
        <v/>
      </c>
      <c r="I40" s="6" t="inlineStr">
        <is>
          <t>Within plan</t>
        </is>
      </c>
      <c r="J40" s="6" t="inlineStr">
        <is>
          <t>business-development register</t>
        </is>
      </c>
    </row>
    <row r="41">
      <c r="A41" s="6" t="inlineStr">
        <is>
          <t>BD-26-020</t>
        </is>
      </c>
      <c r="B41" s="6" t="inlineStr">
        <is>
          <t>2026-07-10</t>
        </is>
      </c>
      <c r="C41" s="6" t="inlineStr">
        <is>
          <t>award pipeline</t>
        </is>
      </c>
      <c r="D41" s="6" t="inlineStr">
        <is>
          <t>Budget / relationship / 20%</t>
        </is>
      </c>
      <c r="E41" s="6" t="inlineStr">
        <is>
          <t>Evergreen Senior Living Facilities; Distribution-center mechanical build-out; start 2026-08-14; Owner schedule not final</t>
        </is>
      </c>
      <c r="F41" s="7" t="n">
        <v>2120000</v>
      </c>
      <c r="G41" s="7" t="n">
        <v>-1696000</v>
      </c>
      <c r="H41" s="7">
        <f>F41+G41</f>
        <v/>
      </c>
      <c r="I41" s="6" t="inlineStr">
        <is>
          <t>Required</t>
        </is>
      </c>
      <c r="J41" s="6" t="inlineStr">
        <is>
          <t>business-development register</t>
        </is>
      </c>
    </row>
    <row r="42">
      <c r="A42" s="6" t="inlineStr">
        <is>
          <t>BD-26-021</t>
        </is>
      </c>
      <c r="B42" s="6" t="inlineStr">
        <is>
          <t>2026-08-13</t>
        </is>
      </c>
      <c r="C42" s="6" t="inlineStr">
        <is>
          <t>award pipeline</t>
        </is>
      </c>
      <c r="D42" s="6" t="inlineStr">
        <is>
          <t>Estimating / 35%</t>
        </is>
      </c>
      <c r="E42" s="6" t="inlineStr">
        <is>
          <t>Forest Park Hospitality Campus Services; Domestic-water and plumbing renewal; start 2026-10-08; Normal bid assumptions; no award recorded in accounting</t>
        </is>
      </c>
      <c r="F42" s="7" t="n">
        <v>2530000</v>
      </c>
      <c r="G42" s="7" t="n">
        <v>-1644500</v>
      </c>
      <c r="H42" s="7">
        <f>F42+G42</f>
        <v/>
      </c>
      <c r="I42" s="6" t="inlineStr">
        <is>
          <t>Within plan</t>
        </is>
      </c>
      <c r="J42" s="6" t="inlineStr">
        <is>
          <t>business-development register</t>
        </is>
      </c>
    </row>
    <row r="43">
      <c r="A43" s="6" t="inlineStr">
        <is>
          <t>BD-26-022</t>
        </is>
      </c>
      <c r="B43" s="6" t="inlineStr">
        <is>
          <t>2026-09-16</t>
        </is>
      </c>
      <c r="C43" s="6" t="inlineStr">
        <is>
          <t>award pipeline</t>
        </is>
      </c>
      <c r="D43" s="6" t="inlineStr">
        <is>
          <t>Shortlisted / 55%</t>
        </is>
      </c>
      <c r="E43" s="6" t="inlineStr">
        <is>
          <t>Harborview Cold Chain Holdings, LLC; Food-process refrigeration expansion; start 2026-12-02; Normal bid assumptions; no award recorded in accounting</t>
        </is>
      </c>
      <c r="F43" s="7" t="n">
        <v>2940000</v>
      </c>
      <c r="G43" s="7" t="n">
        <v>-1323000</v>
      </c>
      <c r="H43" s="7">
        <f>F43+G43</f>
        <v/>
      </c>
      <c r="I43" s="6" t="inlineStr">
        <is>
          <t>Within plan</t>
        </is>
      </c>
      <c r="J43" s="6" t="inlineStr">
        <is>
          <t>business-development register</t>
        </is>
      </c>
    </row>
    <row r="44">
      <c r="A44" s="6" t="inlineStr">
        <is>
          <t>BD-26-023</t>
        </is>
      </c>
      <c r="B44" s="6" t="inlineStr">
        <is>
          <t>2026-10-19</t>
        </is>
      </c>
      <c r="C44" s="6" t="inlineStr">
        <is>
          <t>award pipeline</t>
        </is>
      </c>
      <c r="D44" s="6" t="inlineStr">
        <is>
          <t>Best and final / 75%</t>
        </is>
      </c>
      <c r="E44" s="6" t="inlineStr">
        <is>
          <t>Hillsboro Life Sciences Operating Company; Campus controls standardization; start 2027-01-25; Normal bid assumptions; no award recorded in accounting</t>
        </is>
      </c>
      <c r="F44" s="7" t="n">
        <v>3350000</v>
      </c>
      <c r="G44" s="7" t="n">
        <v>-837500</v>
      </c>
      <c r="H44" s="7">
        <f>F44+G44</f>
        <v/>
      </c>
      <c r="I44" s="6" t="inlineStr">
        <is>
          <t>Within plan</t>
        </is>
      </c>
      <c r="J44" s="6" t="inlineStr">
        <is>
          <t>business-development register</t>
        </is>
      </c>
    </row>
    <row r="45">
      <c r="A45" s="6" t="inlineStr">
        <is>
          <t>BD-26-024</t>
        </is>
      </c>
      <c r="B45" s="6" t="inlineStr">
        <is>
          <t>2026-11-22</t>
        </is>
      </c>
      <c r="C45" s="6" t="inlineStr">
        <is>
          <t>award pipeline</t>
        </is>
      </c>
      <c r="D45" s="6" t="inlineStr">
        <is>
          <t>Budget / relationship / 20%</t>
        </is>
      </c>
      <c r="E45" s="6" t="inlineStr">
        <is>
          <t>Klamath County Facilities Development Company; Central utility plant modernization; start 2026-12-27; Normal bid assumptions; no award recorded in accounting</t>
        </is>
      </c>
      <c r="F45" s="7" t="n">
        <v>744000</v>
      </c>
      <c r="G45" s="7" t="n">
        <v>-595200</v>
      </c>
      <c r="H45" s="7">
        <f>F45+G45</f>
        <v/>
      </c>
      <c r="I45" s="6" t="inlineStr">
        <is>
          <t>Within plan</t>
        </is>
      </c>
      <c r="J45" s="6" t="inlineStr">
        <is>
          <t>business-development register</t>
        </is>
      </c>
    </row>
  </sheetData>
  <mergeCells count="2">
    <mergeCell ref="A1:J1"/>
    <mergeCell ref="A2:J2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 outlineLevelRow="0"/>
  <cols>
    <col width="30" customWidth="1" min="1" max="1"/>
    <col width="14" customWidth="1" min="2" max="2"/>
    <col width="18" customWidth="1" min="3" max="5"/>
    <col width="12" customWidth="1" min="6" max="6"/>
    <col width="14" customWidth="1" min="7" max="7"/>
    <col width="58" customWidth="1" min="8" max="8"/>
  </cols>
  <sheetData>
    <row r="1" ht="23" customHeight="1">
      <c r="A1" s="1" t="inlineStr">
        <is>
          <t>Backlog conversion and award pipeline</t>
        </is>
      </c>
      <c r="B1" s="10" t="n"/>
      <c r="C1" s="10" t="n"/>
      <c r="D1" s="10" t="n"/>
      <c r="E1" s="10" t="n"/>
      <c r="F1" s="10" t="n"/>
      <c r="G1" s="10" t="n"/>
      <c r="H1" s="10" t="n"/>
    </row>
    <row r="2" ht="23" customHeight="1">
      <c r="A2" s="2" t="inlineStr">
        <is>
          <t>Owner-maintained finance workpaper | working / not final | formula summary from detail</t>
        </is>
      </c>
    </row>
    <row r="3"/>
    <row r="4"/>
    <row r="5" ht="30" customHeight="1">
      <c r="A5" s="3" t="inlineStr">
        <is>
          <t>category</t>
        </is>
      </c>
      <c r="B5" s="4" t="inlineStr">
        <is>
          <t>record count</t>
        </is>
      </c>
      <c r="C5" s="4" t="inlineStr">
        <is>
          <t>source total</t>
        </is>
      </c>
      <c r="D5" s="4" t="inlineStr">
        <is>
          <t>documented adj</t>
        </is>
      </c>
      <c r="E5" s="4" t="inlineStr">
        <is>
          <t>working total</t>
        </is>
      </c>
      <c r="F5" s="4" t="inlineStr">
        <is>
          <t>owner</t>
        </is>
      </c>
      <c r="G5" s="4" t="inlineStr">
        <is>
          <t>status</t>
        </is>
      </c>
      <c r="H5" s="5" t="inlineStr">
        <is>
          <t>interpretation</t>
        </is>
      </c>
    </row>
    <row r="6">
      <c r="A6" s="8" t="inlineStr">
        <is>
          <t>signed backlog</t>
        </is>
      </c>
      <c r="B6" s="8">
        <f>COUNTIF('detail - working'!C6:C45,A6)</f>
        <v/>
      </c>
      <c r="C6" s="9">
        <f>SUMIF('detail - working'!C6:C45,A6,'detail - working'!F6:F45)</f>
        <v/>
      </c>
      <c r="D6" s="9">
        <f>SUMIF('detail - working'!C6:C45,A6,'detail - working'!G6:G45)</f>
        <v/>
      </c>
      <c r="E6" s="9">
        <f>C6+D6</f>
        <v/>
      </c>
      <c r="F6" s="8" t="inlineStr">
        <is>
          <t>NB</t>
        </is>
      </c>
      <c r="G6" s="8" t="inlineStr">
        <is>
          <t>review</t>
        </is>
      </c>
      <c r="H6" s="8" t="inlineStr">
        <is>
          <t>Documented timing/classification item; not an arbitrary plug</t>
        </is>
      </c>
    </row>
    <row r="7">
      <c r="A7" s="8" t="inlineStr">
        <is>
          <t>award pipeline</t>
        </is>
      </c>
      <c r="B7" s="8">
        <f>COUNTIF('detail - working'!C6:C45,A7)</f>
        <v/>
      </c>
      <c r="C7" s="9">
        <f>SUMIF('detail - working'!C6:C45,A7,'detail - working'!F6:F45)</f>
        <v/>
      </c>
      <c r="D7" s="9">
        <f>SUMIF('detail - working'!C6:C45,A7,'detail - working'!G6:G45)</f>
        <v/>
      </c>
      <c r="E7" s="9">
        <f>C7+D7</f>
        <v/>
      </c>
      <c r="F7" s="8" t="inlineStr">
        <is>
          <t>KS</t>
        </is>
      </c>
      <c r="G7" s="8" t="inlineStr">
        <is>
          <t>tied</t>
        </is>
      </c>
      <c r="H7" s="8" t="inlineStr">
        <is>
          <t>Formula-linked to full supporting detail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52" customWidth="1" min="1" max="1"/>
    <col width="25" customWidth="1" min="2" max="3"/>
    <col width="42" customWidth="1" min="4" max="4"/>
    <col width="22" customWidth="1" min="5" max="5"/>
    <col width="72" customWidth="1" min="6" max="6"/>
  </cols>
  <sheetData>
    <row r="1" ht="23" customHeight="1">
      <c r="A1" s="1" t="inlineStr">
        <is>
          <t>Workbook links and lineage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External links are convenience references; imported source tabs and the 6/30 ERP cutoff remain the auditable basis.</t>
        </is>
      </c>
    </row>
    <row r="3"/>
    <row r="4"/>
    <row r="5" ht="30" customHeight="1">
      <c r="A5" s="3" t="inlineStr">
        <is>
          <t>upstream source</t>
        </is>
      </c>
      <c r="B5" s="4" t="inlineStr">
        <is>
          <t>role</t>
        </is>
      </c>
      <c r="C5" s="4" t="inlineStr">
        <is>
          <t>cutoff/version</t>
        </is>
      </c>
      <c r="D5" s="4" t="inlineStr">
        <is>
          <t>link behavior</t>
        </is>
      </c>
      <c r="E5" s="4" t="inlineStr">
        <is>
          <t>current imported total</t>
        </is>
      </c>
      <c r="F5" s="5" t="inlineStr">
        <is>
          <t>control note</t>
        </is>
      </c>
    </row>
    <row r="6">
      <c r="A6" s="8" t="inlineStr">
        <is>
          <t>WIP 5.31.26_FINAL_v7_revised NB.xlsx</t>
        </is>
      </c>
      <c r="B6" s="8" t="inlineStr">
        <is>
          <t>primary upstream workbook/import</t>
        </is>
      </c>
      <c r="C6" s="8" t="inlineStr">
        <is>
          <t>6/30/26 or named version</t>
        </is>
      </c>
      <c r="D6" s="8" t="inlineStr">
        <is>
          <t>Owner refreshes the imported source tab or scheduled query before close</t>
        </is>
      </c>
      <c r="E6" s="8">
        <f>SUM('detail - working'!H6:H45)</f>
        <v/>
      </c>
      <c r="F6" s="8" t="inlineStr">
        <is>
          <t>Imported detail is retained so the workbook remains auditable without a live connection</t>
        </is>
      </c>
    </row>
    <row r="7">
      <c r="A7" s="8" t="inlineStr">
        <is>
          <t>Vista ERP</t>
        </is>
      </c>
      <c r="B7" s="8" t="inlineStr">
        <is>
          <t>posted actuals</t>
        </is>
      </c>
      <c r="C7" s="8" t="inlineStr">
        <is>
          <t>2026-06-30</t>
        </is>
      </c>
      <c r="D7" s="8" t="inlineStr">
        <is>
          <t>scheduled report export</t>
        </is>
      </c>
      <c r="E7" s="8">
        <f>SUM('detail - working'!F6:F45)</f>
        <v/>
      </c>
      <c r="F7" s="8" t="inlineStr">
        <is>
          <t>Authoritative for posted balances and transactions</t>
        </is>
      </c>
    </row>
    <row r="8">
      <c r="A8" s="8" t="inlineStr">
        <is>
          <t>FY26 Op Plan_BoardApproved_12.18.25_FINAL2.xlsx</t>
        </is>
      </c>
      <c r="B8" s="8" t="inlineStr">
        <is>
          <t>plan</t>
        </is>
      </c>
      <c r="C8" s="8" t="inlineStr">
        <is>
          <t>approved 12/18/25</t>
        </is>
      </c>
      <c r="D8" s="8" t="inlineStr">
        <is>
          <t>external workbook</t>
        </is>
      </c>
      <c r="E8" s="8">
        <f>0</f>
        <v/>
      </c>
      <c r="F8" s="8" t="inlineStr">
        <is>
          <t>Authoritative approved plan, not actuals</t>
        </is>
      </c>
    </row>
    <row r="9">
      <c r="A9" s="8" t="inlineStr">
        <is>
          <t>WIP 5.31.26_FINAL_v7_revised NB.xlsx</t>
        </is>
      </c>
      <c r="B9" s="8" t="inlineStr">
        <is>
          <t>prior close</t>
        </is>
      </c>
      <c r="C9" s="8" t="inlineStr">
        <is>
          <t>2026-05-31</t>
        </is>
      </c>
      <c r="D9" s="8" t="inlineStr">
        <is>
          <t>external workbook</t>
        </is>
      </c>
      <c r="E9" s="8">
        <f>0</f>
        <v/>
      </c>
      <c r="F9" s="8" t="inlineStr">
        <is>
          <t>Prior-period baseline only</t>
        </is>
      </c>
    </row>
    <row r="10">
      <c r="A10" s="8" t="inlineStr">
        <is>
          <t>manual owner evidence</t>
        </is>
      </c>
      <c r="B10" s="8" t="inlineStr">
        <is>
          <t>judgment / classification</t>
        </is>
      </c>
      <c r="C10" s="8" t="inlineStr">
        <is>
          <t>noted per row</t>
        </is>
      </c>
      <c r="D10" s="8" t="inlineStr">
        <is>
          <t>documented adjustment column</t>
        </is>
      </c>
      <c r="E10" s="8">
        <f>SUM('detail - working'!G6:G45)</f>
        <v/>
      </c>
      <c r="F10" s="8" t="inlineStr">
        <is>
          <t>No silent plugs permitted</t>
        </is>
      </c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 outlineLevelRow="0"/>
  <cols>
    <col width="38" customWidth="1" min="1" max="1"/>
    <col width="18" customWidth="1" min="2" max="2"/>
    <col width="20" customWidth="1" min="3" max="3"/>
    <col width="14" customWidth="1" min="4" max="4"/>
    <col width="58" customWidth="1" min="5" max="5"/>
    <col width="24" customWidth="1" min="6" max="6"/>
  </cols>
  <sheetData>
    <row r="1" ht="23" customHeight="1">
      <c r="A1" s="1" t="inlineStr">
        <is>
          <t>Backlog conversion and award pipeline — checks / sign-off</t>
        </is>
      </c>
      <c r="B1" s="10" t="n"/>
      <c r="C1" s="10" t="n"/>
      <c r="D1" s="10" t="n"/>
      <c r="E1" s="10" t="n"/>
      <c r="F1" s="10" t="n"/>
    </row>
    <row r="2" ht="23" customHeight="1">
      <c r="A2" s="2" t="inlineStr">
        <is>
          <t>Formula-driven arithmetic, population and lineage controls</t>
        </is>
      </c>
    </row>
    <row r="3"/>
    <row r="4"/>
    <row r="5" ht="30" customHeight="1">
      <c r="A5" s="3" t="inlineStr">
        <is>
          <t>check</t>
        </is>
      </c>
      <c r="B5" s="4" t="inlineStr">
        <is>
          <t>expected</t>
        </is>
      </c>
      <c r="C5" s="4" t="inlineStr">
        <is>
          <t>actual / delta</t>
        </is>
      </c>
      <c r="D5" s="4" t="inlineStr">
        <is>
          <t>result</t>
        </is>
      </c>
      <c r="E5" s="4" t="inlineStr">
        <is>
          <t>explanation</t>
        </is>
      </c>
      <c r="F5" s="5" t="inlineStr">
        <is>
          <t>reviewer</t>
        </is>
      </c>
    </row>
    <row r="6">
      <c r="A6" s="8" t="inlineStr">
        <is>
          <t>Detail arithmetic</t>
        </is>
      </c>
      <c r="B6" s="8" t="n">
        <v>0</v>
      </c>
      <c r="C6" s="8">
        <f>SUM('detail - working'!H6:H45)-SUM('detail - working'!F6:F45)-SUM('detail - working'!G6:G45)</f>
        <v/>
      </c>
      <c r="D6" s="8">
        <f>IF(ABS(C6)&lt;0.01,"PASS","FAIL")</f>
        <v/>
      </c>
      <c r="E6" s="8" t="inlineStr">
        <is>
          <t>Working amount equals source plus documented adjustment</t>
        </is>
      </c>
      <c r="F6" s="8" t="n"/>
    </row>
    <row r="7">
      <c r="A7" s="8" t="inlineStr">
        <is>
          <t>Population count</t>
        </is>
      </c>
      <c r="B7" s="8" t="n">
        <v>40</v>
      </c>
      <c r="C7" s="8">
        <f>COUNTA('detail - working'!A6:A45)</f>
        <v/>
      </c>
      <c r="D7" s="8">
        <f>IF(C7=B7,"PASS","FAIL")</f>
        <v/>
      </c>
      <c r="E7" s="8" t="inlineStr">
        <is>
          <t>Full source population used for this workpaper</t>
        </is>
      </c>
      <c r="F7" s="8" t="n"/>
    </row>
    <row r="8">
      <c r="A8" s="8" t="inlineStr">
        <is>
          <t>Source lineage present</t>
        </is>
      </c>
      <c r="B8" s="8" t="n">
        <v>40</v>
      </c>
      <c r="C8" s="8">
        <f>COUNTA('detail - working'!J6:J45)</f>
        <v/>
      </c>
      <c r="D8" s="8">
        <f>IF(C8=B8,"PASS","FAIL")</f>
        <v/>
      </c>
      <c r="E8" s="8" t="inlineStr">
        <is>
          <t>Every row names a source/cutoff</t>
        </is>
      </c>
      <c r="F8" s="8" t="n"/>
    </row>
    <row r="9">
      <c r="A9" s="8" t="inlineStr">
        <is>
          <t>Silent adjustment check</t>
        </is>
      </c>
      <c r="B9" s="8" t="n">
        <v>0</v>
      </c>
      <c r="C9" s="8">
        <f>COUNTBLANK('detail - working'!G6:G45)-COUNTBLANK('detail - working'!A6:A45)</f>
        <v/>
      </c>
      <c r="D9" s="8">
        <f>IF(C9=0,"PASS","FAIL")</f>
        <v/>
      </c>
      <c r="E9" s="8" t="inlineStr">
        <is>
          <t>All adjustments are visible in column G</t>
        </is>
      </c>
      <c r="F9" s="8" t="n"/>
    </row>
    <row r="10">
      <c r="A10" s="8" t="inlineStr">
        <is>
          <t>Reviewer sign-off</t>
        </is>
      </c>
      <c r="B10" s="8" t="inlineStr">
        <is>
          <t>required</t>
        </is>
      </c>
      <c r="C10" s="8" t="inlineStr">
        <is>
          <t>pending</t>
        </is>
      </c>
      <c r="D10" s="8">
        <f>IF(C10=B10,"PASS","OPEN")</f>
        <v/>
      </c>
      <c r="E10" s="8" t="inlineStr">
        <is>
          <t>Working file; sign-off remains open</t>
        </is>
      </c>
      <c r="F10" s="8" t="n"/>
    </row>
  </sheetData>
  <mergeCells count="2">
    <mergeCell ref="A2:F2"/>
    <mergeCell ref="A1:F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Alder Ridge Finance</dc:creator>
  <dcterms:created xmlns:dcterms="http://purl.org/dc/terms/" xmlns:xsi="http://www.w3.org/2001/XMLSchema-instance" xsi:type="dcterms:W3CDTF">2026-07-01T00:00:00Z</dcterms:created>
  <dcterms:modified xmlns:dcterms="http://purl.org/dc/terms/" xmlns:xsi="http://www.w3.org/2001/XMLSchema-instance" xsi:type="dcterms:W3CDTF">2026-07-28T10:45:30Z</dcterms:modified>
  <cp:lastModifiedBy>Unknown</cp:lastModifiedBy>
</cp:coreProperties>
</file>