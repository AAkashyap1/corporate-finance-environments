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Midyear capital requests and equipment ROI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Department requests were copied from e-mails; approvals and expected in-service dates are incomplete.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CX-26-017</t>
        </is>
      </c>
      <c r="B6" s="6" t="inlineStr">
        <is>
          <t>2026-06-30</t>
        </is>
      </c>
      <c r="C6" s="6" t="inlineStr">
        <is>
          <t>Service</t>
        </is>
      </c>
      <c r="D6" s="6" t="inlineStr">
        <is>
          <t>Equipment line</t>
        </is>
      </c>
      <c r="E6" s="6" t="inlineStr">
        <is>
          <t>Three service vans; annual savings 54,000; 3.4 yr payback</t>
        </is>
      </c>
      <c r="F6" s="7" t="n">
        <v>186000</v>
      </c>
      <c r="G6" s="7" t="n">
        <v>0</v>
      </c>
      <c r="H6" s="7">
        <f>F6+G6</f>
        <v/>
      </c>
      <c r="I6" s="6" t="inlineStr">
        <is>
          <t>Approved - safety/reliability</t>
        </is>
      </c>
      <c r="J6" s="6" t="inlineStr">
        <is>
          <t>2026-08-15</t>
        </is>
      </c>
    </row>
    <row r="7">
      <c r="A7" s="6" t="inlineStr">
        <is>
          <t>CX-26-021</t>
        </is>
      </c>
      <c r="B7" s="6" t="inlineStr">
        <is>
          <t>2026-06-30</t>
        </is>
      </c>
      <c r="C7" s="6" t="inlineStr">
        <is>
          <t>Fabrication</t>
        </is>
      </c>
      <c r="D7" s="6" t="inlineStr">
        <is>
          <t>TBD</t>
        </is>
      </c>
      <c r="E7" s="6" t="inlineStr">
        <is>
          <t>CNC pipe profiling machine; annual savings 86,000; 2.9 yr payback</t>
        </is>
      </c>
      <c r="F7" s="7" t="n">
        <v>248000</v>
      </c>
      <c r="G7" s="7" t="n">
        <v>-248000</v>
      </c>
      <c r="H7" s="7">
        <f>F7+G7</f>
        <v/>
      </c>
      <c r="I7" s="6" t="inlineStr">
        <is>
          <t>Hold - electrical scope missing</t>
        </is>
      </c>
      <c r="J7" s="6" t="inlineStr">
        <is>
          <t>request log</t>
        </is>
      </c>
    </row>
    <row r="8">
      <c r="A8" s="6" t="inlineStr">
        <is>
          <t>CX-26-024</t>
        </is>
      </c>
      <c r="B8" s="6" t="inlineStr">
        <is>
          <t>2026-06-30</t>
        </is>
      </c>
      <c r="C8" s="6" t="inlineStr">
        <is>
          <t>Controls</t>
        </is>
      </c>
      <c r="D8" s="6" t="inlineStr">
        <is>
          <t>Cash</t>
        </is>
      </c>
      <c r="E8" s="6" t="inlineStr">
        <is>
          <t>Controls commissioning bench; annual savings 31,000; 3.0 yr payback</t>
        </is>
      </c>
      <c r="F8" s="7" t="n">
        <v>92000</v>
      </c>
      <c r="G8" s="7" t="n">
        <v>0</v>
      </c>
      <c r="H8" s="7">
        <f>F8+G8</f>
        <v/>
      </c>
      <c r="I8" s="6" t="inlineStr">
        <is>
          <t>Approved subject to training plan</t>
        </is>
      </c>
      <c r="J8" s="6" t="inlineStr">
        <is>
          <t>2026-09-01</t>
        </is>
      </c>
    </row>
    <row r="9">
      <c r="A9" s="6" t="inlineStr">
        <is>
          <t>CX-26-026</t>
        </is>
      </c>
      <c r="B9" s="6" t="inlineStr">
        <is>
          <t>2026-06-30</t>
        </is>
      </c>
      <c r="C9" s="6" t="inlineStr">
        <is>
          <t>Operations</t>
        </is>
      </c>
      <c r="D9" s="6" t="inlineStr">
        <is>
          <t>TBD</t>
        </is>
      </c>
      <c r="E9" s="6" t="inlineStr">
        <is>
          <t>Warehouse racking expansion; annual savings 22,000; 7.6 yr payback</t>
        </is>
      </c>
      <c r="F9" s="7" t="n">
        <v>168000</v>
      </c>
      <c r="G9" s="7" t="n">
        <v>-168000</v>
      </c>
      <c r="H9" s="7">
        <f>F9+G9</f>
        <v/>
      </c>
      <c r="I9" s="6" t="inlineStr">
        <is>
          <t>Deferred pending lease decision</t>
        </is>
      </c>
      <c r="J9" s="6" t="inlineStr">
        <is>
          <t>request log</t>
        </is>
      </c>
    </row>
    <row r="10">
      <c r="A10" s="6" t="inlineStr">
        <is>
          <t>CX-26-029</t>
        </is>
      </c>
      <c r="B10" s="6" t="inlineStr">
        <is>
          <t>2026-06-30</t>
        </is>
      </c>
      <c r="C10" s="6" t="inlineStr">
        <is>
          <t>IT / Operations</t>
        </is>
      </c>
      <c r="D10" s="6" t="inlineStr">
        <is>
          <t>Cash</t>
        </is>
      </c>
      <c r="E10" s="6" t="inlineStr">
        <is>
          <t>Field tablets - 24; annual savings 14,400; 2.7 yr payback</t>
        </is>
      </c>
      <c r="F10" s="7" t="n">
        <v>38400</v>
      </c>
      <c r="G10" s="7" t="n">
        <v>0</v>
      </c>
      <c r="H10" s="7">
        <f>F10+G10</f>
        <v/>
      </c>
      <c r="I10" s="6" t="inlineStr">
        <is>
          <t>Approved replacement cycle</t>
        </is>
      </c>
      <c r="J10" s="6" t="inlineStr">
        <is>
          <t>2026-07-31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Midyear capital requests and equipment ROI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rev 5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Service</t>
        </is>
      </c>
      <c r="B6" s="8">
        <f>COUNTIF('detail - working'!C6:C10,A6)</f>
        <v/>
      </c>
      <c r="C6" s="9">
        <f>SUMIF('detail - working'!C6:C10,A6,'detail - working'!F6:F10)</f>
        <v/>
      </c>
      <c r="D6" s="9">
        <f>SUMIF('detail - working'!C6:C10,A6,'detail - working'!G6:G10)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  <row r="7">
      <c r="A7" s="8" t="inlineStr">
        <is>
          <t>Fabrication</t>
        </is>
      </c>
      <c r="B7" s="8">
        <f>COUNTIF('detail - working'!C6:C10,A7)</f>
        <v/>
      </c>
      <c r="C7" s="9">
        <f>SUMIF('detail - working'!C6:C10,A7,'detail - working'!F6:F10)</f>
        <v/>
      </c>
      <c r="D7" s="9">
        <f>SUMIF('detail - working'!C6:C10,A7,'detail - working'!G6:G10)</f>
        <v/>
      </c>
      <c r="E7" s="9">
        <f>C7+D7</f>
        <v/>
      </c>
      <c r="F7" s="8" t="inlineStr">
        <is>
          <t>KS</t>
        </is>
      </c>
      <c r="G7" s="8" t="inlineStr">
        <is>
          <t>tied</t>
        </is>
      </c>
      <c r="H7" s="8" t="inlineStr">
        <is>
          <t>Formula-linked to full supporting detail</t>
        </is>
      </c>
    </row>
    <row r="8">
      <c r="A8" s="8" t="inlineStr">
        <is>
          <t>Controls</t>
        </is>
      </c>
      <c r="B8" s="8">
        <f>COUNTIF('detail - working'!C6:C10,A8)</f>
        <v/>
      </c>
      <c r="C8" s="9">
        <f>SUMIF('detail - working'!C6:C10,A8,'detail - working'!F6:F10)</f>
        <v/>
      </c>
      <c r="D8" s="9">
        <f>SUMIF('detail - working'!C6:C10,A8,'detail - working'!G6:G10)</f>
        <v/>
      </c>
      <c r="E8" s="9">
        <f>C8+D8</f>
        <v/>
      </c>
      <c r="F8" s="8" t="inlineStr">
        <is>
          <t>OL</t>
        </is>
      </c>
      <c r="G8" s="8" t="inlineStr">
        <is>
          <t>tied</t>
        </is>
      </c>
      <c r="H8" s="8" t="inlineStr">
        <is>
          <t>Formula-linked to full supporting detail</t>
        </is>
      </c>
    </row>
    <row r="9">
      <c r="A9" s="8" t="inlineStr">
        <is>
          <t>Operations</t>
        </is>
      </c>
      <c r="B9" s="8">
        <f>COUNTIF('detail - working'!C6:C10,A9)</f>
        <v/>
      </c>
      <c r="C9" s="9">
        <f>SUMIF('detail - working'!C6:C10,A9,'detail - working'!F6:F10)</f>
        <v/>
      </c>
      <c r="D9" s="9">
        <f>SUMIF('detail - working'!C6:C10,A9,'detail - working'!G6:G10)</f>
        <v/>
      </c>
      <c r="E9" s="9">
        <f>C9+D9</f>
        <v/>
      </c>
      <c r="F9" s="8" t="inlineStr">
        <is>
          <t>MW</t>
        </is>
      </c>
      <c r="G9" s="8" t="inlineStr">
        <is>
          <t>tied</t>
        </is>
      </c>
      <c r="H9" s="8" t="inlineStr">
        <is>
          <t>Formula-linked to full supporting detail</t>
        </is>
      </c>
    </row>
    <row r="10">
      <c r="A10" s="8" t="inlineStr">
        <is>
          <t>IT / Operations</t>
        </is>
      </c>
      <c r="B10" s="8">
        <f>COUNTIF('detail - working'!C6:C10,A10)</f>
        <v/>
      </c>
      <c r="C10" s="9">
        <f>SUMIF('detail - working'!C6:C10,A10,'detail - working'!F6:F10)</f>
        <v/>
      </c>
      <c r="D10" s="9">
        <f>SUMIF('detail - working'!C6:C10,A10,'detail - working'!G6:G10)</f>
        <v/>
      </c>
      <c r="E10" s="9">
        <f>C10+D10</f>
        <v/>
      </c>
      <c r="F10" s="8" t="inlineStr">
        <is>
          <t>MP</t>
        </is>
      </c>
      <c r="G10" s="8" t="inlineStr">
        <is>
          <t>tied</t>
        </is>
      </c>
      <c r="H10" s="8" t="inlineStr">
        <is>
          <t>Formula-linked to full supporting detail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13wk cash_v9 - 6.26 roll - DCHO edits.xlsx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working'!H6:H10)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working'!F6:F10)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working'!G6:G10)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Midyear capital requests and equipment ROI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working'!H6:H10)-SUM('detail - working'!F6:F10)-SUM('detail - working'!G6:G10)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5</v>
      </c>
      <c r="C7" s="8">
        <f>COUNTA('detail - working'!A6:A10)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5</v>
      </c>
      <c r="C8" s="8">
        <f>COUNTA('detail - working'!J6:J10)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working'!G6:G10)-COUNTBLANK('detail - working'!A6:A10)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2026-07-28T10:45:29Z</dcterms:modified>
  <cp:lastModifiedBy>Unknown</cp:lastModifiedBy>
</cp:coreProperties>
</file>