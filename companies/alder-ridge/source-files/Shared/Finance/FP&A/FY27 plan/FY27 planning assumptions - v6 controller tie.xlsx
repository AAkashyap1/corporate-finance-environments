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ver" sheetId="1" state="visible" r:id="rId1"/>
    <sheet xmlns:r="http://schemas.openxmlformats.org/officeDocument/2006/relationships" name="Revenue and Service" sheetId="2" state="visible" r:id="rId2"/>
    <sheet xmlns:r="http://schemas.openxmlformats.org/officeDocument/2006/relationships" name="Margin and Accuracy" sheetId="3" state="visible" r:id="rId3"/>
    <sheet xmlns:r="http://schemas.openxmlformats.org/officeDocument/2006/relationships" name="Opex and Workforce" sheetId="4" state="visible" r:id="rId4"/>
    <sheet xmlns:r="http://schemas.openxmlformats.org/officeDocument/2006/relationships" name="Branches and Backlog" sheetId="5" state="visible" r:id="rId5"/>
    <sheet xmlns:r="http://schemas.openxmlformats.org/officeDocument/2006/relationships" name="Working Capital" sheetId="6" state="visible" r:id="rId6"/>
    <sheet xmlns:r="http://schemas.openxmlformats.org/officeDocument/2006/relationships" name="Data Checks" sheetId="7" state="visible" r:id="rId7"/>
  </sheets>
  <definedNames>
    <definedName name="_xlnm._FilterDatabase" localSheetId="1" hidden="1">'Revenue and Service'!$A$4:$M$189</definedName>
    <definedName name="_xlnm._FilterDatabase" localSheetId="2" hidden="1">'Margin and Accuracy'!$A$4:$M$139</definedName>
    <definedName name="_xlnm._FilterDatabase" localSheetId="3" hidden="1">'Opex and Workforce'!$A$4:$M$322</definedName>
    <definedName name="_xlnm._FilterDatabase" localSheetId="4" hidden="1">'Branches and Backlog'!$A$4:$M$225</definedName>
    <definedName name="_xlnm._FilterDatabase" localSheetId="5" hidden="1">'Working Capital'!$A$4:$M$35</definedName>
  </definedNames>
</workbook>
</file>

<file path=xl/styles.xml><?xml version="1.0" encoding="utf-8"?>
<styleSheet xmlns="http://schemas.openxmlformats.org/spreadsheetml/2006/main">
  <numFmts count="2">
    <numFmt numFmtId="164" formatCode="#,##0.0000;[Red](#,##0.0000);-"/>
    <numFmt numFmtId="165" formatCode="yyyy-mm-dd"/>
  </numFmts>
  <fonts count="8">
    <font>
      <name val="Carlito"/>
      <sz val="11"/>
    </font>
    <font>
      <name val="Aptos"/>
      <b val="1"/>
      <color rgb="FF252321"/>
      <sz val="10"/>
    </font>
    <font>
      <name val="Aptos"/>
      <color rgb="FF252321"/>
      <sz val="10"/>
    </font>
    <font>
      <name val="Aptos"/>
      <b val="1"/>
      <color rgb="FFFFFFFF"/>
      <sz val="15"/>
    </font>
    <font>
      <name val="Aptos"/>
      <i val="1"/>
      <color rgb="FF252321"/>
      <sz val="9"/>
    </font>
    <font>
      <name val="Aptos"/>
      <b val="1"/>
      <color rgb="FFFFFFFF"/>
      <sz val="9"/>
    </font>
    <font>
      <name val="Aptos"/>
      <color rgb="FF252321"/>
      <sz val="8"/>
    </font>
    <font>
      <name val="Aptos"/>
      <color rgb="FF252321"/>
      <sz val="9"/>
    </font>
  </fonts>
  <fills count="6">
    <fill>
      <patternFill/>
    </fill>
    <fill>
      <patternFill patternType="gray125"/>
    </fill>
    <fill>
      <patternFill patternType="solid">
        <fgColor rgb="FFE4ECE7"/>
      </patternFill>
    </fill>
    <fill>
      <patternFill patternType="solid">
        <fgColor rgb="FFE2EFE6"/>
      </patternFill>
    </fill>
    <fill>
      <patternFill patternType="solid">
        <fgColor rgb="FF2A4337"/>
      </patternFill>
    </fill>
    <fill>
      <patternFill patternType="solid">
        <fgColor rgb="FF5A7669"/>
      </patternFill>
    </fill>
  </fills>
  <borders count="10">
    <border/>
    <border>
      <left style="thin">
        <color rgb="FF2A4337"/>
      </left>
      <top style="thin">
        <color rgb="FF2A4337"/>
      </top>
      <bottom style="thin">
        <color rgb="FF2A4337"/>
      </bottom>
    </border>
    <border>
      <top style="thin">
        <color rgb="FF2A4337"/>
      </top>
      <bottom style="thin">
        <color rgb="FF2A4337"/>
      </bottom>
    </border>
    <border>
      <right style="thin">
        <color rgb="FF2A4337"/>
      </right>
      <top style="thin">
        <color rgb="FF2A4337"/>
      </top>
      <bottom style="thin">
        <color rgb="FF2A4337"/>
      </bottom>
    </border>
    <border>
      <bottom style="hair">
        <color rgb="FFD8D0C6"/>
      </bottom>
    </border>
    <border>
      <top style="hair">
        <color rgb="FFD8D0C6"/>
      </top>
      <bottom style="hair">
        <color rgb="FFD8D0C6"/>
      </bottom>
    </border>
    <border>
      <top style="hair">
        <color rgb="FFD8D0C6"/>
      </top>
    </border>
    <border>
      <bottom style="thin">
        <color rgb="FFD8D0C6"/>
      </bottom>
    </border>
    <border>
      <top style="thin">
        <color rgb="FFD8D0C6"/>
      </top>
      <bottom style="thin">
        <color rgb="FFD8D0C6"/>
      </bottom>
    </border>
    <border>
      <top style="thin">
        <color rgb="FFD8D0C6"/>
      </top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0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vertical="center" wrapText="1"/>
    </xf>
    <xf numFmtId="0" fontId="5" fillId="5" borderId="2" applyAlignment="1" pivotButton="0" quotePrefix="0" xfId="0">
      <alignment vertical="center" wrapText="1"/>
    </xf>
    <xf numFmtId="0" fontId="5" fillId="5" borderId="3" applyAlignment="1" pivotButton="0" quotePrefix="0" xfId="0">
      <alignment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165" fontId="6" fillId="0" borderId="4" applyAlignment="1" pivotButton="0" quotePrefix="0" xfId="0">
      <alignment vertical="center"/>
    </xf>
    <xf numFmtId="165" fontId="6" fillId="0" borderId="5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0" fontId="6" fillId="2" borderId="4" applyAlignment="1" pivotButton="0" quotePrefix="0" xfId="0">
      <alignment vertical="center"/>
    </xf>
    <xf numFmtId="0" fontId="6" fillId="2" borderId="5" applyAlignment="1" pivotButton="0" quotePrefix="0" xfId="0">
      <alignment vertical="center"/>
    </xf>
    <xf numFmtId="0" fontId="6" fillId="2" borderId="6" applyAlignment="1" pivotButton="0" quotePrefix="0" xfId="0">
      <alignment vertical="center"/>
    </xf>
    <xf numFmtId="0" fontId="7" fillId="0" borderId="0" pivotButton="0" quotePrefix="0" xfId="0"/>
    <xf numFmtId="0" fontId="7" fillId="0" borderId="7" pivotButton="0" quotePrefix="0" xfId="0"/>
    <xf numFmtId="0" fontId="7" fillId="0" borderId="8" pivotButton="0" quotePrefix="0" xfId="0"/>
    <xf numFmtId="0" fontId="7" fillId="0" borderId="9" pivotButton="0" quotePrefix="0" xfId="0"/>
    <xf numFmtId="0" fontId="7" fillId="3" borderId="7" pivotButton="0" quotePrefix="0" xfId="0"/>
    <xf numFmtId="0" fontId="7" fillId="3" borderId="8" pivotButton="0" quotePrefix="0" xfId="0"/>
    <xf numFmtId="0" fontId="7" fillId="3" borderId="9" pivotButton="0" quotePrefix="0" xfId="0"/>
    <xf numFmtId="164" fontId="6" fillId="0" borderId="4" applyAlignment="1" pivotButton="0" quotePrefix="0" xfId="0">
      <alignment vertical="center"/>
    </xf>
    <xf numFmtId="165" fontId="6" fillId="0" borderId="4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2" customWidth="1" min="2" max="2"/>
  </cols>
  <sheetData>
    <row r="1" ht="25" customHeight="1">
      <c r="A1" s="6" t="n"/>
    </row>
    <row r="2" ht="25" customHeight="1"/>
    <row r="4">
      <c r="A4" s="2" t="inlineStr">
        <is>
          <t>Company</t>
        </is>
      </c>
      <c r="B4" s="5" t="inlineStr">
        <is>
          <t>Alder Ridge Mechanical</t>
        </is>
      </c>
    </row>
    <row r="5">
      <c r="A5" s="2" t="inlineStr">
        <is>
          <t>Reporting cutoff</t>
        </is>
      </c>
      <c r="B5" s="5" t="inlineStr">
        <is>
          <t>2026-06-30</t>
        </is>
      </c>
    </row>
    <row r="6">
      <c r="A6" s="2" t="inlineStr">
        <is>
          <t>Review date</t>
        </is>
      </c>
      <c r="B6" s="5" t="inlineStr">
        <is>
          <t>2026-07-05</t>
        </is>
      </c>
    </row>
    <row r="7">
      <c r="A7" s="2" t="inlineStr">
        <is>
          <t>Version</t>
        </is>
      </c>
      <c r="B7" s="5" t="inlineStr">
        <is>
          <t>Current controller-reviewed version</t>
        </is>
      </c>
    </row>
    <row r="8">
      <c r="A8" s="2" t="inlineStr">
        <is>
          <t>Workbook status</t>
        </is>
      </c>
      <c r="B8" s="5" t="inlineStr">
        <is>
          <t>CURRENT • CONTROLLER REVIEW COMPLETE</t>
        </is>
      </c>
    </row>
    <row r="9">
      <c r="A9" s="2" t="inlineStr">
        <is>
          <t>Purpose</t>
        </is>
      </c>
      <c r="B9" s="5" t="inlineStr">
        <is>
          <t>Management assumptions and supporting schedules used across the finance review</t>
        </is>
      </c>
    </row>
    <row r="10">
      <c r="A10" s="2" t="inlineStr">
        <is>
          <t>Authority</t>
        </is>
      </c>
      <c r="B10" s="5" t="inlineStr">
        <is>
          <t>Current management assumptions; posted actuals must be reconciled to Vista ERP</t>
        </is>
      </c>
    </row>
    <row r="12" ht="42" customHeight="1">
      <c r="B12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FY27 operating plan | Revenue and Service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PLN-00001</t>
        </is>
      </c>
      <c r="B5" s="27" t="inlineStr">
        <is>
          <t>FY27 branch revenue driver forecast</t>
        </is>
      </c>
      <c r="C5" s="27" t="inlineStr">
        <is>
          <t>FY26 posted revenue tie</t>
        </is>
      </c>
      <c r="D5" s="27" t="inlineStr">
        <is>
          <t>Construction</t>
        </is>
      </c>
      <c r="E5" s="27" t="inlineStr">
        <is>
          <t>LTM 2026-06-30</t>
        </is>
      </c>
      <c r="F5" s="27" t="inlineStr">
        <is>
          <t>Approved case</t>
        </is>
      </c>
      <c r="G5" s="27" t="inlineStr">
        <is>
          <t>Posted revenue allocation</t>
        </is>
      </c>
      <c r="H5" s="46" t="n">
        <v>0.58</v>
      </c>
      <c r="I5" s="27" t="inlineStr"/>
      <c r="J5" s="27" t="inlineStr">
        <is>
          <t>ledger allocation factor</t>
        </is>
      </c>
      <c r="K5" s="27" t="inlineStr">
        <is>
          <t>Branch mapping maintained outside the GL</t>
        </is>
      </c>
      <c r="L5" s="47" t="inlineStr">
        <is>
          <t>2026-06-30</t>
        </is>
      </c>
      <c r="M5" s="27" t="inlineStr">
        <is>
          <t>Vista ERP P&amp;L, 2025-07-01 through 2026-06-30; Revenue total</t>
        </is>
      </c>
    </row>
    <row r="6">
      <c r="A6" s="36" t="inlineStr">
        <is>
          <t>PLN-00002</t>
        </is>
      </c>
      <c r="B6" s="27" t="inlineStr">
        <is>
          <t>FY27 branch revenue driver forecast</t>
        </is>
      </c>
      <c r="C6" s="27" t="inlineStr">
        <is>
          <t>FY26 posted revenue tie</t>
        </is>
      </c>
      <c r="D6" s="27" t="inlineStr">
        <is>
          <t>Service</t>
        </is>
      </c>
      <c r="E6" s="27" t="inlineStr">
        <is>
          <t>LTM 2026-06-30</t>
        </is>
      </c>
      <c r="F6" s="27" t="inlineStr">
        <is>
          <t>Approved case</t>
        </is>
      </c>
      <c r="G6" s="27" t="inlineStr">
        <is>
          <t>Posted revenue allocation</t>
        </is>
      </c>
      <c r="H6" s="46" t="n">
        <v>0.27</v>
      </c>
      <c r="I6" s="27" t="inlineStr"/>
      <c r="J6" s="27" t="inlineStr">
        <is>
          <t>ledger allocation factor</t>
        </is>
      </c>
      <c r="K6" s="27" t="inlineStr">
        <is>
          <t>Branch mapping maintained outside the GL</t>
        </is>
      </c>
      <c r="L6" s="47" t="inlineStr">
        <is>
          <t>2026-06-30</t>
        </is>
      </c>
      <c r="M6" s="27" t="inlineStr">
        <is>
          <t>Vista ERP P&amp;L, 2025-07-01 through 2026-06-30; Revenue total</t>
        </is>
      </c>
    </row>
    <row r="7">
      <c r="A7" s="36" t="inlineStr">
        <is>
          <t>PLN-00003</t>
        </is>
      </c>
      <c r="B7" s="27" t="inlineStr">
        <is>
          <t>FY27 branch revenue driver forecast</t>
        </is>
      </c>
      <c r="C7" s="27" t="inlineStr">
        <is>
          <t>FY26 posted revenue tie</t>
        </is>
      </c>
      <c r="D7" s="27" t="inlineStr">
        <is>
          <t>Controls</t>
        </is>
      </c>
      <c r="E7" s="27" t="inlineStr">
        <is>
          <t>LTM 2026-06-30</t>
        </is>
      </c>
      <c r="F7" s="27" t="inlineStr">
        <is>
          <t>Approved case</t>
        </is>
      </c>
      <c r="G7" s="27" t="inlineStr">
        <is>
          <t>Posted revenue allocation</t>
        </is>
      </c>
      <c r="H7" s="46" t="n">
        <v>0.15</v>
      </c>
      <c r="I7" s="27" t="inlineStr"/>
      <c r="J7" s="27" t="inlineStr">
        <is>
          <t>ledger allocation factor</t>
        </is>
      </c>
      <c r="K7" s="27" t="inlineStr">
        <is>
          <t>Branch mapping maintained outside the GL</t>
        </is>
      </c>
      <c r="L7" s="47" t="inlineStr">
        <is>
          <t>2026-06-30</t>
        </is>
      </c>
      <c r="M7" s="27" t="inlineStr">
        <is>
          <t>Vista ERP P&amp;L, 2025-07-01 through 2026-06-30; Revenue total</t>
        </is>
      </c>
    </row>
    <row r="8">
      <c r="A8" s="36" t="inlineStr">
        <is>
          <t>PLN-00004</t>
        </is>
      </c>
      <c r="B8" s="27" t="inlineStr">
        <is>
          <t>FY27 branch revenue driver forecast</t>
        </is>
      </c>
      <c r="C8" s="27" t="inlineStr">
        <is>
          <t>FY27 approved branch drivers</t>
        </is>
      </c>
      <c r="D8" s="27" t="inlineStr">
        <is>
          <t>Construction</t>
        </is>
      </c>
      <c r="E8" s="27" t="inlineStr">
        <is>
          <t>FY27</t>
        </is>
      </c>
      <c r="F8" s="27" t="inlineStr">
        <is>
          <t>Approved case</t>
        </is>
      </c>
      <c r="G8" s="27" t="inlineStr">
        <is>
          <t>Core volume growth</t>
        </is>
      </c>
      <c r="H8" s="46" t="n">
        <v>-0.02</v>
      </c>
      <c r="I8" s="27" t="inlineStr"/>
      <c r="J8" s="27" t="inlineStr">
        <is>
          <t>decimal ratio</t>
        </is>
      </c>
      <c r="K8" s="27" t="inlineStr">
        <is>
          <t>Approved FY27 branch driver submission</t>
        </is>
      </c>
      <c r="L8" s="47" t="inlineStr">
        <is>
          <t>2026-06-30</t>
        </is>
      </c>
      <c r="M8" s="27" t="inlineStr"/>
    </row>
    <row r="9">
      <c r="A9" s="36" t="inlineStr">
        <is>
          <t>PLN-00005</t>
        </is>
      </c>
      <c r="B9" s="27" t="inlineStr">
        <is>
          <t>FY27 branch revenue driver forecast</t>
        </is>
      </c>
      <c r="C9" s="27" t="inlineStr">
        <is>
          <t>FY27 approved branch drivers</t>
        </is>
      </c>
      <c r="D9" s="27" t="inlineStr">
        <is>
          <t>Construction</t>
        </is>
      </c>
      <c r="E9" s="27" t="inlineStr">
        <is>
          <t>FY27</t>
        </is>
      </c>
      <c r="F9" s="27" t="inlineStr">
        <is>
          <t>Approved case</t>
        </is>
      </c>
      <c r="G9" s="27" t="inlineStr">
        <is>
          <t>Core price growth</t>
        </is>
      </c>
      <c r="H9" s="46" t="n">
        <v>0.032</v>
      </c>
      <c r="I9" s="27" t="inlineStr"/>
      <c r="J9" s="27" t="inlineStr">
        <is>
          <t>decimal ratio</t>
        </is>
      </c>
      <c r="K9" s="27" t="inlineStr">
        <is>
          <t>Approved FY27 branch driver submission</t>
        </is>
      </c>
      <c r="L9" s="47" t="inlineStr">
        <is>
          <t>2026-06-30</t>
        </is>
      </c>
      <c r="M9" s="27" t="inlineStr"/>
    </row>
    <row r="10">
      <c r="A10" s="36" t="inlineStr">
        <is>
          <t>PLN-00006</t>
        </is>
      </c>
      <c r="B10" s="27" t="inlineStr">
        <is>
          <t>FY27 branch revenue driver forecast</t>
        </is>
      </c>
      <c r="C10" s="27" t="inlineStr">
        <is>
          <t>FY27 approved branch drivers</t>
        </is>
      </c>
      <c r="D10" s="27" t="inlineStr">
        <is>
          <t>Construction</t>
        </is>
      </c>
      <c r="E10" s="27" t="inlineStr">
        <is>
          <t>FY27</t>
        </is>
      </c>
      <c r="F10" s="27" t="inlineStr">
        <is>
          <t>Approved case</t>
        </is>
      </c>
      <c r="G10" s="27" t="inlineStr">
        <is>
          <t>Pass-through share</t>
        </is>
      </c>
      <c r="H10" s="46" t="n">
        <v>0.18</v>
      </c>
      <c r="I10" s="27" t="inlineStr"/>
      <c r="J10" s="27" t="inlineStr">
        <is>
          <t>decimal ratio</t>
        </is>
      </c>
      <c r="K10" s="27" t="inlineStr">
        <is>
          <t>Approved FY27 branch driver submission</t>
        </is>
      </c>
      <c r="L10" s="47" t="inlineStr">
        <is>
          <t>2026-06-30</t>
        </is>
      </c>
      <c r="M10" s="27" t="inlineStr"/>
    </row>
    <row r="11">
      <c r="A11" s="36" t="inlineStr">
        <is>
          <t>PLN-00007</t>
        </is>
      </c>
      <c r="B11" s="27" t="inlineStr">
        <is>
          <t>FY27 branch revenue driver forecast</t>
        </is>
      </c>
      <c r="C11" s="27" t="inlineStr">
        <is>
          <t>FY27 approved branch drivers</t>
        </is>
      </c>
      <c r="D11" s="27" t="inlineStr">
        <is>
          <t>Construction</t>
        </is>
      </c>
      <c r="E11" s="27" t="inlineStr">
        <is>
          <t>FY27</t>
        </is>
      </c>
      <c r="F11" s="27" t="inlineStr">
        <is>
          <t>Approved case</t>
        </is>
      </c>
      <c r="G11" s="27" t="inlineStr">
        <is>
          <t>Signed backlog incremental revenue</t>
        </is>
      </c>
      <c r="H11" s="46" t="n">
        <v>2600000</v>
      </c>
      <c r="I11" s="27" t="inlineStr"/>
      <c r="J11" s="27" t="inlineStr">
        <is>
          <t>USD</t>
        </is>
      </c>
      <c r="K11" s="27" t="inlineStr">
        <is>
          <t>Approved FY27 branch driver submission</t>
        </is>
      </c>
      <c r="L11" s="47" t="inlineStr">
        <is>
          <t>2026-06-30</t>
        </is>
      </c>
      <c r="M11" s="27" t="inlineStr"/>
    </row>
    <row r="12">
      <c r="A12" s="36" t="inlineStr">
        <is>
          <t>PLN-00008</t>
        </is>
      </c>
      <c r="B12" s="27" t="inlineStr">
        <is>
          <t>FY27 branch revenue driver forecast</t>
        </is>
      </c>
      <c r="C12" s="27" t="inlineStr">
        <is>
          <t>FY27 approved branch drivers</t>
        </is>
      </c>
      <c r="D12" s="27" t="inlineStr">
        <is>
          <t>Service</t>
        </is>
      </c>
      <c r="E12" s="27" t="inlineStr">
        <is>
          <t>FY27</t>
        </is>
      </c>
      <c r="F12" s="27" t="inlineStr">
        <is>
          <t>Approved case</t>
        </is>
      </c>
      <c r="G12" s="27" t="inlineStr">
        <is>
          <t>Recurring share</t>
        </is>
      </c>
      <c r="H12" s="46" t="n">
        <v>0.48</v>
      </c>
      <c r="I12" s="27" t="inlineStr"/>
      <c r="J12" s="27" t="inlineStr">
        <is>
          <t>decimal ratio</t>
        </is>
      </c>
      <c r="K12" s="27" t="inlineStr">
        <is>
          <t>Approved FY27 branch driver submission</t>
        </is>
      </c>
      <c r="L12" s="47" t="inlineStr">
        <is>
          <t>2026-06-30</t>
        </is>
      </c>
      <c r="M12" s="27" t="inlineStr"/>
    </row>
    <row r="13">
      <c r="A13" s="36" t="inlineStr">
        <is>
          <t>PLN-00009</t>
        </is>
      </c>
      <c r="B13" s="27" t="inlineStr">
        <is>
          <t>FY27 branch revenue driver forecast</t>
        </is>
      </c>
      <c r="C13" s="27" t="inlineStr">
        <is>
          <t>FY27 approved branch drivers</t>
        </is>
      </c>
      <c r="D13" s="27" t="inlineStr">
        <is>
          <t>Service</t>
        </is>
      </c>
      <c r="E13" s="27" t="inlineStr">
        <is>
          <t>FY27</t>
        </is>
      </c>
      <c r="F13" s="27" t="inlineStr">
        <is>
          <t>Approved case</t>
        </is>
      </c>
      <c r="G13" s="27" t="inlineStr">
        <is>
          <t>Gross renewal rate</t>
        </is>
      </c>
      <c r="H13" s="46" t="n">
        <v>0.925</v>
      </c>
      <c r="I13" s="27" t="inlineStr"/>
      <c r="J13" s="27" t="inlineStr">
        <is>
          <t>decimal ratio</t>
        </is>
      </c>
      <c r="K13" s="27" t="inlineStr">
        <is>
          <t>Approved FY27 branch driver submission</t>
        </is>
      </c>
      <c r="L13" s="47" t="inlineStr">
        <is>
          <t>2026-06-30</t>
        </is>
      </c>
      <c r="M13" s="27" t="inlineStr"/>
    </row>
    <row r="14">
      <c r="A14" s="36" t="inlineStr">
        <is>
          <t>PLN-00010</t>
        </is>
      </c>
      <c r="B14" s="27" t="inlineStr">
        <is>
          <t>FY27 branch revenue driver forecast</t>
        </is>
      </c>
      <c r="C14" s="27" t="inlineStr">
        <is>
          <t>FY27 approved branch drivers</t>
        </is>
      </c>
      <c r="D14" s="27" t="inlineStr">
        <is>
          <t>Service</t>
        </is>
      </c>
      <c r="E14" s="27" t="inlineStr">
        <is>
          <t>FY27</t>
        </is>
      </c>
      <c r="F14" s="27" t="inlineStr">
        <is>
          <t>Approved case</t>
        </is>
      </c>
      <c r="G14" s="27" t="inlineStr">
        <is>
          <t>Renewal price escalation</t>
        </is>
      </c>
      <c r="H14" s="46" t="n">
        <v>0.04</v>
      </c>
      <c r="I14" s="27" t="inlineStr"/>
      <c r="J14" s="27" t="inlineStr">
        <is>
          <t>decimal ratio</t>
        </is>
      </c>
      <c r="K14" s="27" t="inlineStr">
        <is>
          <t>Approved FY27 branch driver submission</t>
        </is>
      </c>
      <c r="L14" s="47" t="inlineStr">
        <is>
          <t>2026-06-30</t>
        </is>
      </c>
      <c r="M14" s="27" t="inlineStr"/>
    </row>
    <row r="15">
      <c r="A15" s="36" t="inlineStr">
        <is>
          <t>PLN-00011</t>
        </is>
      </c>
      <c r="B15" s="27" t="inlineStr">
        <is>
          <t>FY27 branch revenue driver forecast</t>
        </is>
      </c>
      <c r="C15" s="27" t="inlineStr">
        <is>
          <t>FY27 approved branch drivers</t>
        </is>
      </c>
      <c r="D15" s="27" t="inlineStr">
        <is>
          <t>Service</t>
        </is>
      </c>
      <c r="E15" s="27" t="inlineStr">
        <is>
          <t>FY27</t>
        </is>
      </c>
      <c r="F15" s="27" t="inlineStr">
        <is>
          <t>Approved case</t>
        </is>
      </c>
      <c r="G15" s="27" t="inlineStr">
        <is>
          <t>Expansion ARR</t>
        </is>
      </c>
      <c r="H15" s="46" t="n">
        <v>760000</v>
      </c>
      <c r="I15" s="27" t="inlineStr"/>
      <c r="J15" s="27" t="inlineStr">
        <is>
          <t>USD</t>
        </is>
      </c>
      <c r="K15" s="27" t="inlineStr">
        <is>
          <t>Approved FY27 branch driver submission</t>
        </is>
      </c>
      <c r="L15" s="47" t="inlineStr">
        <is>
          <t>2026-06-30</t>
        </is>
      </c>
      <c r="M15" s="27" t="inlineStr"/>
    </row>
    <row r="16">
      <c r="A16" s="36" t="inlineStr">
        <is>
          <t>PLN-00012</t>
        </is>
      </c>
      <c r="B16" s="27" t="inlineStr">
        <is>
          <t>FY27 branch revenue driver forecast</t>
        </is>
      </c>
      <c r="C16" s="27" t="inlineStr">
        <is>
          <t>FY27 approved branch drivers</t>
        </is>
      </c>
      <c r="D16" s="27" t="inlineStr">
        <is>
          <t>Service</t>
        </is>
      </c>
      <c r="E16" s="27" t="inlineStr">
        <is>
          <t>FY27</t>
        </is>
      </c>
      <c r="F16" s="27" t="inlineStr">
        <is>
          <t>Approved case</t>
        </is>
      </c>
      <c r="G16" s="27" t="inlineStr">
        <is>
          <t>Demand-work volume growth</t>
        </is>
      </c>
      <c r="H16" s="46" t="n">
        <v>0.055</v>
      </c>
      <c r="I16" s="27" t="inlineStr"/>
      <c r="J16" s="27" t="inlineStr">
        <is>
          <t>decimal ratio</t>
        </is>
      </c>
      <c r="K16" s="27" t="inlineStr">
        <is>
          <t>Approved FY27 branch driver submission</t>
        </is>
      </c>
      <c r="L16" s="47" t="inlineStr">
        <is>
          <t>2026-06-30</t>
        </is>
      </c>
      <c r="M16" s="27" t="inlineStr"/>
    </row>
    <row r="17">
      <c r="A17" s="36" t="inlineStr">
        <is>
          <t>PLN-00013</t>
        </is>
      </c>
      <c r="B17" s="27" t="inlineStr">
        <is>
          <t>FY27 branch revenue driver forecast</t>
        </is>
      </c>
      <c r="C17" s="27" t="inlineStr">
        <is>
          <t>FY27 approved branch drivers</t>
        </is>
      </c>
      <c r="D17" s="27" t="inlineStr">
        <is>
          <t>Service</t>
        </is>
      </c>
      <c r="E17" s="27" t="inlineStr">
        <is>
          <t>FY27</t>
        </is>
      </c>
      <c r="F17" s="27" t="inlineStr">
        <is>
          <t>Approved case</t>
        </is>
      </c>
      <c r="G17" s="27" t="inlineStr">
        <is>
          <t>Demand-work price growth</t>
        </is>
      </c>
      <c r="H17" s="46" t="n">
        <v>0.025</v>
      </c>
      <c r="I17" s="27" t="inlineStr"/>
      <c r="J17" s="27" t="inlineStr">
        <is>
          <t>decimal ratio</t>
        </is>
      </c>
      <c r="K17" s="27" t="inlineStr">
        <is>
          <t>Approved FY27 branch driver submission</t>
        </is>
      </c>
      <c r="L17" s="47" t="inlineStr">
        <is>
          <t>2026-06-30</t>
        </is>
      </c>
      <c r="M17" s="27" t="inlineStr"/>
    </row>
    <row r="18">
      <c r="A18" s="36" t="inlineStr">
        <is>
          <t>PLN-00014</t>
        </is>
      </c>
      <c r="B18" s="27" t="inlineStr">
        <is>
          <t>FY27 branch revenue driver forecast</t>
        </is>
      </c>
      <c r="C18" s="27" t="inlineStr">
        <is>
          <t>FY27 approved branch drivers</t>
        </is>
      </c>
      <c r="D18" s="27" t="inlineStr">
        <is>
          <t>Service</t>
        </is>
      </c>
      <c r="E18" s="27" t="inlineStr">
        <is>
          <t>FY27</t>
        </is>
      </c>
      <c r="F18" s="27" t="inlineStr">
        <is>
          <t>Approved case</t>
        </is>
      </c>
      <c r="G18" s="27" t="inlineStr">
        <is>
          <t>Pass-through share</t>
        </is>
      </c>
      <c r="H18" s="46" t="n">
        <v>0.1</v>
      </c>
      <c r="I18" s="27" t="inlineStr"/>
      <c r="J18" s="27" t="inlineStr">
        <is>
          <t>decimal ratio</t>
        </is>
      </c>
      <c r="K18" s="27" t="inlineStr">
        <is>
          <t>Approved FY27 branch driver submission</t>
        </is>
      </c>
      <c r="L18" s="47" t="inlineStr">
        <is>
          <t>2026-06-30</t>
        </is>
      </c>
      <c r="M18" s="27" t="inlineStr"/>
    </row>
    <row r="19">
      <c r="A19" s="36" t="inlineStr">
        <is>
          <t>PLN-00015</t>
        </is>
      </c>
      <c r="B19" s="27" t="inlineStr">
        <is>
          <t>FY27 branch revenue driver forecast</t>
        </is>
      </c>
      <c r="C19" s="27" t="inlineStr">
        <is>
          <t>FY27 approved branch drivers</t>
        </is>
      </c>
      <c r="D19" s="27" t="inlineStr">
        <is>
          <t>Controls</t>
        </is>
      </c>
      <c r="E19" s="27" t="inlineStr">
        <is>
          <t>FY27</t>
        </is>
      </c>
      <c r="F19" s="27" t="inlineStr">
        <is>
          <t>Approved case</t>
        </is>
      </c>
      <c r="G19" s="27" t="inlineStr">
        <is>
          <t>Project volume growth</t>
        </is>
      </c>
      <c r="H19" s="46" t="n">
        <v>0.07000000000000001</v>
      </c>
      <c r="I19" s="27" t="inlineStr"/>
      <c r="J19" s="27" t="inlineStr">
        <is>
          <t>decimal ratio</t>
        </is>
      </c>
      <c r="K19" s="27" t="inlineStr">
        <is>
          <t>Approved FY27 branch driver submission</t>
        </is>
      </c>
      <c r="L19" s="47" t="inlineStr">
        <is>
          <t>2026-06-30</t>
        </is>
      </c>
      <c r="M19" s="27" t="inlineStr"/>
    </row>
    <row r="20">
      <c r="A20" s="36" t="inlineStr">
        <is>
          <t>PLN-00016</t>
        </is>
      </c>
      <c r="B20" s="27" t="inlineStr">
        <is>
          <t>FY27 branch revenue driver forecast</t>
        </is>
      </c>
      <c r="C20" s="27" t="inlineStr">
        <is>
          <t>FY27 approved branch drivers</t>
        </is>
      </c>
      <c r="D20" s="27" t="inlineStr">
        <is>
          <t>Controls</t>
        </is>
      </c>
      <c r="E20" s="27" t="inlineStr">
        <is>
          <t>FY27</t>
        </is>
      </c>
      <c r="F20" s="27" t="inlineStr">
        <is>
          <t>Approved case</t>
        </is>
      </c>
      <c r="G20" s="27" t="inlineStr">
        <is>
          <t>Project price growth</t>
        </is>
      </c>
      <c r="H20" s="46" t="n">
        <v>0.028</v>
      </c>
      <c r="I20" s="27" t="inlineStr"/>
      <c r="J20" s="27" t="inlineStr">
        <is>
          <t>decimal ratio</t>
        </is>
      </c>
      <c r="K20" s="27" t="inlineStr">
        <is>
          <t>Approved FY27 branch driver submission</t>
        </is>
      </c>
      <c r="L20" s="47" t="inlineStr">
        <is>
          <t>2026-06-30</t>
        </is>
      </c>
      <c r="M20" s="27" t="inlineStr"/>
    </row>
    <row r="21">
      <c r="A21" s="36" t="inlineStr">
        <is>
          <t>PLN-00017</t>
        </is>
      </c>
      <c r="B21" s="27" t="inlineStr">
        <is>
          <t>FY27 branch revenue driver forecast</t>
        </is>
      </c>
      <c r="C21" s="27" t="inlineStr">
        <is>
          <t>FY27 approved branch drivers</t>
        </is>
      </c>
      <c r="D21" s="27" t="inlineStr">
        <is>
          <t>Controls</t>
        </is>
      </c>
      <c r="E21" s="27" t="inlineStr">
        <is>
          <t>FY27</t>
        </is>
      </c>
      <c r="F21" s="27" t="inlineStr">
        <is>
          <t>Approved case</t>
        </is>
      </c>
      <c r="G21" s="27" t="inlineStr">
        <is>
          <t>Monitoring growth</t>
        </is>
      </c>
      <c r="H21" s="46" t="n">
        <v>0.11</v>
      </c>
      <c r="I21" s="27" t="inlineStr"/>
      <c r="J21" s="27" t="inlineStr">
        <is>
          <t>decimal ratio</t>
        </is>
      </c>
      <c r="K21" s="27" t="inlineStr">
        <is>
          <t>Approved FY27 branch driver submission</t>
        </is>
      </c>
      <c r="L21" s="47" t="inlineStr">
        <is>
          <t>2026-06-30</t>
        </is>
      </c>
      <c r="M21" s="27" t="inlineStr"/>
    </row>
    <row r="22">
      <c r="A22" s="36" t="inlineStr">
        <is>
          <t>PLN-00018</t>
        </is>
      </c>
      <c r="B22" s="27" t="inlineStr">
        <is>
          <t>FY27 branch revenue driver forecast</t>
        </is>
      </c>
      <c r="C22" s="27" t="inlineStr">
        <is>
          <t>FY27 approved branch drivers</t>
        </is>
      </c>
      <c r="D22" s="27" t="inlineStr">
        <is>
          <t>Controls</t>
        </is>
      </c>
      <c r="E22" s="27" t="inlineStr">
        <is>
          <t>FY27</t>
        </is>
      </c>
      <c r="F22" s="27" t="inlineStr">
        <is>
          <t>Approved case</t>
        </is>
      </c>
      <c r="G22" s="27" t="inlineStr">
        <is>
          <t>Monitoring share</t>
        </is>
      </c>
      <c r="H22" s="46" t="n">
        <v>0.22</v>
      </c>
      <c r="I22" s="27" t="inlineStr"/>
      <c r="J22" s="27" t="inlineStr">
        <is>
          <t>decimal ratio</t>
        </is>
      </c>
      <c r="K22" s="27" t="inlineStr">
        <is>
          <t>Approved FY27 branch driver submission</t>
        </is>
      </c>
      <c r="L22" s="47" t="inlineStr">
        <is>
          <t>2026-06-30</t>
        </is>
      </c>
      <c r="M22" s="27" t="inlineStr"/>
    </row>
    <row r="23">
      <c r="A23" s="36" t="inlineStr">
        <is>
          <t>PLN-00019</t>
        </is>
      </c>
      <c r="B23" s="27" t="inlineStr">
        <is>
          <t>FY27 branch revenue driver forecast</t>
        </is>
      </c>
      <c r="C23" s="27" t="inlineStr">
        <is>
          <t>FY27 approved branch drivers</t>
        </is>
      </c>
      <c r="D23" s="27" t="inlineStr">
        <is>
          <t>Controls</t>
        </is>
      </c>
      <c r="E23" s="27" t="inlineStr">
        <is>
          <t>FY27</t>
        </is>
      </c>
      <c r="F23" s="27" t="inlineStr">
        <is>
          <t>Approved case</t>
        </is>
      </c>
      <c r="G23" s="27" t="inlineStr">
        <is>
          <t>Signed backlog incremental revenue</t>
        </is>
      </c>
      <c r="H23" s="46" t="n">
        <v>640000</v>
      </c>
      <c r="I23" s="27" t="inlineStr"/>
      <c r="J23" s="27" t="inlineStr">
        <is>
          <t>USD</t>
        </is>
      </c>
      <c r="K23" s="27" t="inlineStr">
        <is>
          <t>Approved FY27 branch driver submission</t>
        </is>
      </c>
      <c r="L23" s="47" t="inlineStr">
        <is>
          <t>2026-06-30</t>
        </is>
      </c>
      <c r="M23" s="27" t="inlineStr"/>
    </row>
    <row r="24">
      <c r="A24" s="36" t="inlineStr">
        <is>
          <t>PLN-00020</t>
        </is>
      </c>
      <c r="B24" s="27" t="inlineStr">
        <is>
          <t>FY27 branch revenue driver forecast</t>
        </is>
      </c>
      <c r="C24" s="27" t="inlineStr">
        <is>
          <t>Reconciliation</t>
        </is>
      </c>
      <c r="D24" s="27" t="inlineStr">
        <is>
          <t>Corporate eliminations</t>
        </is>
      </c>
      <c r="E24" s="27" t="inlineStr">
        <is>
          <t>LTM 2026-06-30</t>
        </is>
      </c>
      <c r="F24" s="27" t="inlineStr">
        <is>
          <t>Approved case</t>
        </is>
      </c>
      <c r="G24" s="27" t="inlineStr">
        <is>
          <t>Unallocated posted revenue</t>
        </is>
      </c>
      <c r="H24" s="46" t="n">
        <v>0</v>
      </c>
      <c r="I24" s="27" t="inlineStr"/>
      <c r="J24" s="27" t="inlineStr">
        <is>
          <t>USD</t>
        </is>
      </c>
      <c r="K24" s="27" t="inlineStr">
        <is>
          <t>Controller branch mapping control</t>
        </is>
      </c>
      <c r="L24" s="47" t="inlineStr">
        <is>
          <t>2026-06-30</t>
        </is>
      </c>
      <c r="M24" s="27" t="inlineStr"/>
    </row>
    <row r="25">
      <c r="A25" s="36" t="inlineStr">
        <is>
          <t>PLN-00241</t>
        </is>
      </c>
      <c r="B25" s="27" t="inlineStr">
        <is>
          <t>Service revenue price-volume-mix variance</t>
        </is>
      </c>
      <c r="C25" s="27" t="inlineStr">
        <is>
          <t>Q2 service product detail</t>
        </is>
      </c>
      <c r="D25" s="27" t="inlineStr">
        <is>
          <t>Preventive</t>
        </is>
      </c>
      <c r="E25" s="27" t="inlineStr">
        <is>
          <t>2026-Q2</t>
        </is>
      </c>
      <c r="F25" s="27" t="inlineStr">
        <is>
          <t>Approved case</t>
        </is>
      </c>
      <c r="G25" s="27" t="inlineStr">
        <is>
          <t>Budget units</t>
        </is>
      </c>
      <c r="H25" s="46" t="n">
        <v>48000</v>
      </c>
      <c r="I25" s="27" t="inlineStr"/>
      <c r="J25" s="27" t="inlineStr">
        <is>
          <t>count</t>
        </is>
      </c>
      <c r="K25" s="27" t="inlineStr">
        <is>
          <t>Service operations and billing reconciliation</t>
        </is>
      </c>
      <c r="L25" s="47" t="inlineStr">
        <is>
          <t>2026-06-30</t>
        </is>
      </c>
      <c r="M25" s="27" t="inlineStr"/>
    </row>
    <row r="26">
      <c r="A26" s="36" t="inlineStr">
        <is>
          <t>PLN-00242</t>
        </is>
      </c>
      <c r="B26" s="27" t="inlineStr">
        <is>
          <t>Service revenue price-volume-mix variance</t>
        </is>
      </c>
      <c r="C26" s="27" t="inlineStr">
        <is>
          <t>Q2 service product detail</t>
        </is>
      </c>
      <c r="D26" s="27" t="inlineStr">
        <is>
          <t>Preventive</t>
        </is>
      </c>
      <c r="E26" s="27" t="inlineStr">
        <is>
          <t>2026-Q2</t>
        </is>
      </c>
      <c r="F26" s="27" t="inlineStr">
        <is>
          <t>Approved case</t>
        </is>
      </c>
      <c r="G26" s="27" t="inlineStr">
        <is>
          <t>Budget unit price</t>
        </is>
      </c>
      <c r="H26" s="46" t="n">
        <v>96</v>
      </c>
      <c r="I26" s="27" t="inlineStr"/>
      <c r="J26" s="27" t="inlineStr">
        <is>
          <t>USD per unit</t>
        </is>
      </c>
      <c r="K26" s="27" t="inlineStr">
        <is>
          <t>Service operations and billing reconciliation</t>
        </is>
      </c>
      <c r="L26" s="47" t="inlineStr">
        <is>
          <t>2026-06-30</t>
        </is>
      </c>
      <c r="M26" s="27" t="inlineStr"/>
    </row>
    <row r="27">
      <c r="A27" s="36" t="inlineStr">
        <is>
          <t>PLN-00243</t>
        </is>
      </c>
      <c r="B27" s="27" t="inlineStr">
        <is>
          <t>Service revenue price-volume-mix variance</t>
        </is>
      </c>
      <c r="C27" s="27" t="inlineStr">
        <is>
          <t>Q2 service product detail</t>
        </is>
      </c>
      <c r="D27" s="27" t="inlineStr">
        <is>
          <t>Preventive</t>
        </is>
      </c>
      <c r="E27" s="27" t="inlineStr">
        <is>
          <t>2026-Q2</t>
        </is>
      </c>
      <c r="F27" s="27" t="inlineStr">
        <is>
          <t>Approved case</t>
        </is>
      </c>
      <c r="G27" s="27" t="inlineStr">
        <is>
          <t>Actual units</t>
        </is>
      </c>
      <c r="H27" s="46" t="n">
        <v>51600</v>
      </c>
      <c r="I27" s="27" t="inlineStr"/>
      <c r="J27" s="27" t="inlineStr">
        <is>
          <t>count</t>
        </is>
      </c>
      <c r="K27" s="27" t="inlineStr">
        <is>
          <t>Service operations and billing reconciliation</t>
        </is>
      </c>
      <c r="L27" s="47" t="inlineStr">
        <is>
          <t>2026-06-30</t>
        </is>
      </c>
      <c r="M27" s="27" t="inlineStr"/>
    </row>
    <row r="28">
      <c r="A28" s="36" t="inlineStr">
        <is>
          <t>PLN-00244</t>
        </is>
      </c>
      <c r="B28" s="27" t="inlineStr">
        <is>
          <t>Service revenue price-volume-mix variance</t>
        </is>
      </c>
      <c r="C28" s="27" t="inlineStr">
        <is>
          <t>Q2 service product detail</t>
        </is>
      </c>
      <c r="D28" s="27" t="inlineStr">
        <is>
          <t>Preventive</t>
        </is>
      </c>
      <c r="E28" s="27" t="inlineStr">
        <is>
          <t>2026-Q2</t>
        </is>
      </c>
      <c r="F28" s="27" t="inlineStr">
        <is>
          <t>Approved case</t>
        </is>
      </c>
      <c r="G28" s="27" t="inlineStr">
        <is>
          <t>Actual unit price</t>
        </is>
      </c>
      <c r="H28" s="46" t="n">
        <v>98.40000000000001</v>
      </c>
      <c r="I28" s="27" t="inlineStr"/>
      <c r="J28" s="27" t="inlineStr">
        <is>
          <t>USD per unit</t>
        </is>
      </c>
      <c r="K28" s="27" t="inlineStr">
        <is>
          <t>Service operations and billing reconciliation</t>
        </is>
      </c>
      <c r="L28" s="47" t="inlineStr">
        <is>
          <t>2026-06-30</t>
        </is>
      </c>
      <c r="M28" s="27" t="inlineStr"/>
    </row>
    <row r="29">
      <c r="A29" s="36" t="inlineStr">
        <is>
          <t>PLN-00245</t>
        </is>
      </c>
      <c r="B29" s="27" t="inlineStr">
        <is>
          <t>Service revenue price-volume-mix variance</t>
        </is>
      </c>
      <c r="C29" s="27" t="inlineStr">
        <is>
          <t>Q2 service product detail</t>
        </is>
      </c>
      <c r="D29" s="27" t="inlineStr">
        <is>
          <t>Preventive</t>
        </is>
      </c>
      <c r="E29" s="27" t="inlineStr">
        <is>
          <t>2026-Q2</t>
        </is>
      </c>
      <c r="F29" s="27" t="inlineStr">
        <is>
          <t>Approved case</t>
        </is>
      </c>
      <c r="G29" s="27" t="inlineStr">
        <is>
          <t>Executed SLA credits</t>
        </is>
      </c>
      <c r="H29" s="46" t="n">
        <v>-18000</v>
      </c>
      <c r="I29" s="27" t="inlineStr"/>
      <c r="J29" s="27" t="inlineStr">
        <is>
          <t>USD</t>
        </is>
      </c>
      <c r="K29" s="27" t="inlineStr">
        <is>
          <t>Service operations and billing reconciliation</t>
        </is>
      </c>
      <c r="L29" s="47" t="inlineStr">
        <is>
          <t>2026-06-30</t>
        </is>
      </c>
      <c r="M29" s="27" t="inlineStr"/>
    </row>
    <row r="30">
      <c r="A30" s="36" t="inlineStr">
        <is>
          <t>PLN-00246</t>
        </is>
      </c>
      <c r="B30" s="27" t="inlineStr">
        <is>
          <t>Service revenue price-volume-mix variance</t>
        </is>
      </c>
      <c r="C30" s="27" t="inlineStr">
        <is>
          <t>Q2 service product detail</t>
        </is>
      </c>
      <c r="D30" s="27" t="inlineStr">
        <is>
          <t>Predictive</t>
        </is>
      </c>
      <c r="E30" s="27" t="inlineStr">
        <is>
          <t>2026-Q2</t>
        </is>
      </c>
      <c r="F30" s="27" t="inlineStr">
        <is>
          <t>Approved case</t>
        </is>
      </c>
      <c r="G30" s="27" t="inlineStr">
        <is>
          <t>Budget units</t>
        </is>
      </c>
      <c r="H30" s="46" t="n">
        <v>27000</v>
      </c>
      <c r="I30" s="27" t="inlineStr"/>
      <c r="J30" s="27" t="inlineStr">
        <is>
          <t>count</t>
        </is>
      </c>
      <c r="K30" s="27" t="inlineStr">
        <is>
          <t>Service operations and billing reconciliation</t>
        </is>
      </c>
      <c r="L30" s="47" t="inlineStr">
        <is>
          <t>2026-06-30</t>
        </is>
      </c>
      <c r="M30" s="27" t="inlineStr"/>
    </row>
    <row r="31">
      <c r="A31" s="36" t="inlineStr">
        <is>
          <t>PLN-00247</t>
        </is>
      </c>
      <c r="B31" s="27" t="inlineStr">
        <is>
          <t>Service revenue price-volume-mix variance</t>
        </is>
      </c>
      <c r="C31" s="27" t="inlineStr">
        <is>
          <t>Q2 service product detail</t>
        </is>
      </c>
      <c r="D31" s="27" t="inlineStr">
        <is>
          <t>Predictive</t>
        </is>
      </c>
      <c r="E31" s="27" t="inlineStr">
        <is>
          <t>2026-Q2</t>
        </is>
      </c>
      <c r="F31" s="27" t="inlineStr">
        <is>
          <t>Approved case</t>
        </is>
      </c>
      <c r="G31" s="27" t="inlineStr">
        <is>
          <t>Budget unit price</t>
        </is>
      </c>
      <c r="H31" s="46" t="n">
        <v>138</v>
      </c>
      <c r="I31" s="27" t="inlineStr"/>
      <c r="J31" s="27" t="inlineStr">
        <is>
          <t>USD per unit</t>
        </is>
      </c>
      <c r="K31" s="27" t="inlineStr">
        <is>
          <t>Service operations and billing reconciliation</t>
        </is>
      </c>
      <c r="L31" s="47" t="inlineStr">
        <is>
          <t>2026-06-30</t>
        </is>
      </c>
      <c r="M31" s="27" t="inlineStr"/>
    </row>
    <row r="32">
      <c r="A32" s="36" t="inlineStr">
        <is>
          <t>PLN-00248</t>
        </is>
      </c>
      <c r="B32" s="27" t="inlineStr">
        <is>
          <t>Service revenue price-volume-mix variance</t>
        </is>
      </c>
      <c r="C32" s="27" t="inlineStr">
        <is>
          <t>Q2 service product detail</t>
        </is>
      </c>
      <c r="D32" s="27" t="inlineStr">
        <is>
          <t>Predictive</t>
        </is>
      </c>
      <c r="E32" s="27" t="inlineStr">
        <is>
          <t>2026-Q2</t>
        </is>
      </c>
      <c r="F32" s="27" t="inlineStr">
        <is>
          <t>Approved case</t>
        </is>
      </c>
      <c r="G32" s="27" t="inlineStr">
        <is>
          <t>Actual units</t>
        </is>
      </c>
      <c r="H32" s="46" t="n">
        <v>25200</v>
      </c>
      <c r="I32" s="27" t="inlineStr"/>
      <c r="J32" s="27" t="inlineStr">
        <is>
          <t>count</t>
        </is>
      </c>
      <c r="K32" s="27" t="inlineStr">
        <is>
          <t>Service operations and billing reconciliation</t>
        </is>
      </c>
      <c r="L32" s="47" t="inlineStr">
        <is>
          <t>2026-06-30</t>
        </is>
      </c>
      <c r="M32" s="27" t="inlineStr"/>
    </row>
    <row r="33">
      <c r="A33" s="36" t="inlineStr">
        <is>
          <t>PLN-00249</t>
        </is>
      </c>
      <c r="B33" s="27" t="inlineStr">
        <is>
          <t>Service revenue price-volume-mix variance</t>
        </is>
      </c>
      <c r="C33" s="27" t="inlineStr">
        <is>
          <t>Q2 service product detail</t>
        </is>
      </c>
      <c r="D33" s="27" t="inlineStr">
        <is>
          <t>Predictive</t>
        </is>
      </c>
      <c r="E33" s="27" t="inlineStr">
        <is>
          <t>2026-Q2</t>
        </is>
      </c>
      <c r="F33" s="27" t="inlineStr">
        <is>
          <t>Approved case</t>
        </is>
      </c>
      <c r="G33" s="27" t="inlineStr">
        <is>
          <t>Actual unit price</t>
        </is>
      </c>
      <c r="H33" s="46" t="n">
        <v>142.5</v>
      </c>
      <c r="I33" s="27" t="inlineStr"/>
      <c r="J33" s="27" t="inlineStr">
        <is>
          <t>USD per unit</t>
        </is>
      </c>
      <c r="K33" s="27" t="inlineStr">
        <is>
          <t>Service operations and billing reconciliation</t>
        </is>
      </c>
      <c r="L33" s="47" t="inlineStr">
        <is>
          <t>2026-06-30</t>
        </is>
      </c>
      <c r="M33" s="27" t="inlineStr"/>
    </row>
    <row r="34">
      <c r="A34" s="36" t="inlineStr">
        <is>
          <t>PLN-00250</t>
        </is>
      </c>
      <c r="B34" s="27" t="inlineStr">
        <is>
          <t>Service revenue price-volume-mix variance</t>
        </is>
      </c>
      <c r="C34" s="27" t="inlineStr">
        <is>
          <t>Q2 service product detail</t>
        </is>
      </c>
      <c r="D34" s="27" t="inlineStr">
        <is>
          <t>Predictive</t>
        </is>
      </c>
      <c r="E34" s="27" t="inlineStr">
        <is>
          <t>2026-Q2</t>
        </is>
      </c>
      <c r="F34" s="27" t="inlineStr">
        <is>
          <t>Approved case</t>
        </is>
      </c>
      <c r="G34" s="27" t="inlineStr">
        <is>
          <t>Executed SLA credits</t>
        </is>
      </c>
      <c r="H34" s="46" t="n">
        <v>-24000</v>
      </c>
      <c r="I34" s="27" t="inlineStr"/>
      <c r="J34" s="27" t="inlineStr">
        <is>
          <t>USD</t>
        </is>
      </c>
      <c r="K34" s="27" t="inlineStr">
        <is>
          <t>Service operations and billing reconciliation</t>
        </is>
      </c>
      <c r="L34" s="47" t="inlineStr">
        <is>
          <t>2026-06-30</t>
        </is>
      </c>
      <c r="M34" s="27" t="inlineStr"/>
    </row>
    <row r="35">
      <c r="A35" s="36" t="inlineStr">
        <is>
          <t>PLN-00251</t>
        </is>
      </c>
      <c r="B35" s="27" t="inlineStr">
        <is>
          <t>Service revenue price-volume-mix variance</t>
        </is>
      </c>
      <c r="C35" s="27" t="inlineStr">
        <is>
          <t>Q2 service product detail</t>
        </is>
      </c>
      <c r="D35" s="27" t="inlineStr">
        <is>
          <t>Emergency</t>
        </is>
      </c>
      <c r="E35" s="27" t="inlineStr">
        <is>
          <t>2026-Q2</t>
        </is>
      </c>
      <c r="F35" s="27" t="inlineStr">
        <is>
          <t>Approved case</t>
        </is>
      </c>
      <c r="G35" s="27" t="inlineStr">
        <is>
          <t>Budget units</t>
        </is>
      </c>
      <c r="H35" s="46" t="n">
        <v>15000</v>
      </c>
      <c r="I35" s="27" t="inlineStr"/>
      <c r="J35" s="27" t="inlineStr">
        <is>
          <t>count</t>
        </is>
      </c>
      <c r="K35" s="27" t="inlineStr">
        <is>
          <t>Service operations and billing reconciliation</t>
        </is>
      </c>
      <c r="L35" s="47" t="inlineStr">
        <is>
          <t>2026-06-30</t>
        </is>
      </c>
      <c r="M35" s="27" t="inlineStr"/>
    </row>
    <row r="36">
      <c r="A36" s="36" t="inlineStr">
        <is>
          <t>PLN-00252</t>
        </is>
      </c>
      <c r="B36" s="27" t="inlineStr">
        <is>
          <t>Service revenue price-volume-mix variance</t>
        </is>
      </c>
      <c r="C36" s="27" t="inlineStr">
        <is>
          <t>Q2 service product detail</t>
        </is>
      </c>
      <c r="D36" s="27" t="inlineStr">
        <is>
          <t>Emergency</t>
        </is>
      </c>
      <c r="E36" s="27" t="inlineStr">
        <is>
          <t>2026-Q2</t>
        </is>
      </c>
      <c r="F36" s="27" t="inlineStr">
        <is>
          <t>Approved case</t>
        </is>
      </c>
      <c r="G36" s="27" t="inlineStr">
        <is>
          <t>Budget unit price</t>
        </is>
      </c>
      <c r="H36" s="46" t="n">
        <v>192</v>
      </c>
      <c r="I36" s="27" t="inlineStr"/>
      <c r="J36" s="27" t="inlineStr">
        <is>
          <t>USD per unit</t>
        </is>
      </c>
      <c r="K36" s="27" t="inlineStr">
        <is>
          <t>Service operations and billing reconciliation</t>
        </is>
      </c>
      <c r="L36" s="47" t="inlineStr">
        <is>
          <t>2026-06-30</t>
        </is>
      </c>
      <c r="M36" s="27" t="inlineStr"/>
    </row>
    <row r="37">
      <c r="A37" s="36" t="inlineStr">
        <is>
          <t>PLN-00253</t>
        </is>
      </c>
      <c r="B37" s="27" t="inlineStr">
        <is>
          <t>Service revenue price-volume-mix variance</t>
        </is>
      </c>
      <c r="C37" s="27" t="inlineStr">
        <is>
          <t>Q2 service product detail</t>
        </is>
      </c>
      <c r="D37" s="27" t="inlineStr">
        <is>
          <t>Emergency</t>
        </is>
      </c>
      <c r="E37" s="27" t="inlineStr">
        <is>
          <t>2026-Q2</t>
        </is>
      </c>
      <c r="F37" s="27" t="inlineStr">
        <is>
          <t>Approved case</t>
        </is>
      </c>
      <c r="G37" s="27" t="inlineStr">
        <is>
          <t>Actual units</t>
        </is>
      </c>
      <c r="H37" s="46" t="n">
        <v>17450</v>
      </c>
      <c r="I37" s="27" t="inlineStr"/>
      <c r="J37" s="27" t="inlineStr">
        <is>
          <t>count</t>
        </is>
      </c>
      <c r="K37" s="27" t="inlineStr">
        <is>
          <t>Service operations and billing reconciliation</t>
        </is>
      </c>
      <c r="L37" s="47" t="inlineStr">
        <is>
          <t>2026-06-30</t>
        </is>
      </c>
      <c r="M37" s="27" t="inlineStr"/>
    </row>
    <row r="38">
      <c r="A38" s="36" t="inlineStr">
        <is>
          <t>PLN-00254</t>
        </is>
      </c>
      <c r="B38" s="27" t="inlineStr">
        <is>
          <t>Service revenue price-volume-mix variance</t>
        </is>
      </c>
      <c r="C38" s="27" t="inlineStr">
        <is>
          <t>Q2 service product detail</t>
        </is>
      </c>
      <c r="D38" s="27" t="inlineStr">
        <is>
          <t>Emergency</t>
        </is>
      </c>
      <c r="E38" s="27" t="inlineStr">
        <is>
          <t>2026-Q2</t>
        </is>
      </c>
      <c r="F38" s="27" t="inlineStr">
        <is>
          <t>Approved case</t>
        </is>
      </c>
      <c r="G38" s="27" t="inlineStr">
        <is>
          <t>Actual unit price</t>
        </is>
      </c>
      <c r="H38" s="46" t="n">
        <v>202</v>
      </c>
      <c r="I38" s="27" t="inlineStr"/>
      <c r="J38" s="27" t="inlineStr">
        <is>
          <t>USD per unit</t>
        </is>
      </c>
      <c r="K38" s="27" t="inlineStr">
        <is>
          <t>Service operations and billing reconciliation</t>
        </is>
      </c>
      <c r="L38" s="47" t="inlineStr">
        <is>
          <t>2026-06-30</t>
        </is>
      </c>
      <c r="M38" s="27" t="inlineStr"/>
    </row>
    <row r="39">
      <c r="A39" s="36" t="inlineStr">
        <is>
          <t>PLN-00255</t>
        </is>
      </c>
      <c r="B39" s="27" t="inlineStr">
        <is>
          <t>Service revenue price-volume-mix variance</t>
        </is>
      </c>
      <c r="C39" s="27" t="inlineStr">
        <is>
          <t>Q2 service product detail</t>
        </is>
      </c>
      <c r="D39" s="27" t="inlineStr">
        <is>
          <t>Emergency</t>
        </is>
      </c>
      <c r="E39" s="27" t="inlineStr">
        <is>
          <t>2026-Q2</t>
        </is>
      </c>
      <c r="F39" s="27" t="inlineStr">
        <is>
          <t>Approved case</t>
        </is>
      </c>
      <c r="G39" s="27" t="inlineStr">
        <is>
          <t>Executed SLA credits</t>
        </is>
      </c>
      <c r="H39" s="46" t="n">
        <v>-42000</v>
      </c>
      <c r="I39" s="27" t="inlineStr"/>
      <c r="J39" s="27" t="inlineStr">
        <is>
          <t>USD</t>
        </is>
      </c>
      <c r="K39" s="27" t="inlineStr">
        <is>
          <t>Service operations and billing reconciliation</t>
        </is>
      </c>
      <c r="L39" s="47" t="inlineStr">
        <is>
          <t>2026-06-30</t>
        </is>
      </c>
      <c r="M39" s="27" t="inlineStr"/>
    </row>
    <row r="40">
      <c r="A40" s="36" t="inlineStr">
        <is>
          <t>PLN-00256</t>
        </is>
      </c>
      <c r="B40" s="27" t="inlineStr">
        <is>
          <t>Service revenue price-volume-mix variance</t>
        </is>
      </c>
      <c r="C40" s="27" t="inlineStr">
        <is>
          <t>Q2 service product detail</t>
        </is>
      </c>
      <c r="D40" s="27" t="inlineStr">
        <is>
          <t>Remote monitoring</t>
        </is>
      </c>
      <c r="E40" s="27" t="inlineStr">
        <is>
          <t>2026-Q2</t>
        </is>
      </c>
      <c r="F40" s="27" t="inlineStr">
        <is>
          <t>Approved case</t>
        </is>
      </c>
      <c r="G40" s="27" t="inlineStr">
        <is>
          <t>Budget units</t>
        </is>
      </c>
      <c r="H40" s="46" t="n">
        <v>10000</v>
      </c>
      <c r="I40" s="27" t="inlineStr"/>
      <c r="J40" s="27" t="inlineStr">
        <is>
          <t>count</t>
        </is>
      </c>
      <c r="K40" s="27" t="inlineStr">
        <is>
          <t>Service operations and billing reconciliation</t>
        </is>
      </c>
      <c r="L40" s="47" t="inlineStr">
        <is>
          <t>2026-06-30</t>
        </is>
      </c>
      <c r="M40" s="27" t="inlineStr"/>
    </row>
    <row r="41">
      <c r="A41" s="36" t="inlineStr">
        <is>
          <t>PLN-00257</t>
        </is>
      </c>
      <c r="B41" s="27" t="inlineStr">
        <is>
          <t>Service revenue price-volume-mix variance</t>
        </is>
      </c>
      <c r="C41" s="27" t="inlineStr">
        <is>
          <t>Q2 service product detail</t>
        </is>
      </c>
      <c r="D41" s="27" t="inlineStr">
        <is>
          <t>Remote monitoring</t>
        </is>
      </c>
      <c r="E41" s="27" t="inlineStr">
        <is>
          <t>2026-Q2</t>
        </is>
      </c>
      <c r="F41" s="27" t="inlineStr">
        <is>
          <t>Approved case</t>
        </is>
      </c>
      <c r="G41" s="27" t="inlineStr">
        <is>
          <t>Budget unit price</t>
        </is>
      </c>
      <c r="H41" s="46" t="n">
        <v>76.2</v>
      </c>
      <c r="I41" s="27" t="inlineStr"/>
      <c r="J41" s="27" t="inlineStr">
        <is>
          <t>USD per unit</t>
        </is>
      </c>
      <c r="K41" s="27" t="inlineStr">
        <is>
          <t>Service operations and billing reconciliation</t>
        </is>
      </c>
      <c r="L41" s="47" t="inlineStr">
        <is>
          <t>2026-06-30</t>
        </is>
      </c>
      <c r="M41" s="27" t="inlineStr"/>
    </row>
    <row r="42">
      <c r="A42" s="36" t="inlineStr">
        <is>
          <t>PLN-00258</t>
        </is>
      </c>
      <c r="B42" s="27" t="inlineStr">
        <is>
          <t>Service revenue price-volume-mix variance</t>
        </is>
      </c>
      <c r="C42" s="27" t="inlineStr">
        <is>
          <t>Q2 service product detail</t>
        </is>
      </c>
      <c r="D42" s="27" t="inlineStr">
        <is>
          <t>Remote monitoring</t>
        </is>
      </c>
      <c r="E42" s="27" t="inlineStr">
        <is>
          <t>2026-Q2</t>
        </is>
      </c>
      <c r="F42" s="27" t="inlineStr">
        <is>
          <t>Approved case</t>
        </is>
      </c>
      <c r="G42" s="27" t="inlineStr">
        <is>
          <t>Actual units</t>
        </is>
      </c>
      <c r="H42" s="46" t="n">
        <v>9850</v>
      </c>
      <c r="I42" s="27" t="inlineStr"/>
      <c r="J42" s="27" t="inlineStr">
        <is>
          <t>count</t>
        </is>
      </c>
      <c r="K42" s="27" t="inlineStr">
        <is>
          <t>Service operations and billing reconciliation</t>
        </is>
      </c>
      <c r="L42" s="47" t="inlineStr">
        <is>
          <t>2026-06-30</t>
        </is>
      </c>
      <c r="M42" s="27" t="inlineStr"/>
    </row>
    <row r="43">
      <c r="A43" s="36" t="inlineStr">
        <is>
          <t>PLN-00259</t>
        </is>
      </c>
      <c r="B43" s="27" t="inlineStr">
        <is>
          <t>Service revenue price-volume-mix variance</t>
        </is>
      </c>
      <c r="C43" s="27" t="inlineStr">
        <is>
          <t>Q2 service product detail</t>
        </is>
      </c>
      <c r="D43" s="27" t="inlineStr">
        <is>
          <t>Remote monitoring</t>
        </is>
      </c>
      <c r="E43" s="27" t="inlineStr">
        <is>
          <t>2026-Q2</t>
        </is>
      </c>
      <c r="F43" s="27" t="inlineStr">
        <is>
          <t>Approved case</t>
        </is>
      </c>
      <c r="G43" s="27" t="inlineStr">
        <is>
          <t>Actual unit price</t>
        </is>
      </c>
      <c r="H43" s="46" t="n">
        <v>79</v>
      </c>
      <c r="I43" s="27" t="inlineStr"/>
      <c r="J43" s="27" t="inlineStr">
        <is>
          <t>USD per unit</t>
        </is>
      </c>
      <c r="K43" s="27" t="inlineStr">
        <is>
          <t>Service operations and billing reconciliation</t>
        </is>
      </c>
      <c r="L43" s="47" t="inlineStr">
        <is>
          <t>2026-06-30</t>
        </is>
      </c>
      <c r="M43" s="27" t="inlineStr"/>
    </row>
    <row r="44">
      <c r="A44" s="36" t="inlineStr">
        <is>
          <t>PLN-00260</t>
        </is>
      </c>
      <c r="B44" s="27" t="inlineStr">
        <is>
          <t>Service revenue price-volume-mix variance</t>
        </is>
      </c>
      <c r="C44" s="27" t="inlineStr">
        <is>
          <t>Q2 service product detail</t>
        </is>
      </c>
      <c r="D44" s="27" t="inlineStr">
        <is>
          <t>Remote monitoring</t>
        </is>
      </c>
      <c r="E44" s="27" t="inlineStr">
        <is>
          <t>2026-Q2</t>
        </is>
      </c>
      <c r="F44" s="27" t="inlineStr">
        <is>
          <t>Approved case</t>
        </is>
      </c>
      <c r="G44" s="27" t="inlineStr">
        <is>
          <t>Executed SLA credits</t>
        </is>
      </c>
      <c r="H44" s="46" t="n">
        <v>-6000</v>
      </c>
      <c r="I44" s="27" t="inlineStr"/>
      <c r="J44" s="27" t="inlineStr">
        <is>
          <t>USD</t>
        </is>
      </c>
      <c r="K44" s="27" t="inlineStr">
        <is>
          <t>Service operations and billing reconciliation</t>
        </is>
      </c>
      <c r="L44" s="47" t="inlineStr">
        <is>
          <t>2026-06-30</t>
        </is>
      </c>
      <c r="M44" s="27" t="inlineStr"/>
    </row>
    <row r="45">
      <c r="A45" s="36" t="inlineStr">
        <is>
          <t>PLN-00261</t>
        </is>
      </c>
      <c r="B45" s="27" t="inlineStr">
        <is>
          <t>Service revenue price-volume-mix variance</t>
        </is>
      </c>
      <c r="C45" s="27" t="inlineStr">
        <is>
          <t>Posted tie</t>
        </is>
      </c>
      <c r="D45" s="27" t="inlineStr">
        <is>
          <t>Service</t>
        </is>
      </c>
      <c r="E45" s="27" t="inlineStr">
        <is>
          <t>2026-Q2</t>
        </is>
      </c>
      <c r="F45" s="27" t="inlineStr">
        <is>
          <t>Approved case</t>
        </is>
      </c>
      <c r="G45" s="27" t="inlineStr">
        <is>
          <t>Net revenue ledger allocation</t>
        </is>
      </c>
      <c r="H45" s="46" t="n">
        <v>0</v>
      </c>
      <c r="I45" s="27" t="inlineStr"/>
      <c r="J45" s="27" t="inlineStr">
        <is>
          <t>ledger allocation factor</t>
        </is>
      </c>
      <c r="K45" s="27" t="inlineStr">
        <is>
          <t>Controller Q2 service allocation; zero-valued tie placeholder is replaced by the PVM total</t>
        </is>
      </c>
      <c r="L45" s="47" t="inlineStr">
        <is>
          <t>2026-06-30</t>
        </is>
      </c>
      <c r="M45" s="27" t="inlineStr">
        <is>
          <t>Vista ERP P&amp;L, 2026-01-01 through 2026-06-30; Revenue total</t>
        </is>
      </c>
    </row>
    <row r="46">
      <c r="A46" s="36" t="inlineStr">
        <is>
          <t>PLN-00553</t>
        </is>
      </c>
      <c r="B46" s="27" t="inlineStr">
        <is>
          <t>Service-contract cohort renewal forecast</t>
        </is>
      </c>
      <c r="C46" s="27" t="inlineStr">
        <is>
          <t>FY27 renewal assumptions</t>
        </is>
      </c>
      <c r="D46" s="27" t="inlineStr">
        <is>
          <t>C-2019</t>
        </is>
      </c>
      <c r="E46" s="27" t="inlineStr">
        <is>
          <t>FY27</t>
        </is>
      </c>
      <c r="F46" s="27" t="inlineStr">
        <is>
          <t>Approved case</t>
        </is>
      </c>
      <c r="G46" s="27" t="inlineStr">
        <is>
          <t>Gross renewal probability</t>
        </is>
      </c>
      <c r="H46" s="46" t="n">
        <v>0.9</v>
      </c>
      <c r="I46" s="27" t="inlineStr"/>
      <c r="J46" s="27" t="inlineStr">
        <is>
          <t>decimal ratio</t>
        </is>
      </c>
      <c r="K46" s="27" t="inlineStr">
        <is>
          <t>Finance operating schedule</t>
        </is>
      </c>
      <c r="L46" s="47" t="inlineStr">
        <is>
          <t>2026-06-30</t>
        </is>
      </c>
      <c r="M46" s="27" t="inlineStr"/>
    </row>
    <row r="47">
      <c r="A47" s="36" t="inlineStr">
        <is>
          <t>PLN-00554</t>
        </is>
      </c>
      <c r="B47" s="27" t="inlineStr">
        <is>
          <t>Service-contract cohort renewal forecast</t>
        </is>
      </c>
      <c r="C47" s="27" t="inlineStr">
        <is>
          <t>FY27 renewal assumptions</t>
        </is>
      </c>
      <c r="D47" s="27" t="inlineStr">
        <is>
          <t>C-2019</t>
        </is>
      </c>
      <c r="E47" s="27" t="inlineStr">
        <is>
          <t>FY27</t>
        </is>
      </c>
      <c r="F47" s="27" t="inlineStr">
        <is>
          <t>Approved case</t>
        </is>
      </c>
      <c r="G47" s="27" t="inlineStr">
        <is>
          <t>Contractual price escalation</t>
        </is>
      </c>
      <c r="H47" s="46" t="n">
        <v>0.04</v>
      </c>
      <c r="I47" s="27" t="inlineStr"/>
      <c r="J47" s="27" t="inlineStr">
        <is>
          <t>decimal ratio</t>
        </is>
      </c>
      <c r="K47" s="27" t="inlineStr">
        <is>
          <t>Finance operating schedule</t>
        </is>
      </c>
      <c r="L47" s="47" t="inlineStr">
        <is>
          <t>2026-06-30</t>
        </is>
      </c>
      <c r="M47" s="27" t="inlineStr"/>
    </row>
    <row r="48">
      <c r="A48" s="36" t="inlineStr">
        <is>
          <t>PLN-00555</t>
        </is>
      </c>
      <c r="B48" s="27" t="inlineStr">
        <is>
          <t>Service-contract cohort renewal forecast</t>
        </is>
      </c>
      <c r="C48" s="27" t="inlineStr">
        <is>
          <t>FY27 renewal assumptions</t>
        </is>
      </c>
      <c r="D48" s="27" t="inlineStr">
        <is>
          <t>C-2019</t>
        </is>
      </c>
      <c r="E48" s="27" t="inlineStr">
        <is>
          <t>FY27</t>
        </is>
      </c>
      <c r="F48" s="27" t="inlineStr">
        <is>
          <t>Approved case</t>
        </is>
      </c>
      <c r="G48" s="27" t="inlineStr">
        <is>
          <t>Expected downsell after renewal</t>
        </is>
      </c>
      <c r="H48" s="46" t="n">
        <v>0.06</v>
      </c>
      <c r="I48" s="27" t="inlineStr"/>
      <c r="J48" s="27" t="inlineStr">
        <is>
          <t>decimal ratio</t>
        </is>
      </c>
      <c r="K48" s="27" t="inlineStr">
        <is>
          <t>Finance operating schedule</t>
        </is>
      </c>
      <c r="L48" s="47" t="inlineStr">
        <is>
          <t>2026-06-30</t>
        </is>
      </c>
      <c r="M48" s="27" t="inlineStr"/>
    </row>
    <row r="49">
      <c r="A49" s="36" t="inlineStr">
        <is>
          <t>PLN-00556</t>
        </is>
      </c>
      <c r="B49" s="27" t="inlineStr">
        <is>
          <t>Service-contract cohort renewal forecast</t>
        </is>
      </c>
      <c r="C49" s="27" t="inlineStr">
        <is>
          <t>FY27 renewal assumptions</t>
        </is>
      </c>
      <c r="D49" s="27" t="inlineStr">
        <is>
          <t>C-2019</t>
        </is>
      </c>
      <c r="E49" s="27" t="inlineStr">
        <is>
          <t>FY27</t>
        </is>
      </c>
      <c r="F49" s="27" t="inlineStr">
        <is>
          <t>Approved case</t>
        </is>
      </c>
      <c r="G49" s="27" t="inlineStr">
        <is>
          <t>Signed expansion ARR</t>
        </is>
      </c>
      <c r="H49" s="46" t="n">
        <v>210000</v>
      </c>
      <c r="I49" s="27" t="inlineStr"/>
      <c r="J49" s="27" t="inlineStr">
        <is>
          <t>USD</t>
        </is>
      </c>
      <c r="K49" s="27" t="inlineStr">
        <is>
          <t>Finance operating schedule</t>
        </is>
      </c>
      <c r="L49" s="47" t="inlineStr">
        <is>
          <t>2026-06-30</t>
        </is>
      </c>
      <c r="M49" s="27" t="inlineStr"/>
    </row>
    <row r="50">
      <c r="A50" s="36" t="inlineStr">
        <is>
          <t>PLN-00557</t>
        </is>
      </c>
      <c r="B50" s="27" t="inlineStr">
        <is>
          <t>Service-contract cohort renewal forecast</t>
        </is>
      </c>
      <c r="C50" s="27" t="inlineStr">
        <is>
          <t>FY27 renewal assumptions</t>
        </is>
      </c>
      <c r="D50" s="27" t="inlineStr">
        <is>
          <t>C-2019</t>
        </is>
      </c>
      <c r="E50" s="27" t="inlineStr">
        <is>
          <t>FY27</t>
        </is>
      </c>
      <c r="F50" s="27" t="inlineStr">
        <is>
          <t>Approved case</t>
        </is>
      </c>
      <c r="G50" s="27" t="inlineStr">
        <is>
          <t>Expansion revenue start month</t>
        </is>
      </c>
      <c r="H50" s="46" t="inlineStr"/>
      <c r="I50" s="27" t="inlineStr">
        <is>
          <t>2026-07</t>
        </is>
      </c>
      <c r="J50" s="27" t="inlineStr">
        <is>
          <t>classification</t>
        </is>
      </c>
      <c r="K50" s="27" t="inlineStr">
        <is>
          <t>Finance operating schedule</t>
        </is>
      </c>
      <c r="L50" s="47" t="inlineStr">
        <is>
          <t>2026-06-30</t>
        </is>
      </c>
      <c r="M50" s="27" t="inlineStr"/>
    </row>
    <row r="51">
      <c r="A51" s="36" t="inlineStr">
        <is>
          <t>PLN-00558</t>
        </is>
      </c>
      <c r="B51" s="27" t="inlineStr">
        <is>
          <t>Service-contract cohort renewal forecast</t>
        </is>
      </c>
      <c r="C51" s="27" t="inlineStr">
        <is>
          <t>FY27 renewal assumptions</t>
        </is>
      </c>
      <c r="D51" s="27" t="inlineStr">
        <is>
          <t>C-2019</t>
        </is>
      </c>
      <c r="E51" s="27" t="inlineStr">
        <is>
          <t>FY27</t>
        </is>
      </c>
      <c r="F51" s="27" t="inlineStr">
        <is>
          <t>Approved case</t>
        </is>
      </c>
      <c r="G51" s="27" t="inlineStr">
        <is>
          <t>Contract status</t>
        </is>
      </c>
      <c r="H51" s="46" t="inlineStr"/>
      <c r="I51" s="27" t="inlineStr">
        <is>
          <t>Annual renewal</t>
        </is>
      </c>
      <c r="J51" s="27" t="inlineStr">
        <is>
          <t>classification</t>
        </is>
      </c>
      <c r="K51" s="27" t="inlineStr">
        <is>
          <t>Finance operating schedule</t>
        </is>
      </c>
      <c r="L51" s="47" t="inlineStr">
        <is>
          <t>2026-06-30</t>
        </is>
      </c>
      <c r="M51" s="27" t="inlineStr"/>
    </row>
    <row r="52">
      <c r="A52" s="36" t="inlineStr">
        <is>
          <t>PLN-00560</t>
        </is>
      </c>
      <c r="B52" s="27" t="inlineStr">
        <is>
          <t>Service-contract cohort renewal forecast</t>
        </is>
      </c>
      <c r="C52" s="27" t="inlineStr">
        <is>
          <t>FY27 renewal assumptions</t>
        </is>
      </c>
      <c r="D52" s="27" t="inlineStr">
        <is>
          <t>C-2020</t>
        </is>
      </c>
      <c r="E52" s="27" t="inlineStr">
        <is>
          <t>FY27</t>
        </is>
      </c>
      <c r="F52" s="27" t="inlineStr">
        <is>
          <t>Approved case</t>
        </is>
      </c>
      <c r="G52" s="27" t="inlineStr">
        <is>
          <t>Gross renewal probability</t>
        </is>
      </c>
      <c r="H52" s="46" t="n">
        <v>0.92</v>
      </c>
      <c r="I52" s="27" t="inlineStr"/>
      <c r="J52" s="27" t="inlineStr">
        <is>
          <t>decimal ratio</t>
        </is>
      </c>
      <c r="K52" s="27" t="inlineStr">
        <is>
          <t>Finance operating schedule</t>
        </is>
      </c>
      <c r="L52" s="47" t="inlineStr">
        <is>
          <t>2026-06-30</t>
        </is>
      </c>
      <c r="M52" s="27" t="inlineStr"/>
    </row>
    <row r="53">
      <c r="A53" s="36" t="inlineStr">
        <is>
          <t>PLN-00561</t>
        </is>
      </c>
      <c r="B53" s="27" t="inlineStr">
        <is>
          <t>Service-contract cohort renewal forecast</t>
        </is>
      </c>
      <c r="C53" s="27" t="inlineStr">
        <is>
          <t>FY27 renewal assumptions</t>
        </is>
      </c>
      <c r="D53" s="27" t="inlineStr">
        <is>
          <t>C-2020</t>
        </is>
      </c>
      <c r="E53" s="27" t="inlineStr">
        <is>
          <t>FY27</t>
        </is>
      </c>
      <c r="F53" s="27" t="inlineStr">
        <is>
          <t>Approved case</t>
        </is>
      </c>
      <c r="G53" s="27" t="inlineStr">
        <is>
          <t>Contractual price escalation</t>
        </is>
      </c>
      <c r="H53" s="46" t="n">
        <v>0.03</v>
      </c>
      <c r="I53" s="27" t="inlineStr"/>
      <c r="J53" s="27" t="inlineStr">
        <is>
          <t>decimal ratio</t>
        </is>
      </c>
      <c r="K53" s="27" t="inlineStr">
        <is>
          <t>Finance operating schedule</t>
        </is>
      </c>
      <c r="L53" s="47" t="inlineStr">
        <is>
          <t>2026-06-30</t>
        </is>
      </c>
      <c r="M53" s="27" t="inlineStr"/>
    </row>
    <row r="54">
      <c r="A54" s="36" t="inlineStr">
        <is>
          <t>PLN-00562</t>
        </is>
      </c>
      <c r="B54" s="27" t="inlineStr">
        <is>
          <t>Service-contract cohort renewal forecast</t>
        </is>
      </c>
      <c r="C54" s="27" t="inlineStr">
        <is>
          <t>FY27 renewal assumptions</t>
        </is>
      </c>
      <c r="D54" s="27" t="inlineStr">
        <is>
          <t>C-2020</t>
        </is>
      </c>
      <c r="E54" s="27" t="inlineStr">
        <is>
          <t>FY27</t>
        </is>
      </c>
      <c r="F54" s="27" t="inlineStr">
        <is>
          <t>Approved case</t>
        </is>
      </c>
      <c r="G54" s="27" t="inlineStr">
        <is>
          <t>Expected downsell after renewal</t>
        </is>
      </c>
      <c r="H54" s="46" t="n">
        <v>0.05</v>
      </c>
      <c r="I54" s="27" t="inlineStr"/>
      <c r="J54" s="27" t="inlineStr">
        <is>
          <t>decimal ratio</t>
        </is>
      </c>
      <c r="K54" s="27" t="inlineStr">
        <is>
          <t>Finance operating schedule</t>
        </is>
      </c>
      <c r="L54" s="47" t="inlineStr">
        <is>
          <t>2026-06-30</t>
        </is>
      </c>
      <c r="M54" s="27" t="inlineStr"/>
    </row>
    <row r="55">
      <c r="A55" s="36" t="inlineStr">
        <is>
          <t>PLN-00563</t>
        </is>
      </c>
      <c r="B55" s="27" t="inlineStr">
        <is>
          <t>Service-contract cohort renewal forecast</t>
        </is>
      </c>
      <c r="C55" s="27" t="inlineStr">
        <is>
          <t>FY27 renewal assumptions</t>
        </is>
      </c>
      <c r="D55" s="27" t="inlineStr">
        <is>
          <t>C-2020</t>
        </is>
      </c>
      <c r="E55" s="27" t="inlineStr">
        <is>
          <t>FY27</t>
        </is>
      </c>
      <c r="F55" s="27" t="inlineStr">
        <is>
          <t>Approved case</t>
        </is>
      </c>
      <c r="G55" s="27" t="inlineStr">
        <is>
          <t>Signed expansion ARR</t>
        </is>
      </c>
      <c r="H55" s="46" t="n">
        <v>180</v>
      </c>
      <c r="I55" s="27" t="inlineStr"/>
      <c r="J55" s="27" t="inlineStr">
        <is>
          <t>USD thousands</t>
        </is>
      </c>
      <c r="K55" s="27" t="inlineStr">
        <is>
          <t>Finance operating schedule</t>
        </is>
      </c>
      <c r="L55" s="47" t="inlineStr">
        <is>
          <t>2026-06-30</t>
        </is>
      </c>
      <c r="M55" s="27" t="inlineStr"/>
    </row>
    <row r="56">
      <c r="A56" s="36" t="inlineStr">
        <is>
          <t>PLN-00564</t>
        </is>
      </c>
      <c r="B56" s="27" t="inlineStr">
        <is>
          <t>Service-contract cohort renewal forecast</t>
        </is>
      </c>
      <c r="C56" s="27" t="inlineStr">
        <is>
          <t>FY27 renewal assumptions</t>
        </is>
      </c>
      <c r="D56" s="27" t="inlineStr">
        <is>
          <t>C-2020</t>
        </is>
      </c>
      <c r="E56" s="27" t="inlineStr">
        <is>
          <t>FY27</t>
        </is>
      </c>
      <c r="F56" s="27" t="inlineStr">
        <is>
          <t>Approved case</t>
        </is>
      </c>
      <c r="G56" s="27" t="inlineStr">
        <is>
          <t>Expansion revenue start month</t>
        </is>
      </c>
      <c r="H56" s="46" t="inlineStr"/>
      <c r="I56" s="27" t="inlineStr">
        <is>
          <t>2026-08</t>
        </is>
      </c>
      <c r="J56" s="27" t="inlineStr">
        <is>
          <t>classification</t>
        </is>
      </c>
      <c r="K56" s="27" t="inlineStr">
        <is>
          <t>Finance operating schedule</t>
        </is>
      </c>
      <c r="L56" s="47" t="inlineStr">
        <is>
          <t>2026-06-30</t>
        </is>
      </c>
      <c r="M56" s="27" t="inlineStr"/>
    </row>
    <row r="57">
      <c r="A57" s="36" t="inlineStr">
        <is>
          <t>PLN-00565</t>
        </is>
      </c>
      <c r="B57" s="27" t="inlineStr">
        <is>
          <t>Service-contract cohort renewal forecast</t>
        </is>
      </c>
      <c r="C57" s="27" t="inlineStr">
        <is>
          <t>FY27 renewal assumptions</t>
        </is>
      </c>
      <c r="D57" s="27" t="inlineStr">
        <is>
          <t>C-2020</t>
        </is>
      </c>
      <c r="E57" s="27" t="inlineStr">
        <is>
          <t>FY27</t>
        </is>
      </c>
      <c r="F57" s="27" t="inlineStr">
        <is>
          <t>Approved case</t>
        </is>
      </c>
      <c r="G57" s="27" t="inlineStr">
        <is>
          <t>Contract status</t>
        </is>
      </c>
      <c r="H57" s="46" t="inlineStr"/>
      <c r="I57" s="27" t="inlineStr">
        <is>
          <t>Annual renewal</t>
        </is>
      </c>
      <c r="J57" s="27" t="inlineStr">
        <is>
          <t>classification</t>
        </is>
      </c>
      <c r="K57" s="27" t="inlineStr">
        <is>
          <t>Finance operating schedule</t>
        </is>
      </c>
      <c r="L57" s="47" t="inlineStr">
        <is>
          <t>2026-06-30</t>
        </is>
      </c>
      <c r="M57" s="27" t="inlineStr"/>
    </row>
    <row r="58">
      <c r="A58" s="36" t="inlineStr">
        <is>
          <t>PLN-00567</t>
        </is>
      </c>
      <c r="B58" s="27" t="inlineStr">
        <is>
          <t>Service-contract cohort renewal forecast</t>
        </is>
      </c>
      <c r="C58" s="27" t="inlineStr">
        <is>
          <t>FY27 renewal assumptions</t>
        </is>
      </c>
      <c r="D58" s="27" t="inlineStr">
        <is>
          <t>C-2021</t>
        </is>
      </c>
      <c r="E58" s="27" t="inlineStr">
        <is>
          <t>FY27</t>
        </is>
      </c>
      <c r="F58" s="27" t="inlineStr">
        <is>
          <t>Approved case</t>
        </is>
      </c>
      <c r="G58" s="27" t="inlineStr">
        <is>
          <t>Gross renewal probability</t>
        </is>
      </c>
      <c r="H58" s="46" t="n">
        <v>0.9399999999999999</v>
      </c>
      <c r="I58" s="27" t="inlineStr"/>
      <c r="J58" s="27" t="inlineStr">
        <is>
          <t>decimal ratio</t>
        </is>
      </c>
      <c r="K58" s="27" t="inlineStr">
        <is>
          <t>Finance operating schedule</t>
        </is>
      </c>
      <c r="L58" s="47" t="inlineStr">
        <is>
          <t>2026-06-30</t>
        </is>
      </c>
      <c r="M58" s="27" t="inlineStr"/>
    </row>
    <row r="59">
      <c r="A59" s="36" t="inlineStr">
        <is>
          <t>PLN-00568</t>
        </is>
      </c>
      <c r="B59" s="27" t="inlineStr">
        <is>
          <t>Service-contract cohort renewal forecast</t>
        </is>
      </c>
      <c r="C59" s="27" t="inlineStr">
        <is>
          <t>FY27 renewal assumptions</t>
        </is>
      </c>
      <c r="D59" s="27" t="inlineStr">
        <is>
          <t>C-2021</t>
        </is>
      </c>
      <c r="E59" s="27" t="inlineStr">
        <is>
          <t>FY27</t>
        </is>
      </c>
      <c r="F59" s="27" t="inlineStr">
        <is>
          <t>Approved case</t>
        </is>
      </c>
      <c r="G59" s="27" t="inlineStr">
        <is>
          <t>Contractual price escalation</t>
        </is>
      </c>
      <c r="H59" s="46" t="n">
        <v>0.04</v>
      </c>
      <c r="I59" s="27" t="inlineStr"/>
      <c r="J59" s="27" t="inlineStr">
        <is>
          <t>decimal ratio</t>
        </is>
      </c>
      <c r="K59" s="27" t="inlineStr">
        <is>
          <t>Finance operating schedule</t>
        </is>
      </c>
      <c r="L59" s="47" t="inlineStr">
        <is>
          <t>2026-06-30</t>
        </is>
      </c>
      <c r="M59" s="27" t="inlineStr"/>
    </row>
    <row r="60">
      <c r="A60" s="36" t="inlineStr">
        <is>
          <t>PLN-00569</t>
        </is>
      </c>
      <c r="B60" s="27" t="inlineStr">
        <is>
          <t>Service-contract cohort renewal forecast</t>
        </is>
      </c>
      <c r="C60" s="27" t="inlineStr">
        <is>
          <t>FY27 renewal assumptions</t>
        </is>
      </c>
      <c r="D60" s="27" t="inlineStr">
        <is>
          <t>C-2021</t>
        </is>
      </c>
      <c r="E60" s="27" t="inlineStr">
        <is>
          <t>FY27</t>
        </is>
      </c>
      <c r="F60" s="27" t="inlineStr">
        <is>
          <t>Approved case</t>
        </is>
      </c>
      <c r="G60" s="27" t="inlineStr">
        <is>
          <t>Expected downsell after renewal</t>
        </is>
      </c>
      <c r="H60" s="46" t="n">
        <v>0.04</v>
      </c>
      <c r="I60" s="27" t="inlineStr"/>
      <c r="J60" s="27" t="inlineStr">
        <is>
          <t>decimal ratio</t>
        </is>
      </c>
      <c r="K60" s="27" t="inlineStr">
        <is>
          <t>Finance operating schedule</t>
        </is>
      </c>
      <c r="L60" s="47" t="inlineStr">
        <is>
          <t>2026-06-30</t>
        </is>
      </c>
      <c r="M60" s="27" t="inlineStr"/>
    </row>
    <row r="61">
      <c r="A61" s="36" t="inlineStr">
        <is>
          <t>PLN-00570</t>
        </is>
      </c>
      <c r="B61" s="27" t="inlineStr">
        <is>
          <t>Service-contract cohort renewal forecast</t>
        </is>
      </c>
      <c r="C61" s="27" t="inlineStr">
        <is>
          <t>FY27 renewal assumptions</t>
        </is>
      </c>
      <c r="D61" s="27" t="inlineStr">
        <is>
          <t>C-2021</t>
        </is>
      </c>
      <c r="E61" s="27" t="inlineStr">
        <is>
          <t>FY27</t>
        </is>
      </c>
      <c r="F61" s="27" t="inlineStr">
        <is>
          <t>Approved case</t>
        </is>
      </c>
      <c r="G61" s="27" t="inlineStr">
        <is>
          <t>Signed expansion ARR</t>
        </is>
      </c>
      <c r="H61" s="46" t="n">
        <v>250000</v>
      </c>
      <c r="I61" s="27" t="inlineStr"/>
      <c r="J61" s="27" t="inlineStr">
        <is>
          <t>USD</t>
        </is>
      </c>
      <c r="K61" s="27" t="inlineStr">
        <is>
          <t>Finance operating schedule</t>
        </is>
      </c>
      <c r="L61" s="47" t="inlineStr">
        <is>
          <t>2026-06-30</t>
        </is>
      </c>
      <c r="M61" s="27" t="inlineStr"/>
    </row>
    <row r="62">
      <c r="A62" s="36" t="inlineStr">
        <is>
          <t>PLN-00571</t>
        </is>
      </c>
      <c r="B62" s="27" t="inlineStr">
        <is>
          <t>Service-contract cohort renewal forecast</t>
        </is>
      </c>
      <c r="C62" s="27" t="inlineStr">
        <is>
          <t>FY27 renewal assumptions</t>
        </is>
      </c>
      <c r="D62" s="27" t="inlineStr">
        <is>
          <t>C-2021</t>
        </is>
      </c>
      <c r="E62" s="27" t="inlineStr">
        <is>
          <t>FY27</t>
        </is>
      </c>
      <c r="F62" s="27" t="inlineStr">
        <is>
          <t>Approved case</t>
        </is>
      </c>
      <c r="G62" s="27" t="inlineStr">
        <is>
          <t>Expansion revenue start month</t>
        </is>
      </c>
      <c r="H62" s="46" t="inlineStr"/>
      <c r="I62" s="27" t="inlineStr">
        <is>
          <t>2026-09</t>
        </is>
      </c>
      <c r="J62" s="27" t="inlineStr">
        <is>
          <t>classification</t>
        </is>
      </c>
      <c r="K62" s="27" t="inlineStr">
        <is>
          <t>Finance operating schedule</t>
        </is>
      </c>
      <c r="L62" s="47" t="inlineStr">
        <is>
          <t>2026-06-30</t>
        </is>
      </c>
      <c r="M62" s="27" t="inlineStr"/>
    </row>
    <row r="63">
      <c r="A63" s="36" t="inlineStr">
        <is>
          <t>PLN-00572</t>
        </is>
      </c>
      <c r="B63" s="27" t="inlineStr">
        <is>
          <t>Service-contract cohort renewal forecast</t>
        </is>
      </c>
      <c r="C63" s="27" t="inlineStr">
        <is>
          <t>FY27 renewal assumptions</t>
        </is>
      </c>
      <c r="D63" s="27" t="inlineStr">
        <is>
          <t>C-2021</t>
        </is>
      </c>
      <c r="E63" s="27" t="inlineStr">
        <is>
          <t>FY27</t>
        </is>
      </c>
      <c r="F63" s="27" t="inlineStr">
        <is>
          <t>Approved case</t>
        </is>
      </c>
      <c r="G63" s="27" t="inlineStr">
        <is>
          <t>Contract status</t>
        </is>
      </c>
      <c r="H63" s="46" t="inlineStr"/>
      <c r="I63" s="27" t="inlineStr">
        <is>
          <t>Annual renewal</t>
        </is>
      </c>
      <c r="J63" s="27" t="inlineStr">
        <is>
          <t>classification</t>
        </is>
      </c>
      <c r="K63" s="27" t="inlineStr">
        <is>
          <t>Finance operating schedule</t>
        </is>
      </c>
      <c r="L63" s="47" t="inlineStr">
        <is>
          <t>2026-06-30</t>
        </is>
      </c>
      <c r="M63" s="27" t="inlineStr"/>
    </row>
    <row r="64">
      <c r="A64" s="36" t="inlineStr">
        <is>
          <t>PLN-00574</t>
        </is>
      </c>
      <c r="B64" s="27" t="inlineStr">
        <is>
          <t>Service-contract cohort renewal forecast</t>
        </is>
      </c>
      <c r="C64" s="27" t="inlineStr">
        <is>
          <t>FY27 renewal assumptions</t>
        </is>
      </c>
      <c r="D64" s="27" t="inlineStr">
        <is>
          <t>C-2022</t>
        </is>
      </c>
      <c r="E64" s="27" t="inlineStr">
        <is>
          <t>FY27</t>
        </is>
      </c>
      <c r="F64" s="27" t="inlineStr">
        <is>
          <t>Approved case</t>
        </is>
      </c>
      <c r="G64" s="27" t="inlineStr">
        <is>
          <t>Gross renewal probability</t>
        </is>
      </c>
      <c r="H64" s="46" t="n">
        <v>1</v>
      </c>
      <c r="I64" s="27" t="inlineStr"/>
      <c r="J64" s="27" t="inlineStr">
        <is>
          <t>decimal ratio</t>
        </is>
      </c>
      <c r="K64" s="27" t="inlineStr">
        <is>
          <t>Finance operating schedule</t>
        </is>
      </c>
      <c r="L64" s="47" t="inlineStr">
        <is>
          <t>2026-06-30</t>
        </is>
      </c>
      <c r="M64" s="27" t="inlineStr"/>
    </row>
    <row r="65">
      <c r="A65" s="36" t="inlineStr">
        <is>
          <t>PLN-00575</t>
        </is>
      </c>
      <c r="B65" s="27" t="inlineStr">
        <is>
          <t>Service-contract cohort renewal forecast</t>
        </is>
      </c>
      <c r="C65" s="27" t="inlineStr">
        <is>
          <t>FY27 renewal assumptions</t>
        </is>
      </c>
      <c r="D65" s="27" t="inlineStr">
        <is>
          <t>C-2022</t>
        </is>
      </c>
      <c r="E65" s="27" t="inlineStr">
        <is>
          <t>FY27</t>
        </is>
      </c>
      <c r="F65" s="27" t="inlineStr">
        <is>
          <t>Approved case</t>
        </is>
      </c>
      <c r="G65" s="27" t="inlineStr">
        <is>
          <t>Contractual price escalation</t>
        </is>
      </c>
      <c r="H65" s="46" t="n">
        <v>0.025</v>
      </c>
      <c r="I65" s="27" t="inlineStr"/>
      <c r="J65" s="27" t="inlineStr">
        <is>
          <t>decimal ratio</t>
        </is>
      </c>
      <c r="K65" s="27" t="inlineStr">
        <is>
          <t>Finance operating schedule</t>
        </is>
      </c>
      <c r="L65" s="47" t="inlineStr">
        <is>
          <t>2026-06-30</t>
        </is>
      </c>
      <c r="M65" s="27" t="inlineStr"/>
    </row>
    <row r="66">
      <c r="A66" s="36" t="inlineStr">
        <is>
          <t>PLN-00576</t>
        </is>
      </c>
      <c r="B66" s="27" t="inlineStr">
        <is>
          <t>Service-contract cohort renewal forecast</t>
        </is>
      </c>
      <c r="C66" s="27" t="inlineStr">
        <is>
          <t>FY27 renewal assumptions</t>
        </is>
      </c>
      <c r="D66" s="27" t="inlineStr">
        <is>
          <t>C-2022</t>
        </is>
      </c>
      <c r="E66" s="27" t="inlineStr">
        <is>
          <t>FY27</t>
        </is>
      </c>
      <c r="F66" s="27" t="inlineStr">
        <is>
          <t>Approved case</t>
        </is>
      </c>
      <c r="G66" s="27" t="inlineStr">
        <is>
          <t>Expected downsell after renewal</t>
        </is>
      </c>
      <c r="H66" s="46" t="n">
        <v>0</v>
      </c>
      <c r="I66" s="27" t="inlineStr"/>
      <c r="J66" s="27" t="inlineStr">
        <is>
          <t>decimal ratio</t>
        </is>
      </c>
      <c r="K66" s="27" t="inlineStr">
        <is>
          <t>Finance operating schedule</t>
        </is>
      </c>
      <c r="L66" s="47" t="inlineStr">
        <is>
          <t>2026-06-30</t>
        </is>
      </c>
      <c r="M66" s="27" t="inlineStr"/>
    </row>
    <row r="67">
      <c r="A67" s="36" t="inlineStr">
        <is>
          <t>PLN-00577</t>
        </is>
      </c>
      <c r="B67" s="27" t="inlineStr">
        <is>
          <t>Service-contract cohort renewal forecast</t>
        </is>
      </c>
      <c r="C67" s="27" t="inlineStr">
        <is>
          <t>FY27 renewal assumptions</t>
        </is>
      </c>
      <c r="D67" s="27" t="inlineStr">
        <is>
          <t>C-2022</t>
        </is>
      </c>
      <c r="E67" s="27" t="inlineStr">
        <is>
          <t>FY27</t>
        </is>
      </c>
      <c r="F67" s="27" t="inlineStr">
        <is>
          <t>Approved case</t>
        </is>
      </c>
      <c r="G67" s="27" t="inlineStr">
        <is>
          <t>Signed expansion ARR</t>
        </is>
      </c>
      <c r="H67" s="46" t="n">
        <v>160000</v>
      </c>
      <c r="I67" s="27" t="inlineStr"/>
      <c r="J67" s="27" t="inlineStr">
        <is>
          <t>USD</t>
        </is>
      </c>
      <c r="K67" s="27" t="inlineStr">
        <is>
          <t>Finance operating schedule</t>
        </is>
      </c>
      <c r="L67" s="47" t="inlineStr">
        <is>
          <t>2026-06-30</t>
        </is>
      </c>
      <c r="M67" s="27" t="inlineStr"/>
    </row>
    <row r="68">
      <c r="A68" s="36" t="inlineStr">
        <is>
          <t>PLN-00578</t>
        </is>
      </c>
      <c r="B68" s="27" t="inlineStr">
        <is>
          <t>Service-contract cohort renewal forecast</t>
        </is>
      </c>
      <c r="C68" s="27" t="inlineStr">
        <is>
          <t>FY27 renewal assumptions</t>
        </is>
      </c>
      <c r="D68" s="27" t="inlineStr">
        <is>
          <t>C-2022</t>
        </is>
      </c>
      <c r="E68" s="27" t="inlineStr">
        <is>
          <t>FY27</t>
        </is>
      </c>
      <c r="F68" s="27" t="inlineStr">
        <is>
          <t>Approved case</t>
        </is>
      </c>
      <c r="G68" s="27" t="inlineStr">
        <is>
          <t>Expansion revenue start month</t>
        </is>
      </c>
      <c r="H68" s="46" t="inlineStr"/>
      <c r="I68" s="27" t="inlineStr">
        <is>
          <t>2026-10</t>
        </is>
      </c>
      <c r="J68" s="27" t="inlineStr">
        <is>
          <t>classification</t>
        </is>
      </c>
      <c r="K68" s="27" t="inlineStr">
        <is>
          <t>Finance operating schedule</t>
        </is>
      </c>
      <c r="L68" s="47" t="inlineStr">
        <is>
          <t>2026-06-30</t>
        </is>
      </c>
      <c r="M68" s="27" t="inlineStr"/>
    </row>
    <row r="69">
      <c r="A69" s="36" t="inlineStr">
        <is>
          <t>PLN-00579</t>
        </is>
      </c>
      <c r="B69" s="27" t="inlineStr">
        <is>
          <t>Service-contract cohort renewal forecast</t>
        </is>
      </c>
      <c r="C69" s="27" t="inlineStr">
        <is>
          <t>FY27 renewal assumptions</t>
        </is>
      </c>
      <c r="D69" s="27" t="inlineStr">
        <is>
          <t>C-2022</t>
        </is>
      </c>
      <c r="E69" s="27" t="inlineStr">
        <is>
          <t>FY27</t>
        </is>
      </c>
      <c r="F69" s="27" t="inlineStr">
        <is>
          <t>Approved case</t>
        </is>
      </c>
      <c r="G69" s="27" t="inlineStr">
        <is>
          <t>Contract status</t>
        </is>
      </c>
      <c r="H69" s="46" t="inlineStr"/>
      <c r="I69" s="27" t="inlineStr">
        <is>
          <t>Signed multiyear</t>
        </is>
      </c>
      <c r="J69" s="27" t="inlineStr">
        <is>
          <t>classification</t>
        </is>
      </c>
      <c r="K69" s="27" t="inlineStr">
        <is>
          <t>Finance operating schedule</t>
        </is>
      </c>
      <c r="L69" s="47" t="inlineStr">
        <is>
          <t>2026-06-30</t>
        </is>
      </c>
      <c r="M69" s="27" t="inlineStr"/>
    </row>
    <row r="70">
      <c r="A70" s="36" t="inlineStr">
        <is>
          <t>PLN-00581</t>
        </is>
      </c>
      <c r="B70" s="27" t="inlineStr">
        <is>
          <t>Service-contract cohort renewal forecast</t>
        </is>
      </c>
      <c r="C70" s="27" t="inlineStr">
        <is>
          <t>FY27 renewal assumptions</t>
        </is>
      </c>
      <c r="D70" s="27" t="inlineStr">
        <is>
          <t>C-2023</t>
        </is>
      </c>
      <c r="E70" s="27" t="inlineStr">
        <is>
          <t>FY27</t>
        </is>
      </c>
      <c r="F70" s="27" t="inlineStr">
        <is>
          <t>Approved case</t>
        </is>
      </c>
      <c r="G70" s="27" t="inlineStr">
        <is>
          <t>Gross renewal probability</t>
        </is>
      </c>
      <c r="H70" s="46" t="n">
        <v>0.91</v>
      </c>
      <c r="I70" s="27" t="inlineStr"/>
      <c r="J70" s="27" t="inlineStr">
        <is>
          <t>decimal ratio</t>
        </is>
      </c>
      <c r="K70" s="27" t="inlineStr">
        <is>
          <t>Finance operating schedule</t>
        </is>
      </c>
      <c r="L70" s="47" t="inlineStr">
        <is>
          <t>2026-06-30</t>
        </is>
      </c>
      <c r="M70" s="27" t="inlineStr"/>
    </row>
    <row r="71">
      <c r="A71" s="36" t="inlineStr">
        <is>
          <t>PLN-00582</t>
        </is>
      </c>
      <c r="B71" s="27" t="inlineStr">
        <is>
          <t>Service-contract cohort renewal forecast</t>
        </is>
      </c>
      <c r="C71" s="27" t="inlineStr">
        <is>
          <t>FY27 renewal assumptions</t>
        </is>
      </c>
      <c r="D71" s="27" t="inlineStr">
        <is>
          <t>C-2023</t>
        </is>
      </c>
      <c r="E71" s="27" t="inlineStr">
        <is>
          <t>FY27</t>
        </is>
      </c>
      <c r="F71" s="27" t="inlineStr">
        <is>
          <t>Approved case</t>
        </is>
      </c>
      <c r="G71" s="27" t="inlineStr">
        <is>
          <t>Contractual price escalation</t>
        </is>
      </c>
      <c r="H71" s="46" t="n">
        <v>0.05</v>
      </c>
      <c r="I71" s="27" t="inlineStr"/>
      <c r="J71" s="27" t="inlineStr">
        <is>
          <t>decimal ratio</t>
        </is>
      </c>
      <c r="K71" s="27" t="inlineStr">
        <is>
          <t>Finance operating schedule</t>
        </is>
      </c>
      <c r="L71" s="47" t="inlineStr">
        <is>
          <t>2026-06-30</t>
        </is>
      </c>
      <c r="M71" s="27" t="inlineStr"/>
    </row>
    <row r="72">
      <c r="A72" s="36" t="inlineStr">
        <is>
          <t>PLN-00583</t>
        </is>
      </c>
      <c r="B72" s="27" t="inlineStr">
        <is>
          <t>Service-contract cohort renewal forecast</t>
        </is>
      </c>
      <c r="C72" s="27" t="inlineStr">
        <is>
          <t>FY27 renewal assumptions</t>
        </is>
      </c>
      <c r="D72" s="27" t="inlineStr">
        <is>
          <t>C-2023</t>
        </is>
      </c>
      <c r="E72" s="27" t="inlineStr">
        <is>
          <t>FY27</t>
        </is>
      </c>
      <c r="F72" s="27" t="inlineStr">
        <is>
          <t>Approved case</t>
        </is>
      </c>
      <c r="G72" s="27" t="inlineStr">
        <is>
          <t>Expected downsell after renewal</t>
        </is>
      </c>
      <c r="H72" s="46" t="n">
        <v>0.07000000000000001</v>
      </c>
      <c r="I72" s="27" t="inlineStr"/>
      <c r="J72" s="27" t="inlineStr">
        <is>
          <t>decimal ratio</t>
        </is>
      </c>
      <c r="K72" s="27" t="inlineStr">
        <is>
          <t>Finance operating schedule</t>
        </is>
      </c>
      <c r="L72" s="47" t="inlineStr">
        <is>
          <t>2026-06-30</t>
        </is>
      </c>
      <c r="M72" s="27" t="inlineStr"/>
    </row>
    <row r="73">
      <c r="A73" s="36" t="inlineStr">
        <is>
          <t>PLN-00584</t>
        </is>
      </c>
      <c r="B73" s="27" t="inlineStr">
        <is>
          <t>Service-contract cohort renewal forecast</t>
        </is>
      </c>
      <c r="C73" s="27" t="inlineStr">
        <is>
          <t>FY27 renewal assumptions</t>
        </is>
      </c>
      <c r="D73" s="27" t="inlineStr">
        <is>
          <t>C-2023</t>
        </is>
      </c>
      <c r="E73" s="27" t="inlineStr">
        <is>
          <t>FY27</t>
        </is>
      </c>
      <c r="F73" s="27" t="inlineStr">
        <is>
          <t>Approved case</t>
        </is>
      </c>
      <c r="G73" s="27" t="inlineStr">
        <is>
          <t>Signed expansion ARR</t>
        </is>
      </c>
      <c r="H73" s="46" t="n">
        <v>280000</v>
      </c>
      <c r="I73" s="27" t="inlineStr"/>
      <c r="J73" s="27" t="inlineStr">
        <is>
          <t>USD</t>
        </is>
      </c>
      <c r="K73" s="27" t="inlineStr">
        <is>
          <t>Finance operating schedule</t>
        </is>
      </c>
      <c r="L73" s="47" t="inlineStr">
        <is>
          <t>2026-06-30</t>
        </is>
      </c>
      <c r="M73" s="27" t="inlineStr"/>
    </row>
    <row r="74">
      <c r="A74" s="36" t="inlineStr">
        <is>
          <t>PLN-00585</t>
        </is>
      </c>
      <c r="B74" s="27" t="inlineStr">
        <is>
          <t>Service-contract cohort renewal forecast</t>
        </is>
      </c>
      <c r="C74" s="27" t="inlineStr">
        <is>
          <t>FY27 renewal assumptions</t>
        </is>
      </c>
      <c r="D74" s="27" t="inlineStr">
        <is>
          <t>C-2023</t>
        </is>
      </c>
      <c r="E74" s="27" t="inlineStr">
        <is>
          <t>FY27</t>
        </is>
      </c>
      <c r="F74" s="27" t="inlineStr">
        <is>
          <t>Approved case</t>
        </is>
      </c>
      <c r="G74" s="27" t="inlineStr">
        <is>
          <t>Expansion revenue start month</t>
        </is>
      </c>
      <c r="H74" s="46" t="inlineStr"/>
      <c r="I74" s="27" t="inlineStr">
        <is>
          <t>2026-11</t>
        </is>
      </c>
      <c r="J74" s="27" t="inlineStr">
        <is>
          <t>classification</t>
        </is>
      </c>
      <c r="K74" s="27" t="inlineStr">
        <is>
          <t>Finance operating schedule</t>
        </is>
      </c>
      <c r="L74" s="47" t="inlineStr">
        <is>
          <t>2026-06-30</t>
        </is>
      </c>
      <c r="M74" s="27" t="inlineStr"/>
    </row>
    <row r="75">
      <c r="A75" s="36" t="inlineStr">
        <is>
          <t>PLN-00586</t>
        </is>
      </c>
      <c r="B75" s="27" t="inlineStr">
        <is>
          <t>Service-contract cohort renewal forecast</t>
        </is>
      </c>
      <c r="C75" s="27" t="inlineStr">
        <is>
          <t>FY27 renewal assumptions</t>
        </is>
      </c>
      <c r="D75" s="27" t="inlineStr">
        <is>
          <t>C-2023</t>
        </is>
      </c>
      <c r="E75" s="27" t="inlineStr">
        <is>
          <t>FY27</t>
        </is>
      </c>
      <c r="F75" s="27" t="inlineStr">
        <is>
          <t>Approved case</t>
        </is>
      </c>
      <c r="G75" s="27" t="inlineStr">
        <is>
          <t>Contract status</t>
        </is>
      </c>
      <c r="H75" s="46" t="inlineStr"/>
      <c r="I75" s="27" t="inlineStr">
        <is>
          <t>Annual renewal</t>
        </is>
      </c>
      <c r="J75" s="27" t="inlineStr">
        <is>
          <t>classification</t>
        </is>
      </c>
      <c r="K75" s="27" t="inlineStr">
        <is>
          <t>Finance operating schedule</t>
        </is>
      </c>
      <c r="L75" s="47" t="inlineStr">
        <is>
          <t>2026-06-30</t>
        </is>
      </c>
      <c r="M75" s="27" t="inlineStr"/>
    </row>
    <row r="76">
      <c r="A76" s="36" t="inlineStr">
        <is>
          <t>PLN-00588</t>
        </is>
      </c>
      <c r="B76" s="27" t="inlineStr">
        <is>
          <t>Service-contract cohort renewal forecast</t>
        </is>
      </c>
      <c r="C76" s="27" t="inlineStr">
        <is>
          <t>FY27 renewal assumptions</t>
        </is>
      </c>
      <c r="D76" s="27" t="inlineStr">
        <is>
          <t>C-2024</t>
        </is>
      </c>
      <c r="E76" s="27" t="inlineStr">
        <is>
          <t>FY27</t>
        </is>
      </c>
      <c r="F76" s="27" t="inlineStr">
        <is>
          <t>Approved case</t>
        </is>
      </c>
      <c r="G76" s="27" t="inlineStr">
        <is>
          <t>Gross renewal probability</t>
        </is>
      </c>
      <c r="H76" s="46" t="n">
        <v>0.93</v>
      </c>
      <c r="I76" s="27" t="inlineStr"/>
      <c r="J76" s="27" t="inlineStr">
        <is>
          <t>decimal ratio</t>
        </is>
      </c>
      <c r="K76" s="27" t="inlineStr">
        <is>
          <t>Finance operating schedule</t>
        </is>
      </c>
      <c r="L76" s="47" t="inlineStr">
        <is>
          <t>2026-06-30</t>
        </is>
      </c>
      <c r="M76" s="27" t="inlineStr"/>
    </row>
    <row r="77">
      <c r="A77" s="36" t="inlineStr">
        <is>
          <t>PLN-00589</t>
        </is>
      </c>
      <c r="B77" s="27" t="inlineStr">
        <is>
          <t>Service-contract cohort renewal forecast</t>
        </is>
      </c>
      <c r="C77" s="27" t="inlineStr">
        <is>
          <t>FY27 renewal assumptions</t>
        </is>
      </c>
      <c r="D77" s="27" t="inlineStr">
        <is>
          <t>C-2024</t>
        </is>
      </c>
      <c r="E77" s="27" t="inlineStr">
        <is>
          <t>FY27</t>
        </is>
      </c>
      <c r="F77" s="27" t="inlineStr">
        <is>
          <t>Approved case</t>
        </is>
      </c>
      <c r="G77" s="27" t="inlineStr">
        <is>
          <t>Contractual price escalation</t>
        </is>
      </c>
      <c r="H77" s="46" t="n">
        <v>0.035</v>
      </c>
      <c r="I77" s="27" t="inlineStr"/>
      <c r="J77" s="27" t="inlineStr">
        <is>
          <t>decimal ratio</t>
        </is>
      </c>
      <c r="K77" s="27" t="inlineStr">
        <is>
          <t>Finance operating schedule</t>
        </is>
      </c>
      <c r="L77" s="47" t="inlineStr">
        <is>
          <t>2026-06-30</t>
        </is>
      </c>
      <c r="M77" s="27" t="inlineStr"/>
    </row>
    <row r="78">
      <c r="A78" s="36" t="inlineStr">
        <is>
          <t>PLN-00590</t>
        </is>
      </c>
      <c r="B78" s="27" t="inlineStr">
        <is>
          <t>Service-contract cohort renewal forecast</t>
        </is>
      </c>
      <c r="C78" s="27" t="inlineStr">
        <is>
          <t>FY27 renewal assumptions</t>
        </is>
      </c>
      <c r="D78" s="27" t="inlineStr">
        <is>
          <t>C-2024</t>
        </is>
      </c>
      <c r="E78" s="27" t="inlineStr">
        <is>
          <t>FY27</t>
        </is>
      </c>
      <c r="F78" s="27" t="inlineStr">
        <is>
          <t>Approved case</t>
        </is>
      </c>
      <c r="G78" s="27" t="inlineStr">
        <is>
          <t>Expected downsell after renewal</t>
        </is>
      </c>
      <c r="H78" s="46" t="n">
        <v>0.06</v>
      </c>
      <c r="I78" s="27" t="inlineStr"/>
      <c r="J78" s="27" t="inlineStr">
        <is>
          <t>decimal ratio</t>
        </is>
      </c>
      <c r="K78" s="27" t="inlineStr">
        <is>
          <t>Finance operating schedule</t>
        </is>
      </c>
      <c r="L78" s="47" t="inlineStr">
        <is>
          <t>2026-06-30</t>
        </is>
      </c>
      <c r="M78" s="27" t="inlineStr"/>
    </row>
    <row r="79">
      <c r="A79" s="36" t="inlineStr">
        <is>
          <t>PLN-00591</t>
        </is>
      </c>
      <c r="B79" s="27" t="inlineStr">
        <is>
          <t>Service-contract cohort renewal forecast</t>
        </is>
      </c>
      <c r="C79" s="27" t="inlineStr">
        <is>
          <t>FY27 renewal assumptions</t>
        </is>
      </c>
      <c r="D79" s="27" t="inlineStr">
        <is>
          <t>C-2024</t>
        </is>
      </c>
      <c r="E79" s="27" t="inlineStr">
        <is>
          <t>FY27</t>
        </is>
      </c>
      <c r="F79" s="27" t="inlineStr">
        <is>
          <t>Approved case</t>
        </is>
      </c>
      <c r="G79" s="27" t="inlineStr">
        <is>
          <t>Signed expansion ARR</t>
        </is>
      </c>
      <c r="H79" s="46" t="n">
        <v>310</v>
      </c>
      <c r="I79" s="27" t="inlineStr"/>
      <c r="J79" s="27" t="inlineStr">
        <is>
          <t>USD thousands</t>
        </is>
      </c>
      <c r="K79" s="27" t="inlineStr">
        <is>
          <t>Finance operating schedule</t>
        </is>
      </c>
      <c r="L79" s="47" t="inlineStr">
        <is>
          <t>2026-06-30</t>
        </is>
      </c>
      <c r="M79" s="27" t="inlineStr"/>
    </row>
    <row r="80">
      <c r="A80" s="36" t="inlineStr">
        <is>
          <t>PLN-00592</t>
        </is>
      </c>
      <c r="B80" s="27" t="inlineStr">
        <is>
          <t>Service-contract cohort renewal forecast</t>
        </is>
      </c>
      <c r="C80" s="27" t="inlineStr">
        <is>
          <t>FY27 renewal assumptions</t>
        </is>
      </c>
      <c r="D80" s="27" t="inlineStr">
        <is>
          <t>C-2024</t>
        </is>
      </c>
      <c r="E80" s="27" t="inlineStr">
        <is>
          <t>FY27</t>
        </is>
      </c>
      <c r="F80" s="27" t="inlineStr">
        <is>
          <t>Approved case</t>
        </is>
      </c>
      <c r="G80" s="27" t="inlineStr">
        <is>
          <t>Expansion revenue start month</t>
        </is>
      </c>
      <c r="H80" s="46" t="inlineStr"/>
      <c r="I80" s="27" t="inlineStr">
        <is>
          <t>2027-01</t>
        </is>
      </c>
      <c r="J80" s="27" t="inlineStr">
        <is>
          <t>classification</t>
        </is>
      </c>
      <c r="K80" s="27" t="inlineStr">
        <is>
          <t>Finance operating schedule</t>
        </is>
      </c>
      <c r="L80" s="47" t="inlineStr">
        <is>
          <t>2026-06-30</t>
        </is>
      </c>
      <c r="M80" s="27" t="inlineStr"/>
    </row>
    <row r="81">
      <c r="A81" s="36" t="inlineStr">
        <is>
          <t>PLN-00593</t>
        </is>
      </c>
      <c r="B81" s="27" t="inlineStr">
        <is>
          <t>Service-contract cohort renewal forecast</t>
        </is>
      </c>
      <c r="C81" s="27" t="inlineStr">
        <is>
          <t>FY27 renewal assumptions</t>
        </is>
      </c>
      <c r="D81" s="27" t="inlineStr">
        <is>
          <t>C-2024</t>
        </is>
      </c>
      <c r="E81" s="27" t="inlineStr">
        <is>
          <t>FY27</t>
        </is>
      </c>
      <c r="F81" s="27" t="inlineStr">
        <is>
          <t>Approved case</t>
        </is>
      </c>
      <c r="G81" s="27" t="inlineStr">
        <is>
          <t>Contract status</t>
        </is>
      </c>
      <c r="H81" s="46" t="inlineStr"/>
      <c r="I81" s="27" t="inlineStr">
        <is>
          <t>Annual renewal</t>
        </is>
      </c>
      <c r="J81" s="27" t="inlineStr">
        <is>
          <t>classification</t>
        </is>
      </c>
      <c r="K81" s="27" t="inlineStr">
        <is>
          <t>Finance operating schedule</t>
        </is>
      </c>
      <c r="L81" s="47" t="inlineStr">
        <is>
          <t>2026-06-30</t>
        </is>
      </c>
      <c r="M81" s="27" t="inlineStr"/>
    </row>
    <row r="82">
      <c r="A82" s="36" t="inlineStr">
        <is>
          <t>PLN-00595</t>
        </is>
      </c>
      <c r="B82" s="27" t="inlineStr">
        <is>
          <t>Service-contract cohort renewal forecast</t>
        </is>
      </c>
      <c r="C82" s="27" t="inlineStr">
        <is>
          <t>FY27 renewal assumptions</t>
        </is>
      </c>
      <c r="D82" s="27" t="inlineStr">
        <is>
          <t>C-2025</t>
        </is>
      </c>
      <c r="E82" s="27" t="inlineStr">
        <is>
          <t>FY27</t>
        </is>
      </c>
      <c r="F82" s="27" t="inlineStr">
        <is>
          <t>Approved case</t>
        </is>
      </c>
      <c r="G82" s="27" t="inlineStr">
        <is>
          <t>Gross renewal probability</t>
        </is>
      </c>
      <c r="H82" s="46" t="n">
        <v>1</v>
      </c>
      <c r="I82" s="27" t="inlineStr"/>
      <c r="J82" s="27" t="inlineStr">
        <is>
          <t>decimal ratio</t>
        </is>
      </c>
      <c r="K82" s="27" t="inlineStr">
        <is>
          <t>Finance operating schedule</t>
        </is>
      </c>
      <c r="L82" s="47" t="inlineStr">
        <is>
          <t>2026-06-30</t>
        </is>
      </c>
      <c r="M82" s="27" t="inlineStr"/>
    </row>
    <row r="83">
      <c r="A83" s="36" t="inlineStr">
        <is>
          <t>PLN-00596</t>
        </is>
      </c>
      <c r="B83" s="27" t="inlineStr">
        <is>
          <t>Service-contract cohort renewal forecast</t>
        </is>
      </c>
      <c r="C83" s="27" t="inlineStr">
        <is>
          <t>FY27 renewal assumptions</t>
        </is>
      </c>
      <c r="D83" s="27" t="inlineStr">
        <is>
          <t>C-2025</t>
        </is>
      </c>
      <c r="E83" s="27" t="inlineStr">
        <is>
          <t>FY27</t>
        </is>
      </c>
      <c r="F83" s="27" t="inlineStr">
        <is>
          <t>Approved case</t>
        </is>
      </c>
      <c r="G83" s="27" t="inlineStr">
        <is>
          <t>Contractual price escalation</t>
        </is>
      </c>
      <c r="H83" s="46" t="n">
        <v>0.03</v>
      </c>
      <c r="I83" s="27" t="inlineStr"/>
      <c r="J83" s="27" t="inlineStr">
        <is>
          <t>decimal ratio</t>
        </is>
      </c>
      <c r="K83" s="27" t="inlineStr">
        <is>
          <t>Finance operating schedule</t>
        </is>
      </c>
      <c r="L83" s="47" t="inlineStr">
        <is>
          <t>2026-06-30</t>
        </is>
      </c>
      <c r="M83" s="27" t="inlineStr"/>
    </row>
    <row r="84">
      <c r="A84" s="36" t="inlineStr">
        <is>
          <t>PLN-00597</t>
        </is>
      </c>
      <c r="B84" s="27" t="inlineStr">
        <is>
          <t>Service-contract cohort renewal forecast</t>
        </is>
      </c>
      <c r="C84" s="27" t="inlineStr">
        <is>
          <t>FY27 renewal assumptions</t>
        </is>
      </c>
      <c r="D84" s="27" t="inlineStr">
        <is>
          <t>C-2025</t>
        </is>
      </c>
      <c r="E84" s="27" t="inlineStr">
        <is>
          <t>FY27</t>
        </is>
      </c>
      <c r="F84" s="27" t="inlineStr">
        <is>
          <t>Approved case</t>
        </is>
      </c>
      <c r="G84" s="27" t="inlineStr">
        <is>
          <t>Expected downsell after renewal</t>
        </is>
      </c>
      <c r="H84" s="46" t="n">
        <v>0</v>
      </c>
      <c r="I84" s="27" t="inlineStr"/>
      <c r="J84" s="27" t="inlineStr">
        <is>
          <t>decimal ratio</t>
        </is>
      </c>
      <c r="K84" s="27" t="inlineStr">
        <is>
          <t>Finance operating schedule</t>
        </is>
      </c>
      <c r="L84" s="47" t="inlineStr">
        <is>
          <t>2026-06-30</t>
        </is>
      </c>
      <c r="M84" s="27" t="inlineStr"/>
    </row>
    <row r="85">
      <c r="A85" s="36" t="inlineStr">
        <is>
          <t>PLN-00598</t>
        </is>
      </c>
      <c r="B85" s="27" t="inlineStr">
        <is>
          <t>Service-contract cohort renewal forecast</t>
        </is>
      </c>
      <c r="C85" s="27" t="inlineStr">
        <is>
          <t>FY27 renewal assumptions</t>
        </is>
      </c>
      <c r="D85" s="27" t="inlineStr">
        <is>
          <t>C-2025</t>
        </is>
      </c>
      <c r="E85" s="27" t="inlineStr">
        <is>
          <t>FY27</t>
        </is>
      </c>
      <c r="F85" s="27" t="inlineStr">
        <is>
          <t>Approved case</t>
        </is>
      </c>
      <c r="G85" s="27" t="inlineStr">
        <is>
          <t>Signed expansion ARR</t>
        </is>
      </c>
      <c r="H85" s="46" t="n">
        <v>420000</v>
      </c>
      <c r="I85" s="27" t="inlineStr"/>
      <c r="J85" s="27" t="inlineStr">
        <is>
          <t>USD</t>
        </is>
      </c>
      <c r="K85" s="27" t="inlineStr">
        <is>
          <t>Finance operating schedule</t>
        </is>
      </c>
      <c r="L85" s="47" t="inlineStr">
        <is>
          <t>2026-06-30</t>
        </is>
      </c>
      <c r="M85" s="27" t="inlineStr"/>
    </row>
    <row r="86">
      <c r="A86" s="36" t="inlineStr">
        <is>
          <t>PLN-00599</t>
        </is>
      </c>
      <c r="B86" s="27" t="inlineStr">
        <is>
          <t>Service-contract cohort renewal forecast</t>
        </is>
      </c>
      <c r="C86" s="27" t="inlineStr">
        <is>
          <t>FY27 renewal assumptions</t>
        </is>
      </c>
      <c r="D86" s="27" t="inlineStr">
        <is>
          <t>C-2025</t>
        </is>
      </c>
      <c r="E86" s="27" t="inlineStr">
        <is>
          <t>FY27</t>
        </is>
      </c>
      <c r="F86" s="27" t="inlineStr">
        <is>
          <t>Approved case</t>
        </is>
      </c>
      <c r="G86" s="27" t="inlineStr">
        <is>
          <t>Expansion revenue start month</t>
        </is>
      </c>
      <c r="H86" s="46" t="inlineStr"/>
      <c r="I86" s="27" t="inlineStr">
        <is>
          <t>2027-03</t>
        </is>
      </c>
      <c r="J86" s="27" t="inlineStr">
        <is>
          <t>classification</t>
        </is>
      </c>
      <c r="K86" s="27" t="inlineStr">
        <is>
          <t>Finance operating schedule</t>
        </is>
      </c>
      <c r="L86" s="47" t="inlineStr">
        <is>
          <t>2026-06-30</t>
        </is>
      </c>
      <c r="M86" s="27" t="inlineStr"/>
    </row>
    <row r="87">
      <c r="A87" s="36" t="inlineStr">
        <is>
          <t>PLN-00600</t>
        </is>
      </c>
      <c r="B87" s="27" t="inlineStr">
        <is>
          <t>Service-contract cohort renewal forecast</t>
        </is>
      </c>
      <c r="C87" s="27" t="inlineStr">
        <is>
          <t>FY27 renewal assumptions</t>
        </is>
      </c>
      <c r="D87" s="27" t="inlineStr">
        <is>
          <t>C-2025</t>
        </is>
      </c>
      <c r="E87" s="27" t="inlineStr">
        <is>
          <t>FY27</t>
        </is>
      </c>
      <c r="F87" s="27" t="inlineStr">
        <is>
          <t>Approved case</t>
        </is>
      </c>
      <c r="G87" s="27" t="inlineStr">
        <is>
          <t>Contract status</t>
        </is>
      </c>
      <c r="H87" s="46" t="inlineStr"/>
      <c r="I87" s="27" t="inlineStr">
        <is>
          <t>Signed multiyear</t>
        </is>
      </c>
      <c r="J87" s="27" t="inlineStr">
        <is>
          <t>classification</t>
        </is>
      </c>
      <c r="K87" s="27" t="inlineStr">
        <is>
          <t>Finance operating schedule</t>
        </is>
      </c>
      <c r="L87" s="47" t="inlineStr">
        <is>
          <t>2026-06-30</t>
        </is>
      </c>
      <c r="M87" s="27" t="inlineStr"/>
    </row>
    <row r="88">
      <c r="A88" s="36" t="inlineStr">
        <is>
          <t>PLN-00797</t>
        </is>
      </c>
      <c r="B88" s="27" t="inlineStr">
        <is>
          <t>Create the integrated FY27 operating plan</t>
        </is>
      </c>
      <c r="C88" s="27" t="inlineStr">
        <is>
          <t>Integrated plan baseline</t>
        </is>
      </c>
      <c r="D88" s="27" t="inlineStr">
        <is>
          <t>Alder Ridge</t>
        </is>
      </c>
      <c r="E88" s="27" t="inlineStr">
        <is>
          <t>LTM 2026-06-30</t>
        </is>
      </c>
      <c r="F88" s="27" t="inlineStr">
        <is>
          <t>Approved case</t>
        </is>
      </c>
      <c r="G88" s="27" t="inlineStr">
        <is>
          <t>Posted revenue</t>
        </is>
      </c>
      <c r="H88" s="46" t="n">
        <v>1</v>
      </c>
      <c r="I88" s="27" t="inlineStr"/>
      <c r="J88" s="27" t="inlineStr">
        <is>
          <t>ledger allocation factor</t>
        </is>
      </c>
      <c r="K88" s="27" t="inlineStr">
        <is>
          <t>Finance operating schedule</t>
        </is>
      </c>
      <c r="L88" s="47" t="inlineStr">
        <is>
          <t>2026-06-30</t>
        </is>
      </c>
      <c r="M88" s="27" t="inlineStr">
        <is>
          <t>Vista ERP P&amp;L, 2025-07-01 through 2026-06-30; Revenue total</t>
        </is>
      </c>
    </row>
    <row r="89">
      <c r="A89" s="36" t="inlineStr">
        <is>
          <t>PLN-00798</t>
        </is>
      </c>
      <c r="B89" s="27" t="inlineStr">
        <is>
          <t>Create the integrated FY27 operating plan</t>
        </is>
      </c>
      <c r="C89" s="27" t="inlineStr">
        <is>
          <t>Integrated plan baseline</t>
        </is>
      </c>
      <c r="D89" s="27" t="inlineStr">
        <is>
          <t>Alder Ridge</t>
        </is>
      </c>
      <c r="E89" s="27" t="inlineStr">
        <is>
          <t>2026-06-30</t>
        </is>
      </c>
      <c r="F89" s="27" t="inlineStr">
        <is>
          <t>Approved case</t>
        </is>
      </c>
      <c r="G89" s="27" t="inlineStr">
        <is>
          <t>Opening unrestricted cash</t>
        </is>
      </c>
      <c r="H89" s="46" t="n">
        <v>1</v>
      </c>
      <c r="I89" s="27" t="inlineStr"/>
      <c r="J89" s="27" t="inlineStr">
        <is>
          <t>ledger allocation factor</t>
        </is>
      </c>
      <c r="K89" s="27" t="inlineStr">
        <is>
          <t>Finance operating schedule</t>
        </is>
      </c>
      <c r="L89" s="47" t="inlineStr">
        <is>
          <t>2026-06-30</t>
        </is>
      </c>
      <c r="M89" s="27" t="inlineStr">
        <is>
          <t>Vista ERP cash detail as of 2026-06-30; unrestricted company cash accounts</t>
        </is>
      </c>
    </row>
    <row r="90">
      <c r="A90" s="36" t="inlineStr">
        <is>
          <t>PLN-00799</t>
        </is>
      </c>
      <c r="B90" s="27" t="inlineStr">
        <is>
          <t>Create the integrated FY27 operating plan</t>
        </is>
      </c>
      <c r="C90" s="27" t="inlineStr">
        <is>
          <t>Branch operating plan</t>
        </is>
      </c>
      <c r="D90" s="27" t="inlineStr">
        <is>
          <t>Construction</t>
        </is>
      </c>
      <c r="E90" s="27" t="inlineStr">
        <is>
          <t>FY27</t>
        </is>
      </c>
      <c r="F90" s="27" t="inlineStr">
        <is>
          <t>Approved case</t>
        </is>
      </c>
      <c r="G90" s="27" t="inlineStr">
        <is>
          <t>FY26 revenue share</t>
        </is>
      </c>
      <c r="H90" s="46" t="n">
        <v>0.58</v>
      </c>
      <c r="I90" s="27" t="inlineStr"/>
      <c r="J90" s="27" t="inlineStr">
        <is>
          <t>decimal ratio</t>
        </is>
      </c>
      <c r="K90" s="27" t="inlineStr">
        <is>
          <t>Finance operating schedule</t>
        </is>
      </c>
      <c r="L90" s="47" t="inlineStr">
        <is>
          <t>2026-06-30</t>
        </is>
      </c>
      <c r="M90" s="27" t="inlineStr"/>
    </row>
    <row r="91">
      <c r="A91" s="36" t="inlineStr">
        <is>
          <t>PLN-00800</t>
        </is>
      </c>
      <c r="B91" s="27" t="inlineStr">
        <is>
          <t>Create the integrated FY27 operating plan</t>
        </is>
      </c>
      <c r="C91" s="27" t="inlineStr">
        <is>
          <t>Branch operating plan</t>
        </is>
      </c>
      <c r="D91" s="27" t="inlineStr">
        <is>
          <t>Construction</t>
        </is>
      </c>
      <c r="E91" s="27" t="inlineStr">
        <is>
          <t>FY27</t>
        </is>
      </c>
      <c r="F91" s="27" t="inlineStr">
        <is>
          <t>Approved case</t>
        </is>
      </c>
      <c r="G91" s="27" t="inlineStr">
        <is>
          <t>FY27 approved growth</t>
        </is>
      </c>
      <c r="H91" s="46" t="n">
        <v>0.075</v>
      </c>
      <c r="I91" s="27" t="inlineStr"/>
      <c r="J91" s="27" t="inlineStr">
        <is>
          <t>decimal ratio</t>
        </is>
      </c>
      <c r="K91" s="27" t="inlineStr">
        <is>
          <t>Finance operating schedule</t>
        </is>
      </c>
      <c r="L91" s="47" t="inlineStr">
        <is>
          <t>2026-06-30</t>
        </is>
      </c>
      <c r="M91" s="27" t="inlineStr"/>
    </row>
    <row r="92">
      <c r="A92" s="36" t="inlineStr">
        <is>
          <t>PLN-00801</t>
        </is>
      </c>
      <c r="B92" s="27" t="inlineStr">
        <is>
          <t>Create the integrated FY27 operating plan</t>
        </is>
      </c>
      <c r="C92" s="27" t="inlineStr">
        <is>
          <t>Branch operating plan</t>
        </is>
      </c>
      <c r="D92" s="27" t="inlineStr">
        <is>
          <t>Construction</t>
        </is>
      </c>
      <c r="E92" s="27" t="inlineStr">
        <is>
          <t>FY27</t>
        </is>
      </c>
      <c r="F92" s="27" t="inlineStr">
        <is>
          <t>Approved case</t>
        </is>
      </c>
      <c r="G92" s="27" t="inlineStr">
        <is>
          <t>FY27 gross margin</t>
        </is>
      </c>
      <c r="H92" s="46" t="n">
        <v>0.235</v>
      </c>
      <c r="I92" s="27" t="inlineStr"/>
      <c r="J92" s="27" t="inlineStr">
        <is>
          <t>decimal ratio</t>
        </is>
      </c>
      <c r="K92" s="27" t="inlineStr">
        <is>
          <t>Finance operating schedule</t>
        </is>
      </c>
      <c r="L92" s="47" t="inlineStr">
        <is>
          <t>2026-06-30</t>
        </is>
      </c>
      <c r="M92" s="27" t="inlineStr"/>
    </row>
    <row r="93">
      <c r="A93" s="36" t="inlineStr">
        <is>
          <t>PLN-00802</t>
        </is>
      </c>
      <c r="B93" s="27" t="inlineStr">
        <is>
          <t>Create the integrated FY27 operating plan</t>
        </is>
      </c>
      <c r="C93" s="27" t="inlineStr">
        <is>
          <t>Branch operating plan</t>
        </is>
      </c>
      <c r="D93" s="27" t="inlineStr">
        <is>
          <t>Construction</t>
        </is>
      </c>
      <c r="E93" s="27" t="inlineStr">
        <is>
          <t>FY27</t>
        </is>
      </c>
      <c r="F93" s="27" t="inlineStr">
        <is>
          <t>Approved case</t>
        </is>
      </c>
      <c r="G93" s="27" t="inlineStr">
        <is>
          <t>FY27 fixed opex</t>
        </is>
      </c>
      <c r="H93" s="46" t="n">
        <v>3150000</v>
      </c>
      <c r="I93" s="27" t="inlineStr"/>
      <c r="J93" s="27" t="inlineStr">
        <is>
          <t>USD</t>
        </is>
      </c>
      <c r="K93" s="27" t="inlineStr">
        <is>
          <t>Finance operating schedule</t>
        </is>
      </c>
      <c r="L93" s="47" t="inlineStr">
        <is>
          <t>2026-06-30</t>
        </is>
      </c>
      <c r="M93" s="27" t="inlineStr"/>
    </row>
    <row r="94">
      <c r="A94" s="36" t="inlineStr">
        <is>
          <t>PLN-00803</t>
        </is>
      </c>
      <c r="B94" s="27" t="inlineStr">
        <is>
          <t>Create the integrated FY27 operating plan</t>
        </is>
      </c>
      <c r="C94" s="27" t="inlineStr">
        <is>
          <t>Branch operating plan</t>
        </is>
      </c>
      <c r="D94" s="27" t="inlineStr">
        <is>
          <t>Construction</t>
        </is>
      </c>
      <c r="E94" s="27" t="inlineStr">
        <is>
          <t>FY27</t>
        </is>
      </c>
      <c r="F94" s="27" t="inlineStr">
        <is>
          <t>Approved case</t>
        </is>
      </c>
      <c r="G94" s="27" t="inlineStr">
        <is>
          <t>Variable opex percent</t>
        </is>
      </c>
      <c r="H94" s="46" t="n">
        <v>0.035</v>
      </c>
      <c r="I94" s="27" t="inlineStr"/>
      <c r="J94" s="27" t="inlineStr">
        <is>
          <t>decimal ratio</t>
        </is>
      </c>
      <c r="K94" s="27" t="inlineStr">
        <is>
          <t>Finance operating schedule</t>
        </is>
      </c>
      <c r="L94" s="47" t="inlineStr">
        <is>
          <t>2026-06-30</t>
        </is>
      </c>
      <c r="M94" s="27" t="inlineStr"/>
    </row>
    <row r="95">
      <c r="A95" s="36" t="inlineStr">
        <is>
          <t>PLN-00804</t>
        </is>
      </c>
      <c r="B95" s="27" t="inlineStr">
        <is>
          <t>Create the integrated FY27 operating plan</t>
        </is>
      </c>
      <c r="C95" s="27" t="inlineStr">
        <is>
          <t>Branch operating plan</t>
        </is>
      </c>
      <c r="D95" s="27" t="inlineStr">
        <is>
          <t>Service</t>
        </is>
      </c>
      <c r="E95" s="27" t="inlineStr">
        <is>
          <t>FY27</t>
        </is>
      </c>
      <c r="F95" s="27" t="inlineStr">
        <is>
          <t>Approved case</t>
        </is>
      </c>
      <c r="G95" s="27" t="inlineStr">
        <is>
          <t>FY26 revenue share</t>
        </is>
      </c>
      <c r="H95" s="46" t="n">
        <v>0.27</v>
      </c>
      <c r="I95" s="27" t="inlineStr"/>
      <c r="J95" s="27" t="inlineStr">
        <is>
          <t>decimal ratio</t>
        </is>
      </c>
      <c r="K95" s="27" t="inlineStr">
        <is>
          <t>Finance operating schedule</t>
        </is>
      </c>
      <c r="L95" s="47" t="inlineStr">
        <is>
          <t>2026-06-30</t>
        </is>
      </c>
      <c r="M95" s="27" t="inlineStr"/>
    </row>
    <row r="96">
      <c r="A96" s="36" t="inlineStr">
        <is>
          <t>PLN-00805</t>
        </is>
      </c>
      <c r="B96" s="27" t="inlineStr">
        <is>
          <t>Create the integrated FY27 operating plan</t>
        </is>
      </c>
      <c r="C96" s="27" t="inlineStr">
        <is>
          <t>Branch operating plan</t>
        </is>
      </c>
      <c r="D96" s="27" t="inlineStr">
        <is>
          <t>Service</t>
        </is>
      </c>
      <c r="E96" s="27" t="inlineStr">
        <is>
          <t>FY27</t>
        </is>
      </c>
      <c r="F96" s="27" t="inlineStr">
        <is>
          <t>Approved case</t>
        </is>
      </c>
      <c r="G96" s="27" t="inlineStr">
        <is>
          <t>FY27 approved growth</t>
        </is>
      </c>
      <c r="H96" s="46" t="n">
        <v>0.112</v>
      </c>
      <c r="I96" s="27" t="inlineStr"/>
      <c r="J96" s="27" t="inlineStr">
        <is>
          <t>decimal ratio</t>
        </is>
      </c>
      <c r="K96" s="27" t="inlineStr">
        <is>
          <t>Finance operating schedule</t>
        </is>
      </c>
      <c r="L96" s="47" t="inlineStr">
        <is>
          <t>2026-06-30</t>
        </is>
      </c>
      <c r="M96" s="27" t="inlineStr"/>
    </row>
    <row r="97">
      <c r="A97" s="36" t="inlineStr">
        <is>
          <t>PLN-00806</t>
        </is>
      </c>
      <c r="B97" s="27" t="inlineStr">
        <is>
          <t>Create the integrated FY27 operating plan</t>
        </is>
      </c>
      <c r="C97" s="27" t="inlineStr">
        <is>
          <t>Branch operating plan</t>
        </is>
      </c>
      <c r="D97" s="27" t="inlineStr">
        <is>
          <t>Service</t>
        </is>
      </c>
      <c r="E97" s="27" t="inlineStr">
        <is>
          <t>FY27</t>
        </is>
      </c>
      <c r="F97" s="27" t="inlineStr">
        <is>
          <t>Approved case</t>
        </is>
      </c>
      <c r="G97" s="27" t="inlineStr">
        <is>
          <t>FY27 gross margin</t>
        </is>
      </c>
      <c r="H97" s="46" t="n">
        <v>0.435</v>
      </c>
      <c r="I97" s="27" t="inlineStr"/>
      <c r="J97" s="27" t="inlineStr">
        <is>
          <t>decimal ratio</t>
        </is>
      </c>
      <c r="K97" s="27" t="inlineStr">
        <is>
          <t>Finance operating schedule</t>
        </is>
      </c>
      <c r="L97" s="47" t="inlineStr">
        <is>
          <t>2026-06-30</t>
        </is>
      </c>
      <c r="M97" s="27" t="inlineStr"/>
    </row>
    <row r="98">
      <c r="A98" s="36" t="inlineStr">
        <is>
          <t>PLN-00807</t>
        </is>
      </c>
      <c r="B98" s="27" t="inlineStr">
        <is>
          <t>Create the integrated FY27 operating plan</t>
        </is>
      </c>
      <c r="C98" s="27" t="inlineStr">
        <is>
          <t>Branch operating plan</t>
        </is>
      </c>
      <c r="D98" s="27" t="inlineStr">
        <is>
          <t>Service</t>
        </is>
      </c>
      <c r="E98" s="27" t="inlineStr">
        <is>
          <t>FY27</t>
        </is>
      </c>
      <c r="F98" s="27" t="inlineStr">
        <is>
          <t>Approved case</t>
        </is>
      </c>
      <c r="G98" s="27" t="inlineStr">
        <is>
          <t>FY27 fixed opex</t>
        </is>
      </c>
      <c r="H98" s="46" t="n">
        <v>2120000</v>
      </c>
      <c r="I98" s="27" t="inlineStr"/>
      <c r="J98" s="27" t="inlineStr">
        <is>
          <t>USD</t>
        </is>
      </c>
      <c r="K98" s="27" t="inlineStr">
        <is>
          <t>Finance operating schedule</t>
        </is>
      </c>
      <c r="L98" s="47" t="inlineStr">
        <is>
          <t>2026-06-30</t>
        </is>
      </c>
      <c r="M98" s="27" t="inlineStr"/>
    </row>
    <row r="99">
      <c r="A99" s="36" t="inlineStr">
        <is>
          <t>PLN-00808</t>
        </is>
      </c>
      <c r="B99" s="27" t="inlineStr">
        <is>
          <t>Create the integrated FY27 operating plan</t>
        </is>
      </c>
      <c r="C99" s="27" t="inlineStr">
        <is>
          <t>Branch operating plan</t>
        </is>
      </c>
      <c r="D99" s="27" t="inlineStr">
        <is>
          <t>Service</t>
        </is>
      </c>
      <c r="E99" s="27" t="inlineStr">
        <is>
          <t>FY27</t>
        </is>
      </c>
      <c r="F99" s="27" t="inlineStr">
        <is>
          <t>Approved case</t>
        </is>
      </c>
      <c r="G99" s="27" t="inlineStr">
        <is>
          <t>Variable opex percent</t>
        </is>
      </c>
      <c r="H99" s="46" t="n">
        <v>0.052</v>
      </c>
      <c r="I99" s="27" t="inlineStr"/>
      <c r="J99" s="27" t="inlineStr">
        <is>
          <t>decimal ratio</t>
        </is>
      </c>
      <c r="K99" s="27" t="inlineStr">
        <is>
          <t>Finance operating schedule</t>
        </is>
      </c>
      <c r="L99" s="47" t="inlineStr">
        <is>
          <t>2026-06-30</t>
        </is>
      </c>
      <c r="M99" s="27" t="inlineStr"/>
    </row>
    <row r="100">
      <c r="A100" s="36" t="inlineStr">
        <is>
          <t>PLN-00809</t>
        </is>
      </c>
      <c r="B100" s="27" t="inlineStr">
        <is>
          <t>Create the integrated FY27 operating plan</t>
        </is>
      </c>
      <c r="C100" s="27" t="inlineStr">
        <is>
          <t>Branch operating plan</t>
        </is>
      </c>
      <c r="D100" s="27" t="inlineStr">
        <is>
          <t>Controls</t>
        </is>
      </c>
      <c r="E100" s="27" t="inlineStr">
        <is>
          <t>FY27</t>
        </is>
      </c>
      <c r="F100" s="27" t="inlineStr">
        <is>
          <t>Approved case</t>
        </is>
      </c>
      <c r="G100" s="27" t="inlineStr">
        <is>
          <t>FY26 revenue share</t>
        </is>
      </c>
      <c r="H100" s="46" t="n">
        <v>0.15</v>
      </c>
      <c r="I100" s="27" t="inlineStr"/>
      <c r="J100" s="27" t="inlineStr">
        <is>
          <t>decimal ratio</t>
        </is>
      </c>
      <c r="K100" s="27" t="inlineStr">
        <is>
          <t>Finance operating schedule</t>
        </is>
      </c>
      <c r="L100" s="47" t="inlineStr">
        <is>
          <t>2026-06-30</t>
        </is>
      </c>
      <c r="M100" s="27" t="inlineStr"/>
    </row>
    <row r="101">
      <c r="A101" s="36" t="inlineStr">
        <is>
          <t>PLN-00810</t>
        </is>
      </c>
      <c r="B101" s="27" t="inlineStr">
        <is>
          <t>Create the integrated FY27 operating plan</t>
        </is>
      </c>
      <c r="C101" s="27" t="inlineStr">
        <is>
          <t>Branch operating plan</t>
        </is>
      </c>
      <c r="D101" s="27" t="inlineStr">
        <is>
          <t>Controls</t>
        </is>
      </c>
      <c r="E101" s="27" t="inlineStr">
        <is>
          <t>FY27</t>
        </is>
      </c>
      <c r="F101" s="27" t="inlineStr">
        <is>
          <t>Approved case</t>
        </is>
      </c>
      <c r="G101" s="27" t="inlineStr">
        <is>
          <t>FY27 approved growth</t>
        </is>
      </c>
      <c r="H101" s="46" t="n">
        <v>0.098</v>
      </c>
      <c r="I101" s="27" t="inlineStr"/>
      <c r="J101" s="27" t="inlineStr">
        <is>
          <t>decimal ratio</t>
        </is>
      </c>
      <c r="K101" s="27" t="inlineStr">
        <is>
          <t>Finance operating schedule</t>
        </is>
      </c>
      <c r="L101" s="47" t="inlineStr">
        <is>
          <t>2026-06-30</t>
        </is>
      </c>
      <c r="M101" s="27" t="inlineStr"/>
    </row>
    <row r="102">
      <c r="A102" s="36" t="inlineStr">
        <is>
          <t>PLN-00811</t>
        </is>
      </c>
      <c r="B102" s="27" t="inlineStr">
        <is>
          <t>Create the integrated FY27 operating plan</t>
        </is>
      </c>
      <c r="C102" s="27" t="inlineStr">
        <is>
          <t>Branch operating plan</t>
        </is>
      </c>
      <c r="D102" s="27" t="inlineStr">
        <is>
          <t>Controls</t>
        </is>
      </c>
      <c r="E102" s="27" t="inlineStr">
        <is>
          <t>FY27</t>
        </is>
      </c>
      <c r="F102" s="27" t="inlineStr">
        <is>
          <t>Approved case</t>
        </is>
      </c>
      <c r="G102" s="27" t="inlineStr">
        <is>
          <t>FY27 gross margin</t>
        </is>
      </c>
      <c r="H102" s="46" t="n">
        <v>0.318</v>
      </c>
      <c r="I102" s="27" t="inlineStr"/>
      <c r="J102" s="27" t="inlineStr">
        <is>
          <t>decimal ratio</t>
        </is>
      </c>
      <c r="K102" s="27" t="inlineStr">
        <is>
          <t>Finance operating schedule</t>
        </is>
      </c>
      <c r="L102" s="47" t="inlineStr">
        <is>
          <t>2026-06-30</t>
        </is>
      </c>
      <c r="M102" s="27" t="inlineStr"/>
    </row>
    <row r="103">
      <c r="A103" s="36" t="inlineStr">
        <is>
          <t>PLN-00812</t>
        </is>
      </c>
      <c r="B103" s="27" t="inlineStr">
        <is>
          <t>Create the integrated FY27 operating plan</t>
        </is>
      </c>
      <c r="C103" s="27" t="inlineStr">
        <is>
          <t>Branch operating plan</t>
        </is>
      </c>
      <c r="D103" s="27" t="inlineStr">
        <is>
          <t>Controls</t>
        </is>
      </c>
      <c r="E103" s="27" t="inlineStr">
        <is>
          <t>FY27</t>
        </is>
      </c>
      <c r="F103" s="27" t="inlineStr">
        <is>
          <t>Approved case</t>
        </is>
      </c>
      <c r="G103" s="27" t="inlineStr">
        <is>
          <t>FY27 fixed opex</t>
        </is>
      </c>
      <c r="H103" s="46" t="n">
        <v>1480</v>
      </c>
      <c r="I103" s="27" t="inlineStr"/>
      <c r="J103" s="27" t="inlineStr">
        <is>
          <t>USD thousands</t>
        </is>
      </c>
      <c r="K103" s="27" t="inlineStr">
        <is>
          <t>Finance operating schedule</t>
        </is>
      </c>
      <c r="L103" s="47" t="inlineStr">
        <is>
          <t>2026-06-30</t>
        </is>
      </c>
      <c r="M103" s="27" t="inlineStr"/>
    </row>
    <row r="104">
      <c r="A104" s="36" t="inlineStr">
        <is>
          <t>PLN-00813</t>
        </is>
      </c>
      <c r="B104" s="27" t="inlineStr">
        <is>
          <t>Create the integrated FY27 operating plan</t>
        </is>
      </c>
      <c r="C104" s="27" t="inlineStr">
        <is>
          <t>Branch operating plan</t>
        </is>
      </c>
      <c r="D104" s="27" t="inlineStr">
        <is>
          <t>Controls</t>
        </is>
      </c>
      <c r="E104" s="27" t="inlineStr">
        <is>
          <t>FY27</t>
        </is>
      </c>
      <c r="F104" s="27" t="inlineStr">
        <is>
          <t>Approved case</t>
        </is>
      </c>
      <c r="G104" s="27" t="inlineStr">
        <is>
          <t>Variable opex percent</t>
        </is>
      </c>
      <c r="H104" s="46" t="n">
        <v>0.044</v>
      </c>
      <c r="I104" s="27" t="inlineStr"/>
      <c r="J104" s="27" t="inlineStr">
        <is>
          <t>decimal ratio</t>
        </is>
      </c>
      <c r="K104" s="27" t="inlineStr">
        <is>
          <t>Finance operating schedule</t>
        </is>
      </c>
      <c r="L104" s="47" t="inlineStr">
        <is>
          <t>2026-06-30</t>
        </is>
      </c>
      <c r="M104" s="27" t="inlineStr"/>
    </row>
    <row r="105">
      <c r="A105" s="36" t="inlineStr">
        <is>
          <t>PLN-00814</t>
        </is>
      </c>
      <c r="B105" s="27" t="inlineStr">
        <is>
          <t>Create the integrated FY27 operating plan</t>
        </is>
      </c>
      <c r="C105" s="27" t="inlineStr">
        <is>
          <t>Integrated plan assumptions</t>
        </is>
      </c>
      <c r="D105" s="27" t="inlineStr">
        <is>
          <t>Alder Ridge</t>
        </is>
      </c>
      <c r="E105" s="27" t="inlineStr">
        <is>
          <t>FY27</t>
        </is>
      </c>
      <c r="F105" s="27" t="inlineStr">
        <is>
          <t>Approved case</t>
        </is>
      </c>
      <c r="G105" s="27" t="inlineStr">
        <is>
          <t>Corporate opex</t>
        </is>
      </c>
      <c r="H105" s="46" t="n">
        <v>1050000</v>
      </c>
      <c r="I105" s="27" t="inlineStr"/>
      <c r="J105" s="27" t="inlineStr">
        <is>
          <t>USD</t>
        </is>
      </c>
      <c r="K105" s="27" t="inlineStr">
        <is>
          <t>Finance operating schedule</t>
        </is>
      </c>
      <c r="L105" s="47" t="inlineStr">
        <is>
          <t>2026-06-30</t>
        </is>
      </c>
      <c r="M105" s="27" t="inlineStr"/>
    </row>
    <row r="106">
      <c r="A106" s="36" t="inlineStr">
        <is>
          <t>PLN-00815</t>
        </is>
      </c>
      <c r="B106" s="27" t="inlineStr">
        <is>
          <t>Create the integrated FY27 operating plan</t>
        </is>
      </c>
      <c r="C106" s="27" t="inlineStr">
        <is>
          <t>Integrated plan assumptions</t>
        </is>
      </c>
      <c r="D106" s="27" t="inlineStr">
        <is>
          <t>Alder Ridge</t>
        </is>
      </c>
      <c r="E106" s="27" t="inlineStr">
        <is>
          <t>FY27</t>
        </is>
      </c>
      <c r="F106" s="27" t="inlineStr">
        <is>
          <t>Approved case</t>
        </is>
      </c>
      <c r="G106" s="27" t="inlineStr">
        <is>
          <t>Annual cash taxes</t>
        </is>
      </c>
      <c r="H106" s="46" t="n">
        <v>540000</v>
      </c>
      <c r="I106" s="27" t="inlineStr"/>
      <c r="J106" s="27" t="inlineStr">
        <is>
          <t>USD</t>
        </is>
      </c>
      <c r="K106" s="27" t="inlineStr">
        <is>
          <t>Finance operating schedule</t>
        </is>
      </c>
      <c r="L106" s="47" t="inlineStr">
        <is>
          <t>2026-06-30</t>
        </is>
      </c>
      <c r="M106" s="27" t="inlineStr"/>
    </row>
    <row r="107">
      <c r="A107" s="36" t="inlineStr">
        <is>
          <t>PLN-00816</t>
        </is>
      </c>
      <c r="B107" s="27" t="inlineStr">
        <is>
          <t>Create the integrated FY27 operating plan</t>
        </is>
      </c>
      <c r="C107" s="27" t="inlineStr">
        <is>
          <t>Integrated plan assumptions</t>
        </is>
      </c>
      <c r="D107" s="27" t="inlineStr">
        <is>
          <t>Alder Ridge</t>
        </is>
      </c>
      <c r="E107" s="27" t="inlineStr">
        <is>
          <t>FY27</t>
        </is>
      </c>
      <c r="F107" s="27" t="inlineStr">
        <is>
          <t>Approved case</t>
        </is>
      </c>
      <c r="G107" s="27" t="inlineStr">
        <is>
          <t>Maintenance capex</t>
        </is>
      </c>
      <c r="H107" s="46" t="n">
        <v>1150</v>
      </c>
      <c r="I107" s="27" t="inlineStr"/>
      <c r="J107" s="27" t="inlineStr">
        <is>
          <t>USD thousands</t>
        </is>
      </c>
      <c r="K107" s="27" t="inlineStr">
        <is>
          <t>Finance operating schedule</t>
        </is>
      </c>
      <c r="L107" s="47" t="inlineStr">
        <is>
          <t>2026-06-30</t>
        </is>
      </c>
      <c r="M107" s="27" t="inlineStr"/>
    </row>
    <row r="108">
      <c r="A108" s="36" t="inlineStr">
        <is>
          <t>PLN-00817</t>
        </is>
      </c>
      <c r="B108" s="27" t="inlineStr">
        <is>
          <t>Create the integrated FY27 operating plan</t>
        </is>
      </c>
      <c r="C108" s="27" t="inlineStr">
        <is>
          <t>Integrated plan assumptions</t>
        </is>
      </c>
      <c r="D108" s="27" t="inlineStr">
        <is>
          <t>Alder Ridge</t>
        </is>
      </c>
      <c r="E108" s="27" t="inlineStr">
        <is>
          <t>FY27</t>
        </is>
      </c>
      <c r="F108" s="27" t="inlineStr">
        <is>
          <t>Approved case</t>
        </is>
      </c>
      <c r="G108" s="27" t="inlineStr">
        <is>
          <t>Growth capex</t>
        </is>
      </c>
      <c r="H108" s="46" t="n">
        <v>1725000</v>
      </c>
      <c r="I108" s="27" t="inlineStr"/>
      <c r="J108" s="27" t="inlineStr">
        <is>
          <t>USD</t>
        </is>
      </c>
      <c r="K108" s="27" t="inlineStr">
        <is>
          <t>Finance operating schedule</t>
        </is>
      </c>
      <c r="L108" s="47" t="inlineStr">
        <is>
          <t>2026-06-30</t>
        </is>
      </c>
      <c r="M108" s="27" t="inlineStr"/>
    </row>
    <row r="109">
      <c r="A109" s="36" t="inlineStr">
        <is>
          <t>PLN-00818</t>
        </is>
      </c>
      <c r="B109" s="27" t="inlineStr">
        <is>
          <t>Create the integrated FY27 operating plan</t>
        </is>
      </c>
      <c r="C109" s="27" t="inlineStr">
        <is>
          <t>Integrated plan assumptions</t>
        </is>
      </c>
      <c r="D109" s="27" t="inlineStr">
        <is>
          <t>Alder Ridge</t>
        </is>
      </c>
      <c r="E109" s="27" t="inlineStr">
        <is>
          <t>FY27</t>
        </is>
      </c>
      <c r="F109" s="27" t="inlineStr">
        <is>
          <t>Approved case</t>
        </is>
      </c>
      <c r="G109" s="27" t="inlineStr">
        <is>
          <t>Working capital percent of incremental revenue</t>
        </is>
      </c>
      <c r="H109" s="46" t="n">
        <v>0.0825</v>
      </c>
      <c r="I109" s="27" t="inlineStr"/>
      <c r="J109" s="27" t="inlineStr">
        <is>
          <t>decimal ratio</t>
        </is>
      </c>
      <c r="K109" s="27" t="inlineStr">
        <is>
          <t>Finance operating schedule</t>
        </is>
      </c>
      <c r="L109" s="47" t="inlineStr">
        <is>
          <t>2026-06-30</t>
        </is>
      </c>
      <c r="M109" s="27" t="inlineStr"/>
    </row>
    <row r="110">
      <c r="A110" s="36" t="inlineStr">
        <is>
          <t>PLN-00819</t>
        </is>
      </c>
      <c r="B110" s="27" t="inlineStr">
        <is>
          <t>Create the integrated FY27 operating plan</t>
        </is>
      </c>
      <c r="C110" s="27" t="inlineStr">
        <is>
          <t>Integrated plan assumptions</t>
        </is>
      </c>
      <c r="D110" s="27" t="inlineStr">
        <is>
          <t>Alder Ridge</t>
        </is>
      </c>
      <c r="E110" s="27" t="inlineStr">
        <is>
          <t>FY27</t>
        </is>
      </c>
      <c r="F110" s="27" t="inlineStr">
        <is>
          <t>Approved case</t>
        </is>
      </c>
      <c r="G110" s="27" t="inlineStr">
        <is>
          <t>Downside revenue decrement</t>
        </is>
      </c>
      <c r="H110" s="46" t="n">
        <v>0.08749999999999999</v>
      </c>
      <c r="I110" s="27" t="inlineStr"/>
      <c r="J110" s="27" t="inlineStr">
        <is>
          <t>decimal ratio</t>
        </is>
      </c>
      <c r="K110" s="27" t="inlineStr">
        <is>
          <t>Finance operating schedule</t>
        </is>
      </c>
      <c r="L110" s="47" t="inlineStr">
        <is>
          <t>2026-06-30</t>
        </is>
      </c>
      <c r="M110" s="27" t="inlineStr"/>
    </row>
    <row r="111">
      <c r="A111" s="36" t="inlineStr">
        <is>
          <t>PLN-00820</t>
        </is>
      </c>
      <c r="B111" s="27" t="inlineStr">
        <is>
          <t>Create the integrated FY27 operating plan</t>
        </is>
      </c>
      <c r="C111" s="27" t="inlineStr">
        <is>
          <t>Integrated plan assumptions</t>
        </is>
      </c>
      <c r="D111" s="27" t="inlineStr">
        <is>
          <t>Alder Ridge</t>
        </is>
      </c>
      <c r="E111" s="27" t="inlineStr">
        <is>
          <t>FY27</t>
        </is>
      </c>
      <c r="F111" s="27" t="inlineStr">
        <is>
          <t>Approved case</t>
        </is>
      </c>
      <c r="G111" s="27" t="inlineStr">
        <is>
          <t>Downside gross margin compression</t>
        </is>
      </c>
      <c r="H111" s="46" t="n">
        <v>0.0225</v>
      </c>
      <c r="I111" s="27" t="inlineStr"/>
      <c r="J111" s="27" t="inlineStr">
        <is>
          <t>decimal ratio</t>
        </is>
      </c>
      <c r="K111" s="27" t="inlineStr">
        <is>
          <t>Finance operating schedule</t>
        </is>
      </c>
      <c r="L111" s="47" t="inlineStr">
        <is>
          <t>2026-06-30</t>
        </is>
      </c>
      <c r="M111" s="27" t="inlineStr"/>
    </row>
    <row r="112">
      <c r="A112" s="36" t="inlineStr">
        <is>
          <t>PLN-00821</t>
        </is>
      </c>
      <c r="B112" s="27" t="inlineStr">
        <is>
          <t>Create the integrated FY27 operating plan</t>
        </is>
      </c>
      <c r="C112" s="27" t="inlineStr">
        <is>
          <t>Integrated plan assumptions</t>
        </is>
      </c>
      <c r="D112" s="27" t="inlineStr">
        <is>
          <t>Alder Ridge</t>
        </is>
      </c>
      <c r="E112" s="27" t="inlineStr">
        <is>
          <t>FY27</t>
        </is>
      </c>
      <c r="F112" s="27" t="inlineStr">
        <is>
          <t>Approved case</t>
        </is>
      </c>
      <c r="G112" s="27" t="inlineStr">
        <is>
          <t>Downside opex mitigation</t>
        </is>
      </c>
      <c r="H112" s="46" t="n">
        <v>760000</v>
      </c>
      <c r="I112" s="27" t="inlineStr"/>
      <c r="J112" s="27" t="inlineStr">
        <is>
          <t>USD</t>
        </is>
      </c>
      <c r="K112" s="27" t="inlineStr">
        <is>
          <t>Finance operating schedule</t>
        </is>
      </c>
      <c r="L112" s="47" t="inlineStr">
        <is>
          <t>2026-06-30</t>
        </is>
      </c>
      <c r="M112" s="27" t="inlineStr"/>
    </row>
    <row r="113">
      <c r="A113" s="36" t="inlineStr">
        <is>
          <t>PLN-00836</t>
        </is>
      </c>
      <c r="B113" s="27" t="inlineStr">
        <is>
          <t>Create the integrated FY27 operating plan</t>
        </is>
      </c>
      <c r="C113" s="27" t="inlineStr">
        <is>
          <t>Quarterly integrated plan</t>
        </is>
      </c>
      <c r="D113" s="27" t="inlineStr">
        <is>
          <t>Alder Ridge</t>
        </is>
      </c>
      <c r="E113" s="27" t="inlineStr">
        <is>
          <t>Q1 FY27</t>
        </is>
      </c>
      <c r="F113" s="27" t="inlineStr">
        <is>
          <t>Approved case</t>
        </is>
      </c>
      <c r="G113" s="27" t="inlineStr">
        <is>
          <t>Revenue phase</t>
        </is>
      </c>
      <c r="H113" s="46" t="n">
        <v>0.21</v>
      </c>
      <c r="I113" s="27" t="inlineStr"/>
      <c r="J113" s="27" t="inlineStr">
        <is>
          <t>decimal ratio</t>
        </is>
      </c>
      <c r="K113" s="27" t="inlineStr">
        <is>
          <t>Finance operating schedule</t>
        </is>
      </c>
      <c r="L113" s="47" t="inlineStr">
        <is>
          <t>2026-06-30</t>
        </is>
      </c>
      <c r="M113" s="27" t="inlineStr"/>
    </row>
    <row r="114">
      <c r="A114" s="36" t="inlineStr">
        <is>
          <t>PLN-00837</t>
        </is>
      </c>
      <c r="B114" s="27" t="inlineStr">
        <is>
          <t>Create the integrated FY27 operating plan</t>
        </is>
      </c>
      <c r="C114" s="27" t="inlineStr">
        <is>
          <t>Quarterly integrated plan</t>
        </is>
      </c>
      <c r="D114" s="27" t="inlineStr">
        <is>
          <t>Alder Ridge</t>
        </is>
      </c>
      <c r="E114" s="27" t="inlineStr">
        <is>
          <t>Q1 FY27</t>
        </is>
      </c>
      <c r="F114" s="27" t="inlineStr">
        <is>
          <t>Approved case</t>
        </is>
      </c>
      <c r="G114" s="27" t="inlineStr">
        <is>
          <t>EBITDA phase</t>
        </is>
      </c>
      <c r="H114" s="46" t="n">
        <v>0.17</v>
      </c>
      <c r="I114" s="27" t="inlineStr"/>
      <c r="J114" s="27" t="inlineStr">
        <is>
          <t>decimal ratio</t>
        </is>
      </c>
      <c r="K114" s="27" t="inlineStr">
        <is>
          <t>Finance operating schedule</t>
        </is>
      </c>
      <c r="L114" s="47" t="inlineStr">
        <is>
          <t>2026-06-30</t>
        </is>
      </c>
      <c r="M114" s="27" t="inlineStr"/>
    </row>
    <row r="115">
      <c r="A115" s="36" t="inlineStr">
        <is>
          <t>PLN-00838</t>
        </is>
      </c>
      <c r="B115" s="27" t="inlineStr">
        <is>
          <t>Create the integrated FY27 operating plan</t>
        </is>
      </c>
      <c r="C115" s="27" t="inlineStr">
        <is>
          <t>Quarterly integrated plan</t>
        </is>
      </c>
      <c r="D115" s="27" t="inlineStr">
        <is>
          <t>Alder Ridge</t>
        </is>
      </c>
      <c r="E115" s="27" t="inlineStr">
        <is>
          <t>Q1 FY27</t>
        </is>
      </c>
      <c r="F115" s="27" t="inlineStr">
        <is>
          <t>Approved case</t>
        </is>
      </c>
      <c r="G115" s="27" t="inlineStr">
        <is>
          <t>Cash taxes</t>
        </is>
      </c>
      <c r="H115" s="46" t="n">
        <v>85000</v>
      </c>
      <c r="I115" s="27" t="inlineStr"/>
      <c r="J115" s="27" t="inlineStr">
        <is>
          <t>USD</t>
        </is>
      </c>
      <c r="K115" s="27" t="inlineStr">
        <is>
          <t>Finance operating schedule</t>
        </is>
      </c>
      <c r="L115" s="47" t="inlineStr">
        <is>
          <t>2026-06-30</t>
        </is>
      </c>
      <c r="M115" s="27" t="inlineStr"/>
    </row>
    <row r="116">
      <c r="A116" s="36" t="inlineStr">
        <is>
          <t>PLN-00839</t>
        </is>
      </c>
      <c r="B116" s="27" t="inlineStr">
        <is>
          <t>Create the integrated FY27 operating plan</t>
        </is>
      </c>
      <c r="C116" s="27" t="inlineStr">
        <is>
          <t>Quarterly integrated plan</t>
        </is>
      </c>
      <c r="D116" s="27" t="inlineStr">
        <is>
          <t>Alder Ridge</t>
        </is>
      </c>
      <c r="E116" s="27" t="inlineStr">
        <is>
          <t>Q1 FY27</t>
        </is>
      </c>
      <c r="F116" s="27" t="inlineStr">
        <is>
          <t>Approved case</t>
        </is>
      </c>
      <c r="G116" s="27" t="inlineStr">
        <is>
          <t>Capex</t>
        </is>
      </c>
      <c r="H116" s="46" t="n">
        <v>860</v>
      </c>
      <c r="I116" s="27" t="inlineStr"/>
      <c r="J116" s="27" t="inlineStr">
        <is>
          <t>USD thousands</t>
        </is>
      </c>
      <c r="K116" s="27" t="inlineStr">
        <is>
          <t>Finance operating schedule</t>
        </is>
      </c>
      <c r="L116" s="47" t="inlineStr">
        <is>
          <t>2026-06-30</t>
        </is>
      </c>
      <c r="M116" s="27" t="inlineStr"/>
    </row>
    <row r="117">
      <c r="A117" s="36" t="inlineStr">
        <is>
          <t>PLN-00840</t>
        </is>
      </c>
      <c r="B117" s="27" t="inlineStr">
        <is>
          <t>Create the integrated FY27 operating plan</t>
        </is>
      </c>
      <c r="C117" s="27" t="inlineStr">
        <is>
          <t>Quarterly integrated plan</t>
        </is>
      </c>
      <c r="D117" s="27" t="inlineStr">
        <is>
          <t>Alder Ridge</t>
        </is>
      </c>
      <c r="E117" s="27" t="inlineStr">
        <is>
          <t>Q1 FY27</t>
        </is>
      </c>
      <c r="F117" s="27" t="inlineStr">
        <is>
          <t>Approved case</t>
        </is>
      </c>
      <c r="G117" s="27" t="inlineStr">
        <is>
          <t>Ending NWC balance</t>
        </is>
      </c>
      <c r="H117" s="46" t="n">
        <v>5900000</v>
      </c>
      <c r="I117" s="27" t="inlineStr"/>
      <c r="J117" s="27" t="inlineStr">
        <is>
          <t>USD</t>
        </is>
      </c>
      <c r="K117" s="27" t="inlineStr">
        <is>
          <t>Finance operating schedule</t>
        </is>
      </c>
      <c r="L117" s="47" t="inlineStr">
        <is>
          <t>2026-06-30</t>
        </is>
      </c>
      <c r="M117" s="27" t="inlineStr"/>
    </row>
    <row r="118">
      <c r="A118" s="36" t="inlineStr">
        <is>
          <t>PLN-00841</t>
        </is>
      </c>
      <c r="B118" s="27" t="inlineStr">
        <is>
          <t>Create the integrated FY27 operating plan</t>
        </is>
      </c>
      <c r="C118" s="27" t="inlineStr">
        <is>
          <t>Quarterly integrated plan</t>
        </is>
      </c>
      <c r="D118" s="27" t="inlineStr">
        <is>
          <t>Alder Ridge</t>
        </is>
      </c>
      <c r="E118" s="27" t="inlineStr">
        <is>
          <t>Q2 FY27</t>
        </is>
      </c>
      <c r="F118" s="27" t="inlineStr">
        <is>
          <t>Approved case</t>
        </is>
      </c>
      <c r="G118" s="27" t="inlineStr">
        <is>
          <t>Revenue phase</t>
        </is>
      </c>
      <c r="H118" s="46" t="n">
        <v>0.24</v>
      </c>
      <c r="I118" s="27" t="inlineStr"/>
      <c r="J118" s="27" t="inlineStr">
        <is>
          <t>decimal ratio</t>
        </is>
      </c>
      <c r="K118" s="27" t="inlineStr">
        <is>
          <t>Finance operating schedule</t>
        </is>
      </c>
      <c r="L118" s="47" t="inlineStr">
        <is>
          <t>2026-06-30</t>
        </is>
      </c>
      <c r="M118" s="27" t="inlineStr"/>
    </row>
    <row r="119">
      <c r="A119" s="36" t="inlineStr">
        <is>
          <t>PLN-00842</t>
        </is>
      </c>
      <c r="B119" s="27" t="inlineStr">
        <is>
          <t>Create the integrated FY27 operating plan</t>
        </is>
      </c>
      <c r="C119" s="27" t="inlineStr">
        <is>
          <t>Quarterly integrated plan</t>
        </is>
      </c>
      <c r="D119" s="27" t="inlineStr">
        <is>
          <t>Alder Ridge</t>
        </is>
      </c>
      <c r="E119" s="27" t="inlineStr">
        <is>
          <t>Q2 FY27</t>
        </is>
      </c>
      <c r="F119" s="27" t="inlineStr">
        <is>
          <t>Approved case</t>
        </is>
      </c>
      <c r="G119" s="27" t="inlineStr">
        <is>
          <t>EBITDA phase</t>
        </is>
      </c>
      <c r="H119" s="46" t="n">
        <v>0.22</v>
      </c>
      <c r="I119" s="27" t="inlineStr"/>
      <c r="J119" s="27" t="inlineStr">
        <is>
          <t>decimal ratio</t>
        </is>
      </c>
      <c r="K119" s="27" t="inlineStr">
        <is>
          <t>Finance operating schedule</t>
        </is>
      </c>
      <c r="L119" s="47" t="inlineStr">
        <is>
          <t>2026-06-30</t>
        </is>
      </c>
      <c r="M119" s="27" t="inlineStr"/>
    </row>
    <row r="120">
      <c r="A120" s="36" t="inlineStr">
        <is>
          <t>PLN-00843</t>
        </is>
      </c>
      <c r="B120" s="27" t="inlineStr">
        <is>
          <t>Create the integrated FY27 operating plan</t>
        </is>
      </c>
      <c r="C120" s="27" t="inlineStr">
        <is>
          <t>Quarterly integrated plan</t>
        </is>
      </c>
      <c r="D120" s="27" t="inlineStr">
        <is>
          <t>Alder Ridge</t>
        </is>
      </c>
      <c r="E120" s="27" t="inlineStr">
        <is>
          <t>Q2 FY27</t>
        </is>
      </c>
      <c r="F120" s="27" t="inlineStr">
        <is>
          <t>Approved case</t>
        </is>
      </c>
      <c r="G120" s="27" t="inlineStr">
        <is>
          <t>Cash taxes</t>
        </is>
      </c>
      <c r="H120" s="46" t="n">
        <v>120</v>
      </c>
      <c r="I120" s="27" t="inlineStr"/>
      <c r="J120" s="27" t="inlineStr">
        <is>
          <t>USD thousands</t>
        </is>
      </c>
      <c r="K120" s="27" t="inlineStr">
        <is>
          <t>Finance operating schedule</t>
        </is>
      </c>
      <c r="L120" s="47" t="inlineStr">
        <is>
          <t>2026-06-30</t>
        </is>
      </c>
      <c r="M120" s="27" t="inlineStr"/>
    </row>
    <row r="121">
      <c r="A121" s="36" t="inlineStr">
        <is>
          <t>PLN-00844</t>
        </is>
      </c>
      <c r="B121" s="27" t="inlineStr">
        <is>
          <t>Create the integrated FY27 operating plan</t>
        </is>
      </c>
      <c r="C121" s="27" t="inlineStr">
        <is>
          <t>Quarterly integrated plan</t>
        </is>
      </c>
      <c r="D121" s="27" t="inlineStr">
        <is>
          <t>Alder Ridge</t>
        </is>
      </c>
      <c r="E121" s="27" t="inlineStr">
        <is>
          <t>Q2 FY27</t>
        </is>
      </c>
      <c r="F121" s="27" t="inlineStr">
        <is>
          <t>Approved case</t>
        </is>
      </c>
      <c r="G121" s="27" t="inlineStr">
        <is>
          <t>Capex</t>
        </is>
      </c>
      <c r="H121" s="46" t="n">
        <v>735000</v>
      </c>
      <c r="I121" s="27" t="inlineStr"/>
      <c r="J121" s="27" t="inlineStr">
        <is>
          <t>USD</t>
        </is>
      </c>
      <c r="K121" s="27" t="inlineStr">
        <is>
          <t>Finance operating schedule</t>
        </is>
      </c>
      <c r="L121" s="47" t="inlineStr">
        <is>
          <t>2026-06-30</t>
        </is>
      </c>
      <c r="M121" s="27" t="inlineStr"/>
    </row>
    <row r="122">
      <c r="A122" s="36" t="inlineStr">
        <is>
          <t>PLN-00845</t>
        </is>
      </c>
      <c r="B122" s="27" t="inlineStr">
        <is>
          <t>Create the integrated FY27 operating plan</t>
        </is>
      </c>
      <c r="C122" s="27" t="inlineStr">
        <is>
          <t>Quarterly integrated plan</t>
        </is>
      </c>
      <c r="D122" s="27" t="inlineStr">
        <is>
          <t>Alder Ridge</t>
        </is>
      </c>
      <c r="E122" s="27" t="inlineStr">
        <is>
          <t>Q2 FY27</t>
        </is>
      </c>
      <c r="F122" s="27" t="inlineStr">
        <is>
          <t>Approved case</t>
        </is>
      </c>
      <c r="G122" s="27" t="inlineStr">
        <is>
          <t>Ending NWC balance</t>
        </is>
      </c>
      <c r="H122" s="46" t="n">
        <v>5700000</v>
      </c>
      <c r="I122" s="27" t="inlineStr"/>
      <c r="J122" s="27" t="inlineStr">
        <is>
          <t>USD</t>
        </is>
      </c>
      <c r="K122" s="27" t="inlineStr">
        <is>
          <t>Finance operating schedule</t>
        </is>
      </c>
      <c r="L122" s="47" t="inlineStr">
        <is>
          <t>2026-06-30</t>
        </is>
      </c>
      <c r="M122" s="27" t="inlineStr"/>
    </row>
    <row r="123">
      <c r="A123" s="36" t="inlineStr">
        <is>
          <t>PLN-00846</t>
        </is>
      </c>
      <c r="B123" s="27" t="inlineStr">
        <is>
          <t>Create the integrated FY27 operating plan</t>
        </is>
      </c>
      <c r="C123" s="27" t="inlineStr">
        <is>
          <t>Quarterly integrated plan</t>
        </is>
      </c>
      <c r="D123" s="27" t="inlineStr">
        <is>
          <t>Alder Ridge</t>
        </is>
      </c>
      <c r="E123" s="27" t="inlineStr">
        <is>
          <t>Q3 FY27</t>
        </is>
      </c>
      <c r="F123" s="27" t="inlineStr">
        <is>
          <t>Approved case</t>
        </is>
      </c>
      <c r="G123" s="27" t="inlineStr">
        <is>
          <t>Revenue phase</t>
        </is>
      </c>
      <c r="H123" s="46" t="n">
        <v>0.26</v>
      </c>
      <c r="I123" s="27" t="inlineStr"/>
      <c r="J123" s="27" t="inlineStr">
        <is>
          <t>decimal ratio</t>
        </is>
      </c>
      <c r="K123" s="27" t="inlineStr">
        <is>
          <t>Finance operating schedule</t>
        </is>
      </c>
      <c r="L123" s="47" t="inlineStr">
        <is>
          <t>2026-06-30</t>
        </is>
      </c>
      <c r="M123" s="27" t="inlineStr"/>
    </row>
    <row r="124">
      <c r="A124" s="36" t="inlineStr">
        <is>
          <t>PLN-00847</t>
        </is>
      </c>
      <c r="B124" s="27" t="inlineStr">
        <is>
          <t>Create the integrated FY27 operating plan</t>
        </is>
      </c>
      <c r="C124" s="27" t="inlineStr">
        <is>
          <t>Quarterly integrated plan</t>
        </is>
      </c>
      <c r="D124" s="27" t="inlineStr">
        <is>
          <t>Alder Ridge</t>
        </is>
      </c>
      <c r="E124" s="27" t="inlineStr">
        <is>
          <t>Q3 FY27</t>
        </is>
      </c>
      <c r="F124" s="27" t="inlineStr">
        <is>
          <t>Approved case</t>
        </is>
      </c>
      <c r="G124" s="27" t="inlineStr">
        <is>
          <t>EBITDA phase</t>
        </is>
      </c>
      <c r="H124" s="46" t="n">
        <v>0.27</v>
      </c>
      <c r="I124" s="27" t="inlineStr"/>
      <c r="J124" s="27" t="inlineStr">
        <is>
          <t>decimal ratio</t>
        </is>
      </c>
      <c r="K124" s="27" t="inlineStr">
        <is>
          <t>Finance operating schedule</t>
        </is>
      </c>
      <c r="L124" s="47" t="inlineStr">
        <is>
          <t>2026-06-30</t>
        </is>
      </c>
      <c r="M124" s="27" t="inlineStr"/>
    </row>
    <row r="125">
      <c r="A125" s="36" t="inlineStr">
        <is>
          <t>PLN-00848</t>
        </is>
      </c>
      <c r="B125" s="27" t="inlineStr">
        <is>
          <t>Create the integrated FY27 operating plan</t>
        </is>
      </c>
      <c r="C125" s="27" t="inlineStr">
        <is>
          <t>Quarterly integrated plan</t>
        </is>
      </c>
      <c r="D125" s="27" t="inlineStr">
        <is>
          <t>Alder Ridge</t>
        </is>
      </c>
      <c r="E125" s="27" t="inlineStr">
        <is>
          <t>Q3 FY27</t>
        </is>
      </c>
      <c r="F125" s="27" t="inlineStr">
        <is>
          <t>Approved case</t>
        </is>
      </c>
      <c r="G125" s="27" t="inlineStr">
        <is>
          <t>Cash taxes</t>
        </is>
      </c>
      <c r="H125" s="46" t="n">
        <v>145000</v>
      </c>
      <c r="I125" s="27" t="inlineStr"/>
      <c r="J125" s="27" t="inlineStr">
        <is>
          <t>USD</t>
        </is>
      </c>
      <c r="K125" s="27" t="inlineStr">
        <is>
          <t>Finance operating schedule</t>
        </is>
      </c>
      <c r="L125" s="47" t="inlineStr">
        <is>
          <t>2026-06-30</t>
        </is>
      </c>
      <c r="M125" s="27" t="inlineStr"/>
    </row>
    <row r="126">
      <c r="A126" s="36" t="inlineStr">
        <is>
          <t>PLN-00849</t>
        </is>
      </c>
      <c r="B126" s="27" t="inlineStr">
        <is>
          <t>Create the integrated FY27 operating plan</t>
        </is>
      </c>
      <c r="C126" s="27" t="inlineStr">
        <is>
          <t>Quarterly integrated plan</t>
        </is>
      </c>
      <c r="D126" s="27" t="inlineStr">
        <is>
          <t>Alder Ridge</t>
        </is>
      </c>
      <c r="E126" s="27" t="inlineStr">
        <is>
          <t>Q3 FY27</t>
        </is>
      </c>
      <c r="F126" s="27" t="inlineStr">
        <is>
          <t>Approved case</t>
        </is>
      </c>
      <c r="G126" s="27" t="inlineStr">
        <is>
          <t>Capex</t>
        </is>
      </c>
      <c r="H126" s="46" t="n">
        <v>630000</v>
      </c>
      <c r="I126" s="27" t="inlineStr"/>
      <c r="J126" s="27" t="inlineStr">
        <is>
          <t>USD</t>
        </is>
      </c>
      <c r="K126" s="27" t="inlineStr">
        <is>
          <t>Finance operating schedule</t>
        </is>
      </c>
      <c r="L126" s="47" t="inlineStr">
        <is>
          <t>2026-06-30</t>
        </is>
      </c>
      <c r="M126" s="27" t="inlineStr"/>
    </row>
    <row r="127">
      <c r="A127" s="36" t="inlineStr">
        <is>
          <t>PLN-00850</t>
        </is>
      </c>
      <c r="B127" s="27" t="inlineStr">
        <is>
          <t>Create the integrated FY27 operating plan</t>
        </is>
      </c>
      <c r="C127" s="27" t="inlineStr">
        <is>
          <t>Quarterly integrated plan</t>
        </is>
      </c>
      <c r="D127" s="27" t="inlineStr">
        <is>
          <t>Alder Ridge</t>
        </is>
      </c>
      <c r="E127" s="27" t="inlineStr">
        <is>
          <t>Q3 FY27</t>
        </is>
      </c>
      <c r="F127" s="27" t="inlineStr">
        <is>
          <t>Approved case</t>
        </is>
      </c>
      <c r="G127" s="27" t="inlineStr">
        <is>
          <t>Ending NWC balance</t>
        </is>
      </c>
      <c r="H127" s="46" t="n">
        <v>5400000</v>
      </c>
      <c r="I127" s="27" t="inlineStr"/>
      <c r="J127" s="27" t="inlineStr">
        <is>
          <t>USD</t>
        </is>
      </c>
      <c r="K127" s="27" t="inlineStr">
        <is>
          <t>Finance operating schedule</t>
        </is>
      </c>
      <c r="L127" s="47" t="inlineStr">
        <is>
          <t>2026-06-30</t>
        </is>
      </c>
      <c r="M127" s="27" t="inlineStr"/>
    </row>
    <row r="128">
      <c r="A128" s="36" t="inlineStr">
        <is>
          <t>PLN-00851</t>
        </is>
      </c>
      <c r="B128" s="27" t="inlineStr">
        <is>
          <t>Create the integrated FY27 operating plan</t>
        </is>
      </c>
      <c r="C128" s="27" t="inlineStr">
        <is>
          <t>Quarterly integrated plan</t>
        </is>
      </c>
      <c r="D128" s="27" t="inlineStr">
        <is>
          <t>Alder Ridge</t>
        </is>
      </c>
      <c r="E128" s="27" t="inlineStr">
        <is>
          <t>Q4 FY27</t>
        </is>
      </c>
      <c r="F128" s="27" t="inlineStr">
        <is>
          <t>Approved case</t>
        </is>
      </c>
      <c r="G128" s="27" t="inlineStr">
        <is>
          <t>Revenue phase</t>
        </is>
      </c>
      <c r="H128" s="46" t="n">
        <v>0.29</v>
      </c>
      <c r="I128" s="27" t="inlineStr"/>
      <c r="J128" s="27" t="inlineStr">
        <is>
          <t>decimal ratio</t>
        </is>
      </c>
      <c r="K128" s="27" t="inlineStr">
        <is>
          <t>Finance operating schedule</t>
        </is>
      </c>
      <c r="L128" s="47" t="inlineStr">
        <is>
          <t>2026-06-30</t>
        </is>
      </c>
      <c r="M128" s="27" t="inlineStr"/>
    </row>
    <row r="129">
      <c r="A129" s="36" t="inlineStr">
        <is>
          <t>PLN-00852</t>
        </is>
      </c>
      <c r="B129" s="27" t="inlineStr">
        <is>
          <t>Create the integrated FY27 operating plan</t>
        </is>
      </c>
      <c r="C129" s="27" t="inlineStr">
        <is>
          <t>Quarterly integrated plan</t>
        </is>
      </c>
      <c r="D129" s="27" t="inlineStr">
        <is>
          <t>Alder Ridge</t>
        </is>
      </c>
      <c r="E129" s="27" t="inlineStr">
        <is>
          <t>Q4 FY27</t>
        </is>
      </c>
      <c r="F129" s="27" t="inlineStr">
        <is>
          <t>Approved case</t>
        </is>
      </c>
      <c r="G129" s="27" t="inlineStr">
        <is>
          <t>EBITDA phase</t>
        </is>
      </c>
      <c r="H129" s="46" t="n">
        <v>0.34</v>
      </c>
      <c r="I129" s="27" t="inlineStr"/>
      <c r="J129" s="27" t="inlineStr">
        <is>
          <t>decimal ratio</t>
        </is>
      </c>
      <c r="K129" s="27" t="inlineStr">
        <is>
          <t>Finance operating schedule</t>
        </is>
      </c>
      <c r="L129" s="47" t="inlineStr">
        <is>
          <t>2026-06-30</t>
        </is>
      </c>
      <c r="M129" s="27" t="inlineStr"/>
    </row>
    <row r="130">
      <c r="A130" s="36" t="inlineStr">
        <is>
          <t>PLN-00853</t>
        </is>
      </c>
      <c r="B130" s="27" t="inlineStr">
        <is>
          <t>Create the integrated FY27 operating plan</t>
        </is>
      </c>
      <c r="C130" s="27" t="inlineStr">
        <is>
          <t>Quarterly integrated plan</t>
        </is>
      </c>
      <c r="D130" s="27" t="inlineStr">
        <is>
          <t>Alder Ridge</t>
        </is>
      </c>
      <c r="E130" s="27" t="inlineStr">
        <is>
          <t>Q4 FY27</t>
        </is>
      </c>
      <c r="F130" s="27" t="inlineStr">
        <is>
          <t>Approved case</t>
        </is>
      </c>
      <c r="G130" s="27" t="inlineStr">
        <is>
          <t>Cash taxes</t>
        </is>
      </c>
      <c r="H130" s="46" t="n">
        <v>190000</v>
      </c>
      <c r="I130" s="27" t="inlineStr"/>
      <c r="J130" s="27" t="inlineStr">
        <is>
          <t>USD</t>
        </is>
      </c>
      <c r="K130" s="27" t="inlineStr">
        <is>
          <t>Finance operating schedule</t>
        </is>
      </c>
      <c r="L130" s="47" t="inlineStr">
        <is>
          <t>2026-06-30</t>
        </is>
      </c>
      <c r="M130" s="27" t="inlineStr"/>
    </row>
    <row r="131">
      <c r="A131" s="36" t="inlineStr">
        <is>
          <t>PLN-00854</t>
        </is>
      </c>
      <c r="B131" s="27" t="inlineStr">
        <is>
          <t>Create the integrated FY27 operating plan</t>
        </is>
      </c>
      <c r="C131" s="27" t="inlineStr">
        <is>
          <t>Quarterly integrated plan</t>
        </is>
      </c>
      <c r="D131" s="27" t="inlineStr">
        <is>
          <t>Alder Ridge</t>
        </is>
      </c>
      <c r="E131" s="27" t="inlineStr">
        <is>
          <t>Q4 FY27</t>
        </is>
      </c>
      <c r="F131" s="27" t="inlineStr">
        <is>
          <t>Approved case</t>
        </is>
      </c>
      <c r="G131" s="27" t="inlineStr">
        <is>
          <t>Capex</t>
        </is>
      </c>
      <c r="H131" s="46" t="n">
        <v>650000</v>
      </c>
      <c r="I131" s="27" t="inlineStr"/>
      <c r="J131" s="27" t="inlineStr">
        <is>
          <t>USD</t>
        </is>
      </c>
      <c r="K131" s="27" t="inlineStr">
        <is>
          <t>Finance operating schedule</t>
        </is>
      </c>
      <c r="L131" s="47" t="inlineStr">
        <is>
          <t>2026-06-30</t>
        </is>
      </c>
      <c r="M131" s="27" t="inlineStr"/>
    </row>
    <row r="132">
      <c r="A132" s="36" t="inlineStr">
        <is>
          <t>PLN-00855</t>
        </is>
      </c>
      <c r="B132" s="27" t="inlineStr">
        <is>
          <t>Create the integrated FY27 operating plan</t>
        </is>
      </c>
      <c r="C132" s="27" t="inlineStr">
        <is>
          <t>Quarterly integrated plan</t>
        </is>
      </c>
      <c r="D132" s="27" t="inlineStr">
        <is>
          <t>Alder Ridge</t>
        </is>
      </c>
      <c r="E132" s="27" t="inlineStr">
        <is>
          <t>Q4 FY27</t>
        </is>
      </c>
      <c r="F132" s="27" t="inlineStr">
        <is>
          <t>Approved case</t>
        </is>
      </c>
      <c r="G132" s="27" t="inlineStr">
        <is>
          <t>Ending NWC balance</t>
        </is>
      </c>
      <c r="H132" s="46" t="n">
        <v>4800</v>
      </c>
      <c r="I132" s="27" t="inlineStr"/>
      <c r="J132" s="27" t="inlineStr">
        <is>
          <t>USD thousands</t>
        </is>
      </c>
      <c r="K132" s="27" t="inlineStr">
        <is>
          <t>Finance operating schedule</t>
        </is>
      </c>
      <c r="L132" s="47" t="inlineStr">
        <is>
          <t>2026-06-30</t>
        </is>
      </c>
      <c r="M132" s="27" t="inlineStr"/>
    </row>
    <row r="133">
      <c r="A133" s="36" t="inlineStr">
        <is>
          <t>PLN-00856</t>
        </is>
      </c>
      <c r="B133" s="27" t="inlineStr">
        <is>
          <t>Create the integrated FY27 operating plan</t>
        </is>
      </c>
      <c r="C133" s="27" t="inlineStr">
        <is>
          <t>Quarterly funding policy</t>
        </is>
      </c>
      <c r="D133" s="27" t="inlineStr">
        <is>
          <t>Alder Ridge</t>
        </is>
      </c>
      <c r="E133" s="27" t="inlineStr">
        <is>
          <t>FY27</t>
        </is>
      </c>
      <c r="F133" s="27" t="inlineStr">
        <is>
          <t>Approved case</t>
        </is>
      </c>
      <c r="G133" s="27" t="inlineStr">
        <is>
          <t>Opening net working capital</t>
        </is>
      </c>
      <c r="H133" s="46" t="n">
        <v>4380000</v>
      </c>
      <c r="I133" s="27" t="inlineStr"/>
      <c r="J133" s="27" t="inlineStr">
        <is>
          <t>USD</t>
        </is>
      </c>
      <c r="K133" s="27" t="inlineStr">
        <is>
          <t>Finance operating schedule</t>
        </is>
      </c>
      <c r="L133" s="47" t="inlineStr">
        <is>
          <t>2026-06-30</t>
        </is>
      </c>
      <c r="M133" s="27" t="inlineStr"/>
    </row>
    <row r="134">
      <c r="A134" s="36" t="inlineStr">
        <is>
          <t>PLN-00857</t>
        </is>
      </c>
      <c r="B134" s="27" t="inlineStr">
        <is>
          <t>Create the integrated FY27 operating plan</t>
        </is>
      </c>
      <c r="C134" s="27" t="inlineStr">
        <is>
          <t>Quarterly funding policy</t>
        </is>
      </c>
      <c r="D134" s="27" t="inlineStr">
        <is>
          <t>Alder Ridge</t>
        </is>
      </c>
      <c r="E134" s="27" t="inlineStr">
        <is>
          <t>FY27</t>
        </is>
      </c>
      <c r="F134" s="27" t="inlineStr">
        <is>
          <t>Approved case</t>
        </is>
      </c>
      <c r="G134" s="27" t="inlineStr">
        <is>
          <t>Opening term debt</t>
        </is>
      </c>
      <c r="H134" s="46" t="n">
        <v>5600000</v>
      </c>
      <c r="I134" s="27" t="inlineStr"/>
      <c r="J134" s="27" t="inlineStr">
        <is>
          <t>USD</t>
        </is>
      </c>
      <c r="K134" s="27" t="inlineStr">
        <is>
          <t>Finance operating schedule</t>
        </is>
      </c>
      <c r="L134" s="47" t="inlineStr">
        <is>
          <t>2026-06-30</t>
        </is>
      </c>
      <c r="M134" s="27" t="inlineStr"/>
    </row>
    <row r="135">
      <c r="A135" s="36" t="inlineStr">
        <is>
          <t>PLN-00858</t>
        </is>
      </c>
      <c r="B135" s="27" t="inlineStr">
        <is>
          <t>Create the integrated FY27 operating plan</t>
        </is>
      </c>
      <c r="C135" s="27" t="inlineStr">
        <is>
          <t>Quarterly funding policy</t>
        </is>
      </c>
      <c r="D135" s="27" t="inlineStr">
        <is>
          <t>Alder Ridge</t>
        </is>
      </c>
      <c r="E135" s="27" t="inlineStr">
        <is>
          <t>FY27</t>
        </is>
      </c>
      <c r="F135" s="27" t="inlineStr">
        <is>
          <t>Approved case</t>
        </is>
      </c>
      <c r="G135" s="27" t="inlineStr">
        <is>
          <t>Quarterly term amortization</t>
        </is>
      </c>
      <c r="H135" s="46" t="n">
        <v>350000</v>
      </c>
      <c r="I135" s="27" t="inlineStr"/>
      <c r="J135" s="27" t="inlineStr">
        <is>
          <t>USD</t>
        </is>
      </c>
      <c r="K135" s="27" t="inlineStr">
        <is>
          <t>Finance operating schedule</t>
        </is>
      </c>
      <c r="L135" s="47" t="inlineStr">
        <is>
          <t>2026-06-30</t>
        </is>
      </c>
      <c r="M135" s="27" t="inlineStr"/>
    </row>
    <row r="136">
      <c r="A136" s="36" t="inlineStr">
        <is>
          <t>PLN-00859</t>
        </is>
      </c>
      <c r="B136" s="27" t="inlineStr">
        <is>
          <t>Create the integrated FY27 operating plan</t>
        </is>
      </c>
      <c r="C136" s="27" t="inlineStr">
        <is>
          <t>Quarterly funding policy</t>
        </is>
      </c>
      <c r="D136" s="27" t="inlineStr">
        <is>
          <t>Alder Ridge</t>
        </is>
      </c>
      <c r="E136" s="27" t="inlineStr">
        <is>
          <t>FY27</t>
        </is>
      </c>
      <c r="F136" s="27" t="inlineStr">
        <is>
          <t>Approved case</t>
        </is>
      </c>
      <c r="G136" s="27" t="inlineStr">
        <is>
          <t>Minimum operating cash</t>
        </is>
      </c>
      <c r="H136" s="46" t="n">
        <v>2250</v>
      </c>
      <c r="I136" s="27" t="inlineStr"/>
      <c r="J136" s="27" t="inlineStr">
        <is>
          <t>USD thousands</t>
        </is>
      </c>
      <c r="K136" s="27" t="inlineStr">
        <is>
          <t>Finance operating schedule</t>
        </is>
      </c>
      <c r="L136" s="47" t="inlineStr">
        <is>
          <t>2026-06-30</t>
        </is>
      </c>
      <c r="M136" s="27" t="inlineStr"/>
    </row>
    <row r="137">
      <c r="A137" s="36" t="inlineStr">
        <is>
          <t>PLN-00860</t>
        </is>
      </c>
      <c r="B137" s="27" t="inlineStr">
        <is>
          <t>Create the integrated FY27 operating plan</t>
        </is>
      </c>
      <c r="C137" s="27" t="inlineStr">
        <is>
          <t>Quarterly funding policy</t>
        </is>
      </c>
      <c r="D137" s="27" t="inlineStr">
        <is>
          <t>Alder Ridge</t>
        </is>
      </c>
      <c r="E137" s="27" t="inlineStr">
        <is>
          <t>FY27</t>
        </is>
      </c>
      <c r="F137" s="27" t="inlineStr">
        <is>
          <t>Approved case</t>
        </is>
      </c>
      <c r="G137" s="27" t="inlineStr">
        <is>
          <t>Revolver rate</t>
        </is>
      </c>
      <c r="H137" s="46" t="n">
        <v>0.083</v>
      </c>
      <c r="I137" s="27" t="inlineStr"/>
      <c r="J137" s="27" t="inlineStr">
        <is>
          <t>decimal ratio</t>
        </is>
      </c>
      <c r="K137" s="27" t="inlineStr">
        <is>
          <t>Finance operating schedule</t>
        </is>
      </c>
      <c r="L137" s="47" t="inlineStr">
        <is>
          <t>2026-06-30</t>
        </is>
      </c>
      <c r="M137" s="27" t="inlineStr"/>
    </row>
    <row r="138">
      <c r="A138" s="36" t="inlineStr">
        <is>
          <t>PLN-00861</t>
        </is>
      </c>
      <c r="B138" s="27" t="inlineStr">
        <is>
          <t>Create the integrated FY27 operating plan</t>
        </is>
      </c>
      <c r="C138" s="27" t="inlineStr">
        <is>
          <t>Quarterly funding policy</t>
        </is>
      </c>
      <c r="D138" s="27" t="inlineStr">
        <is>
          <t>Alder Ridge</t>
        </is>
      </c>
      <c r="E138" s="27" t="inlineStr">
        <is>
          <t>FY27</t>
        </is>
      </c>
      <c r="F138" s="27" t="inlineStr">
        <is>
          <t>Approved case</t>
        </is>
      </c>
      <c r="G138" s="27" t="inlineStr">
        <is>
          <t>Term debt rate</t>
        </is>
      </c>
      <c r="H138" s="46" t="n">
        <v>0.07099999999999999</v>
      </c>
      <c r="I138" s="27" t="inlineStr"/>
      <c r="J138" s="27" t="inlineStr">
        <is>
          <t>decimal ratio</t>
        </is>
      </c>
      <c r="K138" s="27" t="inlineStr">
        <is>
          <t>Finance operating schedule</t>
        </is>
      </c>
      <c r="L138" s="47" t="inlineStr">
        <is>
          <t>2026-06-30</t>
        </is>
      </c>
      <c r="M138" s="27" t="inlineStr"/>
    </row>
    <row r="139">
      <c r="A139" s="36" t="inlineStr">
        <is>
          <t>PLN-00862</t>
        </is>
      </c>
      <c r="B139" s="27" t="inlineStr">
        <is>
          <t>Create the integrated FY27 operating plan</t>
        </is>
      </c>
      <c r="C139" s="27" t="inlineStr">
        <is>
          <t>Quarterly funding policy</t>
        </is>
      </c>
      <c r="D139" s="27" t="inlineStr">
        <is>
          <t>Alder Ridge</t>
        </is>
      </c>
      <c r="E139" s="27" t="inlineStr">
        <is>
          <t>FY27</t>
        </is>
      </c>
      <c r="F139" s="27" t="inlineStr">
        <is>
          <t>Approved case</t>
        </is>
      </c>
      <c r="G139" s="27" t="inlineStr">
        <is>
          <t>Maximum gross leverage</t>
        </is>
      </c>
      <c r="H139" s="46" t="n">
        <v>2.75</v>
      </c>
      <c r="I139" s="27" t="inlineStr"/>
      <c r="J139" s="27" t="inlineStr">
        <is>
          <t>multiple</t>
        </is>
      </c>
      <c r="K139" s="27" t="inlineStr">
        <is>
          <t>Finance operating schedule</t>
        </is>
      </c>
      <c r="L139" s="47" t="inlineStr">
        <is>
          <t>2026-06-30</t>
        </is>
      </c>
      <c r="M139" s="27" t="inlineStr"/>
    </row>
    <row r="140">
      <c r="A140" s="36" t="inlineStr">
        <is>
          <t>PLN-00869</t>
        </is>
      </c>
      <c r="B140" s="27" t="inlineStr">
        <is>
          <t>Rolling forecast variance and corrective actions</t>
        </is>
      </c>
      <c r="C140" s="27" t="inlineStr">
        <is>
          <t>Rolling forecast by business unit</t>
        </is>
      </c>
      <c r="D140" s="27" t="inlineStr">
        <is>
          <t>Construction</t>
        </is>
      </c>
      <c r="E140" s="27" t="inlineStr">
        <is>
          <t>FY26</t>
        </is>
      </c>
      <c r="F140" s="27" t="inlineStr">
        <is>
          <t>Approved case</t>
        </is>
      </c>
      <c r="G140" s="27" t="inlineStr">
        <is>
          <t>YTD actual revenue</t>
        </is>
      </c>
      <c r="H140" s="46" t="n">
        <v>15950000</v>
      </c>
      <c r="I140" s="27" t="inlineStr"/>
      <c r="J140" s="27" t="inlineStr">
        <is>
          <t>USD</t>
        </is>
      </c>
      <c r="K140" s="27" t="inlineStr">
        <is>
          <t>Finance operating schedule</t>
        </is>
      </c>
      <c r="L140" s="47" t="inlineStr">
        <is>
          <t>2026-06-30</t>
        </is>
      </c>
      <c r="M140" s="27" t="inlineStr"/>
    </row>
    <row r="141">
      <c r="A141" s="36" t="inlineStr">
        <is>
          <t>PLN-00870</t>
        </is>
      </c>
      <c r="B141" s="27" t="inlineStr">
        <is>
          <t>Rolling forecast variance and corrective actions</t>
        </is>
      </c>
      <c r="C141" s="27" t="inlineStr">
        <is>
          <t>Rolling forecast by business unit</t>
        </is>
      </c>
      <c r="D141" s="27" t="inlineStr">
        <is>
          <t>Construction</t>
        </is>
      </c>
      <c r="E141" s="27" t="inlineStr">
        <is>
          <t>FY26</t>
        </is>
      </c>
      <c r="F141" s="27" t="inlineStr">
        <is>
          <t>Approved case</t>
        </is>
      </c>
      <c r="G141" s="27" t="inlineStr">
        <is>
          <t>YTD plan revenue</t>
        </is>
      </c>
      <c r="H141" s="46" t="n">
        <v>16420000</v>
      </c>
      <c r="I141" s="27" t="inlineStr"/>
      <c r="J141" s="27" t="inlineStr">
        <is>
          <t>USD</t>
        </is>
      </c>
      <c r="K141" s="27" t="inlineStr">
        <is>
          <t>Finance operating schedule</t>
        </is>
      </c>
      <c r="L141" s="47" t="inlineStr">
        <is>
          <t>2026-06-30</t>
        </is>
      </c>
      <c r="M141" s="27" t="inlineStr"/>
    </row>
    <row r="142">
      <c r="A142" s="36" t="inlineStr">
        <is>
          <t>PLN-00871</t>
        </is>
      </c>
      <c r="B142" s="27" t="inlineStr">
        <is>
          <t>Rolling forecast variance and corrective actions</t>
        </is>
      </c>
      <c r="C142" s="27" t="inlineStr">
        <is>
          <t>Rolling forecast by business unit</t>
        </is>
      </c>
      <c r="D142" s="27" t="inlineStr">
        <is>
          <t>Construction</t>
        </is>
      </c>
      <c r="E142" s="27" t="inlineStr">
        <is>
          <t>FY26</t>
        </is>
      </c>
      <c r="F142" s="27" t="inlineStr">
        <is>
          <t>Approved case</t>
        </is>
      </c>
      <c r="G142" s="27" t="inlineStr">
        <is>
          <t>H2 latest forecast revenue</t>
        </is>
      </c>
      <c r="H142" s="46" t="n">
        <v>17880000</v>
      </c>
      <c r="I142" s="27" t="inlineStr"/>
      <c r="J142" s="27" t="inlineStr">
        <is>
          <t>USD</t>
        </is>
      </c>
      <c r="K142" s="27" t="inlineStr">
        <is>
          <t>Finance operating schedule</t>
        </is>
      </c>
      <c r="L142" s="47" t="inlineStr">
        <is>
          <t>2026-06-30</t>
        </is>
      </c>
      <c r="M142" s="27" t="inlineStr"/>
    </row>
    <row r="143">
      <c r="A143" s="36" t="inlineStr">
        <is>
          <t>PLN-00872</t>
        </is>
      </c>
      <c r="B143" s="27" t="inlineStr">
        <is>
          <t>Rolling forecast variance and corrective actions</t>
        </is>
      </c>
      <c r="C143" s="27" t="inlineStr">
        <is>
          <t>Rolling forecast by business unit</t>
        </is>
      </c>
      <c r="D143" s="27" t="inlineStr">
        <is>
          <t>Construction</t>
        </is>
      </c>
      <c r="E143" s="27" t="inlineStr">
        <is>
          <t>FY26</t>
        </is>
      </c>
      <c r="F143" s="27" t="inlineStr">
        <is>
          <t>Approved case</t>
        </is>
      </c>
      <c r="G143" s="27" t="inlineStr">
        <is>
          <t>H2 plan revenue</t>
        </is>
      </c>
      <c r="H143" s="46" t="n">
        <v>18600</v>
      </c>
      <c r="I143" s="27" t="inlineStr"/>
      <c r="J143" s="27" t="inlineStr">
        <is>
          <t>USD thousands</t>
        </is>
      </c>
      <c r="K143" s="27" t="inlineStr">
        <is>
          <t>Finance operating schedule</t>
        </is>
      </c>
      <c r="L143" s="47" t="inlineStr">
        <is>
          <t>2026-06-30</t>
        </is>
      </c>
      <c r="M143" s="27" t="inlineStr"/>
    </row>
    <row r="144">
      <c r="A144" s="36" t="inlineStr">
        <is>
          <t>PLN-00873</t>
        </is>
      </c>
      <c r="B144" s="27" t="inlineStr">
        <is>
          <t>Rolling forecast variance and corrective actions</t>
        </is>
      </c>
      <c r="C144" s="27" t="inlineStr">
        <is>
          <t>Rolling forecast by business unit</t>
        </is>
      </c>
      <c r="D144" s="27" t="inlineStr">
        <is>
          <t>Construction</t>
        </is>
      </c>
      <c r="E144" s="27" t="inlineStr">
        <is>
          <t>FY26</t>
        </is>
      </c>
      <c r="F144" s="27" t="inlineStr">
        <is>
          <t>Approved case</t>
        </is>
      </c>
      <c r="G144" s="27" t="inlineStr">
        <is>
          <t>Actual gross margin</t>
        </is>
      </c>
      <c r="H144" s="46" t="n">
        <v>0.226</v>
      </c>
      <c r="I144" s="27" t="inlineStr"/>
      <c r="J144" s="27" t="inlineStr">
        <is>
          <t>decimal ratio</t>
        </is>
      </c>
      <c r="K144" s="27" t="inlineStr">
        <is>
          <t>Finance operating schedule</t>
        </is>
      </c>
      <c r="L144" s="47" t="inlineStr">
        <is>
          <t>2026-06-30</t>
        </is>
      </c>
      <c r="M144" s="27" t="inlineStr"/>
    </row>
    <row r="145">
      <c r="A145" s="36" t="inlineStr">
        <is>
          <t>PLN-00874</t>
        </is>
      </c>
      <c r="B145" s="27" t="inlineStr">
        <is>
          <t>Rolling forecast variance and corrective actions</t>
        </is>
      </c>
      <c r="C145" s="27" t="inlineStr">
        <is>
          <t>Rolling forecast by business unit</t>
        </is>
      </c>
      <c r="D145" s="27" t="inlineStr">
        <is>
          <t>Construction</t>
        </is>
      </c>
      <c r="E145" s="27" t="inlineStr">
        <is>
          <t>FY26</t>
        </is>
      </c>
      <c r="F145" s="27" t="inlineStr">
        <is>
          <t>Approved case</t>
        </is>
      </c>
      <c r="G145" s="27" t="inlineStr">
        <is>
          <t>Plan gross margin</t>
        </is>
      </c>
      <c r="H145" s="46" t="n">
        <v>0.238</v>
      </c>
      <c r="I145" s="27" t="inlineStr"/>
      <c r="J145" s="27" t="inlineStr">
        <is>
          <t>decimal ratio</t>
        </is>
      </c>
      <c r="K145" s="27" t="inlineStr">
        <is>
          <t>Finance operating schedule</t>
        </is>
      </c>
      <c r="L145" s="47" t="inlineStr">
        <is>
          <t>2026-06-30</t>
        </is>
      </c>
      <c r="M145" s="27" t="inlineStr"/>
    </row>
    <row r="146">
      <c r="A146" s="36" t="inlineStr">
        <is>
          <t>PLN-00875</t>
        </is>
      </c>
      <c r="B146" s="27" t="inlineStr">
        <is>
          <t>Rolling forecast variance and corrective actions</t>
        </is>
      </c>
      <c r="C146" s="27" t="inlineStr">
        <is>
          <t>Rolling forecast by business unit</t>
        </is>
      </c>
      <c r="D146" s="27" t="inlineStr">
        <is>
          <t>Construction</t>
        </is>
      </c>
      <c r="E146" s="27" t="inlineStr">
        <is>
          <t>FY26</t>
        </is>
      </c>
      <c r="F146" s="27" t="inlineStr">
        <is>
          <t>Approved case</t>
        </is>
      </c>
      <c r="G146" s="27" t="inlineStr">
        <is>
          <t>YTD plus H2 forecast opex</t>
        </is>
      </c>
      <c r="H146" s="46" t="n">
        <v>5900000</v>
      </c>
      <c r="I146" s="27" t="inlineStr"/>
      <c r="J146" s="27" t="inlineStr">
        <is>
          <t>USD</t>
        </is>
      </c>
      <c r="K146" s="27" t="inlineStr">
        <is>
          <t>Finance operating schedule</t>
        </is>
      </c>
      <c r="L146" s="47" t="inlineStr">
        <is>
          <t>2026-06-30</t>
        </is>
      </c>
      <c r="M146" s="27" t="inlineStr"/>
    </row>
    <row r="147">
      <c r="A147" s="36" t="inlineStr">
        <is>
          <t>PLN-00876</t>
        </is>
      </c>
      <c r="B147" s="27" t="inlineStr">
        <is>
          <t>Rolling forecast variance and corrective actions</t>
        </is>
      </c>
      <c r="C147" s="27" t="inlineStr">
        <is>
          <t>Rolling forecast by business unit</t>
        </is>
      </c>
      <c r="D147" s="27" t="inlineStr">
        <is>
          <t>Construction</t>
        </is>
      </c>
      <c r="E147" s="27" t="inlineStr">
        <is>
          <t>FY26</t>
        </is>
      </c>
      <c r="F147" s="27" t="inlineStr">
        <is>
          <t>Approved case</t>
        </is>
      </c>
      <c r="G147" s="27" t="inlineStr">
        <is>
          <t>Full year plan opex</t>
        </is>
      </c>
      <c r="H147" s="46" t="n">
        <v>6050</v>
      </c>
      <c r="I147" s="27" t="inlineStr"/>
      <c r="J147" s="27" t="inlineStr">
        <is>
          <t>USD thousands</t>
        </is>
      </c>
      <c r="K147" s="27" t="inlineStr">
        <is>
          <t>Finance operating schedule</t>
        </is>
      </c>
      <c r="L147" s="47" t="inlineStr">
        <is>
          <t>2026-06-30</t>
        </is>
      </c>
      <c r="M147" s="27" t="inlineStr"/>
    </row>
    <row r="148">
      <c r="A148" s="36" t="inlineStr">
        <is>
          <t>PLN-00877</t>
        </is>
      </c>
      <c r="B148" s="27" t="inlineStr">
        <is>
          <t>Rolling forecast variance and corrective actions</t>
        </is>
      </c>
      <c r="C148" s="27" t="inlineStr">
        <is>
          <t>Rolling forecast by business unit</t>
        </is>
      </c>
      <c r="D148" s="27" t="inlineStr">
        <is>
          <t>Service</t>
        </is>
      </c>
      <c r="E148" s="27" t="inlineStr">
        <is>
          <t>FY26</t>
        </is>
      </c>
      <c r="F148" s="27" t="inlineStr">
        <is>
          <t>Approved case</t>
        </is>
      </c>
      <c r="G148" s="27" t="inlineStr">
        <is>
          <t>YTD actual revenue</t>
        </is>
      </c>
      <c r="H148" s="46" t="n">
        <v>7420000</v>
      </c>
      <c r="I148" s="27" t="inlineStr"/>
      <c r="J148" s="27" t="inlineStr">
        <is>
          <t>USD</t>
        </is>
      </c>
      <c r="K148" s="27" t="inlineStr">
        <is>
          <t>Finance operating schedule</t>
        </is>
      </c>
      <c r="L148" s="47" t="inlineStr">
        <is>
          <t>2026-06-30</t>
        </is>
      </c>
      <c r="M148" s="27" t="inlineStr"/>
    </row>
    <row r="149">
      <c r="A149" s="36" t="inlineStr">
        <is>
          <t>PLN-00878</t>
        </is>
      </c>
      <c r="B149" s="27" t="inlineStr">
        <is>
          <t>Rolling forecast variance and corrective actions</t>
        </is>
      </c>
      <c r="C149" s="27" t="inlineStr">
        <is>
          <t>Rolling forecast by business unit</t>
        </is>
      </c>
      <c r="D149" s="27" t="inlineStr">
        <is>
          <t>Service</t>
        </is>
      </c>
      <c r="E149" s="27" t="inlineStr">
        <is>
          <t>FY26</t>
        </is>
      </c>
      <c r="F149" s="27" t="inlineStr">
        <is>
          <t>Approved case</t>
        </is>
      </c>
      <c r="G149" s="27" t="inlineStr">
        <is>
          <t>YTD plan revenue</t>
        </is>
      </c>
      <c r="H149" s="46" t="n">
        <v>7180000</v>
      </c>
      <c r="I149" s="27" t="inlineStr"/>
      <c r="J149" s="27" t="inlineStr">
        <is>
          <t>USD</t>
        </is>
      </c>
      <c r="K149" s="27" t="inlineStr">
        <is>
          <t>Finance operating schedule</t>
        </is>
      </c>
      <c r="L149" s="47" t="inlineStr">
        <is>
          <t>2026-06-30</t>
        </is>
      </c>
      <c r="M149" s="27" t="inlineStr"/>
    </row>
    <row r="150">
      <c r="A150" s="36" t="inlineStr">
        <is>
          <t>PLN-00879</t>
        </is>
      </c>
      <c r="B150" s="27" t="inlineStr">
        <is>
          <t>Rolling forecast variance and corrective actions</t>
        </is>
      </c>
      <c r="C150" s="27" t="inlineStr">
        <is>
          <t>Rolling forecast by business unit</t>
        </is>
      </c>
      <c r="D150" s="27" t="inlineStr">
        <is>
          <t>Service</t>
        </is>
      </c>
      <c r="E150" s="27" t="inlineStr">
        <is>
          <t>FY26</t>
        </is>
      </c>
      <c r="F150" s="27" t="inlineStr">
        <is>
          <t>Approved case</t>
        </is>
      </c>
      <c r="G150" s="27" t="inlineStr">
        <is>
          <t>H2 latest forecast revenue</t>
        </is>
      </c>
      <c r="H150" s="46" t="n">
        <v>7690000</v>
      </c>
      <c r="I150" s="27" t="inlineStr"/>
      <c r="J150" s="27" t="inlineStr">
        <is>
          <t>USD</t>
        </is>
      </c>
      <c r="K150" s="27" t="inlineStr">
        <is>
          <t>Finance operating schedule</t>
        </is>
      </c>
      <c r="L150" s="47" t="inlineStr">
        <is>
          <t>2026-06-30</t>
        </is>
      </c>
      <c r="M150" s="27" t="inlineStr"/>
    </row>
    <row r="151">
      <c r="A151" s="36" t="inlineStr">
        <is>
          <t>PLN-00880</t>
        </is>
      </c>
      <c r="B151" s="27" t="inlineStr">
        <is>
          <t>Rolling forecast variance and corrective actions</t>
        </is>
      </c>
      <c r="C151" s="27" t="inlineStr">
        <is>
          <t>Rolling forecast by business unit</t>
        </is>
      </c>
      <c r="D151" s="27" t="inlineStr">
        <is>
          <t>Service</t>
        </is>
      </c>
      <c r="E151" s="27" t="inlineStr">
        <is>
          <t>FY26</t>
        </is>
      </c>
      <c r="F151" s="27" t="inlineStr">
        <is>
          <t>Approved case</t>
        </is>
      </c>
      <c r="G151" s="27" t="inlineStr">
        <is>
          <t>H2 plan revenue</t>
        </is>
      </c>
      <c r="H151" s="46" t="n">
        <v>7860</v>
      </c>
      <c r="I151" s="27" t="inlineStr"/>
      <c r="J151" s="27" t="inlineStr">
        <is>
          <t>USD thousands</t>
        </is>
      </c>
      <c r="K151" s="27" t="inlineStr">
        <is>
          <t>Finance operating schedule</t>
        </is>
      </c>
      <c r="L151" s="47" t="inlineStr">
        <is>
          <t>2026-06-30</t>
        </is>
      </c>
      <c r="M151" s="27" t="inlineStr"/>
    </row>
    <row r="152">
      <c r="A152" s="36" t="inlineStr">
        <is>
          <t>PLN-00881</t>
        </is>
      </c>
      <c r="B152" s="27" t="inlineStr">
        <is>
          <t>Rolling forecast variance and corrective actions</t>
        </is>
      </c>
      <c r="C152" s="27" t="inlineStr">
        <is>
          <t>Rolling forecast by business unit</t>
        </is>
      </c>
      <c r="D152" s="27" t="inlineStr">
        <is>
          <t>Service</t>
        </is>
      </c>
      <c r="E152" s="27" t="inlineStr">
        <is>
          <t>FY26</t>
        </is>
      </c>
      <c r="F152" s="27" t="inlineStr">
        <is>
          <t>Approved case</t>
        </is>
      </c>
      <c r="G152" s="27" t="inlineStr">
        <is>
          <t>Actual gross margin</t>
        </is>
      </c>
      <c r="H152" s="46" t="n">
        <v>0.428</v>
      </c>
      <c r="I152" s="27" t="inlineStr"/>
      <c r="J152" s="27" t="inlineStr">
        <is>
          <t>decimal ratio</t>
        </is>
      </c>
      <c r="K152" s="27" t="inlineStr">
        <is>
          <t>Finance operating schedule</t>
        </is>
      </c>
      <c r="L152" s="47" t="inlineStr">
        <is>
          <t>2026-06-30</t>
        </is>
      </c>
      <c r="M152" s="27" t="inlineStr"/>
    </row>
    <row r="153">
      <c r="A153" s="36" t="inlineStr">
        <is>
          <t>PLN-00882</t>
        </is>
      </c>
      <c r="B153" s="27" t="inlineStr">
        <is>
          <t>Rolling forecast variance and corrective actions</t>
        </is>
      </c>
      <c r="C153" s="27" t="inlineStr">
        <is>
          <t>Rolling forecast by business unit</t>
        </is>
      </c>
      <c r="D153" s="27" t="inlineStr">
        <is>
          <t>Service</t>
        </is>
      </c>
      <c r="E153" s="27" t="inlineStr">
        <is>
          <t>FY26</t>
        </is>
      </c>
      <c r="F153" s="27" t="inlineStr">
        <is>
          <t>Approved case</t>
        </is>
      </c>
      <c r="G153" s="27" t="inlineStr">
        <is>
          <t>Plan gross margin</t>
        </is>
      </c>
      <c r="H153" s="46" t="n">
        <v>0.441</v>
      </c>
      <c r="I153" s="27" t="inlineStr"/>
      <c r="J153" s="27" t="inlineStr">
        <is>
          <t>decimal ratio</t>
        </is>
      </c>
      <c r="K153" s="27" t="inlineStr">
        <is>
          <t>Finance operating schedule</t>
        </is>
      </c>
      <c r="L153" s="47" t="inlineStr">
        <is>
          <t>2026-06-30</t>
        </is>
      </c>
      <c r="M153" s="27" t="inlineStr"/>
    </row>
    <row r="154">
      <c r="A154" s="36" t="inlineStr">
        <is>
          <t>PLN-00883</t>
        </is>
      </c>
      <c r="B154" s="27" t="inlineStr">
        <is>
          <t>Rolling forecast variance and corrective actions</t>
        </is>
      </c>
      <c r="C154" s="27" t="inlineStr">
        <is>
          <t>Rolling forecast by business unit</t>
        </is>
      </c>
      <c r="D154" s="27" t="inlineStr">
        <is>
          <t>Service</t>
        </is>
      </c>
      <c r="E154" s="27" t="inlineStr">
        <is>
          <t>FY26</t>
        </is>
      </c>
      <c r="F154" s="27" t="inlineStr">
        <is>
          <t>Approved case</t>
        </is>
      </c>
      <c r="G154" s="27" t="inlineStr">
        <is>
          <t>YTD plus H2 forecast opex</t>
        </is>
      </c>
      <c r="H154" s="46" t="n">
        <v>3950000</v>
      </c>
      <c r="I154" s="27" t="inlineStr"/>
      <c r="J154" s="27" t="inlineStr">
        <is>
          <t>USD</t>
        </is>
      </c>
      <c r="K154" s="27" t="inlineStr">
        <is>
          <t>Finance operating schedule</t>
        </is>
      </c>
      <c r="L154" s="47" t="inlineStr">
        <is>
          <t>2026-06-30</t>
        </is>
      </c>
      <c r="M154" s="27" t="inlineStr"/>
    </row>
    <row r="155">
      <c r="A155" s="36" t="inlineStr">
        <is>
          <t>PLN-00884</t>
        </is>
      </c>
      <c r="B155" s="27" t="inlineStr">
        <is>
          <t>Rolling forecast variance and corrective actions</t>
        </is>
      </c>
      <c r="C155" s="27" t="inlineStr">
        <is>
          <t>Rolling forecast by business unit</t>
        </is>
      </c>
      <c r="D155" s="27" t="inlineStr">
        <is>
          <t>Service</t>
        </is>
      </c>
      <c r="E155" s="27" t="inlineStr">
        <is>
          <t>FY26</t>
        </is>
      </c>
      <c r="F155" s="27" t="inlineStr">
        <is>
          <t>Approved case</t>
        </is>
      </c>
      <c r="G155" s="27" t="inlineStr">
        <is>
          <t>Full year plan opex</t>
        </is>
      </c>
      <c r="H155" s="46" t="n">
        <v>3870</v>
      </c>
      <c r="I155" s="27" t="inlineStr"/>
      <c r="J155" s="27" t="inlineStr">
        <is>
          <t>USD thousands</t>
        </is>
      </c>
      <c r="K155" s="27" t="inlineStr">
        <is>
          <t>Finance operating schedule</t>
        </is>
      </c>
      <c r="L155" s="47" t="inlineStr">
        <is>
          <t>2026-06-30</t>
        </is>
      </c>
      <c r="M155" s="27" t="inlineStr"/>
    </row>
    <row r="156">
      <c r="A156" s="36" t="inlineStr">
        <is>
          <t>PLN-00885</t>
        </is>
      </c>
      <c r="B156" s="27" t="inlineStr">
        <is>
          <t>Rolling forecast variance and corrective actions</t>
        </is>
      </c>
      <c r="C156" s="27" t="inlineStr">
        <is>
          <t>Rolling forecast by business unit</t>
        </is>
      </c>
      <c r="D156" s="27" t="inlineStr">
        <is>
          <t>Controls</t>
        </is>
      </c>
      <c r="E156" s="27" t="inlineStr">
        <is>
          <t>FY26</t>
        </is>
      </c>
      <c r="F156" s="27" t="inlineStr">
        <is>
          <t>Approved case</t>
        </is>
      </c>
      <c r="G156" s="27" t="inlineStr">
        <is>
          <t>YTD actual revenue</t>
        </is>
      </c>
      <c r="H156" s="46" t="n">
        <v>4030000</v>
      </c>
      <c r="I156" s="27" t="inlineStr"/>
      <c r="J156" s="27" t="inlineStr">
        <is>
          <t>USD</t>
        </is>
      </c>
      <c r="K156" s="27" t="inlineStr">
        <is>
          <t>Finance operating schedule</t>
        </is>
      </c>
      <c r="L156" s="47" t="inlineStr">
        <is>
          <t>2026-06-30</t>
        </is>
      </c>
      <c r="M156" s="27" t="inlineStr"/>
    </row>
    <row r="157">
      <c r="A157" s="36" t="inlineStr">
        <is>
          <t>PLN-00886</t>
        </is>
      </c>
      <c r="B157" s="27" t="inlineStr">
        <is>
          <t>Rolling forecast variance and corrective actions</t>
        </is>
      </c>
      <c r="C157" s="27" t="inlineStr">
        <is>
          <t>Rolling forecast by business unit</t>
        </is>
      </c>
      <c r="D157" s="27" t="inlineStr">
        <is>
          <t>Controls</t>
        </is>
      </c>
      <c r="E157" s="27" t="inlineStr">
        <is>
          <t>FY26</t>
        </is>
      </c>
      <c r="F157" s="27" t="inlineStr">
        <is>
          <t>Approved case</t>
        </is>
      </c>
      <c r="G157" s="27" t="inlineStr">
        <is>
          <t>YTD plan revenue</t>
        </is>
      </c>
      <c r="H157" s="46" t="n">
        <v>4220000</v>
      </c>
      <c r="I157" s="27" t="inlineStr"/>
      <c r="J157" s="27" t="inlineStr">
        <is>
          <t>USD</t>
        </is>
      </c>
      <c r="K157" s="27" t="inlineStr">
        <is>
          <t>Finance operating schedule</t>
        </is>
      </c>
      <c r="L157" s="47" t="inlineStr">
        <is>
          <t>2026-06-30</t>
        </is>
      </c>
      <c r="M157" s="27" t="inlineStr"/>
    </row>
    <row r="158">
      <c r="A158" s="36" t="inlineStr">
        <is>
          <t>PLN-00887</t>
        </is>
      </c>
      <c r="B158" s="27" t="inlineStr">
        <is>
          <t>Rolling forecast variance and corrective actions</t>
        </is>
      </c>
      <c r="C158" s="27" t="inlineStr">
        <is>
          <t>Rolling forecast by business unit</t>
        </is>
      </c>
      <c r="D158" s="27" t="inlineStr">
        <is>
          <t>Controls</t>
        </is>
      </c>
      <c r="E158" s="27" t="inlineStr">
        <is>
          <t>FY26</t>
        </is>
      </c>
      <c r="F158" s="27" t="inlineStr">
        <is>
          <t>Approved case</t>
        </is>
      </c>
      <c r="G158" s="27" t="inlineStr">
        <is>
          <t>H2 latest forecast revenue</t>
        </is>
      </c>
      <c r="H158" s="46" t="n">
        <v>4580000</v>
      </c>
      <c r="I158" s="27" t="inlineStr"/>
      <c r="J158" s="27" t="inlineStr">
        <is>
          <t>USD</t>
        </is>
      </c>
      <c r="K158" s="27" t="inlineStr">
        <is>
          <t>Finance operating schedule</t>
        </is>
      </c>
      <c r="L158" s="47" t="inlineStr">
        <is>
          <t>2026-06-30</t>
        </is>
      </c>
      <c r="M158" s="27" t="inlineStr"/>
    </row>
    <row r="159">
      <c r="A159" s="36" t="inlineStr">
        <is>
          <t>PLN-00888</t>
        </is>
      </c>
      <c r="B159" s="27" t="inlineStr">
        <is>
          <t>Rolling forecast variance and corrective actions</t>
        </is>
      </c>
      <c r="C159" s="27" t="inlineStr">
        <is>
          <t>Rolling forecast by business unit</t>
        </is>
      </c>
      <c r="D159" s="27" t="inlineStr">
        <is>
          <t>Controls</t>
        </is>
      </c>
      <c r="E159" s="27" t="inlineStr">
        <is>
          <t>FY26</t>
        </is>
      </c>
      <c r="F159" s="27" t="inlineStr">
        <is>
          <t>Approved case</t>
        </is>
      </c>
      <c r="G159" s="27" t="inlineStr">
        <is>
          <t>H2 plan revenue</t>
        </is>
      </c>
      <c r="H159" s="46" t="n">
        <v>4410</v>
      </c>
      <c r="I159" s="27" t="inlineStr"/>
      <c r="J159" s="27" t="inlineStr">
        <is>
          <t>USD thousands</t>
        </is>
      </c>
      <c r="K159" s="27" t="inlineStr">
        <is>
          <t>Finance operating schedule</t>
        </is>
      </c>
      <c r="L159" s="47" t="inlineStr">
        <is>
          <t>2026-06-30</t>
        </is>
      </c>
      <c r="M159" s="27" t="inlineStr"/>
    </row>
    <row r="160">
      <c r="A160" s="36" t="inlineStr">
        <is>
          <t>PLN-00889</t>
        </is>
      </c>
      <c r="B160" s="27" t="inlineStr">
        <is>
          <t>Rolling forecast variance and corrective actions</t>
        </is>
      </c>
      <c r="C160" s="27" t="inlineStr">
        <is>
          <t>Rolling forecast by business unit</t>
        </is>
      </c>
      <c r="D160" s="27" t="inlineStr">
        <is>
          <t>Controls</t>
        </is>
      </c>
      <c r="E160" s="27" t="inlineStr">
        <is>
          <t>FY26</t>
        </is>
      </c>
      <c r="F160" s="27" t="inlineStr">
        <is>
          <t>Approved case</t>
        </is>
      </c>
      <c r="G160" s="27" t="inlineStr">
        <is>
          <t>Actual gross margin</t>
        </is>
      </c>
      <c r="H160" s="46" t="n">
        <v>0.305</v>
      </c>
      <c r="I160" s="27" t="inlineStr"/>
      <c r="J160" s="27" t="inlineStr">
        <is>
          <t>decimal ratio</t>
        </is>
      </c>
      <c r="K160" s="27" t="inlineStr">
        <is>
          <t>Finance operating schedule</t>
        </is>
      </c>
      <c r="L160" s="47" t="inlineStr">
        <is>
          <t>2026-06-30</t>
        </is>
      </c>
      <c r="M160" s="27" t="inlineStr"/>
    </row>
    <row r="161">
      <c r="A161" s="36" t="inlineStr">
        <is>
          <t>PLN-00890</t>
        </is>
      </c>
      <c r="B161" s="27" t="inlineStr">
        <is>
          <t>Rolling forecast variance and corrective actions</t>
        </is>
      </c>
      <c r="C161" s="27" t="inlineStr">
        <is>
          <t>Rolling forecast by business unit</t>
        </is>
      </c>
      <c r="D161" s="27" t="inlineStr">
        <is>
          <t>Controls</t>
        </is>
      </c>
      <c r="E161" s="27" t="inlineStr">
        <is>
          <t>FY26</t>
        </is>
      </c>
      <c r="F161" s="27" t="inlineStr">
        <is>
          <t>Approved case</t>
        </is>
      </c>
      <c r="G161" s="27" t="inlineStr">
        <is>
          <t>Plan gross margin</t>
        </is>
      </c>
      <c r="H161" s="46" t="n">
        <v>0.322</v>
      </c>
      <c r="I161" s="27" t="inlineStr"/>
      <c r="J161" s="27" t="inlineStr">
        <is>
          <t>decimal ratio</t>
        </is>
      </c>
      <c r="K161" s="27" t="inlineStr">
        <is>
          <t>Finance operating schedule</t>
        </is>
      </c>
      <c r="L161" s="47" t="inlineStr">
        <is>
          <t>2026-06-30</t>
        </is>
      </c>
      <c r="M161" s="27" t="inlineStr"/>
    </row>
    <row r="162">
      <c r="A162" s="36" t="inlineStr">
        <is>
          <t>PLN-00891</t>
        </is>
      </c>
      <c r="B162" s="27" t="inlineStr">
        <is>
          <t>Rolling forecast variance and corrective actions</t>
        </is>
      </c>
      <c r="C162" s="27" t="inlineStr">
        <is>
          <t>Rolling forecast by business unit</t>
        </is>
      </c>
      <c r="D162" s="27" t="inlineStr">
        <is>
          <t>Controls</t>
        </is>
      </c>
      <c r="E162" s="27" t="inlineStr">
        <is>
          <t>FY26</t>
        </is>
      </c>
      <c r="F162" s="27" t="inlineStr">
        <is>
          <t>Approved case</t>
        </is>
      </c>
      <c r="G162" s="27" t="inlineStr">
        <is>
          <t>YTD plus H2 forecast opex</t>
        </is>
      </c>
      <c r="H162" s="46" t="n">
        <v>2330000</v>
      </c>
      <c r="I162" s="27" t="inlineStr"/>
      <c r="J162" s="27" t="inlineStr">
        <is>
          <t>USD</t>
        </is>
      </c>
      <c r="K162" s="27" t="inlineStr">
        <is>
          <t>Finance operating schedule</t>
        </is>
      </c>
      <c r="L162" s="47" t="inlineStr">
        <is>
          <t>2026-06-30</t>
        </is>
      </c>
      <c r="M162" s="27" t="inlineStr"/>
    </row>
    <row r="163">
      <c r="A163" s="36" t="inlineStr">
        <is>
          <t>PLN-00892</t>
        </is>
      </c>
      <c r="B163" s="27" t="inlineStr">
        <is>
          <t>Rolling forecast variance and corrective actions</t>
        </is>
      </c>
      <c r="C163" s="27" t="inlineStr">
        <is>
          <t>Rolling forecast by business unit</t>
        </is>
      </c>
      <c r="D163" s="27" t="inlineStr">
        <is>
          <t>Controls</t>
        </is>
      </c>
      <c r="E163" s="27" t="inlineStr">
        <is>
          <t>FY26</t>
        </is>
      </c>
      <c r="F163" s="27" t="inlineStr">
        <is>
          <t>Approved case</t>
        </is>
      </c>
      <c r="G163" s="27" t="inlineStr">
        <is>
          <t>Full year plan opex</t>
        </is>
      </c>
      <c r="H163" s="46" t="n">
        <v>2290</v>
      </c>
      <c r="I163" s="27" t="inlineStr"/>
      <c r="J163" s="27" t="inlineStr">
        <is>
          <t>USD thousands</t>
        </is>
      </c>
      <c r="K163" s="27" t="inlineStr">
        <is>
          <t>Finance operating schedule</t>
        </is>
      </c>
      <c r="L163" s="47" t="inlineStr">
        <is>
          <t>2026-06-30</t>
        </is>
      </c>
      <c r="M163" s="27" t="inlineStr"/>
    </row>
    <row r="164">
      <c r="A164" s="36" t="inlineStr">
        <is>
          <t>PLN-00893</t>
        </is>
      </c>
      <c r="B164" s="27" t="inlineStr">
        <is>
          <t>Rolling forecast variance and corrective actions</t>
        </is>
      </c>
      <c r="C164" s="27" t="inlineStr">
        <is>
          <t>Forecast corrective actions</t>
        </is>
      </c>
      <c r="D164" s="27" t="inlineStr">
        <is>
          <t>Procurement reset</t>
        </is>
      </c>
      <c r="E164" s="27" t="inlineStr">
        <is>
          <t>FY26 H2</t>
        </is>
      </c>
      <c r="F164" s="27" t="inlineStr">
        <is>
          <t>Approved case</t>
        </is>
      </c>
      <c r="G164" s="27" t="inlineStr">
        <is>
          <t>Gross EBITDA benefit</t>
        </is>
      </c>
      <c r="H164" s="46" t="n">
        <v>410000</v>
      </c>
      <c r="I164" s="27" t="inlineStr"/>
      <c r="J164" s="27" t="inlineStr">
        <is>
          <t>USD</t>
        </is>
      </c>
      <c r="K164" s="27" t="inlineStr">
        <is>
          <t>Finance operating schedule</t>
        </is>
      </c>
      <c r="L164" s="47" t="inlineStr">
        <is>
          <t>2026-06-30</t>
        </is>
      </c>
      <c r="M164" s="27" t="inlineStr"/>
    </row>
    <row r="165">
      <c r="A165" s="36" t="inlineStr">
        <is>
          <t>PLN-00894</t>
        </is>
      </c>
      <c r="B165" s="27" t="inlineStr">
        <is>
          <t>Rolling forecast variance and corrective actions</t>
        </is>
      </c>
      <c r="C165" s="27" t="inlineStr">
        <is>
          <t>Forecast corrective actions</t>
        </is>
      </c>
      <c r="D165" s="27" t="inlineStr">
        <is>
          <t>Procurement reset</t>
        </is>
      </c>
      <c r="E165" s="27" t="inlineStr">
        <is>
          <t>FY26 H2</t>
        </is>
      </c>
      <c r="F165" s="27" t="inlineStr">
        <is>
          <t>Approved case</t>
        </is>
      </c>
      <c r="G165" s="27" t="inlineStr">
        <is>
          <t>Realization probability</t>
        </is>
      </c>
      <c r="H165" s="46" t="n">
        <v>0.85</v>
      </c>
      <c r="I165" s="27" t="inlineStr"/>
      <c r="J165" s="27" t="inlineStr">
        <is>
          <t>decimal ratio</t>
        </is>
      </c>
      <c r="K165" s="27" t="inlineStr">
        <is>
          <t>Finance operating schedule</t>
        </is>
      </c>
      <c r="L165" s="47" t="inlineStr">
        <is>
          <t>2026-06-30</t>
        </is>
      </c>
      <c r="M165" s="27" t="inlineStr"/>
    </row>
    <row r="166">
      <c r="A166" s="36" t="inlineStr">
        <is>
          <t>PLN-00895</t>
        </is>
      </c>
      <c r="B166" s="27" t="inlineStr">
        <is>
          <t>Rolling forecast variance and corrective actions</t>
        </is>
      </c>
      <c r="C166" s="27" t="inlineStr">
        <is>
          <t>Forecast corrective actions</t>
        </is>
      </c>
      <c r="D166" s="27" t="inlineStr">
        <is>
          <t>Procurement reset</t>
        </is>
      </c>
      <c r="E166" s="27" t="inlineStr">
        <is>
          <t>FY26 H2</t>
        </is>
      </c>
      <c r="F166" s="27" t="inlineStr">
        <is>
          <t>Approved case</t>
        </is>
      </c>
      <c r="G166" s="27" t="inlineStr">
        <is>
          <t>Owner</t>
        </is>
      </c>
      <c r="H166" s="46" t="inlineStr"/>
      <c r="I166" s="27" t="inlineStr">
        <is>
          <t>Construction</t>
        </is>
      </c>
      <c r="J166" s="27" t="inlineStr">
        <is>
          <t>classification</t>
        </is>
      </c>
      <c r="K166" s="27" t="inlineStr">
        <is>
          <t>Finance operating schedule</t>
        </is>
      </c>
      <c r="L166" s="47" t="inlineStr">
        <is>
          <t>2026-06-30</t>
        </is>
      </c>
      <c r="M166" s="27" t="inlineStr"/>
    </row>
    <row r="167">
      <c r="A167" s="36" t="inlineStr">
        <is>
          <t>PLN-00896</t>
        </is>
      </c>
      <c r="B167" s="27" t="inlineStr">
        <is>
          <t>Rolling forecast variance and corrective actions</t>
        </is>
      </c>
      <c r="C167" s="27" t="inlineStr">
        <is>
          <t>Forecast corrective actions</t>
        </is>
      </c>
      <c r="D167" s="27" t="inlineStr">
        <is>
          <t>Service routing</t>
        </is>
      </c>
      <c r="E167" s="27" t="inlineStr">
        <is>
          <t>FY26 H2</t>
        </is>
      </c>
      <c r="F167" s="27" t="inlineStr">
        <is>
          <t>Approved case</t>
        </is>
      </c>
      <c r="G167" s="27" t="inlineStr">
        <is>
          <t>Gross EBITDA benefit</t>
        </is>
      </c>
      <c r="H167" s="46" t="n">
        <v>265</v>
      </c>
      <c r="I167" s="27" t="inlineStr"/>
      <c r="J167" s="27" t="inlineStr">
        <is>
          <t>USD thousands</t>
        </is>
      </c>
      <c r="K167" s="27" t="inlineStr">
        <is>
          <t>Finance operating schedule</t>
        </is>
      </c>
      <c r="L167" s="47" t="inlineStr">
        <is>
          <t>2026-06-30</t>
        </is>
      </c>
      <c r="M167" s="27" t="inlineStr"/>
    </row>
    <row r="168">
      <c r="A168" s="36" t="inlineStr">
        <is>
          <t>PLN-00897</t>
        </is>
      </c>
      <c r="B168" s="27" t="inlineStr">
        <is>
          <t>Rolling forecast variance and corrective actions</t>
        </is>
      </c>
      <c r="C168" s="27" t="inlineStr">
        <is>
          <t>Forecast corrective actions</t>
        </is>
      </c>
      <c r="D168" s="27" t="inlineStr">
        <is>
          <t>Service routing</t>
        </is>
      </c>
      <c r="E168" s="27" t="inlineStr">
        <is>
          <t>FY26 H2</t>
        </is>
      </c>
      <c r="F168" s="27" t="inlineStr">
        <is>
          <t>Approved case</t>
        </is>
      </c>
      <c r="G168" s="27" t="inlineStr">
        <is>
          <t>Realization probability</t>
        </is>
      </c>
      <c r="H168" s="46" t="n">
        <v>0.7</v>
      </c>
      <c r="I168" s="27" t="inlineStr"/>
      <c r="J168" s="27" t="inlineStr">
        <is>
          <t>decimal ratio</t>
        </is>
      </c>
      <c r="K168" s="27" t="inlineStr">
        <is>
          <t>Finance operating schedule</t>
        </is>
      </c>
      <c r="L168" s="47" t="inlineStr">
        <is>
          <t>2026-06-30</t>
        </is>
      </c>
      <c r="M168" s="27" t="inlineStr"/>
    </row>
    <row r="169">
      <c r="A169" s="36" t="inlineStr">
        <is>
          <t>PLN-00898</t>
        </is>
      </c>
      <c r="B169" s="27" t="inlineStr">
        <is>
          <t>Rolling forecast variance and corrective actions</t>
        </is>
      </c>
      <c r="C169" s="27" t="inlineStr">
        <is>
          <t>Forecast corrective actions</t>
        </is>
      </c>
      <c r="D169" s="27" t="inlineStr">
        <is>
          <t>Service routing</t>
        </is>
      </c>
      <c r="E169" s="27" t="inlineStr">
        <is>
          <t>FY26 H2</t>
        </is>
      </c>
      <c r="F169" s="27" t="inlineStr">
        <is>
          <t>Approved case</t>
        </is>
      </c>
      <c r="G169" s="27" t="inlineStr">
        <is>
          <t>Owner</t>
        </is>
      </c>
      <c r="H169" s="46" t="inlineStr"/>
      <c r="I169" s="27" t="inlineStr">
        <is>
          <t>Service</t>
        </is>
      </c>
      <c r="J169" s="27" t="inlineStr">
        <is>
          <t>classification</t>
        </is>
      </c>
      <c r="K169" s="27" t="inlineStr">
        <is>
          <t>Finance operating schedule</t>
        </is>
      </c>
      <c r="L169" s="47" t="inlineStr">
        <is>
          <t>2026-06-30</t>
        </is>
      </c>
      <c r="M169" s="27" t="inlineStr"/>
    </row>
    <row r="170">
      <c r="A170" s="36" t="inlineStr">
        <is>
          <t>PLN-00899</t>
        </is>
      </c>
      <c r="B170" s="27" t="inlineStr">
        <is>
          <t>Rolling forecast variance and corrective actions</t>
        </is>
      </c>
      <c r="C170" s="27" t="inlineStr">
        <is>
          <t>Forecast corrective actions</t>
        </is>
      </c>
      <c r="D170" s="27" t="inlineStr">
        <is>
          <t>Controls commissioning</t>
        </is>
      </c>
      <c r="E170" s="27" t="inlineStr">
        <is>
          <t>FY26 H2</t>
        </is>
      </c>
      <c r="F170" s="27" t="inlineStr">
        <is>
          <t>Approved case</t>
        </is>
      </c>
      <c r="G170" s="27" t="inlineStr">
        <is>
          <t>Gross EBITDA benefit</t>
        </is>
      </c>
      <c r="H170" s="46" t="n">
        <v>190000</v>
      </c>
      <c r="I170" s="27" t="inlineStr"/>
      <c r="J170" s="27" t="inlineStr">
        <is>
          <t>USD</t>
        </is>
      </c>
      <c r="K170" s="27" t="inlineStr">
        <is>
          <t>Finance operating schedule</t>
        </is>
      </c>
      <c r="L170" s="47" t="inlineStr">
        <is>
          <t>2026-06-30</t>
        </is>
      </c>
      <c r="M170" s="27" t="inlineStr"/>
    </row>
    <row r="171">
      <c r="A171" s="36" t="inlineStr">
        <is>
          <t>PLN-00900</t>
        </is>
      </c>
      <c r="B171" s="27" t="inlineStr">
        <is>
          <t>Rolling forecast variance and corrective actions</t>
        </is>
      </c>
      <c r="C171" s="27" t="inlineStr">
        <is>
          <t>Forecast corrective actions</t>
        </is>
      </c>
      <c r="D171" s="27" t="inlineStr">
        <is>
          <t>Controls commissioning</t>
        </is>
      </c>
      <c r="E171" s="27" t="inlineStr">
        <is>
          <t>FY26 H2</t>
        </is>
      </c>
      <c r="F171" s="27" t="inlineStr">
        <is>
          <t>Approved case</t>
        </is>
      </c>
      <c r="G171" s="27" t="inlineStr">
        <is>
          <t>Realization probability</t>
        </is>
      </c>
      <c r="H171" s="46" t="n">
        <v>0.6</v>
      </c>
      <c r="I171" s="27" t="inlineStr"/>
      <c r="J171" s="27" t="inlineStr">
        <is>
          <t>decimal ratio</t>
        </is>
      </c>
      <c r="K171" s="27" t="inlineStr">
        <is>
          <t>Finance operating schedule</t>
        </is>
      </c>
      <c r="L171" s="47" t="inlineStr">
        <is>
          <t>2026-06-30</t>
        </is>
      </c>
      <c r="M171" s="27" t="inlineStr"/>
    </row>
    <row r="172">
      <c r="A172" s="36" t="inlineStr">
        <is>
          <t>PLN-00901</t>
        </is>
      </c>
      <c r="B172" s="27" t="inlineStr">
        <is>
          <t>Rolling forecast variance and corrective actions</t>
        </is>
      </c>
      <c r="C172" s="27" t="inlineStr">
        <is>
          <t>Forecast corrective actions</t>
        </is>
      </c>
      <c r="D172" s="27" t="inlineStr">
        <is>
          <t>Controls commissioning</t>
        </is>
      </c>
      <c r="E172" s="27" t="inlineStr">
        <is>
          <t>FY26 H2</t>
        </is>
      </c>
      <c r="F172" s="27" t="inlineStr">
        <is>
          <t>Approved case</t>
        </is>
      </c>
      <c r="G172" s="27" t="inlineStr">
        <is>
          <t>Owner</t>
        </is>
      </c>
      <c r="H172" s="46" t="inlineStr"/>
      <c r="I172" s="27" t="inlineStr">
        <is>
          <t>Controls</t>
        </is>
      </c>
      <c r="J172" s="27" t="inlineStr">
        <is>
          <t>classification</t>
        </is>
      </c>
      <c r="K172" s="27" t="inlineStr">
        <is>
          <t>Finance operating schedule</t>
        </is>
      </c>
      <c r="L172" s="47" t="inlineStr">
        <is>
          <t>2026-06-30</t>
        </is>
      </c>
      <c r="M172" s="27" t="inlineStr"/>
    </row>
    <row r="173">
      <c r="A173" s="36" t="inlineStr">
        <is>
          <t>PLN-00902</t>
        </is>
      </c>
      <c r="B173" s="27" t="inlineStr">
        <is>
          <t>Rolling forecast variance and corrective actions</t>
        </is>
      </c>
      <c r="C173" s="27" t="inlineStr">
        <is>
          <t>Forecast corrective actions</t>
        </is>
      </c>
      <c r="D173" s="27" t="inlineStr">
        <is>
          <t>Discretionary freeze</t>
        </is>
      </c>
      <c r="E173" s="27" t="inlineStr">
        <is>
          <t>FY26 H2</t>
        </is>
      </c>
      <c r="F173" s="27" t="inlineStr">
        <is>
          <t>Approved case</t>
        </is>
      </c>
      <c r="G173" s="27" t="inlineStr">
        <is>
          <t>Gross EBITDA benefit</t>
        </is>
      </c>
      <c r="H173" s="46" t="n">
        <v>225000</v>
      </c>
      <c r="I173" s="27" t="inlineStr"/>
      <c r="J173" s="27" t="inlineStr">
        <is>
          <t>USD</t>
        </is>
      </c>
      <c r="K173" s="27" t="inlineStr">
        <is>
          <t>Finance operating schedule</t>
        </is>
      </c>
      <c r="L173" s="47" t="inlineStr">
        <is>
          <t>2026-06-30</t>
        </is>
      </c>
      <c r="M173" s="27" t="inlineStr"/>
    </row>
    <row r="174">
      <c r="A174" s="36" t="inlineStr">
        <is>
          <t>PLN-00903</t>
        </is>
      </c>
      <c r="B174" s="27" t="inlineStr">
        <is>
          <t>Rolling forecast variance and corrective actions</t>
        </is>
      </c>
      <c r="C174" s="27" t="inlineStr">
        <is>
          <t>Forecast corrective actions</t>
        </is>
      </c>
      <c r="D174" s="27" t="inlineStr">
        <is>
          <t>Discretionary freeze</t>
        </is>
      </c>
      <c r="E174" s="27" t="inlineStr">
        <is>
          <t>FY26 H2</t>
        </is>
      </c>
      <c r="F174" s="27" t="inlineStr">
        <is>
          <t>Approved case</t>
        </is>
      </c>
      <c r="G174" s="27" t="inlineStr">
        <is>
          <t>Realization probability</t>
        </is>
      </c>
      <c r="H174" s="46" t="n">
        <v>1</v>
      </c>
      <c r="I174" s="27" t="inlineStr"/>
      <c r="J174" s="27" t="inlineStr">
        <is>
          <t>decimal ratio</t>
        </is>
      </c>
      <c r="K174" s="27" t="inlineStr">
        <is>
          <t>Finance operating schedule</t>
        </is>
      </c>
      <c r="L174" s="47" t="inlineStr">
        <is>
          <t>2026-06-30</t>
        </is>
      </c>
      <c r="M174" s="27" t="inlineStr"/>
    </row>
    <row r="175">
      <c r="A175" s="36" t="inlineStr">
        <is>
          <t>PLN-00904</t>
        </is>
      </c>
      <c r="B175" s="27" t="inlineStr">
        <is>
          <t>Rolling forecast variance and corrective actions</t>
        </is>
      </c>
      <c r="C175" s="27" t="inlineStr">
        <is>
          <t>Forecast corrective actions</t>
        </is>
      </c>
      <c r="D175" s="27" t="inlineStr">
        <is>
          <t>Discretionary freeze</t>
        </is>
      </c>
      <c r="E175" s="27" t="inlineStr">
        <is>
          <t>FY26 H2</t>
        </is>
      </c>
      <c r="F175" s="27" t="inlineStr">
        <is>
          <t>Approved case</t>
        </is>
      </c>
      <c r="G175" s="27" t="inlineStr">
        <is>
          <t>Owner</t>
        </is>
      </c>
      <c r="H175" s="46" t="inlineStr"/>
      <c r="I175" s="27" t="inlineStr">
        <is>
          <t>Corporate</t>
        </is>
      </c>
      <c r="J175" s="27" t="inlineStr">
        <is>
          <t>classification</t>
        </is>
      </c>
      <c r="K175" s="27" t="inlineStr">
        <is>
          <t>Finance operating schedule</t>
        </is>
      </c>
      <c r="L175" s="47" t="inlineStr">
        <is>
          <t>2026-06-30</t>
        </is>
      </c>
      <c r="M175" s="27" t="inlineStr"/>
    </row>
    <row r="176">
      <c r="A176" s="36" t="inlineStr">
        <is>
          <t>PLN-00905</t>
        </is>
      </c>
      <c r="B176" s="27" t="inlineStr">
        <is>
          <t>Rolling forecast variance and corrective actions</t>
        </is>
      </c>
      <c r="C176" s="27" t="inlineStr">
        <is>
          <t>Forecast policy</t>
        </is>
      </c>
      <c r="D176" s="27" t="inlineStr">
        <is>
          <t>Alder Ridge</t>
        </is>
      </c>
      <c r="E176" s="27" t="inlineStr">
        <is>
          <t>FY26</t>
        </is>
      </c>
      <c r="F176" s="27" t="inlineStr">
        <is>
          <t>Approved case</t>
        </is>
      </c>
      <c r="G176" s="27" t="inlineStr">
        <is>
          <t>Minimum recovery target</t>
        </is>
      </c>
      <c r="H176" s="46" t="n">
        <v>750000</v>
      </c>
      <c r="I176" s="27" t="inlineStr"/>
      <c r="J176" s="27" t="inlineStr">
        <is>
          <t>USD</t>
        </is>
      </c>
      <c r="K176" s="27" t="inlineStr">
        <is>
          <t>Finance operating schedule</t>
        </is>
      </c>
      <c r="L176" s="47" t="inlineStr">
        <is>
          <t>2026-06-30</t>
        </is>
      </c>
      <c r="M176" s="27" t="inlineStr"/>
    </row>
    <row r="177">
      <c r="A177" s="36" t="inlineStr">
        <is>
          <t>PLN-00918</t>
        </is>
      </c>
      <c r="B177" s="27" t="inlineStr">
        <is>
          <t>Rolling forecast variance and corrective actions</t>
        </is>
      </c>
      <c r="C177" s="27" t="inlineStr">
        <is>
          <t>Corrective action phasing</t>
        </is>
      </c>
      <c r="D177" s="27" t="inlineStr">
        <is>
          <t>Procurement reset</t>
        </is>
      </c>
      <c r="E177" s="27" t="inlineStr">
        <is>
          <t>FY26 H2</t>
        </is>
      </c>
      <c r="F177" s="27" t="inlineStr">
        <is>
          <t>Approved case</t>
        </is>
      </c>
      <c r="G177" s="27" t="inlineStr">
        <is>
          <t>Q3 realization phase</t>
        </is>
      </c>
      <c r="H177" s="46" t="n">
        <v>0.35</v>
      </c>
      <c r="I177" s="27" t="inlineStr"/>
      <c r="J177" s="27" t="inlineStr">
        <is>
          <t>decimal ratio</t>
        </is>
      </c>
      <c r="K177" s="27" t="inlineStr">
        <is>
          <t>Finance operating schedule</t>
        </is>
      </c>
      <c r="L177" s="47" t="inlineStr">
        <is>
          <t>2026-06-30</t>
        </is>
      </c>
      <c r="M177" s="27" t="inlineStr"/>
    </row>
    <row r="178">
      <c r="A178" s="36" t="inlineStr">
        <is>
          <t>PLN-00919</t>
        </is>
      </c>
      <c r="B178" s="27" t="inlineStr">
        <is>
          <t>Rolling forecast variance and corrective actions</t>
        </is>
      </c>
      <c r="C178" s="27" t="inlineStr">
        <is>
          <t>Corrective action phasing</t>
        </is>
      </c>
      <c r="D178" s="27" t="inlineStr">
        <is>
          <t>Procurement reset</t>
        </is>
      </c>
      <c r="E178" s="27" t="inlineStr">
        <is>
          <t>FY26 H2</t>
        </is>
      </c>
      <c r="F178" s="27" t="inlineStr">
        <is>
          <t>Approved case</t>
        </is>
      </c>
      <c r="G178" s="27" t="inlineStr">
        <is>
          <t>Q4 realization phase</t>
        </is>
      </c>
      <c r="H178" s="46" t="n">
        <v>0.65</v>
      </c>
      <c r="I178" s="27" t="inlineStr"/>
      <c r="J178" s="27" t="inlineStr">
        <is>
          <t>decimal ratio</t>
        </is>
      </c>
      <c r="K178" s="27" t="inlineStr">
        <is>
          <t>Finance operating schedule</t>
        </is>
      </c>
      <c r="L178" s="47" t="inlineStr">
        <is>
          <t>2026-06-30</t>
        </is>
      </c>
      <c r="M178" s="27" t="inlineStr"/>
    </row>
    <row r="179">
      <c r="A179" s="36" t="inlineStr">
        <is>
          <t>PLN-00920</t>
        </is>
      </c>
      <c r="B179" s="27" t="inlineStr">
        <is>
          <t>Rolling forecast variance and corrective actions</t>
        </is>
      </c>
      <c r="C179" s="27" t="inlineStr">
        <is>
          <t>Corrective action phasing</t>
        </is>
      </c>
      <c r="D179" s="27" t="inlineStr">
        <is>
          <t>Procurement reset</t>
        </is>
      </c>
      <c r="E179" s="27" t="inlineStr">
        <is>
          <t>FY26 H2</t>
        </is>
      </c>
      <c r="F179" s="27" t="inlineStr">
        <is>
          <t>Approved case</t>
        </is>
      </c>
      <c r="G179" s="27" t="inlineStr">
        <is>
          <t>Implementation cash cost</t>
        </is>
      </c>
      <c r="H179" s="46" t="n">
        <v>125000</v>
      </c>
      <c r="I179" s="27" t="inlineStr"/>
      <c r="J179" s="27" t="inlineStr">
        <is>
          <t>USD</t>
        </is>
      </c>
      <c r="K179" s="27" t="inlineStr">
        <is>
          <t>Finance operating schedule</t>
        </is>
      </c>
      <c r="L179" s="47" t="inlineStr">
        <is>
          <t>2026-06-30</t>
        </is>
      </c>
      <c r="M179" s="27" t="inlineStr"/>
    </row>
    <row r="180">
      <c r="A180" s="36" t="inlineStr">
        <is>
          <t>PLN-00921</t>
        </is>
      </c>
      <c r="B180" s="27" t="inlineStr">
        <is>
          <t>Rolling forecast variance and corrective actions</t>
        </is>
      </c>
      <c r="C180" s="27" t="inlineStr">
        <is>
          <t>Corrective action phasing</t>
        </is>
      </c>
      <c r="D180" s="27" t="inlineStr">
        <is>
          <t>Service routing</t>
        </is>
      </c>
      <c r="E180" s="27" t="inlineStr">
        <is>
          <t>FY26 H2</t>
        </is>
      </c>
      <c r="F180" s="27" t="inlineStr">
        <is>
          <t>Approved case</t>
        </is>
      </c>
      <c r="G180" s="27" t="inlineStr">
        <is>
          <t>Q3 realization phase</t>
        </is>
      </c>
      <c r="H180" s="46" t="n">
        <v>0.45</v>
      </c>
      <c r="I180" s="27" t="inlineStr"/>
      <c r="J180" s="27" t="inlineStr">
        <is>
          <t>decimal ratio</t>
        </is>
      </c>
      <c r="K180" s="27" t="inlineStr">
        <is>
          <t>Finance operating schedule</t>
        </is>
      </c>
      <c r="L180" s="47" t="inlineStr">
        <is>
          <t>2026-06-30</t>
        </is>
      </c>
      <c r="M180" s="27" t="inlineStr"/>
    </row>
    <row r="181">
      <c r="A181" s="36" t="inlineStr">
        <is>
          <t>PLN-00922</t>
        </is>
      </c>
      <c r="B181" s="27" t="inlineStr">
        <is>
          <t>Rolling forecast variance and corrective actions</t>
        </is>
      </c>
      <c r="C181" s="27" t="inlineStr">
        <is>
          <t>Corrective action phasing</t>
        </is>
      </c>
      <c r="D181" s="27" t="inlineStr">
        <is>
          <t>Service routing</t>
        </is>
      </c>
      <c r="E181" s="27" t="inlineStr">
        <is>
          <t>FY26 H2</t>
        </is>
      </c>
      <c r="F181" s="27" t="inlineStr">
        <is>
          <t>Approved case</t>
        </is>
      </c>
      <c r="G181" s="27" t="inlineStr">
        <is>
          <t>Q4 realization phase</t>
        </is>
      </c>
      <c r="H181" s="46" t="n">
        <v>0.55</v>
      </c>
      <c r="I181" s="27" t="inlineStr"/>
      <c r="J181" s="27" t="inlineStr">
        <is>
          <t>decimal ratio</t>
        </is>
      </c>
      <c r="K181" s="27" t="inlineStr">
        <is>
          <t>Finance operating schedule</t>
        </is>
      </c>
      <c r="L181" s="47" t="inlineStr">
        <is>
          <t>2026-06-30</t>
        </is>
      </c>
      <c r="M181" s="27" t="inlineStr"/>
    </row>
    <row r="182">
      <c r="A182" s="36" t="inlineStr">
        <is>
          <t>PLN-00923</t>
        </is>
      </c>
      <c r="B182" s="27" t="inlineStr">
        <is>
          <t>Rolling forecast variance and corrective actions</t>
        </is>
      </c>
      <c r="C182" s="27" t="inlineStr">
        <is>
          <t>Corrective action phasing</t>
        </is>
      </c>
      <c r="D182" s="27" t="inlineStr">
        <is>
          <t>Service routing</t>
        </is>
      </c>
      <c r="E182" s="27" t="inlineStr">
        <is>
          <t>FY26 H2</t>
        </is>
      </c>
      <c r="F182" s="27" t="inlineStr">
        <is>
          <t>Approved case</t>
        </is>
      </c>
      <c r="G182" s="27" t="inlineStr">
        <is>
          <t>Implementation cash cost</t>
        </is>
      </c>
      <c r="H182" s="46" t="n">
        <v>95000</v>
      </c>
      <c r="I182" s="27" t="inlineStr"/>
      <c r="J182" s="27" t="inlineStr">
        <is>
          <t>USD</t>
        </is>
      </c>
      <c r="K182" s="27" t="inlineStr">
        <is>
          <t>Finance operating schedule</t>
        </is>
      </c>
      <c r="L182" s="47" t="inlineStr">
        <is>
          <t>2026-06-30</t>
        </is>
      </c>
      <c r="M182" s="27" t="inlineStr"/>
    </row>
    <row r="183">
      <c r="A183" s="36" t="inlineStr">
        <is>
          <t>PLN-00924</t>
        </is>
      </c>
      <c r="B183" s="27" t="inlineStr">
        <is>
          <t>Rolling forecast variance and corrective actions</t>
        </is>
      </c>
      <c r="C183" s="27" t="inlineStr">
        <is>
          <t>Corrective action phasing</t>
        </is>
      </c>
      <c r="D183" s="27" t="inlineStr">
        <is>
          <t>Controls commissioning</t>
        </is>
      </c>
      <c r="E183" s="27" t="inlineStr">
        <is>
          <t>FY26 H2</t>
        </is>
      </c>
      <c r="F183" s="27" t="inlineStr">
        <is>
          <t>Approved case</t>
        </is>
      </c>
      <c r="G183" s="27" t="inlineStr">
        <is>
          <t>Q3 realization phase</t>
        </is>
      </c>
      <c r="H183" s="46" t="n">
        <v>0.2</v>
      </c>
      <c r="I183" s="27" t="inlineStr"/>
      <c r="J183" s="27" t="inlineStr">
        <is>
          <t>decimal ratio</t>
        </is>
      </c>
      <c r="K183" s="27" t="inlineStr">
        <is>
          <t>Finance operating schedule</t>
        </is>
      </c>
      <c r="L183" s="47" t="inlineStr">
        <is>
          <t>2026-06-30</t>
        </is>
      </c>
      <c r="M183" s="27" t="inlineStr"/>
    </row>
    <row r="184">
      <c r="A184" s="36" t="inlineStr">
        <is>
          <t>PLN-00925</t>
        </is>
      </c>
      <c r="B184" s="27" t="inlineStr">
        <is>
          <t>Rolling forecast variance and corrective actions</t>
        </is>
      </c>
      <c r="C184" s="27" t="inlineStr">
        <is>
          <t>Corrective action phasing</t>
        </is>
      </c>
      <c r="D184" s="27" t="inlineStr">
        <is>
          <t>Controls commissioning</t>
        </is>
      </c>
      <c r="E184" s="27" t="inlineStr">
        <is>
          <t>FY26 H2</t>
        </is>
      </c>
      <c r="F184" s="27" t="inlineStr">
        <is>
          <t>Approved case</t>
        </is>
      </c>
      <c r="G184" s="27" t="inlineStr">
        <is>
          <t>Q4 realization phase</t>
        </is>
      </c>
      <c r="H184" s="46" t="n">
        <v>0.8</v>
      </c>
      <c r="I184" s="27" t="inlineStr"/>
      <c r="J184" s="27" t="inlineStr">
        <is>
          <t>decimal ratio</t>
        </is>
      </c>
      <c r="K184" s="27" t="inlineStr">
        <is>
          <t>Finance operating schedule</t>
        </is>
      </c>
      <c r="L184" s="47" t="inlineStr">
        <is>
          <t>2026-06-30</t>
        </is>
      </c>
      <c r="M184" s="27" t="inlineStr"/>
    </row>
    <row r="185">
      <c r="A185" s="36" t="inlineStr">
        <is>
          <t>PLN-00926</t>
        </is>
      </c>
      <c r="B185" s="27" t="inlineStr">
        <is>
          <t>Rolling forecast variance and corrective actions</t>
        </is>
      </c>
      <c r="C185" s="27" t="inlineStr">
        <is>
          <t>Corrective action phasing</t>
        </is>
      </c>
      <c r="D185" s="27" t="inlineStr">
        <is>
          <t>Controls commissioning</t>
        </is>
      </c>
      <c r="E185" s="27" t="inlineStr">
        <is>
          <t>FY26 H2</t>
        </is>
      </c>
      <c r="F185" s="27" t="inlineStr">
        <is>
          <t>Approved case</t>
        </is>
      </c>
      <c r="G185" s="27" t="inlineStr">
        <is>
          <t>Implementation cash cost</t>
        </is>
      </c>
      <c r="H185" s="46" t="n">
        <v>70000</v>
      </c>
      <c r="I185" s="27" t="inlineStr"/>
      <c r="J185" s="27" t="inlineStr">
        <is>
          <t>USD</t>
        </is>
      </c>
      <c r="K185" s="27" t="inlineStr">
        <is>
          <t>Finance operating schedule</t>
        </is>
      </c>
      <c r="L185" s="47" t="inlineStr">
        <is>
          <t>2026-06-30</t>
        </is>
      </c>
      <c r="M185" s="27" t="inlineStr"/>
    </row>
    <row r="186">
      <c r="A186" s="36" t="inlineStr">
        <is>
          <t>PLN-00927</t>
        </is>
      </c>
      <c r="B186" s="27" t="inlineStr">
        <is>
          <t>Rolling forecast variance and corrective actions</t>
        </is>
      </c>
      <c r="C186" s="27" t="inlineStr">
        <is>
          <t>Corrective action phasing</t>
        </is>
      </c>
      <c r="D186" s="27" t="inlineStr">
        <is>
          <t>Discretionary freeze</t>
        </is>
      </c>
      <c r="E186" s="27" t="inlineStr">
        <is>
          <t>FY26 H2</t>
        </is>
      </c>
      <c r="F186" s="27" t="inlineStr">
        <is>
          <t>Approved case</t>
        </is>
      </c>
      <c r="G186" s="27" t="inlineStr">
        <is>
          <t>Q3 realization phase</t>
        </is>
      </c>
      <c r="H186" s="46" t="n">
        <v>0.6</v>
      </c>
      <c r="I186" s="27" t="inlineStr"/>
      <c r="J186" s="27" t="inlineStr">
        <is>
          <t>decimal ratio</t>
        </is>
      </c>
      <c r="K186" s="27" t="inlineStr">
        <is>
          <t>Finance operating schedule</t>
        </is>
      </c>
      <c r="L186" s="47" t="inlineStr">
        <is>
          <t>2026-06-30</t>
        </is>
      </c>
      <c r="M186" s="27" t="inlineStr"/>
    </row>
    <row r="187">
      <c r="A187" s="36" t="inlineStr">
        <is>
          <t>PLN-00928</t>
        </is>
      </c>
      <c r="B187" s="27" t="inlineStr">
        <is>
          <t>Rolling forecast variance and corrective actions</t>
        </is>
      </c>
      <c r="C187" s="27" t="inlineStr">
        <is>
          <t>Corrective action phasing</t>
        </is>
      </c>
      <c r="D187" s="27" t="inlineStr">
        <is>
          <t>Discretionary freeze</t>
        </is>
      </c>
      <c r="E187" s="27" t="inlineStr">
        <is>
          <t>FY26 H2</t>
        </is>
      </c>
      <c r="F187" s="27" t="inlineStr">
        <is>
          <t>Approved case</t>
        </is>
      </c>
      <c r="G187" s="27" t="inlineStr">
        <is>
          <t>Q4 realization phase</t>
        </is>
      </c>
      <c r="H187" s="46" t="n">
        <v>0.4</v>
      </c>
      <c r="I187" s="27" t="inlineStr"/>
      <c r="J187" s="27" t="inlineStr">
        <is>
          <t>decimal ratio</t>
        </is>
      </c>
      <c r="K187" s="27" t="inlineStr">
        <is>
          <t>Finance operating schedule</t>
        </is>
      </c>
      <c r="L187" s="47" t="inlineStr">
        <is>
          <t>2026-06-30</t>
        </is>
      </c>
      <c r="M187" s="27" t="inlineStr"/>
    </row>
    <row r="188">
      <c r="A188" s="36" t="inlineStr">
        <is>
          <t>PLN-00929</t>
        </is>
      </c>
      <c r="B188" s="27" t="inlineStr">
        <is>
          <t>Rolling forecast variance and corrective actions</t>
        </is>
      </c>
      <c r="C188" s="27" t="inlineStr">
        <is>
          <t>Corrective action phasing</t>
        </is>
      </c>
      <c r="D188" s="27" t="inlineStr">
        <is>
          <t>Discretionary freeze</t>
        </is>
      </c>
      <c r="E188" s="27" t="inlineStr">
        <is>
          <t>FY26 H2</t>
        </is>
      </c>
      <c r="F188" s="27" t="inlineStr">
        <is>
          <t>Approved case</t>
        </is>
      </c>
      <c r="G188" s="27" t="inlineStr">
        <is>
          <t>Implementation cash cost</t>
        </is>
      </c>
      <c r="H188" s="46" t="n">
        <v>25</v>
      </c>
      <c r="I188" s="27" t="inlineStr"/>
      <c r="J188" s="27" t="inlineStr">
        <is>
          <t>USD thousands</t>
        </is>
      </c>
      <c r="K188" s="27" t="inlineStr">
        <is>
          <t>Finance operating schedule</t>
        </is>
      </c>
      <c r="L188" s="47" t="inlineStr">
        <is>
          <t>2026-06-30</t>
        </is>
      </c>
      <c r="M188" s="27" t="inlineStr"/>
    </row>
    <row r="189">
      <c r="A189" s="36" t="inlineStr">
        <is>
          <t>PLN-00930</t>
        </is>
      </c>
      <c r="B189" s="27" t="inlineStr">
        <is>
          <t>Rolling forecast variance and corrective actions</t>
        </is>
      </c>
      <c r="C189" s="27" t="inlineStr">
        <is>
          <t>Forecast policy</t>
        </is>
      </c>
      <c r="D189" s="27" t="inlineStr">
        <is>
          <t>Alder Ridge</t>
        </is>
      </c>
      <c r="E189" s="27" t="inlineStr">
        <is>
          <t>FY26</t>
        </is>
      </c>
      <c r="F189" s="27" t="inlineStr">
        <is>
          <t>Approved case</t>
        </is>
      </c>
      <c r="G189" s="27" t="inlineStr">
        <is>
          <t>Minimum probability-weighted gross benefit / implementation cash multiple</t>
        </is>
      </c>
      <c r="H189" s="46" t="n">
        <v>1.75</v>
      </c>
      <c r="I189" s="27" t="inlineStr"/>
      <c r="J189" s="27" t="inlineStr">
        <is>
          <t>multiple</t>
        </is>
      </c>
      <c r="K189" s="27" t="inlineStr">
        <is>
          <t>Finance operating schedule</t>
        </is>
      </c>
      <c r="L189" s="47" t="inlineStr">
        <is>
          <t>2026-06-30</t>
        </is>
      </c>
      <c r="M189" s="27" t="inlineStr"/>
    </row>
  </sheetData>
  <autoFilter ref="A4:M189"/>
  <mergeCells count="2">
    <mergeCell ref="A2:M2"/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FY27 operating plan | Margin and Accuracy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PLN-00272</t>
        </is>
      </c>
      <c r="B5" s="27" t="inlineStr">
        <is>
          <t>Construction gross-margin driver bridge</t>
        </is>
      </c>
      <c r="C5" s="27" t="inlineStr">
        <is>
          <t>Construction worktype bridge</t>
        </is>
      </c>
      <c r="D5" s="27" t="inlineStr">
        <is>
          <t>Large project</t>
        </is>
      </c>
      <c r="E5" s="27" t="inlineStr">
        <is>
          <t>2026-Q2</t>
        </is>
      </c>
      <c r="F5" s="27" t="inlineStr">
        <is>
          <t>Approved case</t>
        </is>
      </c>
      <c r="G5" s="27" t="inlineStr">
        <is>
          <t>Budget revenue</t>
        </is>
      </c>
      <c r="H5" s="46" t="n">
        <v>12000000</v>
      </c>
      <c r="I5" s="27" t="inlineStr"/>
      <c r="J5" s="27" t="inlineStr">
        <is>
          <t>USD</t>
        </is>
      </c>
      <c r="K5" s="27" t="inlineStr">
        <is>
          <t>Project controls margin bridge input</t>
        </is>
      </c>
      <c r="L5" s="47" t="inlineStr">
        <is>
          <t>2026-06-30</t>
        </is>
      </c>
      <c r="M5" s="27" t="inlineStr"/>
    </row>
    <row r="6">
      <c r="A6" s="36" t="inlineStr">
        <is>
          <t>PLN-00273</t>
        </is>
      </c>
      <c r="B6" s="27" t="inlineStr">
        <is>
          <t>Construction gross-margin driver bridge</t>
        </is>
      </c>
      <c r="C6" s="27" t="inlineStr">
        <is>
          <t>Construction worktype bridge</t>
        </is>
      </c>
      <c r="D6" s="27" t="inlineStr">
        <is>
          <t>Large project</t>
        </is>
      </c>
      <c r="E6" s="27" t="inlineStr">
        <is>
          <t>2026-Q2</t>
        </is>
      </c>
      <c r="F6" s="27" t="inlineStr">
        <is>
          <t>Approved case</t>
        </is>
      </c>
      <c r="G6" s="27" t="inlineStr">
        <is>
          <t>Budget gross margin</t>
        </is>
      </c>
      <c r="H6" s="46" t="n">
        <v>0.31</v>
      </c>
      <c r="I6" s="27" t="inlineStr"/>
      <c r="J6" s="27" t="inlineStr">
        <is>
          <t>decimal ratio</t>
        </is>
      </c>
      <c r="K6" s="27" t="inlineStr">
        <is>
          <t>Project controls margin bridge input</t>
        </is>
      </c>
      <c r="L6" s="47" t="inlineStr">
        <is>
          <t>2026-06-30</t>
        </is>
      </c>
      <c r="M6" s="27" t="inlineStr"/>
    </row>
    <row r="7">
      <c r="A7" s="36" t="inlineStr">
        <is>
          <t>PLN-00274</t>
        </is>
      </c>
      <c r="B7" s="27" t="inlineStr">
        <is>
          <t>Construction gross-margin driver bridge</t>
        </is>
      </c>
      <c r="C7" s="27" t="inlineStr">
        <is>
          <t>Construction worktype bridge</t>
        </is>
      </c>
      <c r="D7" s="27" t="inlineStr">
        <is>
          <t>Large project</t>
        </is>
      </c>
      <c r="E7" s="27" t="inlineStr">
        <is>
          <t>2026-Q2</t>
        </is>
      </c>
      <c r="F7" s="27" t="inlineStr">
        <is>
          <t>Approved case</t>
        </is>
      </c>
      <c r="G7" s="27" t="inlineStr">
        <is>
          <t>Revenue volume change</t>
        </is>
      </c>
      <c r="H7" s="46" t="n">
        <v>0.05</v>
      </c>
      <c r="I7" s="27" t="inlineStr"/>
      <c r="J7" s="27" t="inlineStr">
        <is>
          <t>decimal ratio</t>
        </is>
      </c>
      <c r="K7" s="27" t="inlineStr">
        <is>
          <t>Project controls margin bridge input</t>
        </is>
      </c>
      <c r="L7" s="47" t="inlineStr">
        <is>
          <t>2026-06-30</t>
        </is>
      </c>
      <c r="M7" s="27" t="inlineStr"/>
    </row>
    <row r="8">
      <c r="A8" s="36" t="inlineStr">
        <is>
          <t>PLN-00275</t>
        </is>
      </c>
      <c r="B8" s="27" t="inlineStr">
        <is>
          <t>Construction gross-margin driver bridge</t>
        </is>
      </c>
      <c r="C8" s="27" t="inlineStr">
        <is>
          <t>Construction worktype bridge</t>
        </is>
      </c>
      <c r="D8" s="27" t="inlineStr">
        <is>
          <t>Large project</t>
        </is>
      </c>
      <c r="E8" s="27" t="inlineStr">
        <is>
          <t>2026-Q2</t>
        </is>
      </c>
      <c r="F8" s="27" t="inlineStr">
        <is>
          <t>Approved case</t>
        </is>
      </c>
      <c r="G8" s="27" t="inlineStr">
        <is>
          <t>Contract price change</t>
        </is>
      </c>
      <c r="H8" s="46" t="n">
        <v>0.018</v>
      </c>
      <c r="I8" s="27" t="inlineStr"/>
      <c r="J8" s="27" t="inlineStr">
        <is>
          <t>decimal ratio</t>
        </is>
      </c>
      <c r="K8" s="27" t="inlineStr">
        <is>
          <t>Project controls margin bridge input</t>
        </is>
      </c>
      <c r="L8" s="47" t="inlineStr">
        <is>
          <t>2026-06-30</t>
        </is>
      </c>
      <c r="M8" s="27" t="inlineStr"/>
    </row>
    <row r="9">
      <c r="A9" s="36" t="inlineStr">
        <is>
          <t>PLN-00276</t>
        </is>
      </c>
      <c r="B9" s="27" t="inlineStr">
        <is>
          <t>Construction gross-margin driver bridge</t>
        </is>
      </c>
      <c r="C9" s="27" t="inlineStr">
        <is>
          <t>Construction worktype bridge</t>
        </is>
      </c>
      <c r="D9" s="27" t="inlineStr">
        <is>
          <t>Large project</t>
        </is>
      </c>
      <c r="E9" s="27" t="inlineStr">
        <is>
          <t>2026-Q2</t>
        </is>
      </c>
      <c r="F9" s="27" t="inlineStr">
        <is>
          <t>Approved case</t>
        </is>
      </c>
      <c r="G9" s="27" t="inlineStr">
        <is>
          <t>Labor rate effect as percent of actual revenue</t>
        </is>
      </c>
      <c r="H9" s="46" t="n">
        <v>-0.012</v>
      </c>
      <c r="I9" s="27" t="inlineStr"/>
      <c r="J9" s="27" t="inlineStr">
        <is>
          <t>decimal ratio</t>
        </is>
      </c>
      <c r="K9" s="27" t="inlineStr">
        <is>
          <t>Project controls margin bridge input</t>
        </is>
      </c>
      <c r="L9" s="47" t="inlineStr">
        <is>
          <t>2026-06-30</t>
        </is>
      </c>
      <c r="M9" s="27" t="inlineStr"/>
    </row>
    <row r="10">
      <c r="A10" s="36" t="inlineStr">
        <is>
          <t>PLN-00277</t>
        </is>
      </c>
      <c r="B10" s="27" t="inlineStr">
        <is>
          <t>Construction gross-margin driver bridge</t>
        </is>
      </c>
      <c r="C10" s="27" t="inlineStr">
        <is>
          <t>Construction worktype bridge</t>
        </is>
      </c>
      <c r="D10" s="27" t="inlineStr">
        <is>
          <t>Large project</t>
        </is>
      </c>
      <c r="E10" s="27" t="inlineStr">
        <is>
          <t>2026-Q2</t>
        </is>
      </c>
      <c r="F10" s="27" t="inlineStr">
        <is>
          <t>Approved case</t>
        </is>
      </c>
      <c r="G10" s="27" t="inlineStr">
        <is>
          <t>Labor productivity effect as percent of actual revenue</t>
        </is>
      </c>
      <c r="H10" s="46" t="n">
        <v>-0.018</v>
      </c>
      <c r="I10" s="27" t="inlineStr"/>
      <c r="J10" s="27" t="inlineStr">
        <is>
          <t>decimal ratio</t>
        </is>
      </c>
      <c r="K10" s="27" t="inlineStr">
        <is>
          <t>Project controls margin bridge input</t>
        </is>
      </c>
      <c r="L10" s="47" t="inlineStr">
        <is>
          <t>2026-06-30</t>
        </is>
      </c>
      <c r="M10" s="27" t="inlineStr"/>
    </row>
    <row r="11">
      <c r="A11" s="36" t="inlineStr">
        <is>
          <t>PLN-00278</t>
        </is>
      </c>
      <c r="B11" s="27" t="inlineStr">
        <is>
          <t>Construction gross-margin driver bridge</t>
        </is>
      </c>
      <c r="C11" s="27" t="inlineStr">
        <is>
          <t>Construction worktype bridge</t>
        </is>
      </c>
      <c r="D11" s="27" t="inlineStr">
        <is>
          <t>Large project</t>
        </is>
      </c>
      <c r="E11" s="27" t="inlineStr">
        <is>
          <t>2026-Q2</t>
        </is>
      </c>
      <c r="F11" s="27" t="inlineStr">
        <is>
          <t>Approved case</t>
        </is>
      </c>
      <c r="G11" s="27" t="inlineStr">
        <is>
          <t>Material price effect as percent of actual revenue</t>
        </is>
      </c>
      <c r="H11" s="46" t="n">
        <v>-0.011</v>
      </c>
      <c r="I11" s="27" t="inlineStr"/>
      <c r="J11" s="27" t="inlineStr">
        <is>
          <t>decimal ratio</t>
        </is>
      </c>
      <c r="K11" s="27" t="inlineStr">
        <is>
          <t>Project controls margin bridge input</t>
        </is>
      </c>
      <c r="L11" s="47" t="inlineStr">
        <is>
          <t>2026-06-30</t>
        </is>
      </c>
      <c r="M11" s="27" t="inlineStr"/>
    </row>
    <row r="12">
      <c r="A12" s="36" t="inlineStr">
        <is>
          <t>PLN-00279</t>
        </is>
      </c>
      <c r="B12" s="27" t="inlineStr">
        <is>
          <t>Construction gross-margin driver bridge</t>
        </is>
      </c>
      <c r="C12" s="27" t="inlineStr">
        <is>
          <t>Construction worktype bridge</t>
        </is>
      </c>
      <c r="D12" s="27" t="inlineStr">
        <is>
          <t>Large project</t>
        </is>
      </c>
      <c r="E12" s="27" t="inlineStr">
        <is>
          <t>2026-Q2</t>
        </is>
      </c>
      <c r="F12" s="27" t="inlineStr">
        <is>
          <t>Approved case</t>
        </is>
      </c>
      <c r="G12" s="27" t="inlineStr">
        <is>
          <t>Subcontractor effect as percent of actual revenue</t>
        </is>
      </c>
      <c r="H12" s="46" t="n">
        <v>-0.006</v>
      </c>
      <c r="I12" s="27" t="inlineStr"/>
      <c r="J12" s="27" t="inlineStr">
        <is>
          <t>decimal ratio</t>
        </is>
      </c>
      <c r="K12" s="27" t="inlineStr">
        <is>
          <t>Project controls margin bridge input</t>
        </is>
      </c>
      <c r="L12" s="47" t="inlineStr">
        <is>
          <t>2026-06-30</t>
        </is>
      </c>
      <c r="M12" s="27" t="inlineStr"/>
    </row>
    <row r="13">
      <c r="A13" s="36" t="inlineStr">
        <is>
          <t>PLN-00280</t>
        </is>
      </c>
      <c r="B13" s="27" t="inlineStr">
        <is>
          <t>Construction gross-margin driver bridge</t>
        </is>
      </c>
      <c r="C13" s="27" t="inlineStr">
        <is>
          <t>Construction worktype bridge</t>
        </is>
      </c>
      <c r="D13" s="27" t="inlineStr">
        <is>
          <t>Tenant improvement</t>
        </is>
      </c>
      <c r="E13" s="27" t="inlineStr">
        <is>
          <t>2026-Q2</t>
        </is>
      </c>
      <c r="F13" s="27" t="inlineStr">
        <is>
          <t>Approved case</t>
        </is>
      </c>
      <c r="G13" s="27" t="inlineStr">
        <is>
          <t>Budget revenue</t>
        </is>
      </c>
      <c r="H13" s="46" t="n">
        <v>5500000</v>
      </c>
      <c r="I13" s="27" t="inlineStr"/>
      <c r="J13" s="27" t="inlineStr">
        <is>
          <t>USD</t>
        </is>
      </c>
      <c r="K13" s="27" t="inlineStr">
        <is>
          <t>Project controls margin bridge input</t>
        </is>
      </c>
      <c r="L13" s="47" t="inlineStr">
        <is>
          <t>2026-06-30</t>
        </is>
      </c>
      <c r="M13" s="27" t="inlineStr"/>
    </row>
    <row r="14">
      <c r="A14" s="36" t="inlineStr">
        <is>
          <t>PLN-00281</t>
        </is>
      </c>
      <c r="B14" s="27" t="inlineStr">
        <is>
          <t>Construction gross-margin driver bridge</t>
        </is>
      </c>
      <c r="C14" s="27" t="inlineStr">
        <is>
          <t>Construction worktype bridge</t>
        </is>
      </c>
      <c r="D14" s="27" t="inlineStr">
        <is>
          <t>Tenant improvement</t>
        </is>
      </c>
      <c r="E14" s="27" t="inlineStr">
        <is>
          <t>2026-Q2</t>
        </is>
      </c>
      <c r="F14" s="27" t="inlineStr">
        <is>
          <t>Approved case</t>
        </is>
      </c>
      <c r="G14" s="27" t="inlineStr">
        <is>
          <t>Budget gross margin</t>
        </is>
      </c>
      <c r="H14" s="46" t="n">
        <v>0.34</v>
      </c>
      <c r="I14" s="27" t="inlineStr"/>
      <c r="J14" s="27" t="inlineStr">
        <is>
          <t>decimal ratio</t>
        </is>
      </c>
      <c r="K14" s="27" t="inlineStr">
        <is>
          <t>Project controls margin bridge input</t>
        </is>
      </c>
      <c r="L14" s="47" t="inlineStr">
        <is>
          <t>2026-06-30</t>
        </is>
      </c>
      <c r="M14" s="27" t="inlineStr"/>
    </row>
    <row r="15">
      <c r="A15" s="36" t="inlineStr">
        <is>
          <t>PLN-00282</t>
        </is>
      </c>
      <c r="B15" s="27" t="inlineStr">
        <is>
          <t>Construction gross-margin driver bridge</t>
        </is>
      </c>
      <c r="C15" s="27" t="inlineStr">
        <is>
          <t>Construction worktype bridge</t>
        </is>
      </c>
      <c r="D15" s="27" t="inlineStr">
        <is>
          <t>Tenant improvement</t>
        </is>
      </c>
      <c r="E15" s="27" t="inlineStr">
        <is>
          <t>2026-Q2</t>
        </is>
      </c>
      <c r="F15" s="27" t="inlineStr">
        <is>
          <t>Approved case</t>
        </is>
      </c>
      <c r="G15" s="27" t="inlineStr">
        <is>
          <t>Revenue volume change</t>
        </is>
      </c>
      <c r="H15" s="46" t="n">
        <v>0.08</v>
      </c>
      <c r="I15" s="27" t="inlineStr"/>
      <c r="J15" s="27" t="inlineStr">
        <is>
          <t>decimal ratio</t>
        </is>
      </c>
      <c r="K15" s="27" t="inlineStr">
        <is>
          <t>Project controls margin bridge input</t>
        </is>
      </c>
      <c r="L15" s="47" t="inlineStr">
        <is>
          <t>2026-06-30</t>
        </is>
      </c>
      <c r="M15" s="27" t="inlineStr"/>
    </row>
    <row r="16">
      <c r="A16" s="36" t="inlineStr">
        <is>
          <t>PLN-00283</t>
        </is>
      </c>
      <c r="B16" s="27" t="inlineStr">
        <is>
          <t>Construction gross-margin driver bridge</t>
        </is>
      </c>
      <c r="C16" s="27" t="inlineStr">
        <is>
          <t>Construction worktype bridge</t>
        </is>
      </c>
      <c r="D16" s="27" t="inlineStr">
        <is>
          <t>Tenant improvement</t>
        </is>
      </c>
      <c r="E16" s="27" t="inlineStr">
        <is>
          <t>2026-Q2</t>
        </is>
      </c>
      <c r="F16" s="27" t="inlineStr">
        <is>
          <t>Approved case</t>
        </is>
      </c>
      <c r="G16" s="27" t="inlineStr">
        <is>
          <t>Contract price change</t>
        </is>
      </c>
      <c r="H16" s="46" t="n">
        <v>0.025</v>
      </c>
      <c r="I16" s="27" t="inlineStr"/>
      <c r="J16" s="27" t="inlineStr">
        <is>
          <t>decimal ratio</t>
        </is>
      </c>
      <c r="K16" s="27" t="inlineStr">
        <is>
          <t>Project controls margin bridge input</t>
        </is>
      </c>
      <c r="L16" s="47" t="inlineStr">
        <is>
          <t>2026-06-30</t>
        </is>
      </c>
      <c r="M16" s="27" t="inlineStr"/>
    </row>
    <row r="17">
      <c r="A17" s="36" t="inlineStr">
        <is>
          <t>PLN-00284</t>
        </is>
      </c>
      <c r="B17" s="27" t="inlineStr">
        <is>
          <t>Construction gross-margin driver bridge</t>
        </is>
      </c>
      <c r="C17" s="27" t="inlineStr">
        <is>
          <t>Construction worktype bridge</t>
        </is>
      </c>
      <c r="D17" s="27" t="inlineStr">
        <is>
          <t>Tenant improvement</t>
        </is>
      </c>
      <c r="E17" s="27" t="inlineStr">
        <is>
          <t>2026-Q2</t>
        </is>
      </c>
      <c r="F17" s="27" t="inlineStr">
        <is>
          <t>Approved case</t>
        </is>
      </c>
      <c r="G17" s="27" t="inlineStr">
        <is>
          <t>Labor rate effect as percent of actual revenue</t>
        </is>
      </c>
      <c r="H17" s="46" t="n">
        <v>-0.008999999999999999</v>
      </c>
      <c r="I17" s="27" t="inlineStr"/>
      <c r="J17" s="27" t="inlineStr">
        <is>
          <t>decimal ratio</t>
        </is>
      </c>
      <c r="K17" s="27" t="inlineStr">
        <is>
          <t>Project controls margin bridge input</t>
        </is>
      </c>
      <c r="L17" s="47" t="inlineStr">
        <is>
          <t>2026-06-30</t>
        </is>
      </c>
      <c r="M17" s="27" t="inlineStr"/>
    </row>
    <row r="18">
      <c r="A18" s="36" t="inlineStr">
        <is>
          <t>PLN-00285</t>
        </is>
      </c>
      <c r="B18" s="27" t="inlineStr">
        <is>
          <t>Construction gross-margin driver bridge</t>
        </is>
      </c>
      <c r="C18" s="27" t="inlineStr">
        <is>
          <t>Construction worktype bridge</t>
        </is>
      </c>
      <c r="D18" s="27" t="inlineStr">
        <is>
          <t>Tenant improvement</t>
        </is>
      </c>
      <c r="E18" s="27" t="inlineStr">
        <is>
          <t>2026-Q2</t>
        </is>
      </c>
      <c r="F18" s="27" t="inlineStr">
        <is>
          <t>Approved case</t>
        </is>
      </c>
      <c r="G18" s="27" t="inlineStr">
        <is>
          <t>Labor productivity effect as percent of actual revenue</t>
        </is>
      </c>
      <c r="H18" s="46" t="n">
        <v>-0.014</v>
      </c>
      <c r="I18" s="27" t="inlineStr"/>
      <c r="J18" s="27" t="inlineStr">
        <is>
          <t>decimal ratio</t>
        </is>
      </c>
      <c r="K18" s="27" t="inlineStr">
        <is>
          <t>Project controls margin bridge input</t>
        </is>
      </c>
      <c r="L18" s="47" t="inlineStr">
        <is>
          <t>2026-06-30</t>
        </is>
      </c>
      <c r="M18" s="27" t="inlineStr"/>
    </row>
    <row r="19">
      <c r="A19" s="36" t="inlineStr">
        <is>
          <t>PLN-00286</t>
        </is>
      </c>
      <c r="B19" s="27" t="inlineStr">
        <is>
          <t>Construction gross-margin driver bridge</t>
        </is>
      </c>
      <c r="C19" s="27" t="inlineStr">
        <is>
          <t>Construction worktype bridge</t>
        </is>
      </c>
      <c r="D19" s="27" t="inlineStr">
        <is>
          <t>Tenant improvement</t>
        </is>
      </c>
      <c r="E19" s="27" t="inlineStr">
        <is>
          <t>2026-Q2</t>
        </is>
      </c>
      <c r="F19" s="27" t="inlineStr">
        <is>
          <t>Approved case</t>
        </is>
      </c>
      <c r="G19" s="27" t="inlineStr">
        <is>
          <t>Material price effect as percent of actual revenue</t>
        </is>
      </c>
      <c r="H19" s="46" t="n">
        <v>-0.008</v>
      </c>
      <c r="I19" s="27" t="inlineStr"/>
      <c r="J19" s="27" t="inlineStr">
        <is>
          <t>decimal ratio</t>
        </is>
      </c>
      <c r="K19" s="27" t="inlineStr">
        <is>
          <t>Project controls margin bridge input</t>
        </is>
      </c>
      <c r="L19" s="47" t="inlineStr">
        <is>
          <t>2026-06-30</t>
        </is>
      </c>
      <c r="M19" s="27" t="inlineStr"/>
    </row>
    <row r="20">
      <c r="A20" s="36" t="inlineStr">
        <is>
          <t>PLN-00287</t>
        </is>
      </c>
      <c r="B20" s="27" t="inlineStr">
        <is>
          <t>Construction gross-margin driver bridge</t>
        </is>
      </c>
      <c r="C20" s="27" t="inlineStr">
        <is>
          <t>Construction worktype bridge</t>
        </is>
      </c>
      <c r="D20" s="27" t="inlineStr">
        <is>
          <t>Tenant improvement</t>
        </is>
      </c>
      <c r="E20" s="27" t="inlineStr">
        <is>
          <t>2026-Q2</t>
        </is>
      </c>
      <c r="F20" s="27" t="inlineStr">
        <is>
          <t>Approved case</t>
        </is>
      </c>
      <c r="G20" s="27" t="inlineStr">
        <is>
          <t>Subcontractor effect as percent of actual revenue</t>
        </is>
      </c>
      <c r="H20" s="46" t="n">
        <v>-0.004</v>
      </c>
      <c r="I20" s="27" t="inlineStr"/>
      <c r="J20" s="27" t="inlineStr">
        <is>
          <t>decimal ratio</t>
        </is>
      </c>
      <c r="K20" s="27" t="inlineStr">
        <is>
          <t>Project controls margin bridge input</t>
        </is>
      </c>
      <c r="L20" s="47" t="inlineStr">
        <is>
          <t>2026-06-30</t>
        </is>
      </c>
      <c r="M20" s="27" t="inlineStr"/>
    </row>
    <row r="21">
      <c r="A21" s="36" t="inlineStr">
        <is>
          <t>PLN-00288</t>
        </is>
      </c>
      <c r="B21" s="27" t="inlineStr">
        <is>
          <t>Construction gross-margin driver bridge</t>
        </is>
      </c>
      <c r="C21" s="27" t="inlineStr">
        <is>
          <t>Construction worktype bridge</t>
        </is>
      </c>
      <c r="D21" s="27" t="inlineStr">
        <is>
          <t>Retrofit</t>
        </is>
      </c>
      <c r="E21" s="27" t="inlineStr">
        <is>
          <t>2026-Q2</t>
        </is>
      </c>
      <c r="F21" s="27" t="inlineStr">
        <is>
          <t>Approved case</t>
        </is>
      </c>
      <c r="G21" s="27" t="inlineStr">
        <is>
          <t>Budget revenue</t>
        </is>
      </c>
      <c r="H21" s="46" t="n">
        <v>4200000</v>
      </c>
      <c r="I21" s="27" t="inlineStr"/>
      <c r="J21" s="27" t="inlineStr">
        <is>
          <t>USD</t>
        </is>
      </c>
      <c r="K21" s="27" t="inlineStr">
        <is>
          <t>Project controls margin bridge input</t>
        </is>
      </c>
      <c r="L21" s="47" t="inlineStr">
        <is>
          <t>2026-06-30</t>
        </is>
      </c>
      <c r="M21" s="27" t="inlineStr"/>
    </row>
    <row r="22">
      <c r="A22" s="36" t="inlineStr">
        <is>
          <t>PLN-00289</t>
        </is>
      </c>
      <c r="B22" s="27" t="inlineStr">
        <is>
          <t>Construction gross-margin driver bridge</t>
        </is>
      </c>
      <c r="C22" s="27" t="inlineStr">
        <is>
          <t>Construction worktype bridge</t>
        </is>
      </c>
      <c r="D22" s="27" t="inlineStr">
        <is>
          <t>Retrofit</t>
        </is>
      </c>
      <c r="E22" s="27" t="inlineStr">
        <is>
          <t>2026-Q2</t>
        </is>
      </c>
      <c r="F22" s="27" t="inlineStr">
        <is>
          <t>Approved case</t>
        </is>
      </c>
      <c r="G22" s="27" t="inlineStr">
        <is>
          <t>Budget gross margin</t>
        </is>
      </c>
      <c r="H22" s="46" t="n">
        <v>0.38</v>
      </c>
      <c r="I22" s="27" t="inlineStr"/>
      <c r="J22" s="27" t="inlineStr">
        <is>
          <t>decimal ratio</t>
        </is>
      </c>
      <c r="K22" s="27" t="inlineStr">
        <is>
          <t>Project controls margin bridge input</t>
        </is>
      </c>
      <c r="L22" s="47" t="inlineStr">
        <is>
          <t>2026-06-30</t>
        </is>
      </c>
      <c r="M22" s="27" t="inlineStr"/>
    </row>
    <row r="23">
      <c r="A23" s="36" t="inlineStr">
        <is>
          <t>PLN-00290</t>
        </is>
      </c>
      <c r="B23" s="27" t="inlineStr">
        <is>
          <t>Construction gross-margin driver bridge</t>
        </is>
      </c>
      <c r="C23" s="27" t="inlineStr">
        <is>
          <t>Construction worktype bridge</t>
        </is>
      </c>
      <c r="D23" s="27" t="inlineStr">
        <is>
          <t>Retrofit</t>
        </is>
      </c>
      <c r="E23" s="27" t="inlineStr">
        <is>
          <t>2026-Q2</t>
        </is>
      </c>
      <c r="F23" s="27" t="inlineStr">
        <is>
          <t>Approved case</t>
        </is>
      </c>
      <c r="G23" s="27" t="inlineStr">
        <is>
          <t>Revenue volume change</t>
        </is>
      </c>
      <c r="H23" s="46" t="n">
        <v>-0.025</v>
      </c>
      <c r="I23" s="27" t="inlineStr"/>
      <c r="J23" s="27" t="inlineStr">
        <is>
          <t>decimal ratio</t>
        </is>
      </c>
      <c r="K23" s="27" t="inlineStr">
        <is>
          <t>Project controls margin bridge input</t>
        </is>
      </c>
      <c r="L23" s="47" t="inlineStr">
        <is>
          <t>2026-06-30</t>
        </is>
      </c>
      <c r="M23" s="27" t="inlineStr"/>
    </row>
    <row r="24">
      <c r="A24" s="36" t="inlineStr">
        <is>
          <t>PLN-00291</t>
        </is>
      </c>
      <c r="B24" s="27" t="inlineStr">
        <is>
          <t>Construction gross-margin driver bridge</t>
        </is>
      </c>
      <c r="C24" s="27" t="inlineStr">
        <is>
          <t>Construction worktype bridge</t>
        </is>
      </c>
      <c r="D24" s="27" t="inlineStr">
        <is>
          <t>Retrofit</t>
        </is>
      </c>
      <c r="E24" s="27" t="inlineStr">
        <is>
          <t>2026-Q2</t>
        </is>
      </c>
      <c r="F24" s="27" t="inlineStr">
        <is>
          <t>Approved case</t>
        </is>
      </c>
      <c r="G24" s="27" t="inlineStr">
        <is>
          <t>Contract price change</t>
        </is>
      </c>
      <c r="H24" s="46" t="n">
        <v>0.032</v>
      </c>
      <c r="I24" s="27" t="inlineStr"/>
      <c r="J24" s="27" t="inlineStr">
        <is>
          <t>decimal ratio</t>
        </is>
      </c>
      <c r="K24" s="27" t="inlineStr">
        <is>
          <t>Project controls margin bridge input</t>
        </is>
      </c>
      <c r="L24" s="47" t="inlineStr">
        <is>
          <t>2026-06-30</t>
        </is>
      </c>
      <c r="M24" s="27" t="inlineStr"/>
    </row>
    <row r="25">
      <c r="A25" s="36" t="inlineStr">
        <is>
          <t>PLN-00292</t>
        </is>
      </c>
      <c r="B25" s="27" t="inlineStr">
        <is>
          <t>Construction gross-margin driver bridge</t>
        </is>
      </c>
      <c r="C25" s="27" t="inlineStr">
        <is>
          <t>Construction worktype bridge</t>
        </is>
      </c>
      <c r="D25" s="27" t="inlineStr">
        <is>
          <t>Retrofit</t>
        </is>
      </c>
      <c r="E25" s="27" t="inlineStr">
        <is>
          <t>2026-Q2</t>
        </is>
      </c>
      <c r="F25" s="27" t="inlineStr">
        <is>
          <t>Approved case</t>
        </is>
      </c>
      <c r="G25" s="27" t="inlineStr">
        <is>
          <t>Labor rate effect as percent of actual revenue</t>
        </is>
      </c>
      <c r="H25" s="46" t="n">
        <v>-0.014</v>
      </c>
      <c r="I25" s="27" t="inlineStr"/>
      <c r="J25" s="27" t="inlineStr">
        <is>
          <t>decimal ratio</t>
        </is>
      </c>
      <c r="K25" s="27" t="inlineStr">
        <is>
          <t>Project controls margin bridge input</t>
        </is>
      </c>
      <c r="L25" s="47" t="inlineStr">
        <is>
          <t>2026-06-30</t>
        </is>
      </c>
      <c r="M25" s="27" t="inlineStr"/>
    </row>
    <row r="26">
      <c r="A26" s="36" t="inlineStr">
        <is>
          <t>PLN-00293</t>
        </is>
      </c>
      <c r="B26" s="27" t="inlineStr">
        <is>
          <t>Construction gross-margin driver bridge</t>
        </is>
      </c>
      <c r="C26" s="27" t="inlineStr">
        <is>
          <t>Construction worktype bridge</t>
        </is>
      </c>
      <c r="D26" s="27" t="inlineStr">
        <is>
          <t>Retrofit</t>
        </is>
      </c>
      <c r="E26" s="27" t="inlineStr">
        <is>
          <t>2026-Q2</t>
        </is>
      </c>
      <c r="F26" s="27" t="inlineStr">
        <is>
          <t>Approved case</t>
        </is>
      </c>
      <c r="G26" s="27" t="inlineStr">
        <is>
          <t>Labor productivity effect as percent of actual revenue</t>
        </is>
      </c>
      <c r="H26" s="46" t="n">
        <v>-0.01</v>
      </c>
      <c r="I26" s="27" t="inlineStr"/>
      <c r="J26" s="27" t="inlineStr">
        <is>
          <t>decimal ratio</t>
        </is>
      </c>
      <c r="K26" s="27" t="inlineStr">
        <is>
          <t>Project controls margin bridge input</t>
        </is>
      </c>
      <c r="L26" s="47" t="inlineStr">
        <is>
          <t>2026-06-30</t>
        </is>
      </c>
      <c r="M26" s="27" t="inlineStr"/>
    </row>
    <row r="27">
      <c r="A27" s="36" t="inlineStr">
        <is>
          <t>PLN-00294</t>
        </is>
      </c>
      <c r="B27" s="27" t="inlineStr">
        <is>
          <t>Construction gross-margin driver bridge</t>
        </is>
      </c>
      <c r="C27" s="27" t="inlineStr">
        <is>
          <t>Construction worktype bridge</t>
        </is>
      </c>
      <c r="D27" s="27" t="inlineStr">
        <is>
          <t>Retrofit</t>
        </is>
      </c>
      <c r="E27" s="27" t="inlineStr">
        <is>
          <t>2026-Q2</t>
        </is>
      </c>
      <c r="F27" s="27" t="inlineStr">
        <is>
          <t>Approved case</t>
        </is>
      </c>
      <c r="G27" s="27" t="inlineStr">
        <is>
          <t>Material price effect as percent of actual revenue</t>
        </is>
      </c>
      <c r="H27" s="46" t="n">
        <v>-0.013</v>
      </c>
      <c r="I27" s="27" t="inlineStr"/>
      <c r="J27" s="27" t="inlineStr">
        <is>
          <t>decimal ratio</t>
        </is>
      </c>
      <c r="K27" s="27" t="inlineStr">
        <is>
          <t>Project controls margin bridge input</t>
        </is>
      </c>
      <c r="L27" s="47" t="inlineStr">
        <is>
          <t>2026-06-30</t>
        </is>
      </c>
      <c r="M27" s="27" t="inlineStr"/>
    </row>
    <row r="28">
      <c r="A28" s="36" t="inlineStr">
        <is>
          <t>PLN-00295</t>
        </is>
      </c>
      <c r="B28" s="27" t="inlineStr">
        <is>
          <t>Construction gross-margin driver bridge</t>
        </is>
      </c>
      <c r="C28" s="27" t="inlineStr">
        <is>
          <t>Construction worktype bridge</t>
        </is>
      </c>
      <c r="D28" s="27" t="inlineStr">
        <is>
          <t>Retrofit</t>
        </is>
      </c>
      <c r="E28" s="27" t="inlineStr">
        <is>
          <t>2026-Q2</t>
        </is>
      </c>
      <c r="F28" s="27" t="inlineStr">
        <is>
          <t>Approved case</t>
        </is>
      </c>
      <c r="G28" s="27" t="inlineStr">
        <is>
          <t>Subcontractor effect as percent of actual revenue</t>
        </is>
      </c>
      <c r="H28" s="46" t="n">
        <v>-0.007</v>
      </c>
      <c r="I28" s="27" t="inlineStr"/>
      <c r="J28" s="27" t="inlineStr">
        <is>
          <t>decimal ratio</t>
        </is>
      </c>
      <c r="K28" s="27" t="inlineStr">
        <is>
          <t>Project controls margin bridge input</t>
        </is>
      </c>
      <c r="L28" s="47" t="inlineStr">
        <is>
          <t>2026-06-30</t>
        </is>
      </c>
      <c r="M28" s="27" t="inlineStr"/>
    </row>
    <row r="29">
      <c r="A29" s="36" t="inlineStr">
        <is>
          <t>PLN-00296</t>
        </is>
      </c>
      <c r="B29" s="27" t="inlineStr">
        <is>
          <t>Construction gross-margin driver bridge</t>
        </is>
      </c>
      <c r="C29" s="27" t="inlineStr">
        <is>
          <t>Construction worktype bridge</t>
        </is>
      </c>
      <c r="D29" s="27" t="inlineStr">
        <is>
          <t>Special projects</t>
        </is>
      </c>
      <c r="E29" s="27" t="inlineStr">
        <is>
          <t>2026-Q2</t>
        </is>
      </c>
      <c r="F29" s="27" t="inlineStr">
        <is>
          <t>Approved case</t>
        </is>
      </c>
      <c r="G29" s="27" t="inlineStr">
        <is>
          <t>Budget revenue</t>
        </is>
      </c>
      <c r="H29" s="46" t="n">
        <v>2300000</v>
      </c>
      <c r="I29" s="27" t="inlineStr"/>
      <c r="J29" s="27" t="inlineStr">
        <is>
          <t>USD</t>
        </is>
      </c>
      <c r="K29" s="27" t="inlineStr">
        <is>
          <t>Project controls margin bridge input</t>
        </is>
      </c>
      <c r="L29" s="47" t="inlineStr">
        <is>
          <t>2026-06-30</t>
        </is>
      </c>
      <c r="M29" s="27" t="inlineStr"/>
    </row>
    <row r="30">
      <c r="A30" s="36" t="inlineStr">
        <is>
          <t>PLN-00297</t>
        </is>
      </c>
      <c r="B30" s="27" t="inlineStr">
        <is>
          <t>Construction gross-margin driver bridge</t>
        </is>
      </c>
      <c r="C30" s="27" t="inlineStr">
        <is>
          <t>Construction worktype bridge</t>
        </is>
      </c>
      <c r="D30" s="27" t="inlineStr">
        <is>
          <t>Special projects</t>
        </is>
      </c>
      <c r="E30" s="27" t="inlineStr">
        <is>
          <t>2026-Q2</t>
        </is>
      </c>
      <c r="F30" s="27" t="inlineStr">
        <is>
          <t>Approved case</t>
        </is>
      </c>
      <c r="G30" s="27" t="inlineStr">
        <is>
          <t>Budget gross margin</t>
        </is>
      </c>
      <c r="H30" s="46" t="n">
        <v>0.42</v>
      </c>
      <c r="I30" s="27" t="inlineStr"/>
      <c r="J30" s="27" t="inlineStr">
        <is>
          <t>decimal ratio</t>
        </is>
      </c>
      <c r="K30" s="27" t="inlineStr">
        <is>
          <t>Project controls margin bridge input</t>
        </is>
      </c>
      <c r="L30" s="47" t="inlineStr">
        <is>
          <t>2026-06-30</t>
        </is>
      </c>
      <c r="M30" s="27" t="inlineStr"/>
    </row>
    <row r="31">
      <c r="A31" s="36" t="inlineStr">
        <is>
          <t>PLN-00298</t>
        </is>
      </c>
      <c r="B31" s="27" t="inlineStr">
        <is>
          <t>Construction gross-margin driver bridge</t>
        </is>
      </c>
      <c r="C31" s="27" t="inlineStr">
        <is>
          <t>Construction worktype bridge</t>
        </is>
      </c>
      <c r="D31" s="27" t="inlineStr">
        <is>
          <t>Special projects</t>
        </is>
      </c>
      <c r="E31" s="27" t="inlineStr">
        <is>
          <t>2026-Q2</t>
        </is>
      </c>
      <c r="F31" s="27" t="inlineStr">
        <is>
          <t>Approved case</t>
        </is>
      </c>
      <c r="G31" s="27" t="inlineStr">
        <is>
          <t>Revenue volume change</t>
        </is>
      </c>
      <c r="H31" s="46" t="n">
        <v>0.12</v>
      </c>
      <c r="I31" s="27" t="inlineStr"/>
      <c r="J31" s="27" t="inlineStr">
        <is>
          <t>decimal ratio</t>
        </is>
      </c>
      <c r="K31" s="27" t="inlineStr">
        <is>
          <t>Project controls margin bridge input</t>
        </is>
      </c>
      <c r="L31" s="47" t="inlineStr">
        <is>
          <t>2026-06-30</t>
        </is>
      </c>
      <c r="M31" s="27" t="inlineStr"/>
    </row>
    <row r="32">
      <c r="A32" s="36" t="inlineStr">
        <is>
          <t>PLN-00299</t>
        </is>
      </c>
      <c r="B32" s="27" t="inlineStr">
        <is>
          <t>Construction gross-margin driver bridge</t>
        </is>
      </c>
      <c r="C32" s="27" t="inlineStr">
        <is>
          <t>Construction worktype bridge</t>
        </is>
      </c>
      <c r="D32" s="27" t="inlineStr">
        <is>
          <t>Special projects</t>
        </is>
      </c>
      <c r="E32" s="27" t="inlineStr">
        <is>
          <t>2026-Q2</t>
        </is>
      </c>
      <c r="F32" s="27" t="inlineStr">
        <is>
          <t>Approved case</t>
        </is>
      </c>
      <c r="G32" s="27" t="inlineStr">
        <is>
          <t>Contract price change</t>
        </is>
      </c>
      <c r="H32" s="46" t="n">
        <v>0.04</v>
      </c>
      <c r="I32" s="27" t="inlineStr"/>
      <c r="J32" s="27" t="inlineStr">
        <is>
          <t>decimal ratio</t>
        </is>
      </c>
      <c r="K32" s="27" t="inlineStr">
        <is>
          <t>Project controls margin bridge input</t>
        </is>
      </c>
      <c r="L32" s="47" t="inlineStr">
        <is>
          <t>2026-06-30</t>
        </is>
      </c>
      <c r="M32" s="27" t="inlineStr"/>
    </row>
    <row r="33">
      <c r="A33" s="36" t="inlineStr">
        <is>
          <t>PLN-00300</t>
        </is>
      </c>
      <c r="B33" s="27" t="inlineStr">
        <is>
          <t>Construction gross-margin driver bridge</t>
        </is>
      </c>
      <c r="C33" s="27" t="inlineStr">
        <is>
          <t>Construction worktype bridge</t>
        </is>
      </c>
      <c r="D33" s="27" t="inlineStr">
        <is>
          <t>Special projects</t>
        </is>
      </c>
      <c r="E33" s="27" t="inlineStr">
        <is>
          <t>2026-Q2</t>
        </is>
      </c>
      <c r="F33" s="27" t="inlineStr">
        <is>
          <t>Approved case</t>
        </is>
      </c>
      <c r="G33" s="27" t="inlineStr">
        <is>
          <t>Labor rate effect as percent of actual revenue</t>
        </is>
      </c>
      <c r="H33" s="46" t="n">
        <v>-0.01</v>
      </c>
      <c r="I33" s="27" t="inlineStr"/>
      <c r="J33" s="27" t="inlineStr">
        <is>
          <t>decimal ratio</t>
        </is>
      </c>
      <c r="K33" s="27" t="inlineStr">
        <is>
          <t>Project controls margin bridge input</t>
        </is>
      </c>
      <c r="L33" s="47" t="inlineStr">
        <is>
          <t>2026-06-30</t>
        </is>
      </c>
      <c r="M33" s="27" t="inlineStr"/>
    </row>
    <row r="34">
      <c r="A34" s="36" t="inlineStr">
        <is>
          <t>PLN-00301</t>
        </is>
      </c>
      <c r="B34" s="27" t="inlineStr">
        <is>
          <t>Construction gross-margin driver bridge</t>
        </is>
      </c>
      <c r="C34" s="27" t="inlineStr">
        <is>
          <t>Construction worktype bridge</t>
        </is>
      </c>
      <c r="D34" s="27" t="inlineStr">
        <is>
          <t>Special projects</t>
        </is>
      </c>
      <c r="E34" s="27" t="inlineStr">
        <is>
          <t>2026-Q2</t>
        </is>
      </c>
      <c r="F34" s="27" t="inlineStr">
        <is>
          <t>Approved case</t>
        </is>
      </c>
      <c r="G34" s="27" t="inlineStr">
        <is>
          <t>Labor productivity effect as percent of actual revenue</t>
        </is>
      </c>
      <c r="H34" s="46" t="n">
        <v>-0.022</v>
      </c>
      <c r="I34" s="27" t="inlineStr"/>
      <c r="J34" s="27" t="inlineStr">
        <is>
          <t>decimal ratio</t>
        </is>
      </c>
      <c r="K34" s="27" t="inlineStr">
        <is>
          <t>Project controls margin bridge input</t>
        </is>
      </c>
      <c r="L34" s="47" t="inlineStr">
        <is>
          <t>2026-06-30</t>
        </is>
      </c>
      <c r="M34" s="27" t="inlineStr"/>
    </row>
    <row r="35">
      <c r="A35" s="36" t="inlineStr">
        <is>
          <t>PLN-00302</t>
        </is>
      </c>
      <c r="B35" s="27" t="inlineStr">
        <is>
          <t>Construction gross-margin driver bridge</t>
        </is>
      </c>
      <c r="C35" s="27" t="inlineStr">
        <is>
          <t>Construction worktype bridge</t>
        </is>
      </c>
      <c r="D35" s="27" t="inlineStr">
        <is>
          <t>Special projects</t>
        </is>
      </c>
      <c r="E35" s="27" t="inlineStr">
        <is>
          <t>2026-Q2</t>
        </is>
      </c>
      <c r="F35" s="27" t="inlineStr">
        <is>
          <t>Approved case</t>
        </is>
      </c>
      <c r="G35" s="27" t="inlineStr">
        <is>
          <t>Material price effect as percent of actual revenue</t>
        </is>
      </c>
      <c r="H35" s="46" t="n">
        <v>-0.006</v>
      </c>
      <c r="I35" s="27" t="inlineStr"/>
      <c r="J35" s="27" t="inlineStr">
        <is>
          <t>decimal ratio</t>
        </is>
      </c>
      <c r="K35" s="27" t="inlineStr">
        <is>
          <t>Project controls margin bridge input</t>
        </is>
      </c>
      <c r="L35" s="47" t="inlineStr">
        <is>
          <t>2026-06-30</t>
        </is>
      </c>
      <c r="M35" s="27" t="inlineStr"/>
    </row>
    <row r="36">
      <c r="A36" s="36" t="inlineStr">
        <is>
          <t>PLN-00303</t>
        </is>
      </c>
      <c r="B36" s="27" t="inlineStr">
        <is>
          <t>Construction gross-margin driver bridge</t>
        </is>
      </c>
      <c r="C36" s="27" t="inlineStr">
        <is>
          <t>Construction worktype bridge</t>
        </is>
      </c>
      <c r="D36" s="27" t="inlineStr">
        <is>
          <t>Special projects</t>
        </is>
      </c>
      <c r="E36" s="27" t="inlineStr">
        <is>
          <t>2026-Q2</t>
        </is>
      </c>
      <c r="F36" s="27" t="inlineStr">
        <is>
          <t>Approved case</t>
        </is>
      </c>
      <c r="G36" s="27" t="inlineStr">
        <is>
          <t>Subcontractor effect as percent of actual revenue</t>
        </is>
      </c>
      <c r="H36" s="46" t="n">
        <v>-0.005</v>
      </c>
      <c r="I36" s="27" t="inlineStr"/>
      <c r="J36" s="27" t="inlineStr">
        <is>
          <t>decimal ratio</t>
        </is>
      </c>
      <c r="K36" s="27" t="inlineStr">
        <is>
          <t>Project controls margin bridge input</t>
        </is>
      </c>
      <c r="L36" s="47" t="inlineStr">
        <is>
          <t>2026-06-30</t>
        </is>
      </c>
      <c r="M36" s="27" t="inlineStr"/>
    </row>
    <row r="37">
      <c r="A37" s="36" t="inlineStr">
        <is>
          <t>PLN-00386</t>
        </is>
      </c>
      <c r="B37" s="27" t="inlineStr">
        <is>
          <t>Forecast accuracy and bias backtest</t>
        </is>
      </c>
      <c r="C37" s="27" t="inlineStr">
        <is>
          <t>Forecast policy flags</t>
        </is>
      </c>
      <c r="D37" s="27" t="inlineStr">
        <is>
          <t>Construction</t>
        </is>
      </c>
      <c r="E37" s="27" t="inlineStr">
        <is>
          <t>2025-07</t>
        </is>
      </c>
      <c r="F37" s="27" t="inlineStr">
        <is>
          <t>Approved case</t>
        </is>
      </c>
      <c r="G37" s="27" t="inlineStr">
        <is>
          <t>Acquisition month flag</t>
        </is>
      </c>
      <c r="H37" s="46" t="n">
        <v>0</v>
      </c>
      <c r="I37" s="27" t="inlineStr"/>
      <c r="J37" s="27" t="inlineStr">
        <is>
          <t>boolean</t>
        </is>
      </c>
      <c r="K37" s="27" t="inlineStr">
        <is>
          <t>Finance operating schedule</t>
        </is>
      </c>
      <c r="L37" s="47" t="inlineStr">
        <is>
          <t>2026-06-30</t>
        </is>
      </c>
      <c r="M37" s="27" t="inlineStr"/>
    </row>
    <row r="38">
      <c r="A38" s="36" t="inlineStr">
        <is>
          <t>PLN-00389</t>
        </is>
      </c>
      <c r="B38" s="27" t="inlineStr">
        <is>
          <t>Forecast accuracy and bias backtest</t>
        </is>
      </c>
      <c r="C38" s="27" t="inlineStr">
        <is>
          <t>Forecast policy flags</t>
        </is>
      </c>
      <c r="D38" s="27" t="inlineStr">
        <is>
          <t>Service</t>
        </is>
      </c>
      <c r="E38" s="27" t="inlineStr">
        <is>
          <t>2025-07</t>
        </is>
      </c>
      <c r="F38" s="27" t="inlineStr">
        <is>
          <t>Approved case</t>
        </is>
      </c>
      <c r="G38" s="27" t="inlineStr">
        <is>
          <t>Acquisition month flag</t>
        </is>
      </c>
      <c r="H38" s="46" t="n">
        <v>0</v>
      </c>
      <c r="I38" s="27" t="inlineStr"/>
      <c r="J38" s="27" t="inlineStr">
        <is>
          <t>boolean</t>
        </is>
      </c>
      <c r="K38" s="27" t="inlineStr">
        <is>
          <t>Finance operating schedule</t>
        </is>
      </c>
      <c r="L38" s="47" t="inlineStr">
        <is>
          <t>2026-06-30</t>
        </is>
      </c>
      <c r="M38" s="27" t="inlineStr"/>
    </row>
    <row r="39">
      <c r="A39" s="36" t="inlineStr">
        <is>
          <t>PLN-00392</t>
        </is>
      </c>
      <c r="B39" s="27" t="inlineStr">
        <is>
          <t>Forecast accuracy and bias backtest</t>
        </is>
      </c>
      <c r="C39" s="27" t="inlineStr">
        <is>
          <t>Forecast policy flags</t>
        </is>
      </c>
      <c r="D39" s="27" t="inlineStr">
        <is>
          <t>Building Controls</t>
        </is>
      </c>
      <c r="E39" s="27" t="inlineStr">
        <is>
          <t>2025-07</t>
        </is>
      </c>
      <c r="F39" s="27" t="inlineStr">
        <is>
          <t>Approved case</t>
        </is>
      </c>
      <c r="G39" s="27" t="inlineStr">
        <is>
          <t>Acquisition month flag</t>
        </is>
      </c>
      <c r="H39" s="46" t="n">
        <v>0</v>
      </c>
      <c r="I39" s="27" t="inlineStr"/>
      <c r="J39" s="27" t="inlineStr">
        <is>
          <t>boolean</t>
        </is>
      </c>
      <c r="K39" s="27" t="inlineStr">
        <is>
          <t>Finance operating schedule</t>
        </is>
      </c>
      <c r="L39" s="47" t="inlineStr">
        <is>
          <t>2026-06-30</t>
        </is>
      </c>
      <c r="M39" s="27" t="inlineStr"/>
    </row>
    <row r="40">
      <c r="A40" s="36" t="inlineStr">
        <is>
          <t>PLN-00395</t>
        </is>
      </c>
      <c r="B40" s="27" t="inlineStr">
        <is>
          <t>Forecast accuracy and bias backtest</t>
        </is>
      </c>
      <c r="C40" s="27" t="inlineStr">
        <is>
          <t>Forecast policy flags</t>
        </is>
      </c>
      <c r="D40" s="27" t="inlineStr">
        <is>
          <t>Construction</t>
        </is>
      </c>
      <c r="E40" s="27" t="inlineStr">
        <is>
          <t>2025-08</t>
        </is>
      </c>
      <c r="F40" s="27" t="inlineStr">
        <is>
          <t>Approved case</t>
        </is>
      </c>
      <c r="G40" s="27" t="inlineStr">
        <is>
          <t>Acquisition month flag</t>
        </is>
      </c>
      <c r="H40" s="46" t="n">
        <v>0</v>
      </c>
      <c r="I40" s="27" t="inlineStr"/>
      <c r="J40" s="27" t="inlineStr">
        <is>
          <t>boolean</t>
        </is>
      </c>
      <c r="K40" s="27" t="inlineStr">
        <is>
          <t>Finance operating schedule</t>
        </is>
      </c>
      <c r="L40" s="47" t="inlineStr">
        <is>
          <t>2026-06-30</t>
        </is>
      </c>
      <c r="M40" s="27" t="inlineStr"/>
    </row>
    <row r="41">
      <c r="A41" s="36" t="inlineStr">
        <is>
          <t>PLN-00398</t>
        </is>
      </c>
      <c r="B41" s="27" t="inlineStr">
        <is>
          <t>Forecast accuracy and bias backtest</t>
        </is>
      </c>
      <c r="C41" s="27" t="inlineStr">
        <is>
          <t>Forecast policy flags</t>
        </is>
      </c>
      <c r="D41" s="27" t="inlineStr">
        <is>
          <t>Service</t>
        </is>
      </c>
      <c r="E41" s="27" t="inlineStr">
        <is>
          <t>2025-08</t>
        </is>
      </c>
      <c r="F41" s="27" t="inlineStr">
        <is>
          <t>Approved case</t>
        </is>
      </c>
      <c r="G41" s="27" t="inlineStr">
        <is>
          <t>Acquisition month flag</t>
        </is>
      </c>
      <c r="H41" s="46" t="n">
        <v>0</v>
      </c>
      <c r="I41" s="27" t="inlineStr"/>
      <c r="J41" s="27" t="inlineStr">
        <is>
          <t>boolean</t>
        </is>
      </c>
      <c r="K41" s="27" t="inlineStr">
        <is>
          <t>Finance operating schedule</t>
        </is>
      </c>
      <c r="L41" s="47" t="inlineStr">
        <is>
          <t>2026-06-30</t>
        </is>
      </c>
      <c r="M41" s="27" t="inlineStr"/>
    </row>
    <row r="42">
      <c r="A42" s="36" t="inlineStr">
        <is>
          <t>PLN-00401</t>
        </is>
      </c>
      <c r="B42" s="27" t="inlineStr">
        <is>
          <t>Forecast accuracy and bias backtest</t>
        </is>
      </c>
      <c r="C42" s="27" t="inlineStr">
        <is>
          <t>Forecast policy flags</t>
        </is>
      </c>
      <c r="D42" s="27" t="inlineStr">
        <is>
          <t>Building Controls</t>
        </is>
      </c>
      <c r="E42" s="27" t="inlineStr">
        <is>
          <t>2025-08</t>
        </is>
      </c>
      <c r="F42" s="27" t="inlineStr">
        <is>
          <t>Approved case</t>
        </is>
      </c>
      <c r="G42" s="27" t="inlineStr">
        <is>
          <t>Acquisition month flag</t>
        </is>
      </c>
      <c r="H42" s="46" t="n">
        <v>0</v>
      </c>
      <c r="I42" s="27" t="inlineStr"/>
      <c r="J42" s="27" t="inlineStr">
        <is>
          <t>boolean</t>
        </is>
      </c>
      <c r="K42" s="27" t="inlineStr">
        <is>
          <t>Finance operating schedule</t>
        </is>
      </c>
      <c r="L42" s="47" t="inlineStr">
        <is>
          <t>2026-06-30</t>
        </is>
      </c>
      <c r="M42" s="27" t="inlineStr"/>
    </row>
    <row r="43">
      <c r="A43" s="36" t="inlineStr">
        <is>
          <t>PLN-00404</t>
        </is>
      </c>
      <c r="B43" s="27" t="inlineStr">
        <is>
          <t>Forecast accuracy and bias backtest</t>
        </is>
      </c>
      <c r="C43" s="27" t="inlineStr">
        <is>
          <t>Forecast policy flags</t>
        </is>
      </c>
      <c r="D43" s="27" t="inlineStr">
        <is>
          <t>Construction</t>
        </is>
      </c>
      <c r="E43" s="27" t="inlineStr">
        <is>
          <t>2025-09</t>
        </is>
      </c>
      <c r="F43" s="27" t="inlineStr">
        <is>
          <t>Approved case</t>
        </is>
      </c>
      <c r="G43" s="27" t="inlineStr">
        <is>
          <t>Acquisition month flag</t>
        </is>
      </c>
      <c r="H43" s="46" t="n">
        <v>0</v>
      </c>
      <c r="I43" s="27" t="inlineStr"/>
      <c r="J43" s="27" t="inlineStr">
        <is>
          <t>boolean</t>
        </is>
      </c>
      <c r="K43" s="27" t="inlineStr">
        <is>
          <t>Finance operating schedule</t>
        </is>
      </c>
      <c r="L43" s="47" t="inlineStr">
        <is>
          <t>2026-06-30</t>
        </is>
      </c>
      <c r="M43" s="27" t="inlineStr"/>
    </row>
    <row r="44">
      <c r="A44" s="36" t="inlineStr">
        <is>
          <t>PLN-00407</t>
        </is>
      </c>
      <c r="B44" s="27" t="inlineStr">
        <is>
          <t>Forecast accuracy and bias backtest</t>
        </is>
      </c>
      <c r="C44" s="27" t="inlineStr">
        <is>
          <t>Forecast policy flags</t>
        </is>
      </c>
      <c r="D44" s="27" t="inlineStr">
        <is>
          <t>Service</t>
        </is>
      </c>
      <c r="E44" s="27" t="inlineStr">
        <is>
          <t>2025-09</t>
        </is>
      </c>
      <c r="F44" s="27" t="inlineStr">
        <is>
          <t>Approved case</t>
        </is>
      </c>
      <c r="G44" s="27" t="inlineStr">
        <is>
          <t>Acquisition month flag</t>
        </is>
      </c>
      <c r="H44" s="46" t="n">
        <v>0</v>
      </c>
      <c r="I44" s="27" t="inlineStr"/>
      <c r="J44" s="27" t="inlineStr">
        <is>
          <t>boolean</t>
        </is>
      </c>
      <c r="K44" s="27" t="inlineStr">
        <is>
          <t>Finance operating schedule</t>
        </is>
      </c>
      <c r="L44" s="47" t="inlineStr">
        <is>
          <t>2026-06-30</t>
        </is>
      </c>
      <c r="M44" s="27" t="inlineStr"/>
    </row>
    <row r="45">
      <c r="A45" s="36" t="inlineStr">
        <is>
          <t>PLN-00410</t>
        </is>
      </c>
      <c r="B45" s="27" t="inlineStr">
        <is>
          <t>Forecast accuracy and bias backtest</t>
        </is>
      </c>
      <c r="C45" s="27" t="inlineStr">
        <is>
          <t>Forecast policy flags</t>
        </is>
      </c>
      <c r="D45" s="27" t="inlineStr">
        <is>
          <t>Building Controls</t>
        </is>
      </c>
      <c r="E45" s="27" t="inlineStr">
        <is>
          <t>2025-09</t>
        </is>
      </c>
      <c r="F45" s="27" t="inlineStr">
        <is>
          <t>Approved case</t>
        </is>
      </c>
      <c r="G45" s="27" t="inlineStr">
        <is>
          <t>Acquisition month flag</t>
        </is>
      </c>
      <c r="H45" s="46" t="n">
        <v>0</v>
      </c>
      <c r="I45" s="27" t="inlineStr"/>
      <c r="J45" s="27" t="inlineStr">
        <is>
          <t>boolean</t>
        </is>
      </c>
      <c r="K45" s="27" t="inlineStr">
        <is>
          <t>Finance operating schedule</t>
        </is>
      </c>
      <c r="L45" s="47" t="inlineStr">
        <is>
          <t>2026-06-30</t>
        </is>
      </c>
      <c r="M45" s="27" t="inlineStr"/>
    </row>
    <row r="46">
      <c r="A46" s="36" t="inlineStr">
        <is>
          <t>PLN-00413</t>
        </is>
      </c>
      <c r="B46" s="27" t="inlineStr">
        <is>
          <t>Forecast accuracy and bias backtest</t>
        </is>
      </c>
      <c r="C46" s="27" t="inlineStr">
        <is>
          <t>Forecast policy flags</t>
        </is>
      </c>
      <c r="D46" s="27" t="inlineStr">
        <is>
          <t>Construction</t>
        </is>
      </c>
      <c r="E46" s="27" t="inlineStr">
        <is>
          <t>2025-10</t>
        </is>
      </c>
      <c r="F46" s="27" t="inlineStr">
        <is>
          <t>Approved case</t>
        </is>
      </c>
      <c r="G46" s="27" t="inlineStr">
        <is>
          <t>Acquisition month flag</t>
        </is>
      </c>
      <c r="H46" s="46" t="n">
        <v>0</v>
      </c>
      <c r="I46" s="27" t="inlineStr"/>
      <c r="J46" s="27" t="inlineStr">
        <is>
          <t>boolean</t>
        </is>
      </c>
      <c r="K46" s="27" t="inlineStr">
        <is>
          <t>Finance operating schedule</t>
        </is>
      </c>
      <c r="L46" s="47" t="inlineStr">
        <is>
          <t>2026-06-30</t>
        </is>
      </c>
      <c r="M46" s="27" t="inlineStr"/>
    </row>
    <row r="47">
      <c r="A47" s="36" t="inlineStr">
        <is>
          <t>PLN-00416</t>
        </is>
      </c>
      <c r="B47" s="27" t="inlineStr">
        <is>
          <t>Forecast accuracy and bias backtest</t>
        </is>
      </c>
      <c r="C47" s="27" t="inlineStr">
        <is>
          <t>Forecast policy flags</t>
        </is>
      </c>
      <c r="D47" s="27" t="inlineStr">
        <is>
          <t>Service</t>
        </is>
      </c>
      <c r="E47" s="27" t="inlineStr">
        <is>
          <t>2025-10</t>
        </is>
      </c>
      <c r="F47" s="27" t="inlineStr">
        <is>
          <t>Approved case</t>
        </is>
      </c>
      <c r="G47" s="27" t="inlineStr">
        <is>
          <t>Acquisition month flag</t>
        </is>
      </c>
      <c r="H47" s="46" t="n">
        <v>0</v>
      </c>
      <c r="I47" s="27" t="inlineStr"/>
      <c r="J47" s="27" t="inlineStr">
        <is>
          <t>boolean</t>
        </is>
      </c>
      <c r="K47" s="27" t="inlineStr">
        <is>
          <t>Finance operating schedule</t>
        </is>
      </c>
      <c r="L47" s="47" t="inlineStr">
        <is>
          <t>2026-06-30</t>
        </is>
      </c>
      <c r="M47" s="27" t="inlineStr"/>
    </row>
    <row r="48">
      <c r="A48" s="36" t="inlineStr">
        <is>
          <t>PLN-00419</t>
        </is>
      </c>
      <c r="B48" s="27" t="inlineStr">
        <is>
          <t>Forecast accuracy and bias backtest</t>
        </is>
      </c>
      <c r="C48" s="27" t="inlineStr">
        <is>
          <t>Forecast policy flags</t>
        </is>
      </c>
      <c r="D48" s="27" t="inlineStr">
        <is>
          <t>Building Controls</t>
        </is>
      </c>
      <c r="E48" s="27" t="inlineStr">
        <is>
          <t>2025-10</t>
        </is>
      </c>
      <c r="F48" s="27" t="inlineStr">
        <is>
          <t>Approved case</t>
        </is>
      </c>
      <c r="G48" s="27" t="inlineStr">
        <is>
          <t>Acquisition month flag</t>
        </is>
      </c>
      <c r="H48" s="46" t="n">
        <v>0</v>
      </c>
      <c r="I48" s="27" t="inlineStr"/>
      <c r="J48" s="27" t="inlineStr">
        <is>
          <t>boolean</t>
        </is>
      </c>
      <c r="K48" s="27" t="inlineStr">
        <is>
          <t>Finance operating schedule</t>
        </is>
      </c>
      <c r="L48" s="47" t="inlineStr">
        <is>
          <t>2026-06-30</t>
        </is>
      </c>
      <c r="M48" s="27" t="inlineStr"/>
    </row>
    <row r="49">
      <c r="A49" s="36" t="inlineStr">
        <is>
          <t>PLN-00422</t>
        </is>
      </c>
      <c r="B49" s="27" t="inlineStr">
        <is>
          <t>Forecast accuracy and bias backtest</t>
        </is>
      </c>
      <c r="C49" s="27" t="inlineStr">
        <is>
          <t>Forecast policy flags</t>
        </is>
      </c>
      <c r="D49" s="27" t="inlineStr">
        <is>
          <t>Construction</t>
        </is>
      </c>
      <c r="E49" s="27" t="inlineStr">
        <is>
          <t>2025-11</t>
        </is>
      </c>
      <c r="F49" s="27" t="inlineStr">
        <is>
          <t>Approved case</t>
        </is>
      </c>
      <c r="G49" s="27" t="inlineStr">
        <is>
          <t>Acquisition month flag</t>
        </is>
      </c>
      <c r="H49" s="46" t="n">
        <v>0</v>
      </c>
      <c r="I49" s="27" t="inlineStr"/>
      <c r="J49" s="27" t="inlineStr">
        <is>
          <t>boolean</t>
        </is>
      </c>
      <c r="K49" s="27" t="inlineStr">
        <is>
          <t>Finance operating schedule</t>
        </is>
      </c>
      <c r="L49" s="47" t="inlineStr">
        <is>
          <t>2026-06-30</t>
        </is>
      </c>
      <c r="M49" s="27" t="inlineStr"/>
    </row>
    <row r="50">
      <c r="A50" s="36" t="inlineStr">
        <is>
          <t>PLN-00425</t>
        </is>
      </c>
      <c r="B50" s="27" t="inlineStr">
        <is>
          <t>Forecast accuracy and bias backtest</t>
        </is>
      </c>
      <c r="C50" s="27" t="inlineStr">
        <is>
          <t>Forecast policy flags</t>
        </is>
      </c>
      <c r="D50" s="27" t="inlineStr">
        <is>
          <t>Service</t>
        </is>
      </c>
      <c r="E50" s="27" t="inlineStr">
        <is>
          <t>2025-11</t>
        </is>
      </c>
      <c r="F50" s="27" t="inlineStr">
        <is>
          <t>Approved case</t>
        </is>
      </c>
      <c r="G50" s="27" t="inlineStr">
        <is>
          <t>Acquisition month flag</t>
        </is>
      </c>
      <c r="H50" s="46" t="n">
        <v>0</v>
      </c>
      <c r="I50" s="27" t="inlineStr"/>
      <c r="J50" s="27" t="inlineStr">
        <is>
          <t>boolean</t>
        </is>
      </c>
      <c r="K50" s="27" t="inlineStr">
        <is>
          <t>Finance operating schedule</t>
        </is>
      </c>
      <c r="L50" s="47" t="inlineStr">
        <is>
          <t>2026-06-30</t>
        </is>
      </c>
      <c r="M50" s="27" t="inlineStr"/>
    </row>
    <row r="51">
      <c r="A51" s="36" t="inlineStr">
        <is>
          <t>PLN-00428</t>
        </is>
      </c>
      <c r="B51" s="27" t="inlineStr">
        <is>
          <t>Forecast accuracy and bias backtest</t>
        </is>
      </c>
      <c r="C51" s="27" t="inlineStr">
        <is>
          <t>Forecast policy flags</t>
        </is>
      </c>
      <c r="D51" s="27" t="inlineStr">
        <is>
          <t>Building Controls</t>
        </is>
      </c>
      <c r="E51" s="27" t="inlineStr">
        <is>
          <t>2025-11</t>
        </is>
      </c>
      <c r="F51" s="27" t="inlineStr">
        <is>
          <t>Approved case</t>
        </is>
      </c>
      <c r="G51" s="27" t="inlineStr">
        <is>
          <t>Acquisition month flag</t>
        </is>
      </c>
      <c r="H51" s="46" t="n">
        <v>0</v>
      </c>
      <c r="I51" s="27" t="inlineStr"/>
      <c r="J51" s="27" t="inlineStr">
        <is>
          <t>boolean</t>
        </is>
      </c>
      <c r="K51" s="27" t="inlineStr">
        <is>
          <t>Finance operating schedule</t>
        </is>
      </c>
      <c r="L51" s="47" t="inlineStr">
        <is>
          <t>2026-06-30</t>
        </is>
      </c>
      <c r="M51" s="27" t="inlineStr"/>
    </row>
    <row r="52">
      <c r="A52" s="36" t="inlineStr">
        <is>
          <t>PLN-00431</t>
        </is>
      </c>
      <c r="B52" s="27" t="inlineStr">
        <is>
          <t>Forecast accuracy and bias backtest</t>
        </is>
      </c>
      <c r="C52" s="27" t="inlineStr">
        <is>
          <t>Forecast policy flags</t>
        </is>
      </c>
      <c r="D52" s="27" t="inlineStr">
        <is>
          <t>Construction</t>
        </is>
      </c>
      <c r="E52" s="27" t="inlineStr">
        <is>
          <t>2025-12</t>
        </is>
      </c>
      <c r="F52" s="27" t="inlineStr">
        <is>
          <t>Approved case</t>
        </is>
      </c>
      <c r="G52" s="27" t="inlineStr">
        <is>
          <t>Acquisition month flag</t>
        </is>
      </c>
      <c r="H52" s="46" t="n">
        <v>0</v>
      </c>
      <c r="I52" s="27" t="inlineStr"/>
      <c r="J52" s="27" t="inlineStr">
        <is>
          <t>boolean</t>
        </is>
      </c>
      <c r="K52" s="27" t="inlineStr">
        <is>
          <t>Finance operating schedule</t>
        </is>
      </c>
      <c r="L52" s="47" t="inlineStr">
        <is>
          <t>2026-06-30</t>
        </is>
      </c>
      <c r="M52" s="27" t="inlineStr"/>
    </row>
    <row r="53">
      <c r="A53" s="36" t="inlineStr">
        <is>
          <t>PLN-00434</t>
        </is>
      </c>
      <c r="B53" s="27" t="inlineStr">
        <is>
          <t>Forecast accuracy and bias backtest</t>
        </is>
      </c>
      <c r="C53" s="27" t="inlineStr">
        <is>
          <t>Forecast policy flags</t>
        </is>
      </c>
      <c r="D53" s="27" t="inlineStr">
        <is>
          <t>Service</t>
        </is>
      </c>
      <c r="E53" s="27" t="inlineStr">
        <is>
          <t>2025-12</t>
        </is>
      </c>
      <c r="F53" s="27" t="inlineStr">
        <is>
          <t>Approved case</t>
        </is>
      </c>
      <c r="G53" s="27" t="inlineStr">
        <is>
          <t>Acquisition month flag</t>
        </is>
      </c>
      <c r="H53" s="46" t="n">
        <v>0</v>
      </c>
      <c r="I53" s="27" t="inlineStr"/>
      <c r="J53" s="27" t="inlineStr">
        <is>
          <t>boolean</t>
        </is>
      </c>
      <c r="K53" s="27" t="inlineStr">
        <is>
          <t>Finance operating schedule</t>
        </is>
      </c>
      <c r="L53" s="47" t="inlineStr">
        <is>
          <t>2026-06-30</t>
        </is>
      </c>
      <c r="M53" s="27" t="inlineStr"/>
    </row>
    <row r="54">
      <c r="A54" s="36" t="inlineStr">
        <is>
          <t>PLN-00437</t>
        </is>
      </c>
      <c r="B54" s="27" t="inlineStr">
        <is>
          <t>Forecast accuracy and bias backtest</t>
        </is>
      </c>
      <c r="C54" s="27" t="inlineStr">
        <is>
          <t>Forecast policy flags</t>
        </is>
      </c>
      <c r="D54" s="27" t="inlineStr">
        <is>
          <t>Building Controls</t>
        </is>
      </c>
      <c r="E54" s="27" t="inlineStr">
        <is>
          <t>2025-12</t>
        </is>
      </c>
      <c r="F54" s="27" t="inlineStr">
        <is>
          <t>Approved case</t>
        </is>
      </c>
      <c r="G54" s="27" t="inlineStr">
        <is>
          <t>Acquisition month flag</t>
        </is>
      </c>
      <c r="H54" s="46" t="n">
        <v>0</v>
      </c>
      <c r="I54" s="27" t="inlineStr"/>
      <c r="J54" s="27" t="inlineStr">
        <is>
          <t>boolean</t>
        </is>
      </c>
      <c r="K54" s="27" t="inlineStr">
        <is>
          <t>Finance operating schedule</t>
        </is>
      </c>
      <c r="L54" s="47" t="inlineStr">
        <is>
          <t>2026-06-30</t>
        </is>
      </c>
      <c r="M54" s="27" t="inlineStr"/>
    </row>
    <row r="55">
      <c r="A55" s="36" t="inlineStr">
        <is>
          <t>PLN-00440</t>
        </is>
      </c>
      <c r="B55" s="27" t="inlineStr">
        <is>
          <t>Forecast accuracy and bias backtest</t>
        </is>
      </c>
      <c r="C55" s="27" t="inlineStr">
        <is>
          <t>Forecast policy flags</t>
        </is>
      </c>
      <c r="D55" s="27" t="inlineStr">
        <is>
          <t>Construction</t>
        </is>
      </c>
      <c r="E55" s="27" t="inlineStr">
        <is>
          <t>2026-01</t>
        </is>
      </c>
      <c r="F55" s="27" t="inlineStr">
        <is>
          <t>Approved case</t>
        </is>
      </c>
      <c r="G55" s="27" t="inlineStr">
        <is>
          <t>Acquisition month flag</t>
        </is>
      </c>
      <c r="H55" s="46" t="n">
        <v>0</v>
      </c>
      <c r="I55" s="27" t="inlineStr"/>
      <c r="J55" s="27" t="inlineStr">
        <is>
          <t>boolean</t>
        </is>
      </c>
      <c r="K55" s="27" t="inlineStr">
        <is>
          <t>Finance operating schedule</t>
        </is>
      </c>
      <c r="L55" s="47" t="inlineStr">
        <is>
          <t>2026-06-30</t>
        </is>
      </c>
      <c r="M55" s="27" t="inlineStr"/>
    </row>
    <row r="56">
      <c r="A56" s="36" t="inlineStr">
        <is>
          <t>PLN-00443</t>
        </is>
      </c>
      <c r="B56" s="27" t="inlineStr">
        <is>
          <t>Forecast accuracy and bias backtest</t>
        </is>
      </c>
      <c r="C56" s="27" t="inlineStr">
        <is>
          <t>Forecast policy flags</t>
        </is>
      </c>
      <c r="D56" s="27" t="inlineStr">
        <is>
          <t>Service</t>
        </is>
      </c>
      <c r="E56" s="27" t="inlineStr">
        <is>
          <t>2026-01</t>
        </is>
      </c>
      <c r="F56" s="27" t="inlineStr">
        <is>
          <t>Approved case</t>
        </is>
      </c>
      <c r="G56" s="27" t="inlineStr">
        <is>
          <t>Acquisition month flag</t>
        </is>
      </c>
      <c r="H56" s="46" t="n">
        <v>0</v>
      </c>
      <c r="I56" s="27" t="inlineStr"/>
      <c r="J56" s="27" t="inlineStr">
        <is>
          <t>boolean</t>
        </is>
      </c>
      <c r="K56" s="27" t="inlineStr">
        <is>
          <t>Finance operating schedule</t>
        </is>
      </c>
      <c r="L56" s="47" t="inlineStr">
        <is>
          <t>2026-06-30</t>
        </is>
      </c>
      <c r="M56" s="27" t="inlineStr"/>
    </row>
    <row r="57">
      <c r="A57" s="36" t="inlineStr">
        <is>
          <t>PLN-00446</t>
        </is>
      </c>
      <c r="B57" s="27" t="inlineStr">
        <is>
          <t>Forecast accuracy and bias backtest</t>
        </is>
      </c>
      <c r="C57" s="27" t="inlineStr">
        <is>
          <t>Forecast policy flags</t>
        </is>
      </c>
      <c r="D57" s="27" t="inlineStr">
        <is>
          <t>Building Controls</t>
        </is>
      </c>
      <c r="E57" s="27" t="inlineStr">
        <is>
          <t>2026-01</t>
        </is>
      </c>
      <c r="F57" s="27" t="inlineStr">
        <is>
          <t>Approved case</t>
        </is>
      </c>
      <c r="G57" s="27" t="inlineStr">
        <is>
          <t>Acquisition month flag</t>
        </is>
      </c>
      <c r="H57" s="46" t="n">
        <v>0</v>
      </c>
      <c r="I57" s="27" t="inlineStr"/>
      <c r="J57" s="27" t="inlineStr">
        <is>
          <t>boolean</t>
        </is>
      </c>
      <c r="K57" s="27" t="inlineStr">
        <is>
          <t>Finance operating schedule</t>
        </is>
      </c>
      <c r="L57" s="47" t="inlineStr">
        <is>
          <t>2026-06-30</t>
        </is>
      </c>
      <c r="M57" s="27" t="inlineStr"/>
    </row>
    <row r="58">
      <c r="A58" s="36" t="inlineStr">
        <is>
          <t>PLN-00449</t>
        </is>
      </c>
      <c r="B58" s="27" t="inlineStr">
        <is>
          <t>Forecast accuracy and bias backtest</t>
        </is>
      </c>
      <c r="C58" s="27" t="inlineStr">
        <is>
          <t>Forecast policy flags</t>
        </is>
      </c>
      <c r="D58" s="27" t="inlineStr">
        <is>
          <t>Construction</t>
        </is>
      </c>
      <c r="E58" s="27" t="inlineStr">
        <is>
          <t>2026-02</t>
        </is>
      </c>
      <c r="F58" s="27" t="inlineStr">
        <is>
          <t>Approved case</t>
        </is>
      </c>
      <c r="G58" s="27" t="inlineStr">
        <is>
          <t>Acquisition month flag</t>
        </is>
      </c>
      <c r="H58" s="46" t="n">
        <v>1</v>
      </c>
      <c r="I58" s="27" t="inlineStr"/>
      <c r="J58" s="27" t="inlineStr">
        <is>
          <t>boolean</t>
        </is>
      </c>
      <c r="K58" s="27" t="inlineStr">
        <is>
          <t>Finance operating schedule</t>
        </is>
      </c>
      <c r="L58" s="47" t="inlineStr">
        <is>
          <t>2026-06-30</t>
        </is>
      </c>
      <c r="M58" s="27" t="inlineStr"/>
    </row>
    <row r="59">
      <c r="A59" s="36" t="inlineStr">
        <is>
          <t>PLN-00452</t>
        </is>
      </c>
      <c r="B59" s="27" t="inlineStr">
        <is>
          <t>Forecast accuracy and bias backtest</t>
        </is>
      </c>
      <c r="C59" s="27" t="inlineStr">
        <is>
          <t>Forecast policy flags</t>
        </is>
      </c>
      <c r="D59" s="27" t="inlineStr">
        <is>
          <t>Service</t>
        </is>
      </c>
      <c r="E59" s="27" t="inlineStr">
        <is>
          <t>2026-02</t>
        </is>
      </c>
      <c r="F59" s="27" t="inlineStr">
        <is>
          <t>Approved case</t>
        </is>
      </c>
      <c r="G59" s="27" t="inlineStr">
        <is>
          <t>Acquisition month flag</t>
        </is>
      </c>
      <c r="H59" s="46" t="n">
        <v>1</v>
      </c>
      <c r="I59" s="27" t="inlineStr"/>
      <c r="J59" s="27" t="inlineStr">
        <is>
          <t>boolean</t>
        </is>
      </c>
      <c r="K59" s="27" t="inlineStr">
        <is>
          <t>Finance operating schedule</t>
        </is>
      </c>
      <c r="L59" s="47" t="inlineStr">
        <is>
          <t>2026-06-30</t>
        </is>
      </c>
      <c r="M59" s="27" t="inlineStr"/>
    </row>
    <row r="60">
      <c r="A60" s="36" t="inlineStr">
        <is>
          <t>PLN-00455</t>
        </is>
      </c>
      <c r="B60" s="27" t="inlineStr">
        <is>
          <t>Forecast accuracy and bias backtest</t>
        </is>
      </c>
      <c r="C60" s="27" t="inlineStr">
        <is>
          <t>Forecast policy flags</t>
        </is>
      </c>
      <c r="D60" s="27" t="inlineStr">
        <is>
          <t>Building Controls</t>
        </is>
      </c>
      <c r="E60" s="27" t="inlineStr">
        <is>
          <t>2026-02</t>
        </is>
      </c>
      <c r="F60" s="27" t="inlineStr">
        <is>
          <t>Approved case</t>
        </is>
      </c>
      <c r="G60" s="27" t="inlineStr">
        <is>
          <t>Acquisition month flag</t>
        </is>
      </c>
      <c r="H60" s="46" t="n">
        <v>1</v>
      </c>
      <c r="I60" s="27" t="inlineStr"/>
      <c r="J60" s="27" t="inlineStr">
        <is>
          <t>boolean</t>
        </is>
      </c>
      <c r="K60" s="27" t="inlineStr">
        <is>
          <t>Finance operating schedule</t>
        </is>
      </c>
      <c r="L60" s="47" t="inlineStr">
        <is>
          <t>2026-06-30</t>
        </is>
      </c>
      <c r="M60" s="27" t="inlineStr"/>
    </row>
    <row r="61">
      <c r="A61" s="36" t="inlineStr">
        <is>
          <t>PLN-00458</t>
        </is>
      </c>
      <c r="B61" s="27" t="inlineStr">
        <is>
          <t>Forecast accuracy and bias backtest</t>
        </is>
      </c>
      <c r="C61" s="27" t="inlineStr">
        <is>
          <t>Forecast policy flags</t>
        </is>
      </c>
      <c r="D61" s="27" t="inlineStr">
        <is>
          <t>Construction</t>
        </is>
      </c>
      <c r="E61" s="27" t="inlineStr">
        <is>
          <t>2026-03</t>
        </is>
      </c>
      <c r="F61" s="27" t="inlineStr">
        <is>
          <t>Approved case</t>
        </is>
      </c>
      <c r="G61" s="27" t="inlineStr">
        <is>
          <t>Acquisition month flag</t>
        </is>
      </c>
      <c r="H61" s="46" t="n">
        <v>0</v>
      </c>
      <c r="I61" s="27" t="inlineStr"/>
      <c r="J61" s="27" t="inlineStr">
        <is>
          <t>boolean</t>
        </is>
      </c>
      <c r="K61" s="27" t="inlineStr">
        <is>
          <t>Finance operating schedule</t>
        </is>
      </c>
      <c r="L61" s="47" t="inlineStr">
        <is>
          <t>2026-06-30</t>
        </is>
      </c>
      <c r="M61" s="27" t="inlineStr"/>
    </row>
    <row r="62">
      <c r="A62" s="36" t="inlineStr">
        <is>
          <t>PLN-00461</t>
        </is>
      </c>
      <c r="B62" s="27" t="inlineStr">
        <is>
          <t>Forecast accuracy and bias backtest</t>
        </is>
      </c>
      <c r="C62" s="27" t="inlineStr">
        <is>
          <t>Forecast policy flags</t>
        </is>
      </c>
      <c r="D62" s="27" t="inlineStr">
        <is>
          <t>Service</t>
        </is>
      </c>
      <c r="E62" s="27" t="inlineStr">
        <is>
          <t>2026-03</t>
        </is>
      </c>
      <c r="F62" s="27" t="inlineStr">
        <is>
          <t>Approved case</t>
        </is>
      </c>
      <c r="G62" s="27" t="inlineStr">
        <is>
          <t>Acquisition month flag</t>
        </is>
      </c>
      <c r="H62" s="46" t="n">
        <v>0</v>
      </c>
      <c r="I62" s="27" t="inlineStr"/>
      <c r="J62" s="27" t="inlineStr">
        <is>
          <t>boolean</t>
        </is>
      </c>
      <c r="K62" s="27" t="inlineStr">
        <is>
          <t>Finance operating schedule</t>
        </is>
      </c>
      <c r="L62" s="47" t="inlineStr">
        <is>
          <t>2026-06-30</t>
        </is>
      </c>
      <c r="M62" s="27" t="inlineStr"/>
    </row>
    <row r="63">
      <c r="A63" s="36" t="inlineStr">
        <is>
          <t>PLN-00464</t>
        </is>
      </c>
      <c r="B63" s="27" t="inlineStr">
        <is>
          <t>Forecast accuracy and bias backtest</t>
        </is>
      </c>
      <c r="C63" s="27" t="inlineStr">
        <is>
          <t>Forecast policy flags</t>
        </is>
      </c>
      <c r="D63" s="27" t="inlineStr">
        <is>
          <t>Building Controls</t>
        </is>
      </c>
      <c r="E63" s="27" t="inlineStr">
        <is>
          <t>2026-03</t>
        </is>
      </c>
      <c r="F63" s="27" t="inlineStr">
        <is>
          <t>Approved case</t>
        </is>
      </c>
      <c r="G63" s="27" t="inlineStr">
        <is>
          <t>Acquisition month flag</t>
        </is>
      </c>
      <c r="H63" s="46" t="n">
        <v>0</v>
      </c>
      <c r="I63" s="27" t="inlineStr"/>
      <c r="J63" s="27" t="inlineStr">
        <is>
          <t>boolean</t>
        </is>
      </c>
      <c r="K63" s="27" t="inlineStr">
        <is>
          <t>Finance operating schedule</t>
        </is>
      </c>
      <c r="L63" s="47" t="inlineStr">
        <is>
          <t>2026-06-30</t>
        </is>
      </c>
      <c r="M63" s="27" t="inlineStr"/>
    </row>
    <row r="64">
      <c r="A64" s="36" t="inlineStr">
        <is>
          <t>PLN-00467</t>
        </is>
      </c>
      <c r="B64" s="27" t="inlineStr">
        <is>
          <t>Forecast accuracy and bias backtest</t>
        </is>
      </c>
      <c r="C64" s="27" t="inlineStr">
        <is>
          <t>Forecast policy flags</t>
        </is>
      </c>
      <c r="D64" s="27" t="inlineStr">
        <is>
          <t>Construction</t>
        </is>
      </c>
      <c r="E64" s="27" t="inlineStr">
        <is>
          <t>2026-04</t>
        </is>
      </c>
      <c r="F64" s="27" t="inlineStr">
        <is>
          <t>Approved case</t>
        </is>
      </c>
      <c r="G64" s="27" t="inlineStr">
        <is>
          <t>Acquisition month flag</t>
        </is>
      </c>
      <c r="H64" s="46" t="n">
        <v>0</v>
      </c>
      <c r="I64" s="27" t="inlineStr"/>
      <c r="J64" s="27" t="inlineStr">
        <is>
          <t>boolean</t>
        </is>
      </c>
      <c r="K64" s="27" t="inlineStr">
        <is>
          <t>Finance operating schedule</t>
        </is>
      </c>
      <c r="L64" s="47" t="inlineStr">
        <is>
          <t>2026-06-30</t>
        </is>
      </c>
      <c r="M64" s="27" t="inlineStr"/>
    </row>
    <row r="65">
      <c r="A65" s="36" t="inlineStr">
        <is>
          <t>PLN-00470</t>
        </is>
      </c>
      <c r="B65" s="27" t="inlineStr">
        <is>
          <t>Forecast accuracy and bias backtest</t>
        </is>
      </c>
      <c r="C65" s="27" t="inlineStr">
        <is>
          <t>Forecast policy flags</t>
        </is>
      </c>
      <c r="D65" s="27" t="inlineStr">
        <is>
          <t>Service</t>
        </is>
      </c>
      <c r="E65" s="27" t="inlineStr">
        <is>
          <t>2026-04</t>
        </is>
      </c>
      <c r="F65" s="27" t="inlineStr">
        <is>
          <t>Approved case</t>
        </is>
      </c>
      <c r="G65" s="27" t="inlineStr">
        <is>
          <t>Acquisition month flag</t>
        </is>
      </c>
      <c r="H65" s="46" t="n">
        <v>0</v>
      </c>
      <c r="I65" s="27" t="inlineStr"/>
      <c r="J65" s="27" t="inlineStr">
        <is>
          <t>boolean</t>
        </is>
      </c>
      <c r="K65" s="27" t="inlineStr">
        <is>
          <t>Finance operating schedule</t>
        </is>
      </c>
      <c r="L65" s="47" t="inlineStr">
        <is>
          <t>2026-06-30</t>
        </is>
      </c>
      <c r="M65" s="27" t="inlineStr"/>
    </row>
    <row r="66">
      <c r="A66" s="36" t="inlineStr">
        <is>
          <t>PLN-00473</t>
        </is>
      </c>
      <c r="B66" s="27" t="inlineStr">
        <is>
          <t>Forecast accuracy and bias backtest</t>
        </is>
      </c>
      <c r="C66" s="27" t="inlineStr">
        <is>
          <t>Forecast policy flags</t>
        </is>
      </c>
      <c r="D66" s="27" t="inlineStr">
        <is>
          <t>Building Controls</t>
        </is>
      </c>
      <c r="E66" s="27" t="inlineStr">
        <is>
          <t>2026-04</t>
        </is>
      </c>
      <c r="F66" s="27" t="inlineStr">
        <is>
          <t>Approved case</t>
        </is>
      </c>
      <c r="G66" s="27" t="inlineStr">
        <is>
          <t>Acquisition month flag</t>
        </is>
      </c>
      <c r="H66" s="46" t="n">
        <v>0</v>
      </c>
      <c r="I66" s="27" t="inlineStr"/>
      <c r="J66" s="27" t="inlineStr">
        <is>
          <t>boolean</t>
        </is>
      </c>
      <c r="K66" s="27" t="inlineStr">
        <is>
          <t>Finance operating schedule</t>
        </is>
      </c>
      <c r="L66" s="47" t="inlineStr">
        <is>
          <t>2026-06-30</t>
        </is>
      </c>
      <c r="M66" s="27" t="inlineStr"/>
    </row>
    <row r="67">
      <c r="A67" s="36" t="inlineStr">
        <is>
          <t>PLN-00476</t>
        </is>
      </c>
      <c r="B67" s="27" t="inlineStr">
        <is>
          <t>Forecast accuracy and bias backtest</t>
        </is>
      </c>
      <c r="C67" s="27" t="inlineStr">
        <is>
          <t>Forecast policy flags</t>
        </is>
      </c>
      <c r="D67" s="27" t="inlineStr">
        <is>
          <t>Construction</t>
        </is>
      </c>
      <c r="E67" s="27" t="inlineStr">
        <is>
          <t>2026-05</t>
        </is>
      </c>
      <c r="F67" s="27" t="inlineStr">
        <is>
          <t>Approved case</t>
        </is>
      </c>
      <c r="G67" s="27" t="inlineStr">
        <is>
          <t>Acquisition month flag</t>
        </is>
      </c>
      <c r="H67" s="46" t="n">
        <v>0</v>
      </c>
      <c r="I67" s="27" t="inlineStr"/>
      <c r="J67" s="27" t="inlineStr">
        <is>
          <t>boolean</t>
        </is>
      </c>
      <c r="K67" s="27" t="inlineStr">
        <is>
          <t>Finance operating schedule</t>
        </is>
      </c>
      <c r="L67" s="47" t="inlineStr">
        <is>
          <t>2026-06-30</t>
        </is>
      </c>
      <c r="M67" s="27" t="inlineStr"/>
    </row>
    <row r="68">
      <c r="A68" s="36" t="inlineStr">
        <is>
          <t>PLN-00479</t>
        </is>
      </c>
      <c r="B68" s="27" t="inlineStr">
        <is>
          <t>Forecast accuracy and bias backtest</t>
        </is>
      </c>
      <c r="C68" s="27" t="inlineStr">
        <is>
          <t>Forecast policy flags</t>
        </is>
      </c>
      <c r="D68" s="27" t="inlineStr">
        <is>
          <t>Service</t>
        </is>
      </c>
      <c r="E68" s="27" t="inlineStr">
        <is>
          <t>2026-05</t>
        </is>
      </c>
      <c r="F68" s="27" t="inlineStr">
        <is>
          <t>Approved case</t>
        </is>
      </c>
      <c r="G68" s="27" t="inlineStr">
        <is>
          <t>Acquisition month flag</t>
        </is>
      </c>
      <c r="H68" s="46" t="n">
        <v>0</v>
      </c>
      <c r="I68" s="27" t="inlineStr"/>
      <c r="J68" s="27" t="inlineStr">
        <is>
          <t>boolean</t>
        </is>
      </c>
      <c r="K68" s="27" t="inlineStr">
        <is>
          <t>Finance operating schedule</t>
        </is>
      </c>
      <c r="L68" s="47" t="inlineStr">
        <is>
          <t>2026-06-30</t>
        </is>
      </c>
      <c r="M68" s="27" t="inlineStr"/>
    </row>
    <row r="69">
      <c r="A69" s="36" t="inlineStr">
        <is>
          <t>PLN-00482</t>
        </is>
      </c>
      <c r="B69" s="27" t="inlineStr">
        <is>
          <t>Forecast accuracy and bias backtest</t>
        </is>
      </c>
      <c r="C69" s="27" t="inlineStr">
        <is>
          <t>Forecast policy flags</t>
        </is>
      </c>
      <c r="D69" s="27" t="inlineStr">
        <is>
          <t>Building Controls</t>
        </is>
      </c>
      <c r="E69" s="27" t="inlineStr">
        <is>
          <t>2026-05</t>
        </is>
      </c>
      <c r="F69" s="27" t="inlineStr">
        <is>
          <t>Approved case</t>
        </is>
      </c>
      <c r="G69" s="27" t="inlineStr">
        <is>
          <t>Acquisition month flag</t>
        </is>
      </c>
      <c r="H69" s="46" t="n">
        <v>0</v>
      </c>
      <c r="I69" s="27" t="inlineStr"/>
      <c r="J69" s="27" t="inlineStr">
        <is>
          <t>boolean</t>
        </is>
      </c>
      <c r="K69" s="27" t="inlineStr">
        <is>
          <t>Finance operating schedule</t>
        </is>
      </c>
      <c r="L69" s="47" t="inlineStr">
        <is>
          <t>2026-06-30</t>
        </is>
      </c>
      <c r="M69" s="27" t="inlineStr"/>
    </row>
    <row r="70">
      <c r="A70" s="36" t="inlineStr">
        <is>
          <t>PLN-00485</t>
        </is>
      </c>
      <c r="B70" s="27" t="inlineStr">
        <is>
          <t>Forecast accuracy and bias backtest</t>
        </is>
      </c>
      <c r="C70" s="27" t="inlineStr">
        <is>
          <t>Forecast policy flags</t>
        </is>
      </c>
      <c r="D70" s="27" t="inlineStr">
        <is>
          <t>Construction</t>
        </is>
      </c>
      <c r="E70" s="27" t="inlineStr">
        <is>
          <t>2026-06</t>
        </is>
      </c>
      <c r="F70" s="27" t="inlineStr">
        <is>
          <t>Approved case</t>
        </is>
      </c>
      <c r="G70" s="27" t="inlineStr">
        <is>
          <t>Acquisition month flag</t>
        </is>
      </c>
      <c r="H70" s="46" t="n">
        <v>0</v>
      </c>
      <c r="I70" s="27" t="inlineStr"/>
      <c r="J70" s="27" t="inlineStr">
        <is>
          <t>boolean</t>
        </is>
      </c>
      <c r="K70" s="27" t="inlineStr">
        <is>
          <t>Finance operating schedule</t>
        </is>
      </c>
      <c r="L70" s="47" t="inlineStr">
        <is>
          <t>2026-06-30</t>
        </is>
      </c>
      <c r="M70" s="27" t="inlineStr"/>
    </row>
    <row r="71">
      <c r="A71" s="36" t="inlineStr">
        <is>
          <t>PLN-00488</t>
        </is>
      </c>
      <c r="B71" s="27" t="inlineStr">
        <is>
          <t>Forecast accuracy and bias backtest</t>
        </is>
      </c>
      <c r="C71" s="27" t="inlineStr">
        <is>
          <t>Forecast policy flags</t>
        </is>
      </c>
      <c r="D71" s="27" t="inlineStr">
        <is>
          <t>Service</t>
        </is>
      </c>
      <c r="E71" s="27" t="inlineStr">
        <is>
          <t>2026-06</t>
        </is>
      </c>
      <c r="F71" s="27" t="inlineStr">
        <is>
          <t>Approved case</t>
        </is>
      </c>
      <c r="G71" s="27" t="inlineStr">
        <is>
          <t>Acquisition month flag</t>
        </is>
      </c>
      <c r="H71" s="46" t="n">
        <v>0</v>
      </c>
      <c r="I71" s="27" t="inlineStr"/>
      <c r="J71" s="27" t="inlineStr">
        <is>
          <t>boolean</t>
        </is>
      </c>
      <c r="K71" s="27" t="inlineStr">
        <is>
          <t>Finance operating schedule</t>
        </is>
      </c>
      <c r="L71" s="47" t="inlineStr">
        <is>
          <t>2026-06-30</t>
        </is>
      </c>
      <c r="M71" s="27" t="inlineStr"/>
    </row>
    <row r="72">
      <c r="A72" s="36" t="inlineStr">
        <is>
          <t>PLN-00491</t>
        </is>
      </c>
      <c r="B72" s="27" t="inlineStr">
        <is>
          <t>Forecast accuracy and bias backtest</t>
        </is>
      </c>
      <c r="C72" s="27" t="inlineStr">
        <is>
          <t>Forecast policy flags</t>
        </is>
      </c>
      <c r="D72" s="27" t="inlineStr">
        <is>
          <t>Building Controls</t>
        </is>
      </c>
      <c r="E72" s="27" t="inlineStr">
        <is>
          <t>2026-06</t>
        </is>
      </c>
      <c r="F72" s="27" t="inlineStr">
        <is>
          <t>Approved case</t>
        </is>
      </c>
      <c r="G72" s="27" t="inlineStr">
        <is>
          <t>Acquisition month flag</t>
        </is>
      </c>
      <c r="H72" s="46" t="n">
        <v>0</v>
      </c>
      <c r="I72" s="27" t="inlineStr"/>
      <c r="J72" s="27" t="inlineStr">
        <is>
          <t>boolean</t>
        </is>
      </c>
      <c r="K72" s="27" t="inlineStr">
        <is>
          <t>Finance operating schedule</t>
        </is>
      </c>
      <c r="L72" s="47" t="inlineStr">
        <is>
          <t>2026-06-30</t>
        </is>
      </c>
      <c r="M72" s="27" t="inlineStr"/>
    </row>
    <row r="73">
      <c r="A73" s="36" t="inlineStr">
        <is>
          <t>PLN-01132</t>
        </is>
      </c>
      <c r="B73" s="27" t="inlineStr">
        <is>
          <t>Scenario-weighted earnings and liquidity at risk</t>
        </is>
      </c>
      <c r="C73" s="27" t="inlineStr">
        <is>
          <t>Scenario baseline</t>
        </is>
      </c>
      <c r="D73" s="27" t="inlineStr">
        <is>
          <t>Alder Ridge</t>
        </is>
      </c>
      <c r="E73" s="27" t="inlineStr">
        <is>
          <t>FY27</t>
        </is>
      </c>
      <c r="F73" s="27" t="inlineStr">
        <is>
          <t>Approved case</t>
        </is>
      </c>
      <c r="G73" s="27" t="inlineStr">
        <is>
          <t>Revenue</t>
        </is>
      </c>
      <c r="H73" s="46" t="n">
        <v>53950000</v>
      </c>
      <c r="I73" s="27" t="inlineStr"/>
      <c r="J73" s="27" t="inlineStr">
        <is>
          <t>USD</t>
        </is>
      </c>
      <c r="K73" s="27" t="inlineStr">
        <is>
          <t>Finance operating schedule</t>
        </is>
      </c>
      <c r="L73" s="47" t="inlineStr">
        <is>
          <t>2026-06-30</t>
        </is>
      </c>
      <c r="M73" s="27" t="inlineStr"/>
    </row>
    <row r="74">
      <c r="A74" s="36" t="inlineStr">
        <is>
          <t>PLN-01133</t>
        </is>
      </c>
      <c r="B74" s="27" t="inlineStr">
        <is>
          <t>Scenario-weighted earnings and liquidity at risk</t>
        </is>
      </c>
      <c r="C74" s="27" t="inlineStr">
        <is>
          <t>Scenario baseline</t>
        </is>
      </c>
      <c r="D74" s="27" t="inlineStr">
        <is>
          <t>Alder Ridge</t>
        </is>
      </c>
      <c r="E74" s="27" t="inlineStr">
        <is>
          <t>FY27</t>
        </is>
      </c>
      <c r="F74" s="27" t="inlineStr">
        <is>
          <t>Approved case</t>
        </is>
      </c>
      <c r="G74" s="27" t="inlineStr">
        <is>
          <t>Gross margin</t>
        </is>
      </c>
      <c r="H74" s="46" t="n">
        <v>0.2925</v>
      </c>
      <c r="I74" s="27" t="inlineStr"/>
      <c r="J74" s="27" t="inlineStr">
        <is>
          <t>decimal ratio</t>
        </is>
      </c>
      <c r="K74" s="27" t="inlineStr">
        <is>
          <t>Finance operating schedule</t>
        </is>
      </c>
      <c r="L74" s="47" t="inlineStr">
        <is>
          <t>2026-06-30</t>
        </is>
      </c>
      <c r="M74" s="27" t="inlineStr"/>
    </row>
    <row r="75">
      <c r="A75" s="36" t="inlineStr">
        <is>
          <t>PLN-01134</t>
        </is>
      </c>
      <c r="B75" s="27" t="inlineStr">
        <is>
          <t>Scenario-weighted earnings and liquidity at risk</t>
        </is>
      </c>
      <c r="C75" s="27" t="inlineStr">
        <is>
          <t>Scenario baseline</t>
        </is>
      </c>
      <c r="D75" s="27" t="inlineStr">
        <is>
          <t>Alder Ridge</t>
        </is>
      </c>
      <c r="E75" s="27" t="inlineStr">
        <is>
          <t>FY27</t>
        </is>
      </c>
      <c r="F75" s="27" t="inlineStr">
        <is>
          <t>Approved case</t>
        </is>
      </c>
      <c r="G75" s="27" t="inlineStr">
        <is>
          <t>Operating expense</t>
        </is>
      </c>
      <c r="H75" s="46" t="n">
        <v>11420000</v>
      </c>
      <c r="I75" s="27" t="inlineStr"/>
      <c r="J75" s="27" t="inlineStr">
        <is>
          <t>USD</t>
        </is>
      </c>
      <c r="K75" s="27" t="inlineStr">
        <is>
          <t>Finance operating schedule</t>
        </is>
      </c>
      <c r="L75" s="47" t="inlineStr">
        <is>
          <t>2026-06-30</t>
        </is>
      </c>
      <c r="M75" s="27" t="inlineStr"/>
    </row>
    <row r="76">
      <c r="A76" s="36" t="inlineStr">
        <is>
          <t>PLN-01135</t>
        </is>
      </c>
      <c r="B76" s="27" t="inlineStr">
        <is>
          <t>Scenario-weighted earnings and liquidity at risk</t>
        </is>
      </c>
      <c r="C76" s="27" t="inlineStr">
        <is>
          <t>Scenario baseline</t>
        </is>
      </c>
      <c r="D76" s="27" t="inlineStr">
        <is>
          <t>Alder Ridge</t>
        </is>
      </c>
      <c r="E76" s="27" t="inlineStr">
        <is>
          <t>2026-06-30</t>
        </is>
      </c>
      <c r="F76" s="27" t="inlineStr">
        <is>
          <t>Approved case</t>
        </is>
      </c>
      <c r="G76" s="27" t="inlineStr">
        <is>
          <t>Opening cash</t>
        </is>
      </c>
      <c r="H76" s="46" t="n">
        <v>1</v>
      </c>
      <c r="I76" s="27" t="inlineStr"/>
      <c r="J76" s="27" t="inlineStr">
        <is>
          <t>ledger allocation factor</t>
        </is>
      </c>
      <c r="K76" s="27" t="inlineStr">
        <is>
          <t>Finance operating schedule</t>
        </is>
      </c>
      <c r="L76" s="47" t="inlineStr">
        <is>
          <t>2026-06-30</t>
        </is>
      </c>
      <c r="M76" s="27" t="inlineStr">
        <is>
          <t>Vista ERP cash detail as of 2026-06-30; unrestricted company cash accounts</t>
        </is>
      </c>
    </row>
    <row r="77">
      <c r="A77" s="36" t="inlineStr">
        <is>
          <t>PLN-01136</t>
        </is>
      </c>
      <c r="B77" s="27" t="inlineStr">
        <is>
          <t>Scenario-weighted earnings and liquidity at risk</t>
        </is>
      </c>
      <c r="C77" s="27" t="inlineStr">
        <is>
          <t>Integrated risk scenarios</t>
        </is>
      </c>
      <c r="D77" s="27" t="inlineStr">
        <is>
          <t>Alder Ridge</t>
        </is>
      </c>
      <c r="E77" s="27" t="inlineStr">
        <is>
          <t>Upside</t>
        </is>
      </c>
      <c r="F77" s="27" t="inlineStr">
        <is>
          <t>Approved case</t>
        </is>
      </c>
      <c r="G77" s="27" t="inlineStr">
        <is>
          <t>Probability</t>
        </is>
      </c>
      <c r="H77" s="46" t="n">
        <v>0.15</v>
      </c>
      <c r="I77" s="27" t="inlineStr"/>
      <c r="J77" s="27" t="inlineStr">
        <is>
          <t>decimal ratio</t>
        </is>
      </c>
      <c r="K77" s="27" t="inlineStr">
        <is>
          <t>Finance operating schedule</t>
        </is>
      </c>
      <c r="L77" s="47" t="inlineStr">
        <is>
          <t>2026-06-30</t>
        </is>
      </c>
      <c r="M77" s="27" t="inlineStr"/>
    </row>
    <row r="78">
      <c r="A78" s="36" t="inlineStr">
        <is>
          <t>PLN-01137</t>
        </is>
      </c>
      <c r="B78" s="27" t="inlineStr">
        <is>
          <t>Scenario-weighted earnings and liquidity at risk</t>
        </is>
      </c>
      <c r="C78" s="27" t="inlineStr">
        <is>
          <t>Integrated risk scenarios</t>
        </is>
      </c>
      <c r="D78" s="27" t="inlineStr">
        <is>
          <t>Alder Ridge</t>
        </is>
      </c>
      <c r="E78" s="27" t="inlineStr">
        <is>
          <t>Upside</t>
        </is>
      </c>
      <c r="F78" s="27" t="inlineStr">
        <is>
          <t>Approved case</t>
        </is>
      </c>
      <c r="G78" s="27" t="inlineStr">
        <is>
          <t>Revenue change</t>
        </is>
      </c>
      <c r="H78" s="46" t="n">
        <v>0.045</v>
      </c>
      <c r="I78" s="27" t="inlineStr"/>
      <c r="J78" s="27" t="inlineStr">
        <is>
          <t>decimal ratio</t>
        </is>
      </c>
      <c r="K78" s="27" t="inlineStr">
        <is>
          <t>Finance operating schedule</t>
        </is>
      </c>
      <c r="L78" s="47" t="inlineStr">
        <is>
          <t>2026-06-30</t>
        </is>
      </c>
      <c r="M78" s="27" t="inlineStr"/>
    </row>
    <row r="79">
      <c r="A79" s="36" t="inlineStr">
        <is>
          <t>PLN-01138</t>
        </is>
      </c>
      <c r="B79" s="27" t="inlineStr">
        <is>
          <t>Scenario-weighted earnings and liquidity at risk</t>
        </is>
      </c>
      <c r="C79" s="27" t="inlineStr">
        <is>
          <t>Integrated risk scenarios</t>
        </is>
      </c>
      <c r="D79" s="27" t="inlineStr">
        <is>
          <t>Alder Ridge</t>
        </is>
      </c>
      <c r="E79" s="27" t="inlineStr">
        <is>
          <t>Upside</t>
        </is>
      </c>
      <c r="F79" s="27" t="inlineStr">
        <is>
          <t>Approved case</t>
        </is>
      </c>
      <c r="G79" s="27" t="inlineStr">
        <is>
          <t>Gross margin change</t>
        </is>
      </c>
      <c r="H79" s="46" t="n">
        <v>0.01</v>
      </c>
      <c r="I79" s="27" t="inlineStr"/>
      <c r="J79" s="27" t="inlineStr">
        <is>
          <t>decimal ratio</t>
        </is>
      </c>
      <c r="K79" s="27" t="inlineStr">
        <is>
          <t>Finance operating schedule</t>
        </is>
      </c>
      <c r="L79" s="47" t="inlineStr">
        <is>
          <t>2026-06-30</t>
        </is>
      </c>
      <c r="M79" s="27" t="inlineStr"/>
    </row>
    <row r="80">
      <c r="A80" s="36" t="inlineStr">
        <is>
          <t>PLN-01139</t>
        </is>
      </c>
      <c r="B80" s="27" t="inlineStr">
        <is>
          <t>Scenario-weighted earnings and liquidity at risk</t>
        </is>
      </c>
      <c r="C80" s="27" t="inlineStr">
        <is>
          <t>Integrated risk scenarios</t>
        </is>
      </c>
      <c r="D80" s="27" t="inlineStr">
        <is>
          <t>Alder Ridge</t>
        </is>
      </c>
      <c r="E80" s="27" t="inlineStr">
        <is>
          <t>Upside</t>
        </is>
      </c>
      <c r="F80" s="27" t="inlineStr">
        <is>
          <t>Approved case</t>
        </is>
      </c>
      <c r="G80" s="27" t="inlineStr">
        <is>
          <t>DSO change</t>
        </is>
      </c>
      <c r="H80" s="46" t="n">
        <v>-3</v>
      </c>
      <c r="I80" s="27" t="inlineStr"/>
      <c r="J80" s="27" t="inlineStr">
        <is>
          <t>days</t>
        </is>
      </c>
      <c r="K80" s="27" t="inlineStr">
        <is>
          <t>Finance operating schedule</t>
        </is>
      </c>
      <c r="L80" s="47" t="inlineStr">
        <is>
          <t>2026-06-30</t>
        </is>
      </c>
      <c r="M80" s="27" t="inlineStr"/>
    </row>
    <row r="81">
      <c r="A81" s="36" t="inlineStr">
        <is>
          <t>PLN-01140</t>
        </is>
      </c>
      <c r="B81" s="27" t="inlineStr">
        <is>
          <t>Scenario-weighted earnings and liquidity at risk</t>
        </is>
      </c>
      <c r="C81" s="27" t="inlineStr">
        <is>
          <t>Integrated risk scenarios</t>
        </is>
      </c>
      <c r="D81" s="27" t="inlineStr">
        <is>
          <t>Alder Ridge</t>
        </is>
      </c>
      <c r="E81" s="27" t="inlineStr">
        <is>
          <t>Upside</t>
        </is>
      </c>
      <c r="F81" s="27" t="inlineStr">
        <is>
          <t>Approved case</t>
        </is>
      </c>
      <c r="G81" s="27" t="inlineStr">
        <is>
          <t>Capex deferral</t>
        </is>
      </c>
      <c r="H81" s="46" t="n">
        <v>150000</v>
      </c>
      <c r="I81" s="27" t="inlineStr"/>
      <c r="J81" s="27" t="inlineStr">
        <is>
          <t>USD</t>
        </is>
      </c>
      <c r="K81" s="27" t="inlineStr">
        <is>
          <t>Finance operating schedule</t>
        </is>
      </c>
      <c r="L81" s="47" t="inlineStr">
        <is>
          <t>2026-06-30</t>
        </is>
      </c>
      <c r="M81" s="27" t="inlineStr"/>
    </row>
    <row r="82">
      <c r="A82" s="36" t="inlineStr">
        <is>
          <t>PLN-01141</t>
        </is>
      </c>
      <c r="B82" s="27" t="inlineStr">
        <is>
          <t>Scenario-weighted earnings and liquidity at risk</t>
        </is>
      </c>
      <c r="C82" s="27" t="inlineStr">
        <is>
          <t>Integrated risk scenarios</t>
        </is>
      </c>
      <c r="D82" s="27" t="inlineStr">
        <is>
          <t>Alder Ridge</t>
        </is>
      </c>
      <c r="E82" s="27" t="inlineStr">
        <is>
          <t>Upside</t>
        </is>
      </c>
      <c r="F82" s="27" t="inlineStr">
        <is>
          <t>Approved case</t>
        </is>
      </c>
      <c r="G82" s="27" t="inlineStr">
        <is>
          <t>One-time mitigation cost</t>
        </is>
      </c>
      <c r="H82" s="46" t="n">
        <v>0</v>
      </c>
      <c r="I82" s="27" t="inlineStr"/>
      <c r="J82" s="27" t="inlineStr">
        <is>
          <t>USD</t>
        </is>
      </c>
      <c r="K82" s="27" t="inlineStr">
        <is>
          <t>Finance operating schedule</t>
        </is>
      </c>
      <c r="L82" s="47" t="inlineStr">
        <is>
          <t>2026-06-30</t>
        </is>
      </c>
      <c r="M82" s="27" t="inlineStr"/>
    </row>
    <row r="83">
      <c r="A83" s="36" t="inlineStr">
        <is>
          <t>PLN-01142</t>
        </is>
      </c>
      <c r="B83" s="27" t="inlineStr">
        <is>
          <t>Scenario-weighted earnings and liquidity at risk</t>
        </is>
      </c>
      <c r="C83" s="27" t="inlineStr">
        <is>
          <t>Integrated risk scenarios</t>
        </is>
      </c>
      <c r="D83" s="27" t="inlineStr">
        <is>
          <t>Alder Ridge</t>
        </is>
      </c>
      <c r="E83" s="27" t="inlineStr">
        <is>
          <t>Base</t>
        </is>
      </c>
      <c r="F83" s="27" t="inlineStr">
        <is>
          <t>Approved case</t>
        </is>
      </c>
      <c r="G83" s="27" t="inlineStr">
        <is>
          <t>Probability</t>
        </is>
      </c>
      <c r="H83" s="46" t="n">
        <v>0.45</v>
      </c>
      <c r="I83" s="27" t="inlineStr"/>
      <c r="J83" s="27" t="inlineStr">
        <is>
          <t>decimal ratio</t>
        </is>
      </c>
      <c r="K83" s="27" t="inlineStr">
        <is>
          <t>Finance operating schedule</t>
        </is>
      </c>
      <c r="L83" s="47" t="inlineStr">
        <is>
          <t>2026-06-30</t>
        </is>
      </c>
      <c r="M83" s="27" t="inlineStr"/>
    </row>
    <row r="84">
      <c r="A84" s="36" t="inlineStr">
        <is>
          <t>PLN-01143</t>
        </is>
      </c>
      <c r="B84" s="27" t="inlineStr">
        <is>
          <t>Scenario-weighted earnings and liquidity at risk</t>
        </is>
      </c>
      <c r="C84" s="27" t="inlineStr">
        <is>
          <t>Integrated risk scenarios</t>
        </is>
      </c>
      <c r="D84" s="27" t="inlineStr">
        <is>
          <t>Alder Ridge</t>
        </is>
      </c>
      <c r="E84" s="27" t="inlineStr">
        <is>
          <t>Base</t>
        </is>
      </c>
      <c r="F84" s="27" t="inlineStr">
        <is>
          <t>Approved case</t>
        </is>
      </c>
      <c r="G84" s="27" t="inlineStr">
        <is>
          <t>Revenue change</t>
        </is>
      </c>
      <c r="H84" s="46" t="n">
        <v>0</v>
      </c>
      <c r="I84" s="27" t="inlineStr"/>
      <c r="J84" s="27" t="inlineStr">
        <is>
          <t>decimal ratio</t>
        </is>
      </c>
      <c r="K84" s="27" t="inlineStr">
        <is>
          <t>Finance operating schedule</t>
        </is>
      </c>
      <c r="L84" s="47" t="inlineStr">
        <is>
          <t>2026-06-30</t>
        </is>
      </c>
      <c r="M84" s="27" t="inlineStr"/>
    </row>
    <row r="85">
      <c r="A85" s="36" t="inlineStr">
        <is>
          <t>PLN-01144</t>
        </is>
      </c>
      <c r="B85" s="27" t="inlineStr">
        <is>
          <t>Scenario-weighted earnings and liquidity at risk</t>
        </is>
      </c>
      <c r="C85" s="27" t="inlineStr">
        <is>
          <t>Integrated risk scenarios</t>
        </is>
      </c>
      <c r="D85" s="27" t="inlineStr">
        <is>
          <t>Alder Ridge</t>
        </is>
      </c>
      <c r="E85" s="27" t="inlineStr">
        <is>
          <t>Base</t>
        </is>
      </c>
      <c r="F85" s="27" t="inlineStr">
        <is>
          <t>Approved case</t>
        </is>
      </c>
      <c r="G85" s="27" t="inlineStr">
        <is>
          <t>Gross margin change</t>
        </is>
      </c>
      <c r="H85" s="46" t="n">
        <v>0</v>
      </c>
      <c r="I85" s="27" t="inlineStr"/>
      <c r="J85" s="27" t="inlineStr">
        <is>
          <t>decimal ratio</t>
        </is>
      </c>
      <c r="K85" s="27" t="inlineStr">
        <is>
          <t>Finance operating schedule</t>
        </is>
      </c>
      <c r="L85" s="47" t="inlineStr">
        <is>
          <t>2026-06-30</t>
        </is>
      </c>
      <c r="M85" s="27" t="inlineStr"/>
    </row>
    <row r="86">
      <c r="A86" s="36" t="inlineStr">
        <is>
          <t>PLN-01145</t>
        </is>
      </c>
      <c r="B86" s="27" t="inlineStr">
        <is>
          <t>Scenario-weighted earnings and liquidity at risk</t>
        </is>
      </c>
      <c r="C86" s="27" t="inlineStr">
        <is>
          <t>Integrated risk scenarios</t>
        </is>
      </c>
      <c r="D86" s="27" t="inlineStr">
        <is>
          <t>Alder Ridge</t>
        </is>
      </c>
      <c r="E86" s="27" t="inlineStr">
        <is>
          <t>Base</t>
        </is>
      </c>
      <c r="F86" s="27" t="inlineStr">
        <is>
          <t>Approved case</t>
        </is>
      </c>
      <c r="G86" s="27" t="inlineStr">
        <is>
          <t>DSO change</t>
        </is>
      </c>
      <c r="H86" s="46" t="n">
        <v>0</v>
      </c>
      <c r="I86" s="27" t="inlineStr"/>
      <c r="J86" s="27" t="inlineStr">
        <is>
          <t>days</t>
        </is>
      </c>
      <c r="K86" s="27" t="inlineStr">
        <is>
          <t>Finance operating schedule</t>
        </is>
      </c>
      <c r="L86" s="47" t="inlineStr">
        <is>
          <t>2026-06-30</t>
        </is>
      </c>
      <c r="M86" s="27" t="inlineStr"/>
    </row>
    <row r="87">
      <c r="A87" s="36" t="inlineStr">
        <is>
          <t>PLN-01146</t>
        </is>
      </c>
      <c r="B87" s="27" t="inlineStr">
        <is>
          <t>Scenario-weighted earnings and liquidity at risk</t>
        </is>
      </c>
      <c r="C87" s="27" t="inlineStr">
        <is>
          <t>Integrated risk scenarios</t>
        </is>
      </c>
      <c r="D87" s="27" t="inlineStr">
        <is>
          <t>Alder Ridge</t>
        </is>
      </c>
      <c r="E87" s="27" t="inlineStr">
        <is>
          <t>Base</t>
        </is>
      </c>
      <c r="F87" s="27" t="inlineStr">
        <is>
          <t>Approved case</t>
        </is>
      </c>
      <c r="G87" s="27" t="inlineStr">
        <is>
          <t>Capex deferral</t>
        </is>
      </c>
      <c r="H87" s="46" t="n">
        <v>0</v>
      </c>
      <c r="I87" s="27" t="inlineStr"/>
      <c r="J87" s="27" t="inlineStr">
        <is>
          <t>USD</t>
        </is>
      </c>
      <c r="K87" s="27" t="inlineStr">
        <is>
          <t>Finance operating schedule</t>
        </is>
      </c>
      <c r="L87" s="47" t="inlineStr">
        <is>
          <t>2026-06-30</t>
        </is>
      </c>
      <c r="M87" s="27" t="inlineStr"/>
    </row>
    <row r="88">
      <c r="A88" s="36" t="inlineStr">
        <is>
          <t>PLN-01147</t>
        </is>
      </c>
      <c r="B88" s="27" t="inlineStr">
        <is>
          <t>Scenario-weighted earnings and liquidity at risk</t>
        </is>
      </c>
      <c r="C88" s="27" t="inlineStr">
        <is>
          <t>Integrated risk scenarios</t>
        </is>
      </c>
      <c r="D88" s="27" t="inlineStr">
        <is>
          <t>Alder Ridge</t>
        </is>
      </c>
      <c r="E88" s="27" t="inlineStr">
        <is>
          <t>Base</t>
        </is>
      </c>
      <c r="F88" s="27" t="inlineStr">
        <is>
          <t>Approved case</t>
        </is>
      </c>
      <c r="G88" s="27" t="inlineStr">
        <is>
          <t>One-time mitigation cost</t>
        </is>
      </c>
      <c r="H88" s="46" t="n">
        <v>0</v>
      </c>
      <c r="I88" s="27" t="inlineStr"/>
      <c r="J88" s="27" t="inlineStr">
        <is>
          <t>USD</t>
        </is>
      </c>
      <c r="K88" s="27" t="inlineStr">
        <is>
          <t>Finance operating schedule</t>
        </is>
      </c>
      <c r="L88" s="47" t="inlineStr">
        <is>
          <t>2026-06-30</t>
        </is>
      </c>
      <c r="M88" s="27" t="inlineStr"/>
    </row>
    <row r="89">
      <c r="A89" s="36" t="inlineStr">
        <is>
          <t>PLN-01148</t>
        </is>
      </c>
      <c r="B89" s="27" t="inlineStr">
        <is>
          <t>Scenario-weighted earnings and liquidity at risk</t>
        </is>
      </c>
      <c r="C89" s="27" t="inlineStr">
        <is>
          <t>Integrated risk scenarios</t>
        </is>
      </c>
      <c r="D89" s="27" t="inlineStr">
        <is>
          <t>Alder Ridge</t>
        </is>
      </c>
      <c r="E89" s="27" t="inlineStr">
        <is>
          <t>Soft landing</t>
        </is>
      </c>
      <c r="F89" s="27" t="inlineStr">
        <is>
          <t>Approved case</t>
        </is>
      </c>
      <c r="G89" s="27" t="inlineStr">
        <is>
          <t>Probability</t>
        </is>
      </c>
      <c r="H89" s="46" t="n">
        <v>0.25</v>
      </c>
      <c r="I89" s="27" t="inlineStr"/>
      <c r="J89" s="27" t="inlineStr">
        <is>
          <t>decimal ratio</t>
        </is>
      </c>
      <c r="K89" s="27" t="inlineStr">
        <is>
          <t>Finance operating schedule</t>
        </is>
      </c>
      <c r="L89" s="47" t="inlineStr">
        <is>
          <t>2026-06-30</t>
        </is>
      </c>
      <c r="M89" s="27" t="inlineStr"/>
    </row>
    <row r="90">
      <c r="A90" s="36" t="inlineStr">
        <is>
          <t>PLN-01149</t>
        </is>
      </c>
      <c r="B90" s="27" t="inlineStr">
        <is>
          <t>Scenario-weighted earnings and liquidity at risk</t>
        </is>
      </c>
      <c r="C90" s="27" t="inlineStr">
        <is>
          <t>Integrated risk scenarios</t>
        </is>
      </c>
      <c r="D90" s="27" t="inlineStr">
        <is>
          <t>Alder Ridge</t>
        </is>
      </c>
      <c r="E90" s="27" t="inlineStr">
        <is>
          <t>Soft landing</t>
        </is>
      </c>
      <c r="F90" s="27" t="inlineStr">
        <is>
          <t>Approved case</t>
        </is>
      </c>
      <c r="G90" s="27" t="inlineStr">
        <is>
          <t>Revenue change</t>
        </is>
      </c>
      <c r="H90" s="46" t="n">
        <v>-0.065</v>
      </c>
      <c r="I90" s="27" t="inlineStr"/>
      <c r="J90" s="27" t="inlineStr">
        <is>
          <t>decimal ratio</t>
        </is>
      </c>
      <c r="K90" s="27" t="inlineStr">
        <is>
          <t>Finance operating schedule</t>
        </is>
      </c>
      <c r="L90" s="47" t="inlineStr">
        <is>
          <t>2026-06-30</t>
        </is>
      </c>
      <c r="M90" s="27" t="inlineStr"/>
    </row>
    <row r="91">
      <c r="A91" s="36" t="inlineStr">
        <is>
          <t>PLN-01150</t>
        </is>
      </c>
      <c r="B91" s="27" t="inlineStr">
        <is>
          <t>Scenario-weighted earnings and liquidity at risk</t>
        </is>
      </c>
      <c r="C91" s="27" t="inlineStr">
        <is>
          <t>Integrated risk scenarios</t>
        </is>
      </c>
      <c r="D91" s="27" t="inlineStr">
        <is>
          <t>Alder Ridge</t>
        </is>
      </c>
      <c r="E91" s="27" t="inlineStr">
        <is>
          <t>Soft landing</t>
        </is>
      </c>
      <c r="F91" s="27" t="inlineStr">
        <is>
          <t>Approved case</t>
        </is>
      </c>
      <c r="G91" s="27" t="inlineStr">
        <is>
          <t>Gross margin change</t>
        </is>
      </c>
      <c r="H91" s="46" t="n">
        <v>-0.0125</v>
      </c>
      <c r="I91" s="27" t="inlineStr"/>
      <c r="J91" s="27" t="inlineStr">
        <is>
          <t>decimal ratio</t>
        </is>
      </c>
      <c r="K91" s="27" t="inlineStr">
        <is>
          <t>Finance operating schedule</t>
        </is>
      </c>
      <c r="L91" s="47" t="inlineStr">
        <is>
          <t>2026-06-30</t>
        </is>
      </c>
      <c r="M91" s="27" t="inlineStr"/>
    </row>
    <row r="92">
      <c r="A92" s="36" t="inlineStr">
        <is>
          <t>PLN-01151</t>
        </is>
      </c>
      <c r="B92" s="27" t="inlineStr">
        <is>
          <t>Scenario-weighted earnings and liquidity at risk</t>
        </is>
      </c>
      <c r="C92" s="27" t="inlineStr">
        <is>
          <t>Integrated risk scenarios</t>
        </is>
      </c>
      <c r="D92" s="27" t="inlineStr">
        <is>
          <t>Alder Ridge</t>
        </is>
      </c>
      <c r="E92" s="27" t="inlineStr">
        <is>
          <t>Soft landing</t>
        </is>
      </c>
      <c r="F92" s="27" t="inlineStr">
        <is>
          <t>Approved case</t>
        </is>
      </c>
      <c r="G92" s="27" t="inlineStr">
        <is>
          <t>DSO change</t>
        </is>
      </c>
      <c r="H92" s="46" t="n">
        <v>7</v>
      </c>
      <c r="I92" s="27" t="inlineStr"/>
      <c r="J92" s="27" t="inlineStr">
        <is>
          <t>days</t>
        </is>
      </c>
      <c r="K92" s="27" t="inlineStr">
        <is>
          <t>Finance operating schedule</t>
        </is>
      </c>
      <c r="L92" s="47" t="inlineStr">
        <is>
          <t>2026-06-30</t>
        </is>
      </c>
      <c r="M92" s="27" t="inlineStr"/>
    </row>
    <row r="93">
      <c r="A93" s="36" t="inlineStr">
        <is>
          <t>PLN-01152</t>
        </is>
      </c>
      <c r="B93" s="27" t="inlineStr">
        <is>
          <t>Scenario-weighted earnings and liquidity at risk</t>
        </is>
      </c>
      <c r="C93" s="27" t="inlineStr">
        <is>
          <t>Integrated risk scenarios</t>
        </is>
      </c>
      <c r="D93" s="27" t="inlineStr">
        <is>
          <t>Alder Ridge</t>
        </is>
      </c>
      <c r="E93" s="27" t="inlineStr">
        <is>
          <t>Soft landing</t>
        </is>
      </c>
      <c r="F93" s="27" t="inlineStr">
        <is>
          <t>Approved case</t>
        </is>
      </c>
      <c r="G93" s="27" t="inlineStr">
        <is>
          <t>Capex deferral</t>
        </is>
      </c>
      <c r="H93" s="46" t="n">
        <v>350000</v>
      </c>
      <c r="I93" s="27" t="inlineStr"/>
      <c r="J93" s="27" t="inlineStr">
        <is>
          <t>USD</t>
        </is>
      </c>
      <c r="K93" s="27" t="inlineStr">
        <is>
          <t>Finance operating schedule</t>
        </is>
      </c>
      <c r="L93" s="47" t="inlineStr">
        <is>
          <t>2026-06-30</t>
        </is>
      </c>
      <c r="M93" s="27" t="inlineStr"/>
    </row>
    <row r="94">
      <c r="A94" s="36" t="inlineStr">
        <is>
          <t>PLN-01153</t>
        </is>
      </c>
      <c r="B94" s="27" t="inlineStr">
        <is>
          <t>Scenario-weighted earnings and liquidity at risk</t>
        </is>
      </c>
      <c r="C94" s="27" t="inlineStr">
        <is>
          <t>Integrated risk scenarios</t>
        </is>
      </c>
      <c r="D94" s="27" t="inlineStr">
        <is>
          <t>Alder Ridge</t>
        </is>
      </c>
      <c r="E94" s="27" t="inlineStr">
        <is>
          <t>Soft landing</t>
        </is>
      </c>
      <c r="F94" s="27" t="inlineStr">
        <is>
          <t>Approved case</t>
        </is>
      </c>
      <c r="G94" s="27" t="inlineStr">
        <is>
          <t>One-time mitigation cost</t>
        </is>
      </c>
      <c r="H94" s="46" t="n">
        <v>220000</v>
      </c>
      <c r="I94" s="27" t="inlineStr"/>
      <c r="J94" s="27" t="inlineStr">
        <is>
          <t>USD</t>
        </is>
      </c>
      <c r="K94" s="27" t="inlineStr">
        <is>
          <t>Finance operating schedule</t>
        </is>
      </c>
      <c r="L94" s="47" t="inlineStr">
        <is>
          <t>2026-06-30</t>
        </is>
      </c>
      <c r="M94" s="27" t="inlineStr"/>
    </row>
    <row r="95">
      <c r="A95" s="36" t="inlineStr">
        <is>
          <t>PLN-01154</t>
        </is>
      </c>
      <c r="B95" s="27" t="inlineStr">
        <is>
          <t>Scenario-weighted earnings and liquidity at risk</t>
        </is>
      </c>
      <c r="C95" s="27" t="inlineStr">
        <is>
          <t>Integrated risk scenarios</t>
        </is>
      </c>
      <c r="D95" s="27" t="inlineStr">
        <is>
          <t>Alder Ridge</t>
        </is>
      </c>
      <c r="E95" s="27" t="inlineStr">
        <is>
          <t>Severe</t>
        </is>
      </c>
      <c r="F95" s="27" t="inlineStr">
        <is>
          <t>Approved case</t>
        </is>
      </c>
      <c r="G95" s="27" t="inlineStr">
        <is>
          <t>Probability</t>
        </is>
      </c>
      <c r="H95" s="46" t="n">
        <v>0.15</v>
      </c>
      <c r="I95" s="27" t="inlineStr"/>
      <c r="J95" s="27" t="inlineStr">
        <is>
          <t>decimal ratio</t>
        </is>
      </c>
      <c r="K95" s="27" t="inlineStr">
        <is>
          <t>Finance operating schedule</t>
        </is>
      </c>
      <c r="L95" s="47" t="inlineStr">
        <is>
          <t>2026-06-30</t>
        </is>
      </c>
      <c r="M95" s="27" t="inlineStr"/>
    </row>
    <row r="96">
      <c r="A96" s="36" t="inlineStr">
        <is>
          <t>PLN-01155</t>
        </is>
      </c>
      <c r="B96" s="27" t="inlineStr">
        <is>
          <t>Scenario-weighted earnings and liquidity at risk</t>
        </is>
      </c>
      <c r="C96" s="27" t="inlineStr">
        <is>
          <t>Integrated risk scenarios</t>
        </is>
      </c>
      <c r="D96" s="27" t="inlineStr">
        <is>
          <t>Alder Ridge</t>
        </is>
      </c>
      <c r="E96" s="27" t="inlineStr">
        <is>
          <t>Severe</t>
        </is>
      </c>
      <c r="F96" s="27" t="inlineStr">
        <is>
          <t>Approved case</t>
        </is>
      </c>
      <c r="G96" s="27" t="inlineStr">
        <is>
          <t>Revenue change</t>
        </is>
      </c>
      <c r="H96" s="46" t="n">
        <v>-0.145</v>
      </c>
      <c r="I96" s="27" t="inlineStr"/>
      <c r="J96" s="27" t="inlineStr">
        <is>
          <t>decimal ratio</t>
        </is>
      </c>
      <c r="K96" s="27" t="inlineStr">
        <is>
          <t>Finance operating schedule</t>
        </is>
      </c>
      <c r="L96" s="47" t="inlineStr">
        <is>
          <t>2026-06-30</t>
        </is>
      </c>
      <c r="M96" s="27" t="inlineStr"/>
    </row>
    <row r="97">
      <c r="A97" s="36" t="inlineStr">
        <is>
          <t>PLN-01156</t>
        </is>
      </c>
      <c r="B97" s="27" t="inlineStr">
        <is>
          <t>Scenario-weighted earnings and liquidity at risk</t>
        </is>
      </c>
      <c r="C97" s="27" t="inlineStr">
        <is>
          <t>Integrated risk scenarios</t>
        </is>
      </c>
      <c r="D97" s="27" t="inlineStr">
        <is>
          <t>Alder Ridge</t>
        </is>
      </c>
      <c r="E97" s="27" t="inlineStr">
        <is>
          <t>Severe</t>
        </is>
      </c>
      <c r="F97" s="27" t="inlineStr">
        <is>
          <t>Approved case</t>
        </is>
      </c>
      <c r="G97" s="27" t="inlineStr">
        <is>
          <t>Gross margin change</t>
        </is>
      </c>
      <c r="H97" s="46" t="n">
        <v>-0.0325</v>
      </c>
      <c r="I97" s="27" t="inlineStr"/>
      <c r="J97" s="27" t="inlineStr">
        <is>
          <t>decimal ratio</t>
        </is>
      </c>
      <c r="K97" s="27" t="inlineStr">
        <is>
          <t>Finance operating schedule</t>
        </is>
      </c>
      <c r="L97" s="47" t="inlineStr">
        <is>
          <t>2026-06-30</t>
        </is>
      </c>
      <c r="M97" s="27" t="inlineStr"/>
    </row>
    <row r="98">
      <c r="A98" s="36" t="inlineStr">
        <is>
          <t>PLN-01157</t>
        </is>
      </c>
      <c r="B98" s="27" t="inlineStr">
        <is>
          <t>Scenario-weighted earnings and liquidity at risk</t>
        </is>
      </c>
      <c r="C98" s="27" t="inlineStr">
        <is>
          <t>Integrated risk scenarios</t>
        </is>
      </c>
      <c r="D98" s="27" t="inlineStr">
        <is>
          <t>Alder Ridge</t>
        </is>
      </c>
      <c r="E98" s="27" t="inlineStr">
        <is>
          <t>Severe</t>
        </is>
      </c>
      <c r="F98" s="27" t="inlineStr">
        <is>
          <t>Approved case</t>
        </is>
      </c>
      <c r="G98" s="27" t="inlineStr">
        <is>
          <t>DSO change</t>
        </is>
      </c>
      <c r="H98" s="46" t="n">
        <v>18</v>
      </c>
      <c r="I98" s="27" t="inlineStr"/>
      <c r="J98" s="27" t="inlineStr">
        <is>
          <t>days</t>
        </is>
      </c>
      <c r="K98" s="27" t="inlineStr">
        <is>
          <t>Finance operating schedule</t>
        </is>
      </c>
      <c r="L98" s="47" t="inlineStr">
        <is>
          <t>2026-06-30</t>
        </is>
      </c>
      <c r="M98" s="27" t="inlineStr"/>
    </row>
    <row r="99">
      <c r="A99" s="36" t="inlineStr">
        <is>
          <t>PLN-01158</t>
        </is>
      </c>
      <c r="B99" s="27" t="inlineStr">
        <is>
          <t>Scenario-weighted earnings and liquidity at risk</t>
        </is>
      </c>
      <c r="C99" s="27" t="inlineStr">
        <is>
          <t>Integrated risk scenarios</t>
        </is>
      </c>
      <c r="D99" s="27" t="inlineStr">
        <is>
          <t>Alder Ridge</t>
        </is>
      </c>
      <c r="E99" s="27" t="inlineStr">
        <is>
          <t>Severe</t>
        </is>
      </c>
      <c r="F99" s="27" t="inlineStr">
        <is>
          <t>Approved case</t>
        </is>
      </c>
      <c r="G99" s="27" t="inlineStr">
        <is>
          <t>Capex deferral</t>
        </is>
      </c>
      <c r="H99" s="46" t="n">
        <v>725000</v>
      </c>
      <c r="I99" s="27" t="inlineStr"/>
      <c r="J99" s="27" t="inlineStr">
        <is>
          <t>USD</t>
        </is>
      </c>
      <c r="K99" s="27" t="inlineStr">
        <is>
          <t>Finance operating schedule</t>
        </is>
      </c>
      <c r="L99" s="47" t="inlineStr">
        <is>
          <t>2026-06-30</t>
        </is>
      </c>
      <c r="M99" s="27" t="inlineStr"/>
    </row>
    <row r="100">
      <c r="A100" s="36" t="inlineStr">
        <is>
          <t>PLN-01159</t>
        </is>
      </c>
      <c r="B100" s="27" t="inlineStr">
        <is>
          <t>Scenario-weighted earnings and liquidity at risk</t>
        </is>
      </c>
      <c r="C100" s="27" t="inlineStr">
        <is>
          <t>Integrated risk scenarios</t>
        </is>
      </c>
      <c r="D100" s="27" t="inlineStr">
        <is>
          <t>Alder Ridge</t>
        </is>
      </c>
      <c r="E100" s="27" t="inlineStr">
        <is>
          <t>Severe</t>
        </is>
      </c>
      <c r="F100" s="27" t="inlineStr">
        <is>
          <t>Approved case</t>
        </is>
      </c>
      <c r="G100" s="27" t="inlineStr">
        <is>
          <t>One-time mitigation cost</t>
        </is>
      </c>
      <c r="H100" s="46" t="n">
        <v>860</v>
      </c>
      <c r="I100" s="27" t="inlineStr"/>
      <c r="J100" s="27" t="inlineStr">
        <is>
          <t>USD thousands</t>
        </is>
      </c>
      <c r="K100" s="27" t="inlineStr">
        <is>
          <t>Finance operating schedule</t>
        </is>
      </c>
      <c r="L100" s="47" t="inlineStr">
        <is>
          <t>2026-06-30</t>
        </is>
      </c>
      <c r="M100" s="27" t="inlineStr"/>
    </row>
    <row r="101">
      <c r="A101" s="36" t="inlineStr">
        <is>
          <t>PLN-01160</t>
        </is>
      </c>
      <c r="B101" s="27" t="inlineStr">
        <is>
          <t>Scenario-weighted earnings and liquidity at risk</t>
        </is>
      </c>
      <c r="C101" s="27" t="inlineStr">
        <is>
          <t>Scenario cash assumptions</t>
        </is>
      </c>
      <c r="D101" s="27" t="inlineStr">
        <is>
          <t>Alder Ridge</t>
        </is>
      </c>
      <c r="E101" s="27" t="inlineStr">
        <is>
          <t>FY27</t>
        </is>
      </c>
      <c r="F101" s="27" t="inlineStr">
        <is>
          <t>Approved case</t>
        </is>
      </c>
      <c r="G101" s="27" t="inlineStr">
        <is>
          <t>Cash taxes</t>
        </is>
      </c>
      <c r="H101" s="46" t="n">
        <v>515000</v>
      </c>
      <c r="I101" s="27" t="inlineStr"/>
      <c r="J101" s="27" t="inlineStr">
        <is>
          <t>USD</t>
        </is>
      </c>
      <c r="K101" s="27" t="inlineStr">
        <is>
          <t>Finance operating schedule</t>
        </is>
      </c>
      <c r="L101" s="47" t="inlineStr">
        <is>
          <t>2026-06-30</t>
        </is>
      </c>
      <c r="M101" s="27" t="inlineStr"/>
    </row>
    <row r="102">
      <c r="A102" s="36" t="inlineStr">
        <is>
          <t>PLN-01161</t>
        </is>
      </c>
      <c r="B102" s="27" t="inlineStr">
        <is>
          <t>Scenario-weighted earnings and liquidity at risk</t>
        </is>
      </c>
      <c r="C102" s="27" t="inlineStr">
        <is>
          <t>Scenario cash assumptions</t>
        </is>
      </c>
      <c r="D102" s="27" t="inlineStr">
        <is>
          <t>Alder Ridge</t>
        </is>
      </c>
      <c r="E102" s="27" t="inlineStr">
        <is>
          <t>FY27</t>
        </is>
      </c>
      <c r="F102" s="27" t="inlineStr">
        <is>
          <t>Approved case</t>
        </is>
      </c>
      <c r="G102" s="27" t="inlineStr">
        <is>
          <t>Base capex</t>
        </is>
      </c>
      <c r="H102" s="46" t="n">
        <v>2875000</v>
      </c>
      <c r="I102" s="27" t="inlineStr"/>
      <c r="J102" s="27" t="inlineStr">
        <is>
          <t>USD</t>
        </is>
      </c>
      <c r="K102" s="27" t="inlineStr">
        <is>
          <t>Finance operating schedule</t>
        </is>
      </c>
      <c r="L102" s="47" t="inlineStr">
        <is>
          <t>2026-06-30</t>
        </is>
      </c>
      <c r="M102" s="27" t="inlineStr"/>
    </row>
    <row r="103">
      <c r="A103" s="36" t="inlineStr">
        <is>
          <t>PLN-01162</t>
        </is>
      </c>
      <c r="B103" s="27" t="inlineStr">
        <is>
          <t>Scenario-weighted earnings and liquidity at risk</t>
        </is>
      </c>
      <c r="C103" s="27" t="inlineStr">
        <is>
          <t>Scenario cash assumptions</t>
        </is>
      </c>
      <c r="D103" s="27" t="inlineStr">
        <is>
          <t>Alder Ridge</t>
        </is>
      </c>
      <c r="E103" s="27" t="inlineStr">
        <is>
          <t>FY27</t>
        </is>
      </c>
      <c r="F103" s="27" t="inlineStr">
        <is>
          <t>Approved case</t>
        </is>
      </c>
      <c r="G103" s="27" t="inlineStr">
        <is>
          <t>Base working capital investment</t>
        </is>
      </c>
      <c r="H103" s="46" t="n">
        <v>1420000</v>
      </c>
      <c r="I103" s="27" t="inlineStr"/>
      <c r="J103" s="27" t="inlineStr">
        <is>
          <t>USD</t>
        </is>
      </c>
      <c r="K103" s="27" t="inlineStr">
        <is>
          <t>Finance operating schedule</t>
        </is>
      </c>
      <c r="L103" s="47" t="inlineStr">
        <is>
          <t>2026-06-30</t>
        </is>
      </c>
      <c r="M103" s="27" t="inlineStr"/>
    </row>
    <row r="104">
      <c r="A104" s="36" t="inlineStr">
        <is>
          <t>PLN-01163</t>
        </is>
      </c>
      <c r="B104" s="27" t="inlineStr">
        <is>
          <t>Scenario-weighted earnings and liquidity at risk</t>
        </is>
      </c>
      <c r="C104" s="27" t="inlineStr">
        <is>
          <t>Scenario cash assumptions</t>
        </is>
      </c>
      <c r="D104" s="27" t="inlineStr">
        <is>
          <t>Alder Ridge</t>
        </is>
      </c>
      <c r="E104" s="27" t="inlineStr">
        <is>
          <t>FY27</t>
        </is>
      </c>
      <c r="F104" s="27" t="inlineStr">
        <is>
          <t>Approved case</t>
        </is>
      </c>
      <c r="G104" s="27" t="inlineStr">
        <is>
          <t>Minimum cash</t>
        </is>
      </c>
      <c r="H104" s="46" t="n">
        <v>2250</v>
      </c>
      <c r="I104" s="27" t="inlineStr"/>
      <c r="J104" s="27" t="inlineStr">
        <is>
          <t>USD thousands</t>
        </is>
      </c>
      <c r="K104" s="27" t="inlineStr">
        <is>
          <t>Finance operating schedule</t>
        </is>
      </c>
      <c r="L104" s="47" t="inlineStr">
        <is>
          <t>2026-06-30</t>
        </is>
      </c>
      <c r="M104" s="27" t="inlineStr"/>
    </row>
    <row r="105">
      <c r="A105" s="36" t="inlineStr">
        <is>
          <t>PLN-01164</t>
        </is>
      </c>
      <c r="B105" s="27" t="inlineStr">
        <is>
          <t>Scenario-weighted earnings and liquidity at risk</t>
        </is>
      </c>
      <c r="C105" s="27" t="inlineStr">
        <is>
          <t>Scenario cash assumptions</t>
        </is>
      </c>
      <c r="D105" s="27" t="inlineStr">
        <is>
          <t>Alder Ridge</t>
        </is>
      </c>
      <c r="E105" s="27" t="inlineStr">
        <is>
          <t>FY27</t>
        </is>
      </c>
      <c r="F105" s="27" t="inlineStr">
        <is>
          <t>Approved case</t>
        </is>
      </c>
      <c r="G105" s="27" t="inlineStr">
        <is>
          <t>Revolver capacity</t>
        </is>
      </c>
      <c r="H105" s="46" t="n">
        <v>8000000</v>
      </c>
      <c r="I105" s="27" t="inlineStr"/>
      <c r="J105" s="27" t="inlineStr">
        <is>
          <t>USD</t>
        </is>
      </c>
      <c r="K105" s="27" t="inlineStr">
        <is>
          <t>Finance operating schedule</t>
        </is>
      </c>
      <c r="L105" s="47" t="inlineStr">
        <is>
          <t>2026-06-30</t>
        </is>
      </c>
      <c r="M105" s="27" t="inlineStr"/>
    </row>
    <row r="106">
      <c r="A106" s="36" t="inlineStr">
        <is>
          <t>PLN-01179</t>
        </is>
      </c>
      <c r="B106" s="27" t="inlineStr">
        <is>
          <t>Scenario-weighted earnings and liquidity at risk</t>
        </is>
      </c>
      <c r="C106" s="27" t="inlineStr">
        <is>
          <t>Scenario mitigation actions</t>
        </is>
      </c>
      <c r="D106" s="27" t="inlineStr">
        <is>
          <t>Procurement lock</t>
        </is>
      </c>
      <c r="E106" s="27" t="inlineStr">
        <is>
          <t>FY27</t>
        </is>
      </c>
      <c r="F106" s="27" t="inlineStr">
        <is>
          <t>Approved case</t>
        </is>
      </c>
      <c r="G106" s="27" t="inlineStr">
        <is>
          <t>Full EBITDA benefit</t>
        </is>
      </c>
      <c r="H106" s="46" t="n">
        <v>740000</v>
      </c>
      <c r="I106" s="27" t="inlineStr"/>
      <c r="J106" s="27" t="inlineStr">
        <is>
          <t>USD</t>
        </is>
      </c>
      <c r="K106" s="27" t="inlineStr">
        <is>
          <t>Finance operating schedule</t>
        </is>
      </c>
      <c r="L106" s="47" t="inlineStr">
        <is>
          <t>2026-06-30</t>
        </is>
      </c>
      <c r="M106" s="27" t="inlineStr"/>
    </row>
    <row r="107">
      <c r="A107" s="36" t="inlineStr">
        <is>
          <t>PLN-01180</t>
        </is>
      </c>
      <c r="B107" s="27" t="inlineStr">
        <is>
          <t>Scenario-weighted earnings and liquidity at risk</t>
        </is>
      </c>
      <c r="C107" s="27" t="inlineStr">
        <is>
          <t>Scenario mitigation actions</t>
        </is>
      </c>
      <c r="D107" s="27" t="inlineStr">
        <is>
          <t>Procurement lock</t>
        </is>
      </c>
      <c r="E107" s="27" t="inlineStr">
        <is>
          <t>FY27</t>
        </is>
      </c>
      <c r="F107" s="27" t="inlineStr">
        <is>
          <t>Approved case</t>
        </is>
      </c>
      <c r="G107" s="27" t="inlineStr">
        <is>
          <t>Full cash release</t>
        </is>
      </c>
      <c r="H107" s="46" t="n">
        <v>0</v>
      </c>
      <c r="I107" s="27" t="inlineStr"/>
      <c r="J107" s="27" t="inlineStr">
        <is>
          <t>USD</t>
        </is>
      </c>
      <c r="K107" s="27" t="inlineStr">
        <is>
          <t>Finance operating schedule</t>
        </is>
      </c>
      <c r="L107" s="47" t="inlineStr">
        <is>
          <t>2026-06-30</t>
        </is>
      </c>
      <c r="M107" s="27" t="inlineStr"/>
    </row>
    <row r="108">
      <c r="A108" s="36" t="inlineStr">
        <is>
          <t>PLN-01181</t>
        </is>
      </c>
      <c r="B108" s="27" t="inlineStr">
        <is>
          <t>Scenario-weighted earnings and liquidity at risk</t>
        </is>
      </c>
      <c r="C108" s="27" t="inlineStr">
        <is>
          <t>Scenario mitigation actions</t>
        </is>
      </c>
      <c r="D108" s="27" t="inlineStr">
        <is>
          <t>Procurement lock</t>
        </is>
      </c>
      <c r="E108" s="27" t="inlineStr">
        <is>
          <t>FY27</t>
        </is>
      </c>
      <c r="F108" s="27" t="inlineStr">
        <is>
          <t>Approved case</t>
        </is>
      </c>
      <c r="G108" s="27" t="inlineStr">
        <is>
          <t>Cash implementation cost</t>
        </is>
      </c>
      <c r="H108" s="46" t="n">
        <v>160000</v>
      </c>
      <c r="I108" s="27" t="inlineStr"/>
      <c r="J108" s="27" t="inlineStr">
        <is>
          <t>USD</t>
        </is>
      </c>
      <c r="K108" s="27" t="inlineStr">
        <is>
          <t>Finance operating schedule</t>
        </is>
      </c>
      <c r="L108" s="47" t="inlineStr">
        <is>
          <t>2026-06-30</t>
        </is>
      </c>
      <c r="M108" s="27" t="inlineStr"/>
    </row>
    <row r="109">
      <c r="A109" s="36" t="inlineStr">
        <is>
          <t>PLN-01182</t>
        </is>
      </c>
      <c r="B109" s="27" t="inlineStr">
        <is>
          <t>Scenario-weighted earnings and liquidity at risk</t>
        </is>
      </c>
      <c r="C109" s="27" t="inlineStr">
        <is>
          <t>Scenario mitigation actions</t>
        </is>
      </c>
      <c r="D109" s="27" t="inlineStr">
        <is>
          <t>Procurement lock</t>
        </is>
      </c>
      <c r="E109" s="27" t="inlineStr">
        <is>
          <t>FY27</t>
        </is>
      </c>
      <c r="F109" s="27" t="inlineStr">
        <is>
          <t>Approved case</t>
        </is>
      </c>
      <c r="G109" s="27" t="inlineStr">
        <is>
          <t>Soft landing factor</t>
        </is>
      </c>
      <c r="H109" s="46" t="n">
        <v>1</v>
      </c>
      <c r="I109" s="27" t="inlineStr"/>
      <c r="J109" s="27" t="inlineStr">
        <is>
          <t>decimal ratio</t>
        </is>
      </c>
      <c r="K109" s="27" t="inlineStr">
        <is>
          <t>Finance operating schedule</t>
        </is>
      </c>
      <c r="L109" s="47" t="inlineStr">
        <is>
          <t>2026-06-30</t>
        </is>
      </c>
      <c r="M109" s="27" t="inlineStr"/>
    </row>
    <row r="110">
      <c r="A110" s="36" t="inlineStr">
        <is>
          <t>PLN-01183</t>
        </is>
      </c>
      <c r="B110" s="27" t="inlineStr">
        <is>
          <t>Scenario-weighted earnings and liquidity at risk</t>
        </is>
      </c>
      <c r="C110" s="27" t="inlineStr">
        <is>
          <t>Scenario mitigation actions</t>
        </is>
      </c>
      <c r="D110" s="27" t="inlineStr">
        <is>
          <t>Procurement lock</t>
        </is>
      </c>
      <c r="E110" s="27" t="inlineStr">
        <is>
          <t>FY27</t>
        </is>
      </c>
      <c r="F110" s="27" t="inlineStr">
        <is>
          <t>Approved case</t>
        </is>
      </c>
      <c r="G110" s="27" t="inlineStr">
        <is>
          <t>Severe factor</t>
        </is>
      </c>
      <c r="H110" s="46" t="n">
        <v>0.7</v>
      </c>
      <c r="I110" s="27" t="inlineStr"/>
      <c r="J110" s="27" t="inlineStr">
        <is>
          <t>decimal ratio</t>
        </is>
      </c>
      <c r="K110" s="27" t="inlineStr">
        <is>
          <t>Finance operating schedule</t>
        </is>
      </c>
      <c r="L110" s="47" t="inlineStr">
        <is>
          <t>2026-06-30</t>
        </is>
      </c>
      <c r="M110" s="27" t="inlineStr"/>
    </row>
    <row r="111">
      <c r="A111" s="36" t="inlineStr">
        <is>
          <t>PLN-01184</t>
        </is>
      </c>
      <c r="B111" s="27" t="inlineStr">
        <is>
          <t>Scenario-weighted earnings and liquidity at risk</t>
        </is>
      </c>
      <c r="C111" s="27" t="inlineStr">
        <is>
          <t>Scenario mitigation actions</t>
        </is>
      </c>
      <c r="D111" s="27" t="inlineStr">
        <is>
          <t>Procurement lock</t>
        </is>
      </c>
      <c r="E111" s="27" t="inlineStr">
        <is>
          <t>FY27</t>
        </is>
      </c>
      <c r="F111" s="27" t="inlineStr">
        <is>
          <t>Approved case</t>
        </is>
      </c>
      <c r="G111" s="27" t="inlineStr">
        <is>
          <t>Mandatory in Severe</t>
        </is>
      </c>
      <c r="H111" s="46" t="n">
        <v>0</v>
      </c>
      <c r="I111" s="27" t="inlineStr"/>
      <c r="J111" s="27" t="inlineStr">
        <is>
          <t>boolean</t>
        </is>
      </c>
      <c r="K111" s="27" t="inlineStr">
        <is>
          <t>Finance operating schedule</t>
        </is>
      </c>
      <c r="L111" s="47" t="inlineStr">
        <is>
          <t>2026-06-30</t>
        </is>
      </c>
      <c r="M111" s="27" t="inlineStr"/>
    </row>
    <row r="112">
      <c r="A112" s="36" t="inlineStr">
        <is>
          <t>PLN-01185</t>
        </is>
      </c>
      <c r="B112" s="27" t="inlineStr">
        <is>
          <t>Scenario-weighted earnings and liquidity at risk</t>
        </is>
      </c>
      <c r="C112" s="27" t="inlineStr">
        <is>
          <t>Scenario mitigation actions</t>
        </is>
      </c>
      <c r="D112" s="27" t="inlineStr">
        <is>
          <t>Overtime freeze</t>
        </is>
      </c>
      <c r="E112" s="27" t="inlineStr">
        <is>
          <t>FY27</t>
        </is>
      </c>
      <c r="F112" s="27" t="inlineStr">
        <is>
          <t>Approved case</t>
        </is>
      </c>
      <c r="G112" s="27" t="inlineStr">
        <is>
          <t>Full EBITDA benefit</t>
        </is>
      </c>
      <c r="H112" s="46" t="n">
        <v>420000</v>
      </c>
      <c r="I112" s="27" t="inlineStr"/>
      <c r="J112" s="27" t="inlineStr">
        <is>
          <t>USD</t>
        </is>
      </c>
      <c r="K112" s="27" t="inlineStr">
        <is>
          <t>Finance operating schedule</t>
        </is>
      </c>
      <c r="L112" s="47" t="inlineStr">
        <is>
          <t>2026-06-30</t>
        </is>
      </c>
      <c r="M112" s="27" t="inlineStr"/>
    </row>
    <row r="113">
      <c r="A113" s="36" t="inlineStr">
        <is>
          <t>PLN-01186</t>
        </is>
      </c>
      <c r="B113" s="27" t="inlineStr">
        <is>
          <t>Scenario-weighted earnings and liquidity at risk</t>
        </is>
      </c>
      <c r="C113" s="27" t="inlineStr">
        <is>
          <t>Scenario mitigation actions</t>
        </is>
      </c>
      <c r="D113" s="27" t="inlineStr">
        <is>
          <t>Overtime freeze</t>
        </is>
      </c>
      <c r="E113" s="27" t="inlineStr">
        <is>
          <t>FY27</t>
        </is>
      </c>
      <c r="F113" s="27" t="inlineStr">
        <is>
          <t>Approved case</t>
        </is>
      </c>
      <c r="G113" s="27" t="inlineStr">
        <is>
          <t>Full cash release</t>
        </is>
      </c>
      <c r="H113" s="46" t="n">
        <v>0</v>
      </c>
      <c r="I113" s="27" t="inlineStr"/>
      <c r="J113" s="27" t="inlineStr">
        <is>
          <t>USD</t>
        </is>
      </c>
      <c r="K113" s="27" t="inlineStr">
        <is>
          <t>Finance operating schedule</t>
        </is>
      </c>
      <c r="L113" s="47" t="inlineStr">
        <is>
          <t>2026-06-30</t>
        </is>
      </c>
      <c r="M113" s="27" t="inlineStr"/>
    </row>
    <row r="114">
      <c r="A114" s="36" t="inlineStr">
        <is>
          <t>PLN-01187</t>
        </is>
      </c>
      <c r="B114" s="27" t="inlineStr">
        <is>
          <t>Scenario-weighted earnings and liquidity at risk</t>
        </is>
      </c>
      <c r="C114" s="27" t="inlineStr">
        <is>
          <t>Scenario mitigation actions</t>
        </is>
      </c>
      <c r="D114" s="27" t="inlineStr">
        <is>
          <t>Overtime freeze</t>
        </is>
      </c>
      <c r="E114" s="27" t="inlineStr">
        <is>
          <t>FY27</t>
        </is>
      </c>
      <c r="F114" s="27" t="inlineStr">
        <is>
          <t>Approved case</t>
        </is>
      </c>
      <c r="G114" s="27" t="inlineStr">
        <is>
          <t>Cash implementation cost</t>
        </is>
      </c>
      <c r="H114" s="46" t="n">
        <v>75000</v>
      </c>
      <c r="I114" s="27" t="inlineStr"/>
      <c r="J114" s="27" t="inlineStr">
        <is>
          <t>USD</t>
        </is>
      </c>
      <c r="K114" s="27" t="inlineStr">
        <is>
          <t>Finance operating schedule</t>
        </is>
      </c>
      <c r="L114" s="47" t="inlineStr">
        <is>
          <t>2026-06-30</t>
        </is>
      </c>
      <c r="M114" s="27" t="inlineStr"/>
    </row>
    <row r="115">
      <c r="A115" s="36" t="inlineStr">
        <is>
          <t>PLN-01188</t>
        </is>
      </c>
      <c r="B115" s="27" t="inlineStr">
        <is>
          <t>Scenario-weighted earnings and liquidity at risk</t>
        </is>
      </c>
      <c r="C115" s="27" t="inlineStr">
        <is>
          <t>Scenario mitigation actions</t>
        </is>
      </c>
      <c r="D115" s="27" t="inlineStr">
        <is>
          <t>Overtime freeze</t>
        </is>
      </c>
      <c r="E115" s="27" t="inlineStr">
        <is>
          <t>FY27</t>
        </is>
      </c>
      <c r="F115" s="27" t="inlineStr">
        <is>
          <t>Approved case</t>
        </is>
      </c>
      <c r="G115" s="27" t="inlineStr">
        <is>
          <t>Soft landing factor</t>
        </is>
      </c>
      <c r="H115" s="46" t="n">
        <v>0.8</v>
      </c>
      <c r="I115" s="27" t="inlineStr"/>
      <c r="J115" s="27" t="inlineStr">
        <is>
          <t>decimal ratio</t>
        </is>
      </c>
      <c r="K115" s="27" t="inlineStr">
        <is>
          <t>Finance operating schedule</t>
        </is>
      </c>
      <c r="L115" s="47" t="inlineStr">
        <is>
          <t>2026-06-30</t>
        </is>
      </c>
      <c r="M115" s="27" t="inlineStr"/>
    </row>
    <row r="116">
      <c r="A116" s="36" t="inlineStr">
        <is>
          <t>PLN-01189</t>
        </is>
      </c>
      <c r="B116" s="27" t="inlineStr">
        <is>
          <t>Scenario-weighted earnings and liquidity at risk</t>
        </is>
      </c>
      <c r="C116" s="27" t="inlineStr">
        <is>
          <t>Scenario mitigation actions</t>
        </is>
      </c>
      <c r="D116" s="27" t="inlineStr">
        <is>
          <t>Overtime freeze</t>
        </is>
      </c>
      <c r="E116" s="27" t="inlineStr">
        <is>
          <t>FY27</t>
        </is>
      </c>
      <c r="F116" s="27" t="inlineStr">
        <is>
          <t>Approved case</t>
        </is>
      </c>
      <c r="G116" s="27" t="inlineStr">
        <is>
          <t>Severe factor</t>
        </is>
      </c>
      <c r="H116" s="46" t="n">
        <v>1</v>
      </c>
      <c r="I116" s="27" t="inlineStr"/>
      <c r="J116" s="27" t="inlineStr">
        <is>
          <t>decimal ratio</t>
        </is>
      </c>
      <c r="K116" s="27" t="inlineStr">
        <is>
          <t>Finance operating schedule</t>
        </is>
      </c>
      <c r="L116" s="47" t="inlineStr">
        <is>
          <t>2026-06-30</t>
        </is>
      </c>
      <c r="M116" s="27" t="inlineStr"/>
    </row>
    <row r="117">
      <c r="A117" s="36" t="inlineStr">
        <is>
          <t>PLN-01190</t>
        </is>
      </c>
      <c r="B117" s="27" t="inlineStr">
        <is>
          <t>Scenario-weighted earnings and liquidity at risk</t>
        </is>
      </c>
      <c r="C117" s="27" t="inlineStr">
        <is>
          <t>Scenario mitigation actions</t>
        </is>
      </c>
      <c r="D117" s="27" t="inlineStr">
        <is>
          <t>Overtime freeze</t>
        </is>
      </c>
      <c r="E117" s="27" t="inlineStr">
        <is>
          <t>FY27</t>
        </is>
      </c>
      <c r="F117" s="27" t="inlineStr">
        <is>
          <t>Approved case</t>
        </is>
      </c>
      <c r="G117" s="27" t="inlineStr">
        <is>
          <t>Mandatory in Severe</t>
        </is>
      </c>
      <c r="H117" s="46" t="n">
        <v>0</v>
      </c>
      <c r="I117" s="27" t="inlineStr"/>
      <c r="J117" s="27" t="inlineStr">
        <is>
          <t>boolean</t>
        </is>
      </c>
      <c r="K117" s="27" t="inlineStr">
        <is>
          <t>Finance operating schedule</t>
        </is>
      </c>
      <c r="L117" s="47" t="inlineStr">
        <is>
          <t>2026-06-30</t>
        </is>
      </c>
      <c r="M117" s="27" t="inlineStr"/>
    </row>
    <row r="118">
      <c r="A118" s="36" t="inlineStr">
        <is>
          <t>PLN-01191</t>
        </is>
      </c>
      <c r="B118" s="27" t="inlineStr">
        <is>
          <t>Scenario-weighted earnings and liquidity at risk</t>
        </is>
      </c>
      <c r="C118" s="27" t="inlineStr">
        <is>
          <t>Scenario mitigation actions</t>
        </is>
      </c>
      <c r="D118" s="27" t="inlineStr">
        <is>
          <t>Working capital war room</t>
        </is>
      </c>
      <c r="E118" s="27" t="inlineStr">
        <is>
          <t>FY27</t>
        </is>
      </c>
      <c r="F118" s="27" t="inlineStr">
        <is>
          <t>Approved case</t>
        </is>
      </c>
      <c r="G118" s="27" t="inlineStr">
        <is>
          <t>Full EBITDA benefit</t>
        </is>
      </c>
      <c r="H118" s="46" t="n">
        <v>0</v>
      </c>
      <c r="I118" s="27" t="inlineStr"/>
      <c r="J118" s="27" t="inlineStr">
        <is>
          <t>USD</t>
        </is>
      </c>
      <c r="K118" s="27" t="inlineStr">
        <is>
          <t>Finance operating schedule</t>
        </is>
      </c>
      <c r="L118" s="47" t="inlineStr">
        <is>
          <t>2026-06-30</t>
        </is>
      </c>
      <c r="M118" s="27" t="inlineStr"/>
    </row>
    <row r="119">
      <c r="A119" s="36" t="inlineStr">
        <is>
          <t>PLN-01192</t>
        </is>
      </c>
      <c r="B119" s="27" t="inlineStr">
        <is>
          <t>Scenario-weighted earnings and liquidity at risk</t>
        </is>
      </c>
      <c r="C119" s="27" t="inlineStr">
        <is>
          <t>Scenario mitigation actions</t>
        </is>
      </c>
      <c r="D119" s="27" t="inlineStr">
        <is>
          <t>Working capital war room</t>
        </is>
      </c>
      <c r="E119" s="27" t="inlineStr">
        <is>
          <t>FY27</t>
        </is>
      </c>
      <c r="F119" s="27" t="inlineStr">
        <is>
          <t>Approved case</t>
        </is>
      </c>
      <c r="G119" s="27" t="inlineStr">
        <is>
          <t>Full cash release</t>
        </is>
      </c>
      <c r="H119" s="46" t="n">
        <v>900000</v>
      </c>
      <c r="I119" s="27" t="inlineStr"/>
      <c r="J119" s="27" t="inlineStr">
        <is>
          <t>USD</t>
        </is>
      </c>
      <c r="K119" s="27" t="inlineStr">
        <is>
          <t>Finance operating schedule</t>
        </is>
      </c>
      <c r="L119" s="47" t="inlineStr">
        <is>
          <t>2026-06-30</t>
        </is>
      </c>
      <c r="M119" s="27" t="inlineStr"/>
    </row>
    <row r="120">
      <c r="A120" s="36" t="inlineStr">
        <is>
          <t>PLN-01193</t>
        </is>
      </c>
      <c r="B120" s="27" t="inlineStr">
        <is>
          <t>Scenario-weighted earnings and liquidity at risk</t>
        </is>
      </c>
      <c r="C120" s="27" t="inlineStr">
        <is>
          <t>Scenario mitigation actions</t>
        </is>
      </c>
      <c r="D120" s="27" t="inlineStr">
        <is>
          <t>Working capital war room</t>
        </is>
      </c>
      <c r="E120" s="27" t="inlineStr">
        <is>
          <t>FY27</t>
        </is>
      </c>
      <c r="F120" s="27" t="inlineStr">
        <is>
          <t>Approved case</t>
        </is>
      </c>
      <c r="G120" s="27" t="inlineStr">
        <is>
          <t>Cash implementation cost</t>
        </is>
      </c>
      <c r="H120" s="46" t="n">
        <v>145000</v>
      </c>
      <c r="I120" s="27" t="inlineStr"/>
      <c r="J120" s="27" t="inlineStr">
        <is>
          <t>USD</t>
        </is>
      </c>
      <c r="K120" s="27" t="inlineStr">
        <is>
          <t>Finance operating schedule</t>
        </is>
      </c>
      <c r="L120" s="47" t="inlineStr">
        <is>
          <t>2026-06-30</t>
        </is>
      </c>
      <c r="M120" s="27" t="inlineStr"/>
    </row>
    <row r="121">
      <c r="A121" s="36" t="inlineStr">
        <is>
          <t>PLN-01194</t>
        </is>
      </c>
      <c r="B121" s="27" t="inlineStr">
        <is>
          <t>Scenario-weighted earnings and liquidity at risk</t>
        </is>
      </c>
      <c r="C121" s="27" t="inlineStr">
        <is>
          <t>Scenario mitigation actions</t>
        </is>
      </c>
      <c r="D121" s="27" t="inlineStr">
        <is>
          <t>Working capital war room</t>
        </is>
      </c>
      <c r="E121" s="27" t="inlineStr">
        <is>
          <t>FY27</t>
        </is>
      </c>
      <c r="F121" s="27" t="inlineStr">
        <is>
          <t>Approved case</t>
        </is>
      </c>
      <c r="G121" s="27" t="inlineStr">
        <is>
          <t>Soft landing factor</t>
        </is>
      </c>
      <c r="H121" s="46" t="n">
        <v>0.45</v>
      </c>
      <c r="I121" s="27" t="inlineStr"/>
      <c r="J121" s="27" t="inlineStr">
        <is>
          <t>decimal ratio</t>
        </is>
      </c>
      <c r="K121" s="27" t="inlineStr">
        <is>
          <t>Finance operating schedule</t>
        </is>
      </c>
      <c r="L121" s="47" t="inlineStr">
        <is>
          <t>2026-06-30</t>
        </is>
      </c>
      <c r="M121" s="27" t="inlineStr"/>
    </row>
    <row r="122">
      <c r="A122" s="36" t="inlineStr">
        <is>
          <t>PLN-01195</t>
        </is>
      </c>
      <c r="B122" s="27" t="inlineStr">
        <is>
          <t>Scenario-weighted earnings and liquidity at risk</t>
        </is>
      </c>
      <c r="C122" s="27" t="inlineStr">
        <is>
          <t>Scenario mitigation actions</t>
        </is>
      </c>
      <c r="D122" s="27" t="inlineStr">
        <is>
          <t>Working capital war room</t>
        </is>
      </c>
      <c r="E122" s="27" t="inlineStr">
        <is>
          <t>FY27</t>
        </is>
      </c>
      <c r="F122" s="27" t="inlineStr">
        <is>
          <t>Approved case</t>
        </is>
      </c>
      <c r="G122" s="27" t="inlineStr">
        <is>
          <t>Severe factor</t>
        </is>
      </c>
      <c r="H122" s="46" t="n">
        <v>1</v>
      </c>
      <c r="I122" s="27" t="inlineStr"/>
      <c r="J122" s="27" t="inlineStr">
        <is>
          <t>decimal ratio</t>
        </is>
      </c>
      <c r="K122" s="27" t="inlineStr">
        <is>
          <t>Finance operating schedule</t>
        </is>
      </c>
      <c r="L122" s="47" t="inlineStr">
        <is>
          <t>2026-06-30</t>
        </is>
      </c>
      <c r="M122" s="27" t="inlineStr"/>
    </row>
    <row r="123">
      <c r="A123" s="36" t="inlineStr">
        <is>
          <t>PLN-01196</t>
        </is>
      </c>
      <c r="B123" s="27" t="inlineStr">
        <is>
          <t>Scenario-weighted earnings and liquidity at risk</t>
        </is>
      </c>
      <c r="C123" s="27" t="inlineStr">
        <is>
          <t>Scenario mitigation actions</t>
        </is>
      </c>
      <c r="D123" s="27" t="inlineStr">
        <is>
          <t>Working capital war room</t>
        </is>
      </c>
      <c r="E123" s="27" t="inlineStr">
        <is>
          <t>FY27</t>
        </is>
      </c>
      <c r="F123" s="27" t="inlineStr">
        <is>
          <t>Approved case</t>
        </is>
      </c>
      <c r="G123" s="27" t="inlineStr">
        <is>
          <t>Mandatory in Severe</t>
        </is>
      </c>
      <c r="H123" s="46" t="n">
        <v>1</v>
      </c>
      <c r="I123" s="27" t="inlineStr"/>
      <c r="J123" s="27" t="inlineStr">
        <is>
          <t>boolean</t>
        </is>
      </c>
      <c r="K123" s="27" t="inlineStr">
        <is>
          <t>Finance operating schedule</t>
        </is>
      </c>
      <c r="L123" s="47" t="inlineStr">
        <is>
          <t>2026-06-30</t>
        </is>
      </c>
      <c r="M123" s="27" t="inlineStr"/>
    </row>
    <row r="124">
      <c r="A124" s="36" t="inlineStr">
        <is>
          <t>PLN-01197</t>
        </is>
      </c>
      <c r="B124" s="27" t="inlineStr">
        <is>
          <t>Scenario-weighted earnings and liquidity at risk</t>
        </is>
      </c>
      <c r="C124" s="27" t="inlineStr">
        <is>
          <t>Scenario mitigation actions</t>
        </is>
      </c>
      <c r="D124" s="27" t="inlineStr">
        <is>
          <t>Capex gate</t>
        </is>
      </c>
      <c r="E124" s="27" t="inlineStr">
        <is>
          <t>FY27</t>
        </is>
      </c>
      <c r="F124" s="27" t="inlineStr">
        <is>
          <t>Approved case</t>
        </is>
      </c>
      <c r="G124" s="27" t="inlineStr">
        <is>
          <t>Full EBITDA benefit</t>
        </is>
      </c>
      <c r="H124" s="46" t="n">
        <v>0</v>
      </c>
      <c r="I124" s="27" t="inlineStr"/>
      <c r="J124" s="27" t="inlineStr">
        <is>
          <t>USD</t>
        </is>
      </c>
      <c r="K124" s="27" t="inlineStr">
        <is>
          <t>Finance operating schedule</t>
        </is>
      </c>
      <c r="L124" s="47" t="inlineStr">
        <is>
          <t>2026-06-30</t>
        </is>
      </c>
      <c r="M124" s="27" t="inlineStr"/>
    </row>
    <row r="125">
      <c r="A125" s="36" t="inlineStr">
        <is>
          <t>PLN-01198</t>
        </is>
      </c>
      <c r="B125" s="27" t="inlineStr">
        <is>
          <t>Scenario-weighted earnings and liquidity at risk</t>
        </is>
      </c>
      <c r="C125" s="27" t="inlineStr">
        <is>
          <t>Scenario mitigation actions</t>
        </is>
      </c>
      <c r="D125" s="27" t="inlineStr">
        <is>
          <t>Capex gate</t>
        </is>
      </c>
      <c r="E125" s="27" t="inlineStr">
        <is>
          <t>FY27</t>
        </is>
      </c>
      <c r="F125" s="27" t="inlineStr">
        <is>
          <t>Approved case</t>
        </is>
      </c>
      <c r="G125" s="27" t="inlineStr">
        <is>
          <t>Full cash release</t>
        </is>
      </c>
      <c r="H125" s="46" t="n">
        <v>550</v>
      </c>
      <c r="I125" s="27" t="inlineStr"/>
      <c r="J125" s="27" t="inlineStr">
        <is>
          <t>USD thousands</t>
        </is>
      </c>
      <c r="K125" s="27" t="inlineStr">
        <is>
          <t>Finance operating schedule</t>
        </is>
      </c>
      <c r="L125" s="47" t="inlineStr">
        <is>
          <t>2026-06-30</t>
        </is>
      </c>
      <c r="M125" s="27" t="inlineStr"/>
    </row>
    <row r="126">
      <c r="A126" s="36" t="inlineStr">
        <is>
          <t>PLN-01199</t>
        </is>
      </c>
      <c r="B126" s="27" t="inlineStr">
        <is>
          <t>Scenario-weighted earnings and liquidity at risk</t>
        </is>
      </c>
      <c r="C126" s="27" t="inlineStr">
        <is>
          <t>Scenario mitigation actions</t>
        </is>
      </c>
      <c r="D126" s="27" t="inlineStr">
        <is>
          <t>Capex gate</t>
        </is>
      </c>
      <c r="E126" s="27" t="inlineStr">
        <is>
          <t>FY27</t>
        </is>
      </c>
      <c r="F126" s="27" t="inlineStr">
        <is>
          <t>Approved case</t>
        </is>
      </c>
      <c r="G126" s="27" t="inlineStr">
        <is>
          <t>Cash implementation cost</t>
        </is>
      </c>
      <c r="H126" s="46" t="n">
        <v>35000</v>
      </c>
      <c r="I126" s="27" t="inlineStr"/>
      <c r="J126" s="27" t="inlineStr">
        <is>
          <t>USD</t>
        </is>
      </c>
      <c r="K126" s="27" t="inlineStr">
        <is>
          <t>Finance operating schedule</t>
        </is>
      </c>
      <c r="L126" s="47" t="inlineStr">
        <is>
          <t>2026-06-30</t>
        </is>
      </c>
      <c r="M126" s="27" t="inlineStr"/>
    </row>
    <row r="127">
      <c r="A127" s="36" t="inlineStr">
        <is>
          <t>PLN-01200</t>
        </is>
      </c>
      <c r="B127" s="27" t="inlineStr">
        <is>
          <t>Scenario-weighted earnings and liquidity at risk</t>
        </is>
      </c>
      <c r="C127" s="27" t="inlineStr">
        <is>
          <t>Scenario mitigation actions</t>
        </is>
      </c>
      <c r="D127" s="27" t="inlineStr">
        <is>
          <t>Capex gate</t>
        </is>
      </c>
      <c r="E127" s="27" t="inlineStr">
        <is>
          <t>FY27</t>
        </is>
      </c>
      <c r="F127" s="27" t="inlineStr">
        <is>
          <t>Approved case</t>
        </is>
      </c>
      <c r="G127" s="27" t="inlineStr">
        <is>
          <t>Soft landing factor</t>
        </is>
      </c>
      <c r="H127" s="46" t="n">
        <v>0.5</v>
      </c>
      <c r="I127" s="27" t="inlineStr"/>
      <c r="J127" s="27" t="inlineStr">
        <is>
          <t>decimal ratio</t>
        </is>
      </c>
      <c r="K127" s="27" t="inlineStr">
        <is>
          <t>Finance operating schedule</t>
        </is>
      </c>
      <c r="L127" s="47" t="inlineStr">
        <is>
          <t>2026-06-30</t>
        </is>
      </c>
      <c r="M127" s="27" t="inlineStr"/>
    </row>
    <row r="128">
      <c r="A128" s="36" t="inlineStr">
        <is>
          <t>PLN-01201</t>
        </is>
      </c>
      <c r="B128" s="27" t="inlineStr">
        <is>
          <t>Scenario-weighted earnings and liquidity at risk</t>
        </is>
      </c>
      <c r="C128" s="27" t="inlineStr">
        <is>
          <t>Scenario mitigation actions</t>
        </is>
      </c>
      <c r="D128" s="27" t="inlineStr">
        <is>
          <t>Capex gate</t>
        </is>
      </c>
      <c r="E128" s="27" t="inlineStr">
        <is>
          <t>FY27</t>
        </is>
      </c>
      <c r="F128" s="27" t="inlineStr">
        <is>
          <t>Approved case</t>
        </is>
      </c>
      <c r="G128" s="27" t="inlineStr">
        <is>
          <t>Severe factor</t>
        </is>
      </c>
      <c r="H128" s="46" t="n">
        <v>1</v>
      </c>
      <c r="I128" s="27" t="inlineStr"/>
      <c r="J128" s="27" t="inlineStr">
        <is>
          <t>decimal ratio</t>
        </is>
      </c>
      <c r="K128" s="27" t="inlineStr">
        <is>
          <t>Finance operating schedule</t>
        </is>
      </c>
      <c r="L128" s="47" t="inlineStr">
        <is>
          <t>2026-06-30</t>
        </is>
      </c>
      <c r="M128" s="27" t="inlineStr"/>
    </row>
    <row r="129">
      <c r="A129" s="36" t="inlineStr">
        <is>
          <t>PLN-01202</t>
        </is>
      </c>
      <c r="B129" s="27" t="inlineStr">
        <is>
          <t>Scenario-weighted earnings and liquidity at risk</t>
        </is>
      </c>
      <c r="C129" s="27" t="inlineStr">
        <is>
          <t>Scenario mitigation actions</t>
        </is>
      </c>
      <c r="D129" s="27" t="inlineStr">
        <is>
          <t>Capex gate</t>
        </is>
      </c>
      <c r="E129" s="27" t="inlineStr">
        <is>
          <t>FY27</t>
        </is>
      </c>
      <c r="F129" s="27" t="inlineStr">
        <is>
          <t>Approved case</t>
        </is>
      </c>
      <c r="G129" s="27" t="inlineStr">
        <is>
          <t>Mandatory in Severe</t>
        </is>
      </c>
      <c r="H129" s="46" t="n">
        <v>0</v>
      </c>
      <c r="I129" s="27" t="inlineStr"/>
      <c r="J129" s="27" t="inlineStr">
        <is>
          <t>boolean</t>
        </is>
      </c>
      <c r="K129" s="27" t="inlineStr">
        <is>
          <t>Finance operating schedule</t>
        </is>
      </c>
      <c r="L129" s="47" t="inlineStr">
        <is>
          <t>2026-06-30</t>
        </is>
      </c>
      <c r="M129" s="27" t="inlineStr"/>
    </row>
    <row r="130">
      <c r="A130" s="36" t="inlineStr">
        <is>
          <t>PLN-01203</t>
        </is>
      </c>
      <c r="B130" s="27" t="inlineStr">
        <is>
          <t>Scenario-weighted earnings and liquidity at risk</t>
        </is>
      </c>
      <c r="C130" s="27" t="inlineStr">
        <is>
          <t>Scenario mitigation actions</t>
        </is>
      </c>
      <c r="D130" s="27" t="inlineStr">
        <is>
          <t>Vendor term extension</t>
        </is>
      </c>
      <c r="E130" s="27" t="inlineStr">
        <is>
          <t>FY27</t>
        </is>
      </c>
      <c r="F130" s="27" t="inlineStr">
        <is>
          <t>Approved case</t>
        </is>
      </c>
      <c r="G130" s="27" t="inlineStr">
        <is>
          <t>Full EBITDA benefit</t>
        </is>
      </c>
      <c r="H130" s="46" t="n">
        <v>0</v>
      </c>
      <c r="I130" s="27" t="inlineStr"/>
      <c r="J130" s="27" t="inlineStr">
        <is>
          <t>USD</t>
        </is>
      </c>
      <c r="K130" s="27" t="inlineStr">
        <is>
          <t>Finance operating schedule</t>
        </is>
      </c>
      <c r="L130" s="47" t="inlineStr">
        <is>
          <t>2026-06-30</t>
        </is>
      </c>
      <c r="M130" s="27" t="inlineStr"/>
    </row>
    <row r="131">
      <c r="A131" s="36" t="inlineStr">
        <is>
          <t>PLN-01204</t>
        </is>
      </c>
      <c r="B131" s="27" t="inlineStr">
        <is>
          <t>Scenario-weighted earnings and liquidity at risk</t>
        </is>
      </c>
      <c r="C131" s="27" t="inlineStr">
        <is>
          <t>Scenario mitigation actions</t>
        </is>
      </c>
      <c r="D131" s="27" t="inlineStr">
        <is>
          <t>Vendor term extension</t>
        </is>
      </c>
      <c r="E131" s="27" t="inlineStr">
        <is>
          <t>FY27</t>
        </is>
      </c>
      <c r="F131" s="27" t="inlineStr">
        <is>
          <t>Approved case</t>
        </is>
      </c>
      <c r="G131" s="27" t="inlineStr">
        <is>
          <t>Full cash release</t>
        </is>
      </c>
      <c r="H131" s="46" t="n">
        <v>400000</v>
      </c>
      <c r="I131" s="27" t="inlineStr"/>
      <c r="J131" s="27" t="inlineStr">
        <is>
          <t>USD</t>
        </is>
      </c>
      <c r="K131" s="27" t="inlineStr">
        <is>
          <t>Finance operating schedule</t>
        </is>
      </c>
      <c r="L131" s="47" t="inlineStr">
        <is>
          <t>2026-06-30</t>
        </is>
      </c>
      <c r="M131" s="27" t="inlineStr"/>
    </row>
    <row r="132">
      <c r="A132" s="36" t="inlineStr">
        <is>
          <t>PLN-01205</t>
        </is>
      </c>
      <c r="B132" s="27" t="inlineStr">
        <is>
          <t>Scenario-weighted earnings and liquidity at risk</t>
        </is>
      </c>
      <c r="C132" s="27" t="inlineStr">
        <is>
          <t>Scenario mitigation actions</t>
        </is>
      </c>
      <c r="D132" s="27" t="inlineStr">
        <is>
          <t>Vendor term extension</t>
        </is>
      </c>
      <c r="E132" s="27" t="inlineStr">
        <is>
          <t>FY27</t>
        </is>
      </c>
      <c r="F132" s="27" t="inlineStr">
        <is>
          <t>Approved case</t>
        </is>
      </c>
      <c r="G132" s="27" t="inlineStr">
        <is>
          <t>Cash implementation cost</t>
        </is>
      </c>
      <c r="H132" s="46" t="n">
        <v>90000</v>
      </c>
      <c r="I132" s="27" t="inlineStr"/>
      <c r="J132" s="27" t="inlineStr">
        <is>
          <t>USD</t>
        </is>
      </c>
      <c r="K132" s="27" t="inlineStr">
        <is>
          <t>Finance operating schedule</t>
        </is>
      </c>
      <c r="L132" s="47" t="inlineStr">
        <is>
          <t>2026-06-30</t>
        </is>
      </c>
      <c r="M132" s="27" t="inlineStr"/>
    </row>
    <row r="133">
      <c r="A133" s="36" t="inlineStr">
        <is>
          <t>PLN-01206</t>
        </is>
      </c>
      <c r="B133" s="27" t="inlineStr">
        <is>
          <t>Scenario-weighted earnings and liquidity at risk</t>
        </is>
      </c>
      <c r="C133" s="27" t="inlineStr">
        <is>
          <t>Scenario mitigation actions</t>
        </is>
      </c>
      <c r="D133" s="27" t="inlineStr">
        <is>
          <t>Vendor term extension</t>
        </is>
      </c>
      <c r="E133" s="27" t="inlineStr">
        <is>
          <t>FY27</t>
        </is>
      </c>
      <c r="F133" s="27" t="inlineStr">
        <is>
          <t>Approved case</t>
        </is>
      </c>
      <c r="G133" s="27" t="inlineStr">
        <is>
          <t>Soft landing factor</t>
        </is>
      </c>
      <c r="H133" s="46" t="n">
        <v>0.65</v>
      </c>
      <c r="I133" s="27" t="inlineStr"/>
      <c r="J133" s="27" t="inlineStr">
        <is>
          <t>decimal ratio</t>
        </is>
      </c>
      <c r="K133" s="27" t="inlineStr">
        <is>
          <t>Finance operating schedule</t>
        </is>
      </c>
      <c r="L133" s="47" t="inlineStr">
        <is>
          <t>2026-06-30</t>
        </is>
      </c>
      <c r="M133" s="27" t="inlineStr"/>
    </row>
    <row r="134">
      <c r="A134" s="36" t="inlineStr">
        <is>
          <t>PLN-01207</t>
        </is>
      </c>
      <c r="B134" s="27" t="inlineStr">
        <is>
          <t>Scenario-weighted earnings and liquidity at risk</t>
        </is>
      </c>
      <c r="C134" s="27" t="inlineStr">
        <is>
          <t>Scenario mitigation actions</t>
        </is>
      </c>
      <c r="D134" s="27" t="inlineStr">
        <is>
          <t>Vendor term extension</t>
        </is>
      </c>
      <c r="E134" s="27" t="inlineStr">
        <is>
          <t>FY27</t>
        </is>
      </c>
      <c r="F134" s="27" t="inlineStr">
        <is>
          <t>Approved case</t>
        </is>
      </c>
      <c r="G134" s="27" t="inlineStr">
        <is>
          <t>Severe factor</t>
        </is>
      </c>
      <c r="H134" s="46" t="n">
        <v>0.9</v>
      </c>
      <c r="I134" s="27" t="inlineStr"/>
      <c r="J134" s="27" t="inlineStr">
        <is>
          <t>decimal ratio</t>
        </is>
      </c>
      <c r="K134" s="27" t="inlineStr">
        <is>
          <t>Finance operating schedule</t>
        </is>
      </c>
      <c r="L134" s="47" t="inlineStr">
        <is>
          <t>2026-06-30</t>
        </is>
      </c>
      <c r="M134" s="27" t="inlineStr"/>
    </row>
    <row r="135">
      <c r="A135" s="36" t="inlineStr">
        <is>
          <t>PLN-01208</t>
        </is>
      </c>
      <c r="B135" s="27" t="inlineStr">
        <is>
          <t>Scenario-weighted earnings and liquidity at risk</t>
        </is>
      </c>
      <c r="C135" s="27" t="inlineStr">
        <is>
          <t>Scenario mitigation actions</t>
        </is>
      </c>
      <c r="D135" s="27" t="inlineStr">
        <is>
          <t>Vendor term extension</t>
        </is>
      </c>
      <c r="E135" s="27" t="inlineStr">
        <is>
          <t>FY27</t>
        </is>
      </c>
      <c r="F135" s="27" t="inlineStr">
        <is>
          <t>Approved case</t>
        </is>
      </c>
      <c r="G135" s="27" t="inlineStr">
        <is>
          <t>Mandatory in Severe</t>
        </is>
      </c>
      <c r="H135" s="46" t="n">
        <v>0</v>
      </c>
      <c r="I135" s="27" t="inlineStr"/>
      <c r="J135" s="27" t="inlineStr">
        <is>
          <t>boolean</t>
        </is>
      </c>
      <c r="K135" s="27" t="inlineStr">
        <is>
          <t>Finance operating schedule</t>
        </is>
      </c>
      <c r="L135" s="47" t="inlineStr">
        <is>
          <t>2026-06-30</t>
        </is>
      </c>
      <c r="M135" s="27" t="inlineStr"/>
    </row>
    <row r="136">
      <c r="A136" s="36" t="inlineStr">
        <is>
          <t>PLN-01209</t>
        </is>
      </c>
      <c r="B136" s="27" t="inlineStr">
        <is>
          <t>Scenario-weighted earnings and liquidity at risk</t>
        </is>
      </c>
      <c r="C136" s="27" t="inlineStr">
        <is>
          <t>Scenario mitigation policy</t>
        </is>
      </c>
      <c r="D136" s="27" t="inlineStr">
        <is>
          <t>Alder Ridge</t>
        </is>
      </c>
      <c r="E136" s="27" t="inlineStr">
        <is>
          <t>FY27</t>
        </is>
      </c>
      <c r="F136" s="27" t="inlineStr">
        <is>
          <t>Approved case</t>
        </is>
      </c>
      <c r="G136" s="27" t="inlineStr">
        <is>
          <t>Maximum mitigation cash</t>
        </is>
      </c>
      <c r="H136" s="46" t="n">
        <v>330000</v>
      </c>
      <c r="I136" s="27" t="inlineStr"/>
      <c r="J136" s="27" t="inlineStr">
        <is>
          <t>USD</t>
        </is>
      </c>
      <c r="K136" s="27" t="inlineStr">
        <is>
          <t>Finance operating schedule</t>
        </is>
      </c>
      <c r="L136" s="47" t="inlineStr">
        <is>
          <t>2026-06-30</t>
        </is>
      </c>
      <c r="M136" s="27" t="inlineStr"/>
    </row>
    <row r="137">
      <c r="A137" s="36" t="inlineStr">
        <is>
          <t>PLN-01210</t>
        </is>
      </c>
      <c r="B137" s="27" t="inlineStr">
        <is>
          <t>Scenario-weighted earnings and liquidity at risk</t>
        </is>
      </c>
      <c r="C137" s="27" t="inlineStr">
        <is>
          <t>Scenario mitigation policy</t>
        </is>
      </c>
      <c r="D137" s="27" t="inlineStr">
        <is>
          <t>Alder Ridge</t>
        </is>
      </c>
      <c r="E137" s="27" t="inlineStr">
        <is>
          <t>FY27</t>
        </is>
      </c>
      <c r="F137" s="27" t="inlineStr">
        <is>
          <t>Approved case</t>
        </is>
      </c>
      <c r="G137" s="27" t="inlineStr">
        <is>
          <t>Maximum actions</t>
        </is>
      </c>
      <c r="H137" s="46" t="n">
        <v>3</v>
      </c>
      <c r="I137" s="27" t="inlineStr"/>
      <c r="J137" s="27" t="inlineStr">
        <is>
          <t>count</t>
        </is>
      </c>
      <c r="K137" s="27" t="inlineStr">
        <is>
          <t>Finance operating schedule</t>
        </is>
      </c>
      <c r="L137" s="47" t="inlineStr">
        <is>
          <t>2026-06-30</t>
        </is>
      </c>
      <c r="M137" s="27" t="inlineStr"/>
    </row>
    <row r="138">
      <c r="A138" s="36" t="inlineStr">
        <is>
          <t>PLN-01211</t>
        </is>
      </c>
      <c r="B138" s="27" t="inlineStr">
        <is>
          <t>Scenario-weighted earnings and liquidity at risk</t>
        </is>
      </c>
      <c r="C138" s="27" t="inlineStr">
        <is>
          <t>Scenario mitigation policy</t>
        </is>
      </c>
      <c r="D138" s="27" t="inlineStr">
        <is>
          <t>Alder Ridge</t>
        </is>
      </c>
      <c r="E138" s="27" t="inlineStr">
        <is>
          <t>FY27</t>
        </is>
      </c>
      <c r="F138" s="27" t="inlineStr">
        <is>
          <t>Approved case</t>
        </is>
      </c>
      <c r="G138" s="27" t="inlineStr">
        <is>
          <t>Post-mitigation funded debt before revolver</t>
        </is>
      </c>
      <c r="H138" s="46" t="n">
        <v>7400000</v>
      </c>
      <c r="I138" s="27" t="inlineStr"/>
      <c r="J138" s="27" t="inlineStr">
        <is>
          <t>USD</t>
        </is>
      </c>
      <c r="K138" s="27" t="inlineStr">
        <is>
          <t>Finance operating schedule</t>
        </is>
      </c>
      <c r="L138" s="47" t="inlineStr">
        <is>
          <t>2026-06-30</t>
        </is>
      </c>
      <c r="M138" s="27" t="inlineStr"/>
    </row>
    <row r="139">
      <c r="A139" s="36" t="inlineStr">
        <is>
          <t>PLN-01212</t>
        </is>
      </c>
      <c r="B139" s="27" t="inlineStr">
        <is>
          <t>Scenario-weighted earnings and liquidity at risk</t>
        </is>
      </c>
      <c r="C139" s="27" t="inlineStr">
        <is>
          <t>Scenario mitigation policy</t>
        </is>
      </c>
      <c r="D139" s="27" t="inlineStr">
        <is>
          <t>Alder Ridge</t>
        </is>
      </c>
      <c r="E139" s="27" t="inlineStr">
        <is>
          <t>FY27</t>
        </is>
      </c>
      <c r="F139" s="27" t="inlineStr">
        <is>
          <t>Approved case</t>
        </is>
      </c>
      <c r="G139" s="27" t="inlineStr">
        <is>
          <t>Maximum leverage</t>
        </is>
      </c>
      <c r="H139" s="46" t="n">
        <v>2.5</v>
      </c>
      <c r="I139" s="27" t="inlineStr"/>
      <c r="J139" s="27" t="inlineStr">
        <is>
          <t>multiple</t>
        </is>
      </c>
      <c r="K139" s="27" t="inlineStr">
        <is>
          <t>Finance operating schedule</t>
        </is>
      </c>
      <c r="L139" s="47" t="inlineStr">
        <is>
          <t>2026-06-30</t>
        </is>
      </c>
      <c r="M139" s="27" t="inlineStr"/>
    </row>
  </sheetData>
  <autoFilter ref="A4:M139"/>
  <mergeCells count="2">
    <mergeCell ref="A2:M2"/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FY27 operating plan | Opex and Workforce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PLN-00031</t>
        </is>
      </c>
      <c r="B5" s="27" t="inlineStr">
        <is>
          <t>Complete the FY27 EBITDA scenario model</t>
        </is>
      </c>
      <c r="C5" s="27" t="inlineStr">
        <is>
          <t>Driver Inputs</t>
        </is>
      </c>
      <c r="D5" s="27" t="inlineStr">
        <is>
          <t>Construction</t>
        </is>
      </c>
      <c r="E5" s="27" t="inlineStr">
        <is>
          <t>LTM 2026-06-30</t>
        </is>
      </c>
      <c r="F5" s="27" t="inlineStr">
        <is>
          <t>Approved case</t>
        </is>
      </c>
      <c r="G5" s="27" t="inlineStr">
        <is>
          <t>Revenue base allocation</t>
        </is>
      </c>
      <c r="H5" s="46" t="n">
        <v>0.58</v>
      </c>
      <c r="I5" s="27" t="inlineStr"/>
      <c r="J5" s="27" t="inlineStr">
        <is>
          <t>ledger allocation factor</t>
        </is>
      </c>
      <c r="K5" s="27" t="inlineStr">
        <is>
          <t>Approved branch-to-GL mapping</t>
        </is>
      </c>
      <c r="L5" s="47" t="inlineStr">
        <is>
          <t>2026-06-30</t>
        </is>
      </c>
      <c r="M5" s="27" t="inlineStr">
        <is>
          <t>Vista ERP P&amp;L, 2025-07-01 through 2026-06-30; Revenue total</t>
        </is>
      </c>
    </row>
    <row r="6">
      <c r="A6" s="36" t="inlineStr">
        <is>
          <t>PLN-00032</t>
        </is>
      </c>
      <c r="B6" s="27" t="inlineStr">
        <is>
          <t>Complete the FY27 EBITDA scenario model</t>
        </is>
      </c>
      <c r="C6" s="27" t="inlineStr">
        <is>
          <t>Driver Inputs</t>
        </is>
      </c>
      <c r="D6" s="27" t="inlineStr">
        <is>
          <t>Service</t>
        </is>
      </c>
      <c r="E6" s="27" t="inlineStr">
        <is>
          <t>LTM 2026-06-30</t>
        </is>
      </c>
      <c r="F6" s="27" t="inlineStr">
        <is>
          <t>Approved case</t>
        </is>
      </c>
      <c r="G6" s="27" t="inlineStr">
        <is>
          <t>Revenue base allocation</t>
        </is>
      </c>
      <c r="H6" s="46" t="n">
        <v>0.27</v>
      </c>
      <c r="I6" s="27" t="inlineStr"/>
      <c r="J6" s="27" t="inlineStr">
        <is>
          <t>ledger allocation factor</t>
        </is>
      </c>
      <c r="K6" s="27" t="inlineStr">
        <is>
          <t>Approved branch-to-GL mapping</t>
        </is>
      </c>
      <c r="L6" s="47" t="inlineStr">
        <is>
          <t>2026-06-30</t>
        </is>
      </c>
      <c r="M6" s="27" t="inlineStr">
        <is>
          <t>Vista ERP P&amp;L, 2025-07-01 through 2026-06-30; Revenue total</t>
        </is>
      </c>
    </row>
    <row r="7">
      <c r="A7" s="36" t="inlineStr">
        <is>
          <t>PLN-00033</t>
        </is>
      </c>
      <c r="B7" s="27" t="inlineStr">
        <is>
          <t>Complete the FY27 EBITDA scenario model</t>
        </is>
      </c>
      <c r="C7" s="27" t="inlineStr">
        <is>
          <t>Driver Inputs</t>
        </is>
      </c>
      <c r="D7" s="27" t="inlineStr">
        <is>
          <t>Controls</t>
        </is>
      </c>
      <c r="E7" s="27" t="inlineStr">
        <is>
          <t>LTM 2026-06-30</t>
        </is>
      </c>
      <c r="F7" s="27" t="inlineStr">
        <is>
          <t>Approved case</t>
        </is>
      </c>
      <c r="G7" s="27" t="inlineStr">
        <is>
          <t>Revenue base allocation</t>
        </is>
      </c>
      <c r="H7" s="46" t="n">
        <v>0.15</v>
      </c>
      <c r="I7" s="27" t="inlineStr"/>
      <c r="J7" s="27" t="inlineStr">
        <is>
          <t>ledger allocation factor</t>
        </is>
      </c>
      <c r="K7" s="27" t="inlineStr">
        <is>
          <t>Approved branch-to-GL mapping</t>
        </is>
      </c>
      <c r="L7" s="47" t="inlineStr">
        <is>
          <t>2026-06-30</t>
        </is>
      </c>
      <c r="M7" s="27" t="inlineStr">
        <is>
          <t>Vista ERP P&amp;L, 2025-07-01 through 2026-06-30; Revenue total</t>
        </is>
      </c>
    </row>
    <row r="8">
      <c r="A8" s="36" t="inlineStr">
        <is>
          <t>PLN-00034</t>
        </is>
      </c>
      <c r="B8" s="27" t="inlineStr">
        <is>
          <t>Complete the FY27 EBITDA scenario model</t>
        </is>
      </c>
      <c r="C8" s="27" t="inlineStr">
        <is>
          <t>Driver Inputs</t>
        </is>
      </c>
      <c r="D8" s="27" t="inlineStr">
        <is>
          <t>Construction</t>
        </is>
      </c>
      <c r="E8" s="27" t="inlineStr">
        <is>
          <t>FY27</t>
        </is>
      </c>
      <c r="F8" s="27" t="inlineStr">
        <is>
          <t>Base</t>
        </is>
      </c>
      <c r="G8" s="27" t="inlineStr">
        <is>
          <t>Revenue growth</t>
        </is>
      </c>
      <c r="H8" s="46" t="n">
        <v>0.055</v>
      </c>
      <c r="I8" s="27" t="inlineStr"/>
      <c r="J8" s="27" t="inlineStr">
        <is>
          <t>decimal ratio</t>
        </is>
      </c>
      <c r="K8" s="27" t="inlineStr">
        <is>
          <t>Finance operating schedule</t>
        </is>
      </c>
      <c r="L8" s="47" t="inlineStr">
        <is>
          <t>2026-06-30</t>
        </is>
      </c>
      <c r="M8" s="27" t="inlineStr"/>
    </row>
    <row r="9">
      <c r="A9" s="36" t="inlineStr">
        <is>
          <t>PLN-00035</t>
        </is>
      </c>
      <c r="B9" s="27" t="inlineStr">
        <is>
          <t>Complete the FY27 EBITDA scenario model</t>
        </is>
      </c>
      <c r="C9" s="27" t="inlineStr">
        <is>
          <t>Driver Inputs</t>
        </is>
      </c>
      <c r="D9" s="27" t="inlineStr">
        <is>
          <t>Construction</t>
        </is>
      </c>
      <c r="E9" s="27" t="inlineStr">
        <is>
          <t>FY27</t>
        </is>
      </c>
      <c r="F9" s="27" t="inlineStr">
        <is>
          <t>Base</t>
        </is>
      </c>
      <c r="G9" s="27" t="inlineStr">
        <is>
          <t>Gross margin</t>
        </is>
      </c>
      <c r="H9" s="46" t="n">
        <v>0.285</v>
      </c>
      <c r="I9" s="27" t="inlineStr"/>
      <c r="J9" s="27" t="inlineStr">
        <is>
          <t>decimal ratio</t>
        </is>
      </c>
      <c r="K9" s="27" t="inlineStr">
        <is>
          <t>Finance operating schedule</t>
        </is>
      </c>
      <c r="L9" s="47" t="inlineStr">
        <is>
          <t>2026-06-30</t>
        </is>
      </c>
      <c r="M9" s="27" t="inlineStr"/>
    </row>
    <row r="10">
      <c r="A10" s="36" t="inlineStr">
        <is>
          <t>PLN-00036</t>
        </is>
      </c>
      <c r="B10" s="27" t="inlineStr">
        <is>
          <t>Complete the FY27 EBITDA scenario model</t>
        </is>
      </c>
      <c r="C10" s="27" t="inlineStr">
        <is>
          <t>Driver Inputs</t>
        </is>
      </c>
      <c r="D10" s="27" t="inlineStr">
        <is>
          <t>Service</t>
        </is>
      </c>
      <c r="E10" s="27" t="inlineStr">
        <is>
          <t>FY27</t>
        </is>
      </c>
      <c r="F10" s="27" t="inlineStr">
        <is>
          <t>Base</t>
        </is>
      </c>
      <c r="G10" s="27" t="inlineStr">
        <is>
          <t>Revenue growth</t>
        </is>
      </c>
      <c r="H10" s="46" t="n">
        <v>0.09</v>
      </c>
      <c r="I10" s="27" t="inlineStr"/>
      <c r="J10" s="27" t="inlineStr">
        <is>
          <t>decimal ratio</t>
        </is>
      </c>
      <c r="K10" s="27" t="inlineStr">
        <is>
          <t>Finance operating schedule</t>
        </is>
      </c>
      <c r="L10" s="47" t="inlineStr">
        <is>
          <t>2026-06-30</t>
        </is>
      </c>
      <c r="M10" s="27" t="inlineStr"/>
    </row>
    <row r="11">
      <c r="A11" s="36" t="inlineStr">
        <is>
          <t>PLN-00037</t>
        </is>
      </c>
      <c r="B11" s="27" t="inlineStr">
        <is>
          <t>Complete the FY27 EBITDA scenario model</t>
        </is>
      </c>
      <c r="C11" s="27" t="inlineStr">
        <is>
          <t>Driver Inputs</t>
        </is>
      </c>
      <c r="D11" s="27" t="inlineStr">
        <is>
          <t>Service</t>
        </is>
      </c>
      <c r="E11" s="27" t="inlineStr">
        <is>
          <t>FY27</t>
        </is>
      </c>
      <c r="F11" s="27" t="inlineStr">
        <is>
          <t>Base</t>
        </is>
      </c>
      <c r="G11" s="27" t="inlineStr">
        <is>
          <t>Gross margin</t>
        </is>
      </c>
      <c r="H11" s="46" t="n">
        <v>0.41</v>
      </c>
      <c r="I11" s="27" t="inlineStr"/>
      <c r="J11" s="27" t="inlineStr">
        <is>
          <t>decimal ratio</t>
        </is>
      </c>
      <c r="K11" s="27" t="inlineStr">
        <is>
          <t>Finance operating schedule</t>
        </is>
      </c>
      <c r="L11" s="47" t="inlineStr">
        <is>
          <t>2026-06-30</t>
        </is>
      </c>
      <c r="M11" s="27" t="inlineStr"/>
    </row>
    <row r="12">
      <c r="A12" s="36" t="inlineStr">
        <is>
          <t>PLN-00038</t>
        </is>
      </c>
      <c r="B12" s="27" t="inlineStr">
        <is>
          <t>Complete the FY27 EBITDA scenario model</t>
        </is>
      </c>
      <c r="C12" s="27" t="inlineStr">
        <is>
          <t>Driver Inputs</t>
        </is>
      </c>
      <c r="D12" s="27" t="inlineStr">
        <is>
          <t>Controls</t>
        </is>
      </c>
      <c r="E12" s="27" t="inlineStr">
        <is>
          <t>FY27</t>
        </is>
      </c>
      <c r="F12" s="27" t="inlineStr">
        <is>
          <t>Base</t>
        </is>
      </c>
      <c r="G12" s="27" t="inlineStr">
        <is>
          <t>Revenue growth</t>
        </is>
      </c>
      <c r="H12" s="46" t="n">
        <v>0.115</v>
      </c>
      <c r="I12" s="27" t="inlineStr"/>
      <c r="J12" s="27" t="inlineStr">
        <is>
          <t>decimal ratio</t>
        </is>
      </c>
      <c r="K12" s="27" t="inlineStr">
        <is>
          <t>Finance operating schedule</t>
        </is>
      </c>
      <c r="L12" s="47" t="inlineStr">
        <is>
          <t>2026-06-30</t>
        </is>
      </c>
      <c r="M12" s="27" t="inlineStr"/>
    </row>
    <row r="13">
      <c r="A13" s="36" t="inlineStr">
        <is>
          <t>PLN-00039</t>
        </is>
      </c>
      <c r="B13" s="27" t="inlineStr">
        <is>
          <t>Complete the FY27 EBITDA scenario model</t>
        </is>
      </c>
      <c r="C13" s="27" t="inlineStr">
        <is>
          <t>Driver Inputs</t>
        </is>
      </c>
      <c r="D13" s="27" t="inlineStr">
        <is>
          <t>Controls</t>
        </is>
      </c>
      <c r="E13" s="27" t="inlineStr">
        <is>
          <t>FY27</t>
        </is>
      </c>
      <c r="F13" s="27" t="inlineStr">
        <is>
          <t>Base</t>
        </is>
      </c>
      <c r="G13" s="27" t="inlineStr">
        <is>
          <t>Gross margin</t>
        </is>
      </c>
      <c r="H13" s="46" t="n">
        <v>0.365</v>
      </c>
      <c r="I13" s="27" t="inlineStr"/>
      <c r="J13" s="27" t="inlineStr">
        <is>
          <t>decimal ratio</t>
        </is>
      </c>
      <c r="K13" s="27" t="inlineStr">
        <is>
          <t>Finance operating schedule</t>
        </is>
      </c>
      <c r="L13" s="47" t="inlineStr">
        <is>
          <t>2026-06-30</t>
        </is>
      </c>
      <c r="M13" s="27" t="inlineStr"/>
    </row>
    <row r="14">
      <c r="A14" s="36" t="inlineStr">
        <is>
          <t>PLN-00040</t>
        </is>
      </c>
      <c r="B14" s="27" t="inlineStr">
        <is>
          <t>Complete the FY27 EBITDA scenario model</t>
        </is>
      </c>
      <c r="C14" s="27" t="inlineStr">
        <is>
          <t>Driver Inputs</t>
        </is>
      </c>
      <c r="D14" s="27" t="inlineStr">
        <is>
          <t>Consolidated</t>
        </is>
      </c>
      <c r="E14" s="27" t="inlineStr">
        <is>
          <t>FY27</t>
        </is>
      </c>
      <c r="F14" s="27" t="inlineStr">
        <is>
          <t>Base</t>
        </is>
      </c>
      <c r="G14" s="27" t="inlineStr">
        <is>
          <t>Fixed Opex Growth</t>
        </is>
      </c>
      <c r="H14" s="46" t="n">
        <v>0.05</v>
      </c>
      <c r="I14" s="27" t="inlineStr"/>
      <c r="J14" s="27" t="inlineStr">
        <is>
          <t>decimal ratio</t>
        </is>
      </c>
      <c r="K14" s="27" t="inlineStr">
        <is>
          <t>Finance operating schedule</t>
        </is>
      </c>
      <c r="L14" s="47" t="inlineStr">
        <is>
          <t>2026-06-30</t>
        </is>
      </c>
      <c r="M14" s="27" t="inlineStr"/>
    </row>
    <row r="15">
      <c r="A15" s="36" t="inlineStr">
        <is>
          <t>PLN-00041</t>
        </is>
      </c>
      <c r="B15" s="27" t="inlineStr">
        <is>
          <t>Complete the FY27 EBITDA scenario model</t>
        </is>
      </c>
      <c r="C15" s="27" t="inlineStr">
        <is>
          <t>Driver Inputs</t>
        </is>
      </c>
      <c r="D15" s="27" t="inlineStr">
        <is>
          <t>Consolidated</t>
        </is>
      </c>
      <c r="E15" s="27" t="inlineStr">
        <is>
          <t>FY27</t>
        </is>
      </c>
      <c r="F15" s="27" t="inlineStr">
        <is>
          <t>Base</t>
        </is>
      </c>
      <c r="G15" s="27" t="inlineStr">
        <is>
          <t>Variable Opex Rate</t>
        </is>
      </c>
      <c r="H15" s="46" t="n">
        <v>0.031</v>
      </c>
      <c r="I15" s="27" t="inlineStr"/>
      <c r="J15" s="27" t="inlineStr">
        <is>
          <t>decimal ratio</t>
        </is>
      </c>
      <c r="K15" s="27" t="inlineStr">
        <is>
          <t>Finance operating schedule</t>
        </is>
      </c>
      <c r="L15" s="47" t="inlineStr">
        <is>
          <t>2026-06-30</t>
        </is>
      </c>
      <c r="M15" s="27" t="inlineStr"/>
    </row>
    <row r="16">
      <c r="A16" s="36" t="inlineStr">
        <is>
          <t>PLN-00042</t>
        </is>
      </c>
      <c r="B16" s="27" t="inlineStr">
        <is>
          <t>Complete the FY27 EBITDA scenario model</t>
        </is>
      </c>
      <c r="C16" s="27" t="inlineStr">
        <is>
          <t>Driver Inputs</t>
        </is>
      </c>
      <c r="D16" s="27" t="inlineStr">
        <is>
          <t>Consolidated</t>
        </is>
      </c>
      <c r="E16" s="27" t="inlineStr">
        <is>
          <t>FY27</t>
        </is>
      </c>
      <c r="F16" s="27" t="inlineStr">
        <is>
          <t>Base</t>
        </is>
      </c>
      <c r="G16" s="27" t="inlineStr">
        <is>
          <t>Cash Tax Rate</t>
        </is>
      </c>
      <c r="H16" s="46" t="n">
        <v>0.235</v>
      </c>
      <c r="I16" s="27" t="inlineStr"/>
      <c r="J16" s="27" t="inlineStr">
        <is>
          <t>decimal ratio</t>
        </is>
      </c>
      <c r="K16" s="27" t="inlineStr">
        <is>
          <t>Finance operating schedule</t>
        </is>
      </c>
      <c r="L16" s="47" t="inlineStr">
        <is>
          <t>2026-06-30</t>
        </is>
      </c>
      <c r="M16" s="27" t="inlineStr"/>
    </row>
    <row r="17">
      <c r="A17" s="36" t="inlineStr">
        <is>
          <t>PLN-00043</t>
        </is>
      </c>
      <c r="B17" s="27" t="inlineStr">
        <is>
          <t>Complete the FY27 EBITDA scenario model</t>
        </is>
      </c>
      <c r="C17" s="27" t="inlineStr">
        <is>
          <t>Driver Inputs</t>
        </is>
      </c>
      <c r="D17" s="27" t="inlineStr">
        <is>
          <t>Consolidated</t>
        </is>
      </c>
      <c r="E17" s="27" t="inlineStr">
        <is>
          <t>FY27</t>
        </is>
      </c>
      <c r="F17" s="27" t="inlineStr">
        <is>
          <t>Base</t>
        </is>
      </c>
      <c r="G17" s="27" t="inlineStr">
        <is>
          <t>Capex</t>
        </is>
      </c>
      <c r="H17" s="46" t="n">
        <v>3150000</v>
      </c>
      <c r="I17" s="27" t="inlineStr"/>
      <c r="J17" s="27" t="inlineStr">
        <is>
          <t>USD</t>
        </is>
      </c>
      <c r="K17" s="27" t="inlineStr">
        <is>
          <t>Finance operating schedule</t>
        </is>
      </c>
      <c r="L17" s="47" t="inlineStr">
        <is>
          <t>2026-06-30</t>
        </is>
      </c>
      <c r="M17" s="27" t="inlineStr"/>
    </row>
    <row r="18">
      <c r="A18" s="36" t="inlineStr">
        <is>
          <t>PLN-00044</t>
        </is>
      </c>
      <c r="B18" s="27" t="inlineStr">
        <is>
          <t>Complete the FY27 EBITDA scenario model</t>
        </is>
      </c>
      <c r="C18" s="27" t="inlineStr">
        <is>
          <t>Driver Inputs</t>
        </is>
      </c>
      <c r="D18" s="27" t="inlineStr">
        <is>
          <t>Consolidated</t>
        </is>
      </c>
      <c r="E18" s="27" t="inlineStr">
        <is>
          <t>FY27</t>
        </is>
      </c>
      <c r="F18" s="27" t="inlineStr">
        <is>
          <t>Base</t>
        </is>
      </c>
      <c r="G18" s="27" t="inlineStr">
        <is>
          <t>Nwc Rate</t>
        </is>
      </c>
      <c r="H18" s="46" t="n">
        <v>0.018</v>
      </c>
      <c r="I18" s="27" t="inlineStr"/>
      <c r="J18" s="27" t="inlineStr">
        <is>
          <t>decimal ratio</t>
        </is>
      </c>
      <c r="K18" s="27" t="inlineStr">
        <is>
          <t>Finance operating schedule</t>
        </is>
      </c>
      <c r="L18" s="47" t="inlineStr">
        <is>
          <t>2026-06-30</t>
        </is>
      </c>
      <c r="M18" s="27" t="inlineStr"/>
    </row>
    <row r="19">
      <c r="A19" s="36" t="inlineStr">
        <is>
          <t>PLN-00045</t>
        </is>
      </c>
      <c r="B19" s="27" t="inlineStr">
        <is>
          <t>Complete the FY27 EBITDA scenario model</t>
        </is>
      </c>
      <c r="C19" s="27" t="inlineStr">
        <is>
          <t>Driver Inputs</t>
        </is>
      </c>
      <c r="D19" s="27" t="inlineStr">
        <is>
          <t>Construction</t>
        </is>
      </c>
      <c r="E19" s="27" t="inlineStr">
        <is>
          <t>FY27</t>
        </is>
      </c>
      <c r="F19" s="27" t="inlineStr">
        <is>
          <t>Downside</t>
        </is>
      </c>
      <c r="G19" s="27" t="inlineStr">
        <is>
          <t>Revenue growth</t>
        </is>
      </c>
      <c r="H19" s="46" t="n">
        <v>-0.08</v>
      </c>
      <c r="I19" s="27" t="inlineStr"/>
      <c r="J19" s="27" t="inlineStr">
        <is>
          <t>decimal ratio</t>
        </is>
      </c>
      <c r="K19" s="27" t="inlineStr">
        <is>
          <t>Finance operating schedule</t>
        </is>
      </c>
      <c r="L19" s="47" t="inlineStr">
        <is>
          <t>2026-06-30</t>
        </is>
      </c>
      <c r="M19" s="27" t="inlineStr"/>
    </row>
    <row r="20">
      <c r="A20" s="36" t="inlineStr">
        <is>
          <t>PLN-00046</t>
        </is>
      </c>
      <c r="B20" s="27" t="inlineStr">
        <is>
          <t>Complete the FY27 EBITDA scenario model</t>
        </is>
      </c>
      <c r="C20" s="27" t="inlineStr">
        <is>
          <t>Driver Inputs</t>
        </is>
      </c>
      <c r="D20" s="27" t="inlineStr">
        <is>
          <t>Construction</t>
        </is>
      </c>
      <c r="E20" s="27" t="inlineStr">
        <is>
          <t>FY27</t>
        </is>
      </c>
      <c r="F20" s="27" t="inlineStr">
        <is>
          <t>Downside</t>
        </is>
      </c>
      <c r="G20" s="27" t="inlineStr">
        <is>
          <t>Gross margin</t>
        </is>
      </c>
      <c r="H20" s="46" t="n">
        <v>0.245</v>
      </c>
      <c r="I20" s="27" t="inlineStr"/>
      <c r="J20" s="27" t="inlineStr">
        <is>
          <t>decimal ratio</t>
        </is>
      </c>
      <c r="K20" s="27" t="inlineStr">
        <is>
          <t>Finance operating schedule</t>
        </is>
      </c>
      <c r="L20" s="47" t="inlineStr">
        <is>
          <t>2026-06-30</t>
        </is>
      </c>
      <c r="M20" s="27" t="inlineStr"/>
    </row>
    <row r="21">
      <c r="A21" s="36" t="inlineStr">
        <is>
          <t>PLN-00047</t>
        </is>
      </c>
      <c r="B21" s="27" t="inlineStr">
        <is>
          <t>Complete the FY27 EBITDA scenario model</t>
        </is>
      </c>
      <c r="C21" s="27" t="inlineStr">
        <is>
          <t>Driver Inputs</t>
        </is>
      </c>
      <c r="D21" s="27" t="inlineStr">
        <is>
          <t>Service</t>
        </is>
      </c>
      <c r="E21" s="27" t="inlineStr">
        <is>
          <t>FY27</t>
        </is>
      </c>
      <c r="F21" s="27" t="inlineStr">
        <is>
          <t>Downside</t>
        </is>
      </c>
      <c r="G21" s="27" t="inlineStr">
        <is>
          <t>Revenue growth</t>
        </is>
      </c>
      <c r="H21" s="46" t="n">
        <v>0.015</v>
      </c>
      <c r="I21" s="27" t="inlineStr"/>
      <c r="J21" s="27" t="inlineStr">
        <is>
          <t>decimal ratio</t>
        </is>
      </c>
      <c r="K21" s="27" t="inlineStr">
        <is>
          <t>Finance operating schedule</t>
        </is>
      </c>
      <c r="L21" s="47" t="inlineStr">
        <is>
          <t>2026-06-30</t>
        </is>
      </c>
      <c r="M21" s="27" t="inlineStr"/>
    </row>
    <row r="22">
      <c r="A22" s="36" t="inlineStr">
        <is>
          <t>PLN-00048</t>
        </is>
      </c>
      <c r="B22" s="27" t="inlineStr">
        <is>
          <t>Complete the FY27 EBITDA scenario model</t>
        </is>
      </c>
      <c r="C22" s="27" t="inlineStr">
        <is>
          <t>Driver Inputs</t>
        </is>
      </c>
      <c r="D22" s="27" t="inlineStr">
        <is>
          <t>Service</t>
        </is>
      </c>
      <c r="E22" s="27" t="inlineStr">
        <is>
          <t>FY27</t>
        </is>
      </c>
      <c r="F22" s="27" t="inlineStr">
        <is>
          <t>Downside</t>
        </is>
      </c>
      <c r="G22" s="27" t="inlineStr">
        <is>
          <t>Gross margin</t>
        </is>
      </c>
      <c r="H22" s="46" t="n">
        <v>0.365</v>
      </c>
      <c r="I22" s="27" t="inlineStr"/>
      <c r="J22" s="27" t="inlineStr">
        <is>
          <t>decimal ratio</t>
        </is>
      </c>
      <c r="K22" s="27" t="inlineStr">
        <is>
          <t>Finance operating schedule</t>
        </is>
      </c>
      <c r="L22" s="47" t="inlineStr">
        <is>
          <t>2026-06-30</t>
        </is>
      </c>
      <c r="M22" s="27" t="inlineStr"/>
    </row>
    <row r="23">
      <c r="A23" s="36" t="inlineStr">
        <is>
          <t>PLN-00049</t>
        </is>
      </c>
      <c r="B23" s="27" t="inlineStr">
        <is>
          <t>Complete the FY27 EBITDA scenario model</t>
        </is>
      </c>
      <c r="C23" s="27" t="inlineStr">
        <is>
          <t>Driver Inputs</t>
        </is>
      </c>
      <c r="D23" s="27" t="inlineStr">
        <is>
          <t>Controls</t>
        </is>
      </c>
      <c r="E23" s="27" t="inlineStr">
        <is>
          <t>FY27</t>
        </is>
      </c>
      <c r="F23" s="27" t="inlineStr">
        <is>
          <t>Downside</t>
        </is>
      </c>
      <c r="G23" s="27" t="inlineStr">
        <is>
          <t>Revenue growth</t>
        </is>
      </c>
      <c r="H23" s="46" t="n">
        <v>-0.03</v>
      </c>
      <c r="I23" s="27" t="inlineStr"/>
      <c r="J23" s="27" t="inlineStr">
        <is>
          <t>decimal ratio</t>
        </is>
      </c>
      <c r="K23" s="27" t="inlineStr">
        <is>
          <t>Finance operating schedule</t>
        </is>
      </c>
      <c r="L23" s="47" t="inlineStr">
        <is>
          <t>2026-06-30</t>
        </is>
      </c>
      <c r="M23" s="27" t="inlineStr"/>
    </row>
    <row r="24">
      <c r="A24" s="36" t="inlineStr">
        <is>
          <t>PLN-00050</t>
        </is>
      </c>
      <c r="B24" s="27" t="inlineStr">
        <is>
          <t>Complete the FY27 EBITDA scenario model</t>
        </is>
      </c>
      <c r="C24" s="27" t="inlineStr">
        <is>
          <t>Driver Inputs</t>
        </is>
      </c>
      <c r="D24" s="27" t="inlineStr">
        <is>
          <t>Controls</t>
        </is>
      </c>
      <c r="E24" s="27" t="inlineStr">
        <is>
          <t>FY27</t>
        </is>
      </c>
      <c r="F24" s="27" t="inlineStr">
        <is>
          <t>Downside</t>
        </is>
      </c>
      <c r="G24" s="27" t="inlineStr">
        <is>
          <t>Gross margin</t>
        </is>
      </c>
      <c r="H24" s="46" t="n">
        <v>0.315</v>
      </c>
      <c r="I24" s="27" t="inlineStr"/>
      <c r="J24" s="27" t="inlineStr">
        <is>
          <t>decimal ratio</t>
        </is>
      </c>
      <c r="K24" s="27" t="inlineStr">
        <is>
          <t>Finance operating schedule</t>
        </is>
      </c>
      <c r="L24" s="47" t="inlineStr">
        <is>
          <t>2026-06-30</t>
        </is>
      </c>
      <c r="M24" s="27" t="inlineStr"/>
    </row>
    <row r="25">
      <c r="A25" s="36" t="inlineStr">
        <is>
          <t>PLN-00051</t>
        </is>
      </c>
      <c r="B25" s="27" t="inlineStr">
        <is>
          <t>Complete the FY27 EBITDA scenario model</t>
        </is>
      </c>
      <c r="C25" s="27" t="inlineStr">
        <is>
          <t>Driver Inputs</t>
        </is>
      </c>
      <c r="D25" s="27" t="inlineStr">
        <is>
          <t>Consolidated</t>
        </is>
      </c>
      <c r="E25" s="27" t="inlineStr">
        <is>
          <t>FY27</t>
        </is>
      </c>
      <c r="F25" s="27" t="inlineStr">
        <is>
          <t>Downside</t>
        </is>
      </c>
      <c r="G25" s="27" t="inlineStr">
        <is>
          <t>Fixed Opex Growth</t>
        </is>
      </c>
      <c r="H25" s="46" t="n">
        <v>0.025</v>
      </c>
      <c r="I25" s="27" t="inlineStr"/>
      <c r="J25" s="27" t="inlineStr">
        <is>
          <t>decimal ratio</t>
        </is>
      </c>
      <c r="K25" s="27" t="inlineStr">
        <is>
          <t>Finance operating schedule</t>
        </is>
      </c>
      <c r="L25" s="47" t="inlineStr">
        <is>
          <t>2026-06-30</t>
        </is>
      </c>
      <c r="M25" s="27" t="inlineStr"/>
    </row>
    <row r="26">
      <c r="A26" s="36" t="inlineStr">
        <is>
          <t>PLN-00052</t>
        </is>
      </c>
      <c r="B26" s="27" t="inlineStr">
        <is>
          <t>Complete the FY27 EBITDA scenario model</t>
        </is>
      </c>
      <c r="C26" s="27" t="inlineStr">
        <is>
          <t>Driver Inputs</t>
        </is>
      </c>
      <c r="D26" s="27" t="inlineStr">
        <is>
          <t>Consolidated</t>
        </is>
      </c>
      <c r="E26" s="27" t="inlineStr">
        <is>
          <t>FY27</t>
        </is>
      </c>
      <c r="F26" s="27" t="inlineStr">
        <is>
          <t>Downside</t>
        </is>
      </c>
      <c r="G26" s="27" t="inlineStr">
        <is>
          <t>Variable Opex Rate</t>
        </is>
      </c>
      <c r="H26" s="46" t="n">
        <v>0.034</v>
      </c>
      <c r="I26" s="27" t="inlineStr"/>
      <c r="J26" s="27" t="inlineStr">
        <is>
          <t>decimal ratio</t>
        </is>
      </c>
      <c r="K26" s="27" t="inlineStr">
        <is>
          <t>Finance operating schedule</t>
        </is>
      </c>
      <c r="L26" s="47" t="inlineStr">
        <is>
          <t>2026-06-30</t>
        </is>
      </c>
      <c r="M26" s="27" t="inlineStr"/>
    </row>
    <row r="27">
      <c r="A27" s="36" t="inlineStr">
        <is>
          <t>PLN-00053</t>
        </is>
      </c>
      <c r="B27" s="27" t="inlineStr">
        <is>
          <t>Complete the FY27 EBITDA scenario model</t>
        </is>
      </c>
      <c r="C27" s="27" t="inlineStr">
        <is>
          <t>Driver Inputs</t>
        </is>
      </c>
      <c r="D27" s="27" t="inlineStr">
        <is>
          <t>Consolidated</t>
        </is>
      </c>
      <c r="E27" s="27" t="inlineStr">
        <is>
          <t>FY27</t>
        </is>
      </c>
      <c r="F27" s="27" t="inlineStr">
        <is>
          <t>Downside</t>
        </is>
      </c>
      <c r="G27" s="27" t="inlineStr">
        <is>
          <t>Cash Tax Rate</t>
        </is>
      </c>
      <c r="H27" s="46" t="n">
        <v>0.205</v>
      </c>
      <c r="I27" s="27" t="inlineStr"/>
      <c r="J27" s="27" t="inlineStr">
        <is>
          <t>decimal ratio</t>
        </is>
      </c>
      <c r="K27" s="27" t="inlineStr">
        <is>
          <t>Finance operating schedule</t>
        </is>
      </c>
      <c r="L27" s="47" t="inlineStr">
        <is>
          <t>2026-06-30</t>
        </is>
      </c>
      <c r="M27" s="27" t="inlineStr"/>
    </row>
    <row r="28">
      <c r="A28" s="36" t="inlineStr">
        <is>
          <t>PLN-00054</t>
        </is>
      </c>
      <c r="B28" s="27" t="inlineStr">
        <is>
          <t>Complete the FY27 EBITDA scenario model</t>
        </is>
      </c>
      <c r="C28" s="27" t="inlineStr">
        <is>
          <t>Driver Inputs</t>
        </is>
      </c>
      <c r="D28" s="27" t="inlineStr">
        <is>
          <t>Consolidated</t>
        </is>
      </c>
      <c r="E28" s="27" t="inlineStr">
        <is>
          <t>FY27</t>
        </is>
      </c>
      <c r="F28" s="27" t="inlineStr">
        <is>
          <t>Downside</t>
        </is>
      </c>
      <c r="G28" s="27" t="inlineStr">
        <is>
          <t>Capex</t>
        </is>
      </c>
      <c r="H28" s="46" t="n">
        <v>2300</v>
      </c>
      <c r="I28" s="27" t="inlineStr"/>
      <c r="J28" s="27" t="inlineStr">
        <is>
          <t>USD thousands</t>
        </is>
      </c>
      <c r="K28" s="27" t="inlineStr">
        <is>
          <t>Finance operating schedule</t>
        </is>
      </c>
      <c r="L28" s="47" t="inlineStr">
        <is>
          <t>2026-06-30</t>
        </is>
      </c>
      <c r="M28" s="27" t="inlineStr"/>
    </row>
    <row r="29">
      <c r="A29" s="36" t="inlineStr">
        <is>
          <t>PLN-00055</t>
        </is>
      </c>
      <c r="B29" s="27" t="inlineStr">
        <is>
          <t>Complete the FY27 EBITDA scenario model</t>
        </is>
      </c>
      <c r="C29" s="27" t="inlineStr">
        <is>
          <t>Driver Inputs</t>
        </is>
      </c>
      <c r="D29" s="27" t="inlineStr">
        <is>
          <t>Consolidated</t>
        </is>
      </c>
      <c r="E29" s="27" t="inlineStr">
        <is>
          <t>FY27</t>
        </is>
      </c>
      <c r="F29" s="27" t="inlineStr">
        <is>
          <t>Downside</t>
        </is>
      </c>
      <c r="G29" s="27" t="inlineStr">
        <is>
          <t>Nwc Rate</t>
        </is>
      </c>
      <c r="H29" s="46" t="n">
        <v>0.01</v>
      </c>
      <c r="I29" s="27" t="inlineStr"/>
      <c r="J29" s="27" t="inlineStr">
        <is>
          <t>decimal ratio</t>
        </is>
      </c>
      <c r="K29" s="27" t="inlineStr">
        <is>
          <t>Finance operating schedule</t>
        </is>
      </c>
      <c r="L29" s="47" t="inlineStr">
        <is>
          <t>2026-06-30</t>
        </is>
      </c>
      <c r="M29" s="27" t="inlineStr"/>
    </row>
    <row r="30">
      <c r="A30" s="36" t="inlineStr">
        <is>
          <t>PLN-00056</t>
        </is>
      </c>
      <c r="B30" s="27" t="inlineStr">
        <is>
          <t>Complete the FY27 EBITDA scenario model</t>
        </is>
      </c>
      <c r="C30" s="27" t="inlineStr">
        <is>
          <t>Driver Inputs</t>
        </is>
      </c>
      <c r="D30" s="27" t="inlineStr">
        <is>
          <t>Construction</t>
        </is>
      </c>
      <c r="E30" s="27" t="inlineStr">
        <is>
          <t>FY27</t>
        </is>
      </c>
      <c r="F30" s="27" t="inlineStr">
        <is>
          <t>Upside</t>
        </is>
      </c>
      <c r="G30" s="27" t="inlineStr">
        <is>
          <t>Revenue growth</t>
        </is>
      </c>
      <c r="H30" s="46" t="n">
        <v>0.125</v>
      </c>
      <c r="I30" s="27" t="inlineStr"/>
      <c r="J30" s="27" t="inlineStr">
        <is>
          <t>decimal ratio</t>
        </is>
      </c>
      <c r="K30" s="27" t="inlineStr">
        <is>
          <t>Finance operating schedule</t>
        </is>
      </c>
      <c r="L30" s="47" t="inlineStr">
        <is>
          <t>2026-06-30</t>
        </is>
      </c>
      <c r="M30" s="27" t="inlineStr"/>
    </row>
    <row r="31">
      <c r="A31" s="36" t="inlineStr">
        <is>
          <t>PLN-00057</t>
        </is>
      </c>
      <c r="B31" s="27" t="inlineStr">
        <is>
          <t>Complete the FY27 EBITDA scenario model</t>
        </is>
      </c>
      <c r="C31" s="27" t="inlineStr">
        <is>
          <t>Driver Inputs</t>
        </is>
      </c>
      <c r="D31" s="27" t="inlineStr">
        <is>
          <t>Construction</t>
        </is>
      </c>
      <c r="E31" s="27" t="inlineStr">
        <is>
          <t>FY27</t>
        </is>
      </c>
      <c r="F31" s="27" t="inlineStr">
        <is>
          <t>Upside</t>
        </is>
      </c>
      <c r="G31" s="27" t="inlineStr">
        <is>
          <t>Gross margin</t>
        </is>
      </c>
      <c r="H31" s="46" t="n">
        <v>0.305</v>
      </c>
      <c r="I31" s="27" t="inlineStr"/>
      <c r="J31" s="27" t="inlineStr">
        <is>
          <t>decimal ratio</t>
        </is>
      </c>
      <c r="K31" s="27" t="inlineStr">
        <is>
          <t>Finance operating schedule</t>
        </is>
      </c>
      <c r="L31" s="47" t="inlineStr">
        <is>
          <t>2026-06-30</t>
        </is>
      </c>
      <c r="M31" s="27" t="inlineStr"/>
    </row>
    <row r="32">
      <c r="A32" s="36" t="inlineStr">
        <is>
          <t>PLN-00058</t>
        </is>
      </c>
      <c r="B32" s="27" t="inlineStr">
        <is>
          <t>Complete the FY27 EBITDA scenario model</t>
        </is>
      </c>
      <c r="C32" s="27" t="inlineStr">
        <is>
          <t>Driver Inputs</t>
        </is>
      </c>
      <c r="D32" s="27" t="inlineStr">
        <is>
          <t>Service</t>
        </is>
      </c>
      <c r="E32" s="27" t="inlineStr">
        <is>
          <t>FY27</t>
        </is>
      </c>
      <c r="F32" s="27" t="inlineStr">
        <is>
          <t>Upside</t>
        </is>
      </c>
      <c r="G32" s="27" t="inlineStr">
        <is>
          <t>Revenue growth</t>
        </is>
      </c>
      <c r="H32" s="46" t="n">
        <v>0.155</v>
      </c>
      <c r="I32" s="27" t="inlineStr"/>
      <c r="J32" s="27" t="inlineStr">
        <is>
          <t>decimal ratio</t>
        </is>
      </c>
      <c r="K32" s="27" t="inlineStr">
        <is>
          <t>Finance operating schedule</t>
        </is>
      </c>
      <c r="L32" s="47" t="inlineStr">
        <is>
          <t>2026-06-30</t>
        </is>
      </c>
      <c r="M32" s="27" t="inlineStr"/>
    </row>
    <row r="33">
      <c r="A33" s="36" t="inlineStr">
        <is>
          <t>PLN-00059</t>
        </is>
      </c>
      <c r="B33" s="27" t="inlineStr">
        <is>
          <t>Complete the FY27 EBITDA scenario model</t>
        </is>
      </c>
      <c r="C33" s="27" t="inlineStr">
        <is>
          <t>Driver Inputs</t>
        </is>
      </c>
      <c r="D33" s="27" t="inlineStr">
        <is>
          <t>Service</t>
        </is>
      </c>
      <c r="E33" s="27" t="inlineStr">
        <is>
          <t>FY27</t>
        </is>
      </c>
      <c r="F33" s="27" t="inlineStr">
        <is>
          <t>Upside</t>
        </is>
      </c>
      <c r="G33" s="27" t="inlineStr">
        <is>
          <t>Gross margin</t>
        </is>
      </c>
      <c r="H33" s="46" t="n">
        <v>0.43</v>
      </c>
      <c r="I33" s="27" t="inlineStr"/>
      <c r="J33" s="27" t="inlineStr">
        <is>
          <t>decimal ratio</t>
        </is>
      </c>
      <c r="K33" s="27" t="inlineStr">
        <is>
          <t>Finance operating schedule</t>
        </is>
      </c>
      <c r="L33" s="47" t="inlineStr">
        <is>
          <t>2026-06-30</t>
        </is>
      </c>
      <c r="M33" s="27" t="inlineStr"/>
    </row>
    <row r="34">
      <c r="A34" s="36" t="inlineStr">
        <is>
          <t>PLN-00060</t>
        </is>
      </c>
      <c r="B34" s="27" t="inlineStr">
        <is>
          <t>Complete the FY27 EBITDA scenario model</t>
        </is>
      </c>
      <c r="C34" s="27" t="inlineStr">
        <is>
          <t>Driver Inputs</t>
        </is>
      </c>
      <c r="D34" s="27" t="inlineStr">
        <is>
          <t>Controls</t>
        </is>
      </c>
      <c r="E34" s="27" t="inlineStr">
        <is>
          <t>FY27</t>
        </is>
      </c>
      <c r="F34" s="27" t="inlineStr">
        <is>
          <t>Upside</t>
        </is>
      </c>
      <c r="G34" s="27" t="inlineStr">
        <is>
          <t>Revenue growth</t>
        </is>
      </c>
      <c r="H34" s="46" t="n">
        <v>0.19</v>
      </c>
      <c r="I34" s="27" t="inlineStr"/>
      <c r="J34" s="27" t="inlineStr">
        <is>
          <t>decimal ratio</t>
        </is>
      </c>
      <c r="K34" s="27" t="inlineStr">
        <is>
          <t>Finance operating schedule</t>
        </is>
      </c>
      <c r="L34" s="47" t="inlineStr">
        <is>
          <t>2026-06-30</t>
        </is>
      </c>
      <c r="M34" s="27" t="inlineStr"/>
    </row>
    <row r="35">
      <c r="A35" s="36" t="inlineStr">
        <is>
          <t>PLN-00061</t>
        </is>
      </c>
      <c r="B35" s="27" t="inlineStr">
        <is>
          <t>Complete the FY27 EBITDA scenario model</t>
        </is>
      </c>
      <c r="C35" s="27" t="inlineStr">
        <is>
          <t>Driver Inputs</t>
        </is>
      </c>
      <c r="D35" s="27" t="inlineStr">
        <is>
          <t>Controls</t>
        </is>
      </c>
      <c r="E35" s="27" t="inlineStr">
        <is>
          <t>FY27</t>
        </is>
      </c>
      <c r="F35" s="27" t="inlineStr">
        <is>
          <t>Upside</t>
        </is>
      </c>
      <c r="G35" s="27" t="inlineStr">
        <is>
          <t>Gross margin</t>
        </is>
      </c>
      <c r="H35" s="46" t="n">
        <v>0.385</v>
      </c>
      <c r="I35" s="27" t="inlineStr"/>
      <c r="J35" s="27" t="inlineStr">
        <is>
          <t>decimal ratio</t>
        </is>
      </c>
      <c r="K35" s="27" t="inlineStr">
        <is>
          <t>Finance operating schedule</t>
        </is>
      </c>
      <c r="L35" s="47" t="inlineStr">
        <is>
          <t>2026-06-30</t>
        </is>
      </c>
      <c r="M35" s="27" t="inlineStr"/>
    </row>
    <row r="36">
      <c r="A36" s="36" t="inlineStr">
        <is>
          <t>PLN-00062</t>
        </is>
      </c>
      <c r="B36" s="27" t="inlineStr">
        <is>
          <t>Complete the FY27 EBITDA scenario model</t>
        </is>
      </c>
      <c r="C36" s="27" t="inlineStr">
        <is>
          <t>Driver Inputs</t>
        </is>
      </c>
      <c r="D36" s="27" t="inlineStr">
        <is>
          <t>Consolidated</t>
        </is>
      </c>
      <c r="E36" s="27" t="inlineStr">
        <is>
          <t>FY27</t>
        </is>
      </c>
      <c r="F36" s="27" t="inlineStr">
        <is>
          <t>Upside</t>
        </is>
      </c>
      <c r="G36" s="27" t="inlineStr">
        <is>
          <t>Fixed Opex Growth</t>
        </is>
      </c>
      <c r="H36" s="46" t="n">
        <v>0.075</v>
      </c>
      <c r="I36" s="27" t="inlineStr"/>
      <c r="J36" s="27" t="inlineStr">
        <is>
          <t>decimal ratio</t>
        </is>
      </c>
      <c r="K36" s="27" t="inlineStr">
        <is>
          <t>Finance operating schedule</t>
        </is>
      </c>
      <c r="L36" s="47" t="inlineStr">
        <is>
          <t>2026-06-30</t>
        </is>
      </c>
      <c r="M36" s="27" t="inlineStr"/>
    </row>
    <row r="37">
      <c r="A37" s="36" t="inlineStr">
        <is>
          <t>PLN-00063</t>
        </is>
      </c>
      <c r="B37" s="27" t="inlineStr">
        <is>
          <t>Complete the FY27 EBITDA scenario model</t>
        </is>
      </c>
      <c r="C37" s="27" t="inlineStr">
        <is>
          <t>Driver Inputs</t>
        </is>
      </c>
      <c r="D37" s="27" t="inlineStr">
        <is>
          <t>Consolidated</t>
        </is>
      </c>
      <c r="E37" s="27" t="inlineStr">
        <is>
          <t>FY27</t>
        </is>
      </c>
      <c r="F37" s="27" t="inlineStr">
        <is>
          <t>Upside</t>
        </is>
      </c>
      <c r="G37" s="27" t="inlineStr">
        <is>
          <t>Variable Opex Rate</t>
        </is>
      </c>
      <c r="H37" s="46" t="n">
        <v>0.03</v>
      </c>
      <c r="I37" s="27" t="inlineStr"/>
      <c r="J37" s="27" t="inlineStr">
        <is>
          <t>decimal ratio</t>
        </is>
      </c>
      <c r="K37" s="27" t="inlineStr">
        <is>
          <t>Finance operating schedule</t>
        </is>
      </c>
      <c r="L37" s="47" t="inlineStr">
        <is>
          <t>2026-06-30</t>
        </is>
      </c>
      <c r="M37" s="27" t="inlineStr"/>
    </row>
    <row r="38">
      <c r="A38" s="36" t="inlineStr">
        <is>
          <t>PLN-00064</t>
        </is>
      </c>
      <c r="B38" s="27" t="inlineStr">
        <is>
          <t>Complete the FY27 EBITDA scenario model</t>
        </is>
      </c>
      <c r="C38" s="27" t="inlineStr">
        <is>
          <t>Driver Inputs</t>
        </is>
      </c>
      <c r="D38" s="27" t="inlineStr">
        <is>
          <t>Consolidated</t>
        </is>
      </c>
      <c r="E38" s="27" t="inlineStr">
        <is>
          <t>FY27</t>
        </is>
      </c>
      <c r="F38" s="27" t="inlineStr">
        <is>
          <t>Upside</t>
        </is>
      </c>
      <c r="G38" s="27" t="inlineStr">
        <is>
          <t>Cash Tax Rate</t>
        </is>
      </c>
      <c r="H38" s="46" t="n">
        <v>0.245</v>
      </c>
      <c r="I38" s="27" t="inlineStr"/>
      <c r="J38" s="27" t="inlineStr">
        <is>
          <t>decimal ratio</t>
        </is>
      </c>
      <c r="K38" s="27" t="inlineStr">
        <is>
          <t>Finance operating schedule</t>
        </is>
      </c>
      <c r="L38" s="47" t="inlineStr">
        <is>
          <t>2026-06-30</t>
        </is>
      </c>
      <c r="M38" s="27" t="inlineStr"/>
    </row>
    <row r="39">
      <c r="A39" s="36" t="inlineStr">
        <is>
          <t>PLN-00065</t>
        </is>
      </c>
      <c r="B39" s="27" t="inlineStr">
        <is>
          <t>Complete the FY27 EBITDA scenario model</t>
        </is>
      </c>
      <c r="C39" s="27" t="inlineStr">
        <is>
          <t>Driver Inputs</t>
        </is>
      </c>
      <c r="D39" s="27" t="inlineStr">
        <is>
          <t>Consolidated</t>
        </is>
      </c>
      <c r="E39" s="27" t="inlineStr">
        <is>
          <t>FY27</t>
        </is>
      </c>
      <c r="F39" s="27" t="inlineStr">
        <is>
          <t>Upside</t>
        </is>
      </c>
      <c r="G39" s="27" t="inlineStr">
        <is>
          <t>Capex</t>
        </is>
      </c>
      <c r="H39" s="46" t="n">
        <v>4100000</v>
      </c>
      <c r="I39" s="27" t="inlineStr"/>
      <c r="J39" s="27" t="inlineStr">
        <is>
          <t>USD</t>
        </is>
      </c>
      <c r="K39" s="27" t="inlineStr">
        <is>
          <t>Finance operating schedule</t>
        </is>
      </c>
      <c r="L39" s="47" t="inlineStr">
        <is>
          <t>2026-06-30</t>
        </is>
      </c>
      <c r="M39" s="27" t="inlineStr"/>
    </row>
    <row r="40">
      <c r="A40" s="36" t="inlineStr">
        <is>
          <t>PLN-00066</t>
        </is>
      </c>
      <c r="B40" s="27" t="inlineStr">
        <is>
          <t>Complete the FY27 EBITDA scenario model</t>
        </is>
      </c>
      <c r="C40" s="27" t="inlineStr">
        <is>
          <t>Driver Inputs</t>
        </is>
      </c>
      <c r="D40" s="27" t="inlineStr">
        <is>
          <t>Consolidated</t>
        </is>
      </c>
      <c r="E40" s="27" t="inlineStr">
        <is>
          <t>FY27</t>
        </is>
      </c>
      <c r="F40" s="27" t="inlineStr">
        <is>
          <t>Upside</t>
        </is>
      </c>
      <c r="G40" s="27" t="inlineStr">
        <is>
          <t>Nwc Rate</t>
        </is>
      </c>
      <c r="H40" s="46" t="n">
        <v>0.023</v>
      </c>
      <c r="I40" s="27" t="inlineStr"/>
      <c r="J40" s="27" t="inlineStr">
        <is>
          <t>decimal ratio</t>
        </is>
      </c>
      <c r="K40" s="27" t="inlineStr">
        <is>
          <t>Finance operating schedule</t>
        </is>
      </c>
      <c r="L40" s="47" t="inlineStr">
        <is>
          <t>2026-06-30</t>
        </is>
      </c>
      <c r="M40" s="27" t="inlineStr"/>
    </row>
    <row r="41">
      <c r="A41" s="36" t="inlineStr">
        <is>
          <t>PLN-00067</t>
        </is>
      </c>
      <c r="B41" s="27" t="inlineStr">
        <is>
          <t>Complete the FY27 EBITDA scenario model</t>
        </is>
      </c>
      <c r="C41" s="27" t="inlineStr">
        <is>
          <t>Driver Inputs</t>
        </is>
      </c>
      <c r="D41" s="27" t="inlineStr">
        <is>
          <t>Consolidated</t>
        </is>
      </c>
      <c r="E41" s="27" t="inlineStr">
        <is>
          <t>LTM 2026-06-30</t>
        </is>
      </c>
      <c r="F41" s="27" t="inlineStr">
        <is>
          <t>Approved case</t>
        </is>
      </c>
      <c r="G41" s="27" t="inlineStr">
        <is>
          <t>Fixed opex base</t>
        </is>
      </c>
      <c r="H41" s="46" t="n">
        <v>1</v>
      </c>
      <c r="I41" s="27" t="inlineStr"/>
      <c r="J41" s="27" t="inlineStr">
        <is>
          <t>ledger allocation factor</t>
        </is>
      </c>
      <c r="K41" s="27" t="inlineStr">
        <is>
          <t>Posted operating-expense population</t>
        </is>
      </c>
      <c r="L41" s="47" t="inlineStr">
        <is>
          <t>2026-06-30</t>
        </is>
      </c>
      <c r="M41" s="27" t="inlineStr">
        <is>
          <t>Vista ERP P&amp;L, 2025-07-01 through 2026-06-30; Operating Expense total</t>
        </is>
      </c>
    </row>
    <row r="42">
      <c r="A42" s="36" t="inlineStr">
        <is>
          <t>PLN-00068</t>
        </is>
      </c>
      <c r="B42" s="27" t="inlineStr">
        <is>
          <t>Complete the FY27 EBITDA scenario model</t>
        </is>
      </c>
      <c r="C42" s="27" t="inlineStr">
        <is>
          <t>Driver Inputs</t>
        </is>
      </c>
      <c r="D42" s="27" t="inlineStr">
        <is>
          <t>Consolidated</t>
        </is>
      </c>
      <c r="E42" s="27" t="inlineStr">
        <is>
          <t>FY27</t>
        </is>
      </c>
      <c r="F42" s="27" t="inlineStr">
        <is>
          <t>Approved case</t>
        </is>
      </c>
      <c r="G42" s="27" t="inlineStr">
        <is>
          <t>Depreciation excluded from EBITDA</t>
        </is>
      </c>
      <c r="H42" s="46" t="n">
        <v>420000</v>
      </c>
      <c r="I42" s="27" t="inlineStr"/>
      <c r="J42" s="27" t="inlineStr">
        <is>
          <t>USD</t>
        </is>
      </c>
      <c r="K42" s="27" t="inlineStr">
        <is>
          <t>Finance operating schedule</t>
        </is>
      </c>
      <c r="L42" s="47" t="inlineStr">
        <is>
          <t>2026-06-30</t>
        </is>
      </c>
      <c r="M42" s="27" t="inlineStr"/>
    </row>
    <row r="43">
      <c r="A43" s="36" t="inlineStr">
        <is>
          <t>PLN-00081</t>
        </is>
      </c>
      <c r="B43" s="27" t="inlineStr">
        <is>
          <t>Twelve-month operating-expense reforecast</t>
        </is>
      </c>
      <c r="C43" s="27" t="inlineStr">
        <is>
          <t>Approved monthly plan</t>
        </is>
      </c>
      <c r="D43" s="27" t="inlineStr">
        <is>
          <t>Operations</t>
        </is>
      </c>
      <c r="E43" s="27" t="inlineStr">
        <is>
          <t>2026-07</t>
        </is>
      </c>
      <c r="F43" s="27" t="inlineStr">
        <is>
          <t>Approved case</t>
        </is>
      </c>
      <c r="G43" s="27" t="inlineStr">
        <is>
          <t>Controllable operating expense</t>
        </is>
      </c>
      <c r="H43" s="46" t="n">
        <v>0.02805</v>
      </c>
      <c r="I43" s="27" t="inlineStr"/>
      <c r="J43" s="27" t="inlineStr">
        <is>
          <t>ledger allocation factor</t>
        </is>
      </c>
      <c r="K43" s="27" t="inlineStr">
        <is>
          <t>Board-approved FY27 operating plan</t>
        </is>
      </c>
      <c r="L43" s="47" t="inlineStr">
        <is>
          <t>2026-06-30</t>
        </is>
      </c>
      <c r="M43" s="27" t="inlineStr">
        <is>
          <t>Vista ERP P&amp;L, 2025-07-01 through 2026-06-30; Operating Expense total</t>
        </is>
      </c>
    </row>
    <row r="44">
      <c r="A44" s="36" t="inlineStr">
        <is>
          <t>PLN-00082</t>
        </is>
      </c>
      <c r="B44" s="27" t="inlineStr">
        <is>
          <t>Twelve-month operating-expense reforecast</t>
        </is>
      </c>
      <c r="C44" s="27" t="inlineStr">
        <is>
          <t>Approved reforecast events</t>
        </is>
      </c>
      <c r="D44" s="27" t="inlineStr">
        <is>
          <t>Operations</t>
        </is>
      </c>
      <c r="E44" s="27" t="inlineStr">
        <is>
          <t>2026-07</t>
        </is>
      </c>
      <c r="F44" s="27" t="inlineStr">
        <is>
          <t>Approved case</t>
        </is>
      </c>
      <c r="G44" s="27" t="inlineStr">
        <is>
          <t>Net approved run-rate and timing adjustment</t>
        </is>
      </c>
      <c r="H44" s="46" t="n">
        <v>6666.666666666666</v>
      </c>
      <c r="I44" s="27" t="inlineStr"/>
      <c r="J44" s="27" t="inlineStr">
        <is>
          <t>USD</t>
        </is>
      </c>
      <c r="K44" s="27" t="inlineStr">
        <is>
          <t>Approved hire, contract, savings, and one-time event register</t>
        </is>
      </c>
      <c r="L44" s="47" t="inlineStr">
        <is>
          <t>2026-06-30</t>
        </is>
      </c>
      <c r="M44" s="27" t="inlineStr"/>
    </row>
    <row r="45">
      <c r="A45" s="36" t="inlineStr">
        <is>
          <t>PLN-00083</t>
        </is>
      </c>
      <c r="B45" s="27" t="inlineStr">
        <is>
          <t>Twelve-month operating-expense reforecast</t>
        </is>
      </c>
      <c r="C45" s="27" t="inlineStr">
        <is>
          <t>Approved monthly plan</t>
        </is>
      </c>
      <c r="D45" s="27" t="inlineStr">
        <is>
          <t>Operations</t>
        </is>
      </c>
      <c r="E45" s="27" t="inlineStr">
        <is>
          <t>2026-08</t>
        </is>
      </c>
      <c r="F45" s="27" t="inlineStr">
        <is>
          <t>Approved case</t>
        </is>
      </c>
      <c r="G45" s="27" t="inlineStr">
        <is>
          <t>Controllable operating expense</t>
        </is>
      </c>
      <c r="H45" s="46" t="n">
        <v>0.02805</v>
      </c>
      <c r="I45" s="27" t="inlineStr"/>
      <c r="J45" s="27" t="inlineStr">
        <is>
          <t>ledger allocation factor</t>
        </is>
      </c>
      <c r="K45" s="27" t="inlineStr">
        <is>
          <t>Board-approved FY27 operating plan</t>
        </is>
      </c>
      <c r="L45" s="47" t="inlineStr">
        <is>
          <t>2026-06-30</t>
        </is>
      </c>
      <c r="M45" s="27" t="inlineStr">
        <is>
          <t>Vista ERP P&amp;L, 2025-07-01 through 2026-06-30; Operating Expense total</t>
        </is>
      </c>
    </row>
    <row r="46">
      <c r="A46" s="36" t="inlineStr">
        <is>
          <t>PLN-00084</t>
        </is>
      </c>
      <c r="B46" s="27" t="inlineStr">
        <is>
          <t>Twelve-month operating-expense reforecast</t>
        </is>
      </c>
      <c r="C46" s="27" t="inlineStr">
        <is>
          <t>Approved reforecast events</t>
        </is>
      </c>
      <c r="D46" s="27" t="inlineStr">
        <is>
          <t>Operations</t>
        </is>
      </c>
      <c r="E46" s="27" t="inlineStr">
        <is>
          <t>2026-08</t>
        </is>
      </c>
      <c r="F46" s="27" t="inlineStr">
        <is>
          <t>Approved case</t>
        </is>
      </c>
      <c r="G46" s="27" t="inlineStr">
        <is>
          <t>Net approved run-rate and timing adjustment</t>
        </is>
      </c>
      <c r="H46" s="46" t="n">
        <v>13.33333333333333</v>
      </c>
      <c r="I46" s="27" t="inlineStr"/>
      <c r="J46" s="27" t="inlineStr">
        <is>
          <t>USD thousands</t>
        </is>
      </c>
      <c r="K46" s="27" t="inlineStr">
        <is>
          <t>Approved hire, contract, savings, and one-time event register</t>
        </is>
      </c>
      <c r="L46" s="47" t="inlineStr">
        <is>
          <t>2026-06-30</t>
        </is>
      </c>
      <c r="M46" s="27" t="inlineStr"/>
    </row>
    <row r="47">
      <c r="A47" s="36" t="inlineStr">
        <is>
          <t>PLN-00085</t>
        </is>
      </c>
      <c r="B47" s="27" t="inlineStr">
        <is>
          <t>Twelve-month operating-expense reforecast</t>
        </is>
      </c>
      <c r="C47" s="27" t="inlineStr">
        <is>
          <t>Approved monthly plan</t>
        </is>
      </c>
      <c r="D47" s="27" t="inlineStr">
        <is>
          <t>Operations</t>
        </is>
      </c>
      <c r="E47" s="27" t="inlineStr">
        <is>
          <t>2026-09</t>
        </is>
      </c>
      <c r="F47" s="27" t="inlineStr">
        <is>
          <t>Approved case</t>
        </is>
      </c>
      <c r="G47" s="27" t="inlineStr">
        <is>
          <t>Controllable operating expense</t>
        </is>
      </c>
      <c r="H47" s="46" t="n">
        <v>0.02833333333333334</v>
      </c>
      <c r="I47" s="27" t="inlineStr"/>
      <c r="J47" s="27" t="inlineStr">
        <is>
          <t>ledger allocation factor</t>
        </is>
      </c>
      <c r="K47" s="27" t="inlineStr">
        <is>
          <t>Board-approved FY27 operating plan</t>
        </is>
      </c>
      <c r="L47" s="47" t="inlineStr">
        <is>
          <t>2026-06-30</t>
        </is>
      </c>
      <c r="M47" s="27" t="inlineStr">
        <is>
          <t>Vista ERP P&amp;L, 2025-07-01 through 2026-06-30; Operating Expense total</t>
        </is>
      </c>
    </row>
    <row r="48">
      <c r="A48" s="36" t="inlineStr">
        <is>
          <t>PLN-00086</t>
        </is>
      </c>
      <c r="B48" s="27" t="inlineStr">
        <is>
          <t>Twelve-month operating-expense reforecast</t>
        </is>
      </c>
      <c r="C48" s="27" t="inlineStr">
        <is>
          <t>Approved reforecast events</t>
        </is>
      </c>
      <c r="D48" s="27" t="inlineStr">
        <is>
          <t>Operations</t>
        </is>
      </c>
      <c r="E48" s="27" t="inlineStr">
        <is>
          <t>2026-09</t>
        </is>
      </c>
      <c r="F48" s="27" t="inlineStr">
        <is>
          <t>Approved case</t>
        </is>
      </c>
      <c r="G48" s="27" t="inlineStr">
        <is>
          <t>Net approved run-rate and timing adjustment</t>
        </is>
      </c>
      <c r="H48" s="46" t="n">
        <v>20000</v>
      </c>
      <c r="I48" s="27" t="inlineStr"/>
      <c r="J48" s="27" t="inlineStr">
        <is>
          <t>USD</t>
        </is>
      </c>
      <c r="K48" s="27" t="inlineStr">
        <is>
          <t>Approved hire, contract, savings, and one-time event register</t>
        </is>
      </c>
      <c r="L48" s="47" t="inlineStr">
        <is>
          <t>2026-06-30</t>
        </is>
      </c>
      <c r="M48" s="27" t="inlineStr"/>
    </row>
    <row r="49">
      <c r="A49" s="36" t="inlineStr">
        <is>
          <t>PLN-00087</t>
        </is>
      </c>
      <c r="B49" s="27" t="inlineStr">
        <is>
          <t>Twelve-month operating-expense reforecast</t>
        </is>
      </c>
      <c r="C49" s="27" t="inlineStr">
        <is>
          <t>Approved monthly plan</t>
        </is>
      </c>
      <c r="D49" s="27" t="inlineStr">
        <is>
          <t>Operations</t>
        </is>
      </c>
      <c r="E49" s="27" t="inlineStr">
        <is>
          <t>2026-10</t>
        </is>
      </c>
      <c r="F49" s="27" t="inlineStr">
        <is>
          <t>Approved case</t>
        </is>
      </c>
      <c r="G49" s="27" t="inlineStr">
        <is>
          <t>Controllable operating expense</t>
        </is>
      </c>
      <c r="H49" s="46" t="n">
        <v>0.02833333333333334</v>
      </c>
      <c r="I49" s="27" t="inlineStr"/>
      <c r="J49" s="27" t="inlineStr">
        <is>
          <t>ledger allocation factor</t>
        </is>
      </c>
      <c r="K49" s="27" t="inlineStr">
        <is>
          <t>Board-approved FY27 operating plan</t>
        </is>
      </c>
      <c r="L49" s="47" t="inlineStr">
        <is>
          <t>2026-06-30</t>
        </is>
      </c>
      <c r="M49" s="27" t="inlineStr">
        <is>
          <t>Vista ERP P&amp;L, 2025-07-01 through 2026-06-30; Operating Expense total</t>
        </is>
      </c>
    </row>
    <row r="50">
      <c r="A50" s="36" t="inlineStr">
        <is>
          <t>PLN-00088</t>
        </is>
      </c>
      <c r="B50" s="27" t="inlineStr">
        <is>
          <t>Twelve-month operating-expense reforecast</t>
        </is>
      </c>
      <c r="C50" s="27" t="inlineStr">
        <is>
          <t>Approved reforecast events</t>
        </is>
      </c>
      <c r="D50" s="27" t="inlineStr">
        <is>
          <t>Operations</t>
        </is>
      </c>
      <c r="E50" s="27" t="inlineStr">
        <is>
          <t>2026-10</t>
        </is>
      </c>
      <c r="F50" s="27" t="inlineStr">
        <is>
          <t>Approved case</t>
        </is>
      </c>
      <c r="G50" s="27" t="inlineStr">
        <is>
          <t>Net approved run-rate and timing adjustment</t>
        </is>
      </c>
      <c r="H50" s="46" t="n">
        <v>26.66666666666666</v>
      </c>
      <c r="I50" s="27" t="inlineStr"/>
      <c r="J50" s="27" t="inlineStr">
        <is>
          <t>USD thousands</t>
        </is>
      </c>
      <c r="K50" s="27" t="inlineStr">
        <is>
          <t>Approved hire, contract, savings, and one-time event register</t>
        </is>
      </c>
      <c r="L50" s="47" t="inlineStr">
        <is>
          <t>2026-06-30</t>
        </is>
      </c>
      <c r="M50" s="27" t="inlineStr"/>
    </row>
    <row r="51">
      <c r="A51" s="36" t="inlineStr">
        <is>
          <t>PLN-00089</t>
        </is>
      </c>
      <c r="B51" s="27" t="inlineStr">
        <is>
          <t>Twelve-month operating-expense reforecast</t>
        </is>
      </c>
      <c r="C51" s="27" t="inlineStr">
        <is>
          <t>Approved monthly plan</t>
        </is>
      </c>
      <c r="D51" s="27" t="inlineStr">
        <is>
          <t>Operations</t>
        </is>
      </c>
      <c r="E51" s="27" t="inlineStr">
        <is>
          <t>2026-11</t>
        </is>
      </c>
      <c r="F51" s="27" t="inlineStr">
        <is>
          <t>Approved case</t>
        </is>
      </c>
      <c r="G51" s="27" t="inlineStr">
        <is>
          <t>Controllable operating expense</t>
        </is>
      </c>
      <c r="H51" s="46" t="n">
        <v>0.02833333333333334</v>
      </c>
      <c r="I51" s="27" t="inlineStr"/>
      <c r="J51" s="27" t="inlineStr">
        <is>
          <t>ledger allocation factor</t>
        </is>
      </c>
      <c r="K51" s="27" t="inlineStr">
        <is>
          <t>Board-approved FY27 operating plan</t>
        </is>
      </c>
      <c r="L51" s="47" t="inlineStr">
        <is>
          <t>2026-06-30</t>
        </is>
      </c>
      <c r="M51" s="27" t="inlineStr">
        <is>
          <t>Vista ERP P&amp;L, 2025-07-01 through 2026-06-30; Operating Expense total</t>
        </is>
      </c>
    </row>
    <row r="52">
      <c r="A52" s="36" t="inlineStr">
        <is>
          <t>PLN-00090</t>
        </is>
      </c>
      <c r="B52" s="27" t="inlineStr">
        <is>
          <t>Twelve-month operating-expense reforecast</t>
        </is>
      </c>
      <c r="C52" s="27" t="inlineStr">
        <is>
          <t>Approved reforecast events</t>
        </is>
      </c>
      <c r="D52" s="27" t="inlineStr">
        <is>
          <t>Operations</t>
        </is>
      </c>
      <c r="E52" s="27" t="inlineStr">
        <is>
          <t>2026-11</t>
        </is>
      </c>
      <c r="F52" s="27" t="inlineStr">
        <is>
          <t>Approved case</t>
        </is>
      </c>
      <c r="G52" s="27" t="inlineStr">
        <is>
          <t>Net approved run-rate and timing adjustment</t>
        </is>
      </c>
      <c r="H52" s="46" t="n">
        <v>33333.33333333333</v>
      </c>
      <c r="I52" s="27" t="inlineStr"/>
      <c r="J52" s="27" t="inlineStr">
        <is>
          <t>USD</t>
        </is>
      </c>
      <c r="K52" s="27" t="inlineStr">
        <is>
          <t>Approved hire, contract, savings, and one-time event register</t>
        </is>
      </c>
      <c r="L52" s="47" t="inlineStr">
        <is>
          <t>2026-06-30</t>
        </is>
      </c>
      <c r="M52" s="27" t="inlineStr"/>
    </row>
    <row r="53">
      <c r="A53" s="36" t="inlineStr">
        <is>
          <t>PLN-00091</t>
        </is>
      </c>
      <c r="B53" s="27" t="inlineStr">
        <is>
          <t>Twelve-month operating-expense reforecast</t>
        </is>
      </c>
      <c r="C53" s="27" t="inlineStr">
        <is>
          <t>Approved monthly plan</t>
        </is>
      </c>
      <c r="D53" s="27" t="inlineStr">
        <is>
          <t>Operations</t>
        </is>
      </c>
      <c r="E53" s="27" t="inlineStr">
        <is>
          <t>2026-12</t>
        </is>
      </c>
      <c r="F53" s="27" t="inlineStr">
        <is>
          <t>Approved case</t>
        </is>
      </c>
      <c r="G53" s="27" t="inlineStr">
        <is>
          <t>Controllable operating expense</t>
        </is>
      </c>
      <c r="H53" s="46" t="n">
        <v>0.02904166666666667</v>
      </c>
      <c r="I53" s="27" t="inlineStr"/>
      <c r="J53" s="27" t="inlineStr">
        <is>
          <t>ledger allocation factor</t>
        </is>
      </c>
      <c r="K53" s="27" t="inlineStr">
        <is>
          <t>Board-approved FY27 operating plan</t>
        </is>
      </c>
      <c r="L53" s="47" t="inlineStr">
        <is>
          <t>2026-06-30</t>
        </is>
      </c>
      <c r="M53" s="27" t="inlineStr">
        <is>
          <t>Vista ERP P&amp;L, 2025-07-01 through 2026-06-30; Operating Expense total</t>
        </is>
      </c>
    </row>
    <row r="54">
      <c r="A54" s="36" t="inlineStr">
        <is>
          <t>PLN-00092</t>
        </is>
      </c>
      <c r="B54" s="27" t="inlineStr">
        <is>
          <t>Twelve-month operating-expense reforecast</t>
        </is>
      </c>
      <c r="C54" s="27" t="inlineStr">
        <is>
          <t>Approved reforecast events</t>
        </is>
      </c>
      <c r="D54" s="27" t="inlineStr">
        <is>
          <t>Operations</t>
        </is>
      </c>
      <c r="E54" s="27" t="inlineStr">
        <is>
          <t>2026-12</t>
        </is>
      </c>
      <c r="F54" s="27" t="inlineStr">
        <is>
          <t>Approved case</t>
        </is>
      </c>
      <c r="G54" s="27" t="inlineStr">
        <is>
          <t>Net approved run-rate and timing adjustment</t>
        </is>
      </c>
      <c r="H54" s="46" t="n">
        <v>40</v>
      </c>
      <c r="I54" s="27" t="inlineStr"/>
      <c r="J54" s="27" t="inlineStr">
        <is>
          <t>USD thousands</t>
        </is>
      </c>
      <c r="K54" s="27" t="inlineStr">
        <is>
          <t>Approved hire, contract, savings, and one-time event register</t>
        </is>
      </c>
      <c r="L54" s="47" t="inlineStr">
        <is>
          <t>2026-06-30</t>
        </is>
      </c>
      <c r="M54" s="27" t="inlineStr"/>
    </row>
    <row r="55">
      <c r="A55" s="36" t="inlineStr">
        <is>
          <t>PLN-00093</t>
        </is>
      </c>
      <c r="B55" s="27" t="inlineStr">
        <is>
          <t>Twelve-month operating-expense reforecast</t>
        </is>
      </c>
      <c r="C55" s="27" t="inlineStr">
        <is>
          <t>Approved monthly plan</t>
        </is>
      </c>
      <c r="D55" s="27" t="inlineStr">
        <is>
          <t>Operations</t>
        </is>
      </c>
      <c r="E55" s="27" t="inlineStr">
        <is>
          <t>2027-01</t>
        </is>
      </c>
      <c r="F55" s="27" t="inlineStr">
        <is>
          <t>Approved case</t>
        </is>
      </c>
      <c r="G55" s="27" t="inlineStr">
        <is>
          <t>Controllable operating expense</t>
        </is>
      </c>
      <c r="H55" s="46" t="n">
        <v>0.02904166666666667</v>
      </c>
      <c r="I55" s="27" t="inlineStr"/>
      <c r="J55" s="27" t="inlineStr">
        <is>
          <t>ledger allocation factor</t>
        </is>
      </c>
      <c r="K55" s="27" t="inlineStr">
        <is>
          <t>Board-approved FY27 operating plan</t>
        </is>
      </c>
      <c r="L55" s="47" t="inlineStr">
        <is>
          <t>2026-06-30</t>
        </is>
      </c>
      <c r="M55" s="27" t="inlineStr">
        <is>
          <t>Vista ERP P&amp;L, 2025-07-01 through 2026-06-30; Operating Expense total</t>
        </is>
      </c>
    </row>
    <row r="56">
      <c r="A56" s="36" t="inlineStr">
        <is>
          <t>PLN-00094</t>
        </is>
      </c>
      <c r="B56" s="27" t="inlineStr">
        <is>
          <t>Twelve-month operating-expense reforecast</t>
        </is>
      </c>
      <c r="C56" s="27" t="inlineStr">
        <is>
          <t>Approved reforecast events</t>
        </is>
      </c>
      <c r="D56" s="27" t="inlineStr">
        <is>
          <t>Operations</t>
        </is>
      </c>
      <c r="E56" s="27" t="inlineStr">
        <is>
          <t>2027-01</t>
        </is>
      </c>
      <c r="F56" s="27" t="inlineStr">
        <is>
          <t>Approved case</t>
        </is>
      </c>
      <c r="G56" s="27" t="inlineStr">
        <is>
          <t>Net approved run-rate and timing adjustment</t>
        </is>
      </c>
      <c r="H56" s="46" t="n">
        <v>46666.66666666666</v>
      </c>
      <c r="I56" s="27" t="inlineStr"/>
      <c r="J56" s="27" t="inlineStr">
        <is>
          <t>USD</t>
        </is>
      </c>
      <c r="K56" s="27" t="inlineStr">
        <is>
          <t>Approved hire, contract, savings, and one-time event register</t>
        </is>
      </c>
      <c r="L56" s="47" t="inlineStr">
        <is>
          <t>2026-06-30</t>
        </is>
      </c>
      <c r="M56" s="27" t="inlineStr"/>
    </row>
    <row r="57">
      <c r="A57" s="36" t="inlineStr">
        <is>
          <t>PLN-00095</t>
        </is>
      </c>
      <c r="B57" s="27" t="inlineStr">
        <is>
          <t>Twelve-month operating-expense reforecast</t>
        </is>
      </c>
      <c r="C57" s="27" t="inlineStr">
        <is>
          <t>Approved monthly plan</t>
        </is>
      </c>
      <c r="D57" s="27" t="inlineStr">
        <is>
          <t>Operations</t>
        </is>
      </c>
      <c r="E57" s="27" t="inlineStr">
        <is>
          <t>2027-02</t>
        </is>
      </c>
      <c r="F57" s="27" t="inlineStr">
        <is>
          <t>Approved case</t>
        </is>
      </c>
      <c r="G57" s="27" t="inlineStr">
        <is>
          <t>Controllable operating expense</t>
        </is>
      </c>
      <c r="H57" s="46" t="n">
        <v>0.02833333333333334</v>
      </c>
      <c r="I57" s="27" t="inlineStr"/>
      <c r="J57" s="27" t="inlineStr">
        <is>
          <t>ledger allocation factor</t>
        </is>
      </c>
      <c r="K57" s="27" t="inlineStr">
        <is>
          <t>Board-approved FY27 operating plan</t>
        </is>
      </c>
      <c r="L57" s="47" t="inlineStr">
        <is>
          <t>2026-06-30</t>
        </is>
      </c>
      <c r="M57" s="27" t="inlineStr">
        <is>
          <t>Vista ERP P&amp;L, 2025-07-01 through 2026-06-30; Operating Expense total</t>
        </is>
      </c>
    </row>
    <row r="58">
      <c r="A58" s="36" t="inlineStr">
        <is>
          <t>PLN-00096</t>
        </is>
      </c>
      <c r="B58" s="27" t="inlineStr">
        <is>
          <t>Twelve-month operating-expense reforecast</t>
        </is>
      </c>
      <c r="C58" s="27" t="inlineStr">
        <is>
          <t>Approved reforecast events</t>
        </is>
      </c>
      <c r="D58" s="27" t="inlineStr">
        <is>
          <t>Operations</t>
        </is>
      </c>
      <c r="E58" s="27" t="inlineStr">
        <is>
          <t>2027-02</t>
        </is>
      </c>
      <c r="F58" s="27" t="inlineStr">
        <is>
          <t>Approved case</t>
        </is>
      </c>
      <c r="G58" s="27" t="inlineStr">
        <is>
          <t>Net approved run-rate and timing adjustment</t>
        </is>
      </c>
      <c r="H58" s="46" t="n">
        <v>53.33333333333333</v>
      </c>
      <c r="I58" s="27" t="inlineStr"/>
      <c r="J58" s="27" t="inlineStr">
        <is>
          <t>USD thousands</t>
        </is>
      </c>
      <c r="K58" s="27" t="inlineStr">
        <is>
          <t>Approved hire, contract, savings, and one-time event register</t>
        </is>
      </c>
      <c r="L58" s="47" t="inlineStr">
        <is>
          <t>2026-06-30</t>
        </is>
      </c>
      <c r="M58" s="27" t="inlineStr"/>
    </row>
    <row r="59">
      <c r="A59" s="36" t="inlineStr">
        <is>
          <t>PLN-00097</t>
        </is>
      </c>
      <c r="B59" s="27" t="inlineStr">
        <is>
          <t>Twelve-month operating-expense reforecast</t>
        </is>
      </c>
      <c r="C59" s="27" t="inlineStr">
        <is>
          <t>Approved monthly plan</t>
        </is>
      </c>
      <c r="D59" s="27" t="inlineStr">
        <is>
          <t>Operations</t>
        </is>
      </c>
      <c r="E59" s="27" t="inlineStr">
        <is>
          <t>2027-03</t>
        </is>
      </c>
      <c r="F59" s="27" t="inlineStr">
        <is>
          <t>Approved case</t>
        </is>
      </c>
      <c r="G59" s="27" t="inlineStr">
        <is>
          <t>Controllable operating expense</t>
        </is>
      </c>
      <c r="H59" s="46" t="n">
        <v>0.02833333333333334</v>
      </c>
      <c r="I59" s="27" t="inlineStr"/>
      <c r="J59" s="27" t="inlineStr">
        <is>
          <t>ledger allocation factor</t>
        </is>
      </c>
      <c r="K59" s="27" t="inlineStr">
        <is>
          <t>Board-approved FY27 operating plan</t>
        </is>
      </c>
      <c r="L59" s="47" t="inlineStr">
        <is>
          <t>2026-06-30</t>
        </is>
      </c>
      <c r="M59" s="27" t="inlineStr">
        <is>
          <t>Vista ERP P&amp;L, 2025-07-01 through 2026-06-30; Operating Expense total</t>
        </is>
      </c>
    </row>
    <row r="60">
      <c r="A60" s="36" t="inlineStr">
        <is>
          <t>PLN-00098</t>
        </is>
      </c>
      <c r="B60" s="27" t="inlineStr">
        <is>
          <t>Twelve-month operating-expense reforecast</t>
        </is>
      </c>
      <c r="C60" s="27" t="inlineStr">
        <is>
          <t>Approved reforecast events</t>
        </is>
      </c>
      <c r="D60" s="27" t="inlineStr">
        <is>
          <t>Operations</t>
        </is>
      </c>
      <c r="E60" s="27" t="inlineStr">
        <is>
          <t>2027-03</t>
        </is>
      </c>
      <c r="F60" s="27" t="inlineStr">
        <is>
          <t>Approved case</t>
        </is>
      </c>
      <c r="G60" s="27" t="inlineStr">
        <is>
          <t>Net approved run-rate and timing adjustment</t>
        </is>
      </c>
      <c r="H60" s="46" t="n">
        <v>60000</v>
      </c>
      <c r="I60" s="27" t="inlineStr"/>
      <c r="J60" s="27" t="inlineStr">
        <is>
          <t>USD</t>
        </is>
      </c>
      <c r="K60" s="27" t="inlineStr">
        <is>
          <t>Approved hire, contract, savings, and one-time event register</t>
        </is>
      </c>
      <c r="L60" s="47" t="inlineStr">
        <is>
          <t>2026-06-30</t>
        </is>
      </c>
      <c r="M60" s="27" t="inlineStr"/>
    </row>
    <row r="61">
      <c r="A61" s="36" t="inlineStr">
        <is>
          <t>PLN-00099</t>
        </is>
      </c>
      <c r="B61" s="27" t="inlineStr">
        <is>
          <t>Twelve-month operating-expense reforecast</t>
        </is>
      </c>
      <c r="C61" s="27" t="inlineStr">
        <is>
          <t>Approved monthly plan</t>
        </is>
      </c>
      <c r="D61" s="27" t="inlineStr">
        <is>
          <t>Operations</t>
        </is>
      </c>
      <c r="E61" s="27" t="inlineStr">
        <is>
          <t>2027-04</t>
        </is>
      </c>
      <c r="F61" s="27" t="inlineStr">
        <is>
          <t>Approved case</t>
        </is>
      </c>
      <c r="G61" s="27" t="inlineStr">
        <is>
          <t>Controllable operating expense</t>
        </is>
      </c>
      <c r="H61" s="46" t="n">
        <v>0.02833333333333334</v>
      </c>
      <c r="I61" s="27" t="inlineStr"/>
      <c r="J61" s="27" t="inlineStr">
        <is>
          <t>ledger allocation factor</t>
        </is>
      </c>
      <c r="K61" s="27" t="inlineStr">
        <is>
          <t>Board-approved FY27 operating plan</t>
        </is>
      </c>
      <c r="L61" s="47" t="inlineStr">
        <is>
          <t>2026-06-30</t>
        </is>
      </c>
      <c r="M61" s="27" t="inlineStr">
        <is>
          <t>Vista ERP P&amp;L, 2025-07-01 through 2026-06-30; Operating Expense total</t>
        </is>
      </c>
    </row>
    <row r="62">
      <c r="A62" s="36" t="inlineStr">
        <is>
          <t>PLN-00100</t>
        </is>
      </c>
      <c r="B62" s="27" t="inlineStr">
        <is>
          <t>Twelve-month operating-expense reforecast</t>
        </is>
      </c>
      <c r="C62" s="27" t="inlineStr">
        <is>
          <t>Approved reforecast events</t>
        </is>
      </c>
      <c r="D62" s="27" t="inlineStr">
        <is>
          <t>Operations</t>
        </is>
      </c>
      <c r="E62" s="27" t="inlineStr">
        <is>
          <t>2027-04</t>
        </is>
      </c>
      <c r="F62" s="27" t="inlineStr">
        <is>
          <t>Approved case</t>
        </is>
      </c>
      <c r="G62" s="27" t="inlineStr">
        <is>
          <t>Net approved run-rate and timing adjustment</t>
        </is>
      </c>
      <c r="H62" s="46" t="n">
        <v>66.66666666666666</v>
      </c>
      <c r="I62" s="27" t="inlineStr"/>
      <c r="J62" s="27" t="inlineStr">
        <is>
          <t>USD thousands</t>
        </is>
      </c>
      <c r="K62" s="27" t="inlineStr">
        <is>
          <t>Approved hire, contract, savings, and one-time event register</t>
        </is>
      </c>
      <c r="L62" s="47" t="inlineStr">
        <is>
          <t>2026-06-30</t>
        </is>
      </c>
      <c r="M62" s="27" t="inlineStr"/>
    </row>
    <row r="63">
      <c r="A63" s="36" t="inlineStr">
        <is>
          <t>PLN-00101</t>
        </is>
      </c>
      <c r="B63" s="27" t="inlineStr">
        <is>
          <t>Twelve-month operating-expense reforecast</t>
        </is>
      </c>
      <c r="C63" s="27" t="inlineStr">
        <is>
          <t>Approved monthly plan</t>
        </is>
      </c>
      <c r="D63" s="27" t="inlineStr">
        <is>
          <t>Operations</t>
        </is>
      </c>
      <c r="E63" s="27" t="inlineStr">
        <is>
          <t>2027-05</t>
        </is>
      </c>
      <c r="F63" s="27" t="inlineStr">
        <is>
          <t>Approved case</t>
        </is>
      </c>
      <c r="G63" s="27" t="inlineStr">
        <is>
          <t>Controllable operating expense</t>
        </is>
      </c>
      <c r="H63" s="46" t="n">
        <v>0.02833333333333334</v>
      </c>
      <c r="I63" s="27" t="inlineStr"/>
      <c r="J63" s="27" t="inlineStr">
        <is>
          <t>ledger allocation factor</t>
        </is>
      </c>
      <c r="K63" s="27" t="inlineStr">
        <is>
          <t>Board-approved FY27 operating plan</t>
        </is>
      </c>
      <c r="L63" s="47" t="inlineStr">
        <is>
          <t>2026-06-30</t>
        </is>
      </c>
      <c r="M63" s="27" t="inlineStr">
        <is>
          <t>Vista ERP P&amp;L, 2025-07-01 through 2026-06-30; Operating Expense total</t>
        </is>
      </c>
    </row>
    <row r="64">
      <c r="A64" s="36" t="inlineStr">
        <is>
          <t>PLN-00102</t>
        </is>
      </c>
      <c r="B64" s="27" t="inlineStr">
        <is>
          <t>Twelve-month operating-expense reforecast</t>
        </is>
      </c>
      <c r="C64" s="27" t="inlineStr">
        <is>
          <t>Approved reforecast events</t>
        </is>
      </c>
      <c r="D64" s="27" t="inlineStr">
        <is>
          <t>Operations</t>
        </is>
      </c>
      <c r="E64" s="27" t="inlineStr">
        <is>
          <t>2027-05</t>
        </is>
      </c>
      <c r="F64" s="27" t="inlineStr">
        <is>
          <t>Approved case</t>
        </is>
      </c>
      <c r="G64" s="27" t="inlineStr">
        <is>
          <t>Net approved run-rate and timing adjustment</t>
        </is>
      </c>
      <c r="H64" s="46" t="n">
        <v>73333.33333333333</v>
      </c>
      <c r="I64" s="27" t="inlineStr"/>
      <c r="J64" s="27" t="inlineStr">
        <is>
          <t>USD</t>
        </is>
      </c>
      <c r="K64" s="27" t="inlineStr">
        <is>
          <t>Approved hire, contract, savings, and one-time event register</t>
        </is>
      </c>
      <c r="L64" s="47" t="inlineStr">
        <is>
          <t>2026-06-30</t>
        </is>
      </c>
      <c r="M64" s="27" t="inlineStr"/>
    </row>
    <row r="65">
      <c r="A65" s="36" t="inlineStr">
        <is>
          <t>PLN-00103</t>
        </is>
      </c>
      <c r="B65" s="27" t="inlineStr">
        <is>
          <t>Twelve-month operating-expense reforecast</t>
        </is>
      </c>
      <c r="C65" s="27" t="inlineStr">
        <is>
          <t>Approved monthly plan</t>
        </is>
      </c>
      <c r="D65" s="27" t="inlineStr">
        <is>
          <t>Operations</t>
        </is>
      </c>
      <c r="E65" s="27" t="inlineStr">
        <is>
          <t>2027-06</t>
        </is>
      </c>
      <c r="F65" s="27" t="inlineStr">
        <is>
          <t>Approved case</t>
        </is>
      </c>
      <c r="G65" s="27" t="inlineStr">
        <is>
          <t>Controllable operating expense</t>
        </is>
      </c>
      <c r="H65" s="46" t="n">
        <v>0.02833333333333334</v>
      </c>
      <c r="I65" s="27" t="inlineStr"/>
      <c r="J65" s="27" t="inlineStr">
        <is>
          <t>ledger allocation factor</t>
        </is>
      </c>
      <c r="K65" s="27" t="inlineStr">
        <is>
          <t>Board-approved FY27 operating plan</t>
        </is>
      </c>
      <c r="L65" s="47" t="inlineStr">
        <is>
          <t>2026-06-30</t>
        </is>
      </c>
      <c r="M65" s="27" t="inlineStr">
        <is>
          <t>Vista ERP P&amp;L, 2025-07-01 through 2026-06-30; Operating Expense total</t>
        </is>
      </c>
    </row>
    <row r="66">
      <c r="A66" s="36" t="inlineStr">
        <is>
          <t>PLN-00104</t>
        </is>
      </c>
      <c r="B66" s="27" t="inlineStr">
        <is>
          <t>Twelve-month operating-expense reforecast</t>
        </is>
      </c>
      <c r="C66" s="27" t="inlineStr">
        <is>
          <t>Approved reforecast events</t>
        </is>
      </c>
      <c r="D66" s="27" t="inlineStr">
        <is>
          <t>Operations</t>
        </is>
      </c>
      <c r="E66" s="27" t="inlineStr">
        <is>
          <t>2027-06</t>
        </is>
      </c>
      <c r="F66" s="27" t="inlineStr">
        <is>
          <t>Approved case</t>
        </is>
      </c>
      <c r="G66" s="27" t="inlineStr">
        <is>
          <t>Net approved run-rate and timing adjustment</t>
        </is>
      </c>
      <c r="H66" s="46" t="n">
        <v>80</v>
      </c>
      <c r="I66" s="27" t="inlineStr"/>
      <c r="J66" s="27" t="inlineStr">
        <is>
          <t>USD thousands</t>
        </is>
      </c>
      <c r="K66" s="27" t="inlineStr">
        <is>
          <t>Approved hire, contract, savings, and one-time event register</t>
        </is>
      </c>
      <c r="L66" s="47" t="inlineStr">
        <is>
          <t>2026-06-30</t>
        </is>
      </c>
      <c r="M66" s="27" t="inlineStr"/>
    </row>
    <row r="67">
      <c r="A67" s="36" t="inlineStr">
        <is>
          <t>PLN-00105</t>
        </is>
      </c>
      <c r="B67" s="27" t="inlineStr">
        <is>
          <t>Twelve-month operating-expense reforecast</t>
        </is>
      </c>
      <c r="C67" s="27" t="inlineStr">
        <is>
          <t>Approved monthly plan</t>
        </is>
      </c>
      <c r="D67" s="27" t="inlineStr">
        <is>
          <t>Information Technology</t>
        </is>
      </c>
      <c r="E67" s="27" t="inlineStr">
        <is>
          <t>2026-07</t>
        </is>
      </c>
      <c r="F67" s="27" t="inlineStr">
        <is>
          <t>Approved case</t>
        </is>
      </c>
      <c r="G67" s="27" t="inlineStr">
        <is>
          <t>Controllable operating expense</t>
        </is>
      </c>
      <c r="H67" s="46" t="n">
        <v>0.009075</v>
      </c>
      <c r="I67" s="27" t="inlineStr"/>
      <c r="J67" s="27" t="inlineStr">
        <is>
          <t>ledger allocation factor</t>
        </is>
      </c>
      <c r="K67" s="27" t="inlineStr">
        <is>
          <t>Board-approved FY27 operating plan</t>
        </is>
      </c>
      <c r="L67" s="47" t="inlineStr">
        <is>
          <t>2026-06-30</t>
        </is>
      </c>
      <c r="M67" s="27" t="inlineStr">
        <is>
          <t>Vista ERP P&amp;L, 2025-07-01 through 2026-06-30; Operating Expense total</t>
        </is>
      </c>
    </row>
    <row r="68">
      <c r="A68" s="36" t="inlineStr">
        <is>
          <t>PLN-00106</t>
        </is>
      </c>
      <c r="B68" s="27" t="inlineStr">
        <is>
          <t>Twelve-month operating-expense reforecast</t>
        </is>
      </c>
      <c r="C68" s="27" t="inlineStr">
        <is>
          <t>Approved reforecast events</t>
        </is>
      </c>
      <c r="D68" s="27" t="inlineStr">
        <is>
          <t>Information Technology</t>
        </is>
      </c>
      <c r="E68" s="27" t="inlineStr">
        <is>
          <t>2026-07</t>
        </is>
      </c>
      <c r="F68" s="27" t="inlineStr">
        <is>
          <t>Approved case</t>
        </is>
      </c>
      <c r="G68" s="27" t="inlineStr">
        <is>
          <t>Net approved run-rate and timing adjustment</t>
        </is>
      </c>
      <c r="H68" s="46" t="n">
        <v>3653.846153846154</v>
      </c>
      <c r="I68" s="27" t="inlineStr"/>
      <c r="J68" s="27" t="inlineStr">
        <is>
          <t>USD</t>
        </is>
      </c>
      <c r="K68" s="27" t="inlineStr">
        <is>
          <t>Approved hire, contract, savings, and one-time event register</t>
        </is>
      </c>
      <c r="L68" s="47" t="inlineStr">
        <is>
          <t>2026-06-30</t>
        </is>
      </c>
      <c r="M68" s="27" t="inlineStr"/>
    </row>
    <row r="69">
      <c r="A69" s="36" t="inlineStr">
        <is>
          <t>PLN-00107</t>
        </is>
      </c>
      <c r="B69" s="27" t="inlineStr">
        <is>
          <t>Twelve-month operating-expense reforecast</t>
        </is>
      </c>
      <c r="C69" s="27" t="inlineStr">
        <is>
          <t>Approved monthly plan</t>
        </is>
      </c>
      <c r="D69" s="27" t="inlineStr">
        <is>
          <t>Information Technology</t>
        </is>
      </c>
      <c r="E69" s="27" t="inlineStr">
        <is>
          <t>2026-08</t>
        </is>
      </c>
      <c r="F69" s="27" t="inlineStr">
        <is>
          <t>Approved case</t>
        </is>
      </c>
      <c r="G69" s="27" t="inlineStr">
        <is>
          <t>Controllable operating expense</t>
        </is>
      </c>
      <c r="H69" s="46" t="n">
        <v>0.009075</v>
      </c>
      <c r="I69" s="27" t="inlineStr"/>
      <c r="J69" s="27" t="inlineStr">
        <is>
          <t>ledger allocation factor</t>
        </is>
      </c>
      <c r="K69" s="27" t="inlineStr">
        <is>
          <t>Board-approved FY27 operating plan</t>
        </is>
      </c>
      <c r="L69" s="47" t="inlineStr">
        <is>
          <t>2026-06-30</t>
        </is>
      </c>
      <c r="M69" s="27" t="inlineStr">
        <is>
          <t>Vista ERP P&amp;L, 2025-07-01 through 2026-06-30; Operating Expense total</t>
        </is>
      </c>
    </row>
    <row r="70">
      <c r="A70" s="36" t="inlineStr">
        <is>
          <t>PLN-00108</t>
        </is>
      </c>
      <c r="B70" s="27" t="inlineStr">
        <is>
          <t>Twelve-month operating-expense reforecast</t>
        </is>
      </c>
      <c r="C70" s="27" t="inlineStr">
        <is>
          <t>Approved reforecast events</t>
        </is>
      </c>
      <c r="D70" s="27" t="inlineStr">
        <is>
          <t>Information Technology</t>
        </is>
      </c>
      <c r="E70" s="27" t="inlineStr">
        <is>
          <t>2026-08</t>
        </is>
      </c>
      <c r="F70" s="27" t="inlineStr">
        <is>
          <t>Approved case</t>
        </is>
      </c>
      <c r="G70" s="27" t="inlineStr">
        <is>
          <t>Net approved run-rate and timing adjustment</t>
        </is>
      </c>
      <c r="H70" s="46" t="n">
        <v>7307.692307692308</v>
      </c>
      <c r="I70" s="27" t="inlineStr"/>
      <c r="J70" s="27" t="inlineStr">
        <is>
          <t>USD</t>
        </is>
      </c>
      <c r="K70" s="27" t="inlineStr">
        <is>
          <t>Approved hire, contract, savings, and one-time event register</t>
        </is>
      </c>
      <c r="L70" s="47" t="inlineStr">
        <is>
          <t>2026-06-30</t>
        </is>
      </c>
      <c r="M70" s="27" t="inlineStr"/>
    </row>
    <row r="71">
      <c r="A71" s="36" t="inlineStr">
        <is>
          <t>PLN-00109</t>
        </is>
      </c>
      <c r="B71" s="27" t="inlineStr">
        <is>
          <t>Twelve-month operating-expense reforecast</t>
        </is>
      </c>
      <c r="C71" s="27" t="inlineStr">
        <is>
          <t>Approved monthly plan</t>
        </is>
      </c>
      <c r="D71" s="27" t="inlineStr">
        <is>
          <t>Information Technology</t>
        </is>
      </c>
      <c r="E71" s="27" t="inlineStr">
        <is>
          <t>2026-09</t>
        </is>
      </c>
      <c r="F71" s="27" t="inlineStr">
        <is>
          <t>Approved case</t>
        </is>
      </c>
      <c r="G71" s="27" t="inlineStr">
        <is>
          <t>Controllable operating expense</t>
        </is>
      </c>
      <c r="H71" s="46" t="n">
        <v>0.009166666666666667</v>
      </c>
      <c r="I71" s="27" t="inlineStr"/>
      <c r="J71" s="27" t="inlineStr">
        <is>
          <t>ledger allocation factor</t>
        </is>
      </c>
      <c r="K71" s="27" t="inlineStr">
        <is>
          <t>Board-approved FY27 operating plan</t>
        </is>
      </c>
      <c r="L71" s="47" t="inlineStr">
        <is>
          <t>2026-06-30</t>
        </is>
      </c>
      <c r="M71" s="27" t="inlineStr">
        <is>
          <t>Vista ERP P&amp;L, 2025-07-01 through 2026-06-30; Operating Expense total</t>
        </is>
      </c>
    </row>
    <row r="72">
      <c r="A72" s="36" t="inlineStr">
        <is>
          <t>PLN-00110</t>
        </is>
      </c>
      <c r="B72" s="27" t="inlineStr">
        <is>
          <t>Twelve-month operating-expense reforecast</t>
        </is>
      </c>
      <c r="C72" s="27" t="inlineStr">
        <is>
          <t>Approved reforecast events</t>
        </is>
      </c>
      <c r="D72" s="27" t="inlineStr">
        <is>
          <t>Information Technology</t>
        </is>
      </c>
      <c r="E72" s="27" t="inlineStr">
        <is>
          <t>2026-09</t>
        </is>
      </c>
      <c r="F72" s="27" t="inlineStr">
        <is>
          <t>Approved case</t>
        </is>
      </c>
      <c r="G72" s="27" t="inlineStr">
        <is>
          <t>Net approved run-rate and timing adjustment</t>
        </is>
      </c>
      <c r="H72" s="46" t="n">
        <v>10961.53846153846</v>
      </c>
      <c r="I72" s="27" t="inlineStr"/>
      <c r="J72" s="27" t="inlineStr">
        <is>
          <t>USD</t>
        </is>
      </c>
      <c r="K72" s="27" t="inlineStr">
        <is>
          <t>Approved hire, contract, savings, and one-time event register</t>
        </is>
      </c>
      <c r="L72" s="47" t="inlineStr">
        <is>
          <t>2026-06-30</t>
        </is>
      </c>
      <c r="M72" s="27" t="inlineStr"/>
    </row>
    <row r="73">
      <c r="A73" s="36" t="inlineStr">
        <is>
          <t>PLN-00111</t>
        </is>
      </c>
      <c r="B73" s="27" t="inlineStr">
        <is>
          <t>Twelve-month operating-expense reforecast</t>
        </is>
      </c>
      <c r="C73" s="27" t="inlineStr">
        <is>
          <t>Approved monthly plan</t>
        </is>
      </c>
      <c r="D73" s="27" t="inlineStr">
        <is>
          <t>Information Technology</t>
        </is>
      </c>
      <c r="E73" s="27" t="inlineStr">
        <is>
          <t>2026-10</t>
        </is>
      </c>
      <c r="F73" s="27" t="inlineStr">
        <is>
          <t>Approved case</t>
        </is>
      </c>
      <c r="G73" s="27" t="inlineStr">
        <is>
          <t>Controllable operating expense</t>
        </is>
      </c>
      <c r="H73" s="46" t="n">
        <v>0.009166666666666667</v>
      </c>
      <c r="I73" s="27" t="inlineStr"/>
      <c r="J73" s="27" t="inlineStr">
        <is>
          <t>ledger allocation factor</t>
        </is>
      </c>
      <c r="K73" s="27" t="inlineStr">
        <is>
          <t>Board-approved FY27 operating plan</t>
        </is>
      </c>
      <c r="L73" s="47" t="inlineStr">
        <is>
          <t>2026-06-30</t>
        </is>
      </c>
      <c r="M73" s="27" t="inlineStr">
        <is>
          <t>Vista ERP P&amp;L, 2025-07-01 through 2026-06-30; Operating Expense total</t>
        </is>
      </c>
    </row>
    <row r="74">
      <c r="A74" s="36" t="inlineStr">
        <is>
          <t>PLN-00112</t>
        </is>
      </c>
      <c r="B74" s="27" t="inlineStr">
        <is>
          <t>Twelve-month operating-expense reforecast</t>
        </is>
      </c>
      <c r="C74" s="27" t="inlineStr">
        <is>
          <t>Approved reforecast events</t>
        </is>
      </c>
      <c r="D74" s="27" t="inlineStr">
        <is>
          <t>Information Technology</t>
        </is>
      </c>
      <c r="E74" s="27" t="inlineStr">
        <is>
          <t>2026-10</t>
        </is>
      </c>
      <c r="F74" s="27" t="inlineStr">
        <is>
          <t>Approved case</t>
        </is>
      </c>
      <c r="G74" s="27" t="inlineStr">
        <is>
          <t>Net approved run-rate and timing adjustment</t>
        </is>
      </c>
      <c r="H74" s="46" t="n">
        <v>14.61538461538461</v>
      </c>
      <c r="I74" s="27" t="inlineStr"/>
      <c r="J74" s="27" t="inlineStr">
        <is>
          <t>USD thousands</t>
        </is>
      </c>
      <c r="K74" s="27" t="inlineStr">
        <is>
          <t>Approved hire, contract, savings, and one-time event register</t>
        </is>
      </c>
      <c r="L74" s="47" t="inlineStr">
        <is>
          <t>2026-06-30</t>
        </is>
      </c>
      <c r="M74" s="27" t="inlineStr"/>
    </row>
    <row r="75">
      <c r="A75" s="36" t="inlineStr">
        <is>
          <t>PLN-00113</t>
        </is>
      </c>
      <c r="B75" s="27" t="inlineStr">
        <is>
          <t>Twelve-month operating-expense reforecast</t>
        </is>
      </c>
      <c r="C75" s="27" t="inlineStr">
        <is>
          <t>Approved monthly plan</t>
        </is>
      </c>
      <c r="D75" s="27" t="inlineStr">
        <is>
          <t>Information Technology</t>
        </is>
      </c>
      <c r="E75" s="27" t="inlineStr">
        <is>
          <t>2026-11</t>
        </is>
      </c>
      <c r="F75" s="27" t="inlineStr">
        <is>
          <t>Approved case</t>
        </is>
      </c>
      <c r="G75" s="27" t="inlineStr">
        <is>
          <t>Controllable operating expense</t>
        </is>
      </c>
      <c r="H75" s="46" t="n">
        <v>0.009166666666666667</v>
      </c>
      <c r="I75" s="27" t="inlineStr"/>
      <c r="J75" s="27" t="inlineStr">
        <is>
          <t>ledger allocation factor</t>
        </is>
      </c>
      <c r="K75" s="27" t="inlineStr">
        <is>
          <t>Board-approved FY27 operating plan</t>
        </is>
      </c>
      <c r="L75" s="47" t="inlineStr">
        <is>
          <t>2026-06-30</t>
        </is>
      </c>
      <c r="M75" s="27" t="inlineStr">
        <is>
          <t>Vista ERP P&amp;L, 2025-07-01 through 2026-06-30; Operating Expense total</t>
        </is>
      </c>
    </row>
    <row r="76">
      <c r="A76" s="36" t="inlineStr">
        <is>
          <t>PLN-00114</t>
        </is>
      </c>
      <c r="B76" s="27" t="inlineStr">
        <is>
          <t>Twelve-month operating-expense reforecast</t>
        </is>
      </c>
      <c r="C76" s="27" t="inlineStr">
        <is>
          <t>Approved reforecast events</t>
        </is>
      </c>
      <c r="D76" s="27" t="inlineStr">
        <is>
          <t>Information Technology</t>
        </is>
      </c>
      <c r="E76" s="27" t="inlineStr">
        <is>
          <t>2026-11</t>
        </is>
      </c>
      <c r="F76" s="27" t="inlineStr">
        <is>
          <t>Approved case</t>
        </is>
      </c>
      <c r="G76" s="27" t="inlineStr">
        <is>
          <t>Net approved run-rate and timing adjustment</t>
        </is>
      </c>
      <c r="H76" s="46" t="n">
        <v>18269.23076923077</v>
      </c>
      <c r="I76" s="27" t="inlineStr"/>
      <c r="J76" s="27" t="inlineStr">
        <is>
          <t>USD</t>
        </is>
      </c>
      <c r="K76" s="27" t="inlineStr">
        <is>
          <t>Approved hire, contract, savings, and one-time event register</t>
        </is>
      </c>
      <c r="L76" s="47" t="inlineStr">
        <is>
          <t>2026-06-30</t>
        </is>
      </c>
      <c r="M76" s="27" t="inlineStr"/>
    </row>
    <row r="77">
      <c r="A77" s="36" t="inlineStr">
        <is>
          <t>PLN-00115</t>
        </is>
      </c>
      <c r="B77" s="27" t="inlineStr">
        <is>
          <t>Twelve-month operating-expense reforecast</t>
        </is>
      </c>
      <c r="C77" s="27" t="inlineStr">
        <is>
          <t>Approved monthly plan</t>
        </is>
      </c>
      <c r="D77" s="27" t="inlineStr">
        <is>
          <t>Information Technology</t>
        </is>
      </c>
      <c r="E77" s="27" t="inlineStr">
        <is>
          <t>2026-12</t>
        </is>
      </c>
      <c r="F77" s="27" t="inlineStr">
        <is>
          <t>Approved case</t>
        </is>
      </c>
      <c r="G77" s="27" t="inlineStr">
        <is>
          <t>Controllable operating expense</t>
        </is>
      </c>
      <c r="H77" s="46" t="n">
        <v>0.009395833333333332</v>
      </c>
      <c r="I77" s="27" t="inlineStr"/>
      <c r="J77" s="27" t="inlineStr">
        <is>
          <t>ledger allocation factor</t>
        </is>
      </c>
      <c r="K77" s="27" t="inlineStr">
        <is>
          <t>Board-approved FY27 operating plan</t>
        </is>
      </c>
      <c r="L77" s="47" t="inlineStr">
        <is>
          <t>2026-06-30</t>
        </is>
      </c>
      <c r="M77" s="27" t="inlineStr">
        <is>
          <t>Vista ERP P&amp;L, 2025-07-01 through 2026-06-30; Operating Expense total</t>
        </is>
      </c>
    </row>
    <row r="78">
      <c r="A78" s="36" t="inlineStr">
        <is>
          <t>PLN-00116</t>
        </is>
      </c>
      <c r="B78" s="27" t="inlineStr">
        <is>
          <t>Twelve-month operating-expense reforecast</t>
        </is>
      </c>
      <c r="C78" s="27" t="inlineStr">
        <is>
          <t>Approved reforecast events</t>
        </is>
      </c>
      <c r="D78" s="27" t="inlineStr">
        <is>
          <t>Information Technology</t>
        </is>
      </c>
      <c r="E78" s="27" t="inlineStr">
        <is>
          <t>2026-12</t>
        </is>
      </c>
      <c r="F78" s="27" t="inlineStr">
        <is>
          <t>Approved case</t>
        </is>
      </c>
      <c r="G78" s="27" t="inlineStr">
        <is>
          <t>Net approved run-rate and timing adjustment</t>
        </is>
      </c>
      <c r="H78" s="46" t="n">
        <v>21.92307692307693</v>
      </c>
      <c r="I78" s="27" t="inlineStr"/>
      <c r="J78" s="27" t="inlineStr">
        <is>
          <t>USD thousands</t>
        </is>
      </c>
      <c r="K78" s="27" t="inlineStr">
        <is>
          <t>Approved hire, contract, savings, and one-time event register</t>
        </is>
      </c>
      <c r="L78" s="47" t="inlineStr">
        <is>
          <t>2026-06-30</t>
        </is>
      </c>
      <c r="M78" s="27" t="inlineStr"/>
    </row>
    <row r="79">
      <c r="A79" s="36" t="inlineStr">
        <is>
          <t>PLN-00117</t>
        </is>
      </c>
      <c r="B79" s="27" t="inlineStr">
        <is>
          <t>Twelve-month operating-expense reforecast</t>
        </is>
      </c>
      <c r="C79" s="27" t="inlineStr">
        <is>
          <t>Approved monthly plan</t>
        </is>
      </c>
      <c r="D79" s="27" t="inlineStr">
        <is>
          <t>Information Technology</t>
        </is>
      </c>
      <c r="E79" s="27" t="inlineStr">
        <is>
          <t>2027-01</t>
        </is>
      </c>
      <c r="F79" s="27" t="inlineStr">
        <is>
          <t>Approved case</t>
        </is>
      </c>
      <c r="G79" s="27" t="inlineStr">
        <is>
          <t>Controllable operating expense</t>
        </is>
      </c>
      <c r="H79" s="46" t="n">
        <v>0.009395833333333332</v>
      </c>
      <c r="I79" s="27" t="inlineStr"/>
      <c r="J79" s="27" t="inlineStr">
        <is>
          <t>ledger allocation factor</t>
        </is>
      </c>
      <c r="K79" s="27" t="inlineStr">
        <is>
          <t>Board-approved FY27 operating plan</t>
        </is>
      </c>
      <c r="L79" s="47" t="inlineStr">
        <is>
          <t>2026-06-30</t>
        </is>
      </c>
      <c r="M79" s="27" t="inlineStr">
        <is>
          <t>Vista ERP P&amp;L, 2025-07-01 through 2026-06-30; Operating Expense total</t>
        </is>
      </c>
    </row>
    <row r="80">
      <c r="A80" s="36" t="inlineStr">
        <is>
          <t>PLN-00118</t>
        </is>
      </c>
      <c r="B80" s="27" t="inlineStr">
        <is>
          <t>Twelve-month operating-expense reforecast</t>
        </is>
      </c>
      <c r="C80" s="27" t="inlineStr">
        <is>
          <t>Approved reforecast events</t>
        </is>
      </c>
      <c r="D80" s="27" t="inlineStr">
        <is>
          <t>Information Technology</t>
        </is>
      </c>
      <c r="E80" s="27" t="inlineStr">
        <is>
          <t>2027-01</t>
        </is>
      </c>
      <c r="F80" s="27" t="inlineStr">
        <is>
          <t>Approved case</t>
        </is>
      </c>
      <c r="G80" s="27" t="inlineStr">
        <is>
          <t>Net approved run-rate and timing adjustment</t>
        </is>
      </c>
      <c r="H80" s="46" t="n">
        <v>25576.92307692308</v>
      </c>
      <c r="I80" s="27" t="inlineStr"/>
      <c r="J80" s="27" t="inlineStr">
        <is>
          <t>USD</t>
        </is>
      </c>
      <c r="K80" s="27" t="inlineStr">
        <is>
          <t>Approved hire, contract, savings, and one-time event register</t>
        </is>
      </c>
      <c r="L80" s="47" t="inlineStr">
        <is>
          <t>2026-06-30</t>
        </is>
      </c>
      <c r="M80" s="27" t="inlineStr"/>
    </row>
    <row r="81">
      <c r="A81" s="36" t="inlineStr">
        <is>
          <t>PLN-00119</t>
        </is>
      </c>
      <c r="B81" s="27" t="inlineStr">
        <is>
          <t>Twelve-month operating-expense reforecast</t>
        </is>
      </c>
      <c r="C81" s="27" t="inlineStr">
        <is>
          <t>Approved monthly plan</t>
        </is>
      </c>
      <c r="D81" s="27" t="inlineStr">
        <is>
          <t>Information Technology</t>
        </is>
      </c>
      <c r="E81" s="27" t="inlineStr">
        <is>
          <t>2027-02</t>
        </is>
      </c>
      <c r="F81" s="27" t="inlineStr">
        <is>
          <t>Approved case</t>
        </is>
      </c>
      <c r="G81" s="27" t="inlineStr">
        <is>
          <t>Controllable operating expense</t>
        </is>
      </c>
      <c r="H81" s="46" t="n">
        <v>0.009166666666666667</v>
      </c>
      <c r="I81" s="27" t="inlineStr"/>
      <c r="J81" s="27" t="inlineStr">
        <is>
          <t>ledger allocation factor</t>
        </is>
      </c>
      <c r="K81" s="27" t="inlineStr">
        <is>
          <t>Board-approved FY27 operating plan</t>
        </is>
      </c>
      <c r="L81" s="47" t="inlineStr">
        <is>
          <t>2026-06-30</t>
        </is>
      </c>
      <c r="M81" s="27" t="inlineStr">
        <is>
          <t>Vista ERP P&amp;L, 2025-07-01 through 2026-06-30; Operating Expense total</t>
        </is>
      </c>
    </row>
    <row r="82">
      <c r="A82" s="36" t="inlineStr">
        <is>
          <t>PLN-00120</t>
        </is>
      </c>
      <c r="B82" s="27" t="inlineStr">
        <is>
          <t>Twelve-month operating-expense reforecast</t>
        </is>
      </c>
      <c r="C82" s="27" t="inlineStr">
        <is>
          <t>Approved reforecast events</t>
        </is>
      </c>
      <c r="D82" s="27" t="inlineStr">
        <is>
          <t>Information Technology</t>
        </is>
      </c>
      <c r="E82" s="27" t="inlineStr">
        <is>
          <t>2027-02</t>
        </is>
      </c>
      <c r="F82" s="27" t="inlineStr">
        <is>
          <t>Approved case</t>
        </is>
      </c>
      <c r="G82" s="27" t="inlineStr">
        <is>
          <t>Net approved run-rate and timing adjustment</t>
        </is>
      </c>
      <c r="H82" s="46" t="n">
        <v>29.23076923076923</v>
      </c>
      <c r="I82" s="27" t="inlineStr"/>
      <c r="J82" s="27" t="inlineStr">
        <is>
          <t>USD thousands</t>
        </is>
      </c>
      <c r="K82" s="27" t="inlineStr">
        <is>
          <t>Approved hire, contract, savings, and one-time event register</t>
        </is>
      </c>
      <c r="L82" s="47" t="inlineStr">
        <is>
          <t>2026-06-30</t>
        </is>
      </c>
      <c r="M82" s="27" t="inlineStr"/>
    </row>
    <row r="83">
      <c r="A83" s="36" t="inlineStr">
        <is>
          <t>PLN-00121</t>
        </is>
      </c>
      <c r="B83" s="27" t="inlineStr">
        <is>
          <t>Twelve-month operating-expense reforecast</t>
        </is>
      </c>
      <c r="C83" s="27" t="inlineStr">
        <is>
          <t>Approved monthly plan</t>
        </is>
      </c>
      <c r="D83" s="27" t="inlineStr">
        <is>
          <t>Information Technology</t>
        </is>
      </c>
      <c r="E83" s="27" t="inlineStr">
        <is>
          <t>2027-03</t>
        </is>
      </c>
      <c r="F83" s="27" t="inlineStr">
        <is>
          <t>Approved case</t>
        </is>
      </c>
      <c r="G83" s="27" t="inlineStr">
        <is>
          <t>Controllable operating expense</t>
        </is>
      </c>
      <c r="H83" s="46" t="n">
        <v>0.009166666666666667</v>
      </c>
      <c r="I83" s="27" t="inlineStr"/>
      <c r="J83" s="27" t="inlineStr">
        <is>
          <t>ledger allocation factor</t>
        </is>
      </c>
      <c r="K83" s="27" t="inlineStr">
        <is>
          <t>Board-approved FY27 operating plan</t>
        </is>
      </c>
      <c r="L83" s="47" t="inlineStr">
        <is>
          <t>2026-06-30</t>
        </is>
      </c>
      <c r="M83" s="27" t="inlineStr">
        <is>
          <t>Vista ERP P&amp;L, 2025-07-01 through 2026-06-30; Operating Expense total</t>
        </is>
      </c>
    </row>
    <row r="84">
      <c r="A84" s="36" t="inlineStr">
        <is>
          <t>PLN-00122</t>
        </is>
      </c>
      <c r="B84" s="27" t="inlineStr">
        <is>
          <t>Twelve-month operating-expense reforecast</t>
        </is>
      </c>
      <c r="C84" s="27" t="inlineStr">
        <is>
          <t>Approved reforecast events</t>
        </is>
      </c>
      <c r="D84" s="27" t="inlineStr">
        <is>
          <t>Information Technology</t>
        </is>
      </c>
      <c r="E84" s="27" t="inlineStr">
        <is>
          <t>2027-03</t>
        </is>
      </c>
      <c r="F84" s="27" t="inlineStr">
        <is>
          <t>Approved case</t>
        </is>
      </c>
      <c r="G84" s="27" t="inlineStr">
        <is>
          <t>Net approved run-rate and timing adjustment</t>
        </is>
      </c>
      <c r="H84" s="46" t="n">
        <v>32884.61538461538</v>
      </c>
      <c r="I84" s="27" t="inlineStr"/>
      <c r="J84" s="27" t="inlineStr">
        <is>
          <t>USD</t>
        </is>
      </c>
      <c r="K84" s="27" t="inlineStr">
        <is>
          <t>Approved hire, contract, savings, and one-time event register</t>
        </is>
      </c>
      <c r="L84" s="47" t="inlineStr">
        <is>
          <t>2026-06-30</t>
        </is>
      </c>
      <c r="M84" s="27" t="inlineStr"/>
    </row>
    <row r="85">
      <c r="A85" s="36" t="inlineStr">
        <is>
          <t>PLN-00123</t>
        </is>
      </c>
      <c r="B85" s="27" t="inlineStr">
        <is>
          <t>Twelve-month operating-expense reforecast</t>
        </is>
      </c>
      <c r="C85" s="27" t="inlineStr">
        <is>
          <t>Approved monthly plan</t>
        </is>
      </c>
      <c r="D85" s="27" t="inlineStr">
        <is>
          <t>Information Technology</t>
        </is>
      </c>
      <c r="E85" s="27" t="inlineStr">
        <is>
          <t>2027-04</t>
        </is>
      </c>
      <c r="F85" s="27" t="inlineStr">
        <is>
          <t>Approved case</t>
        </is>
      </c>
      <c r="G85" s="27" t="inlineStr">
        <is>
          <t>Controllable operating expense</t>
        </is>
      </c>
      <c r="H85" s="46" t="n">
        <v>0.009166666666666667</v>
      </c>
      <c r="I85" s="27" t="inlineStr"/>
      <c r="J85" s="27" t="inlineStr">
        <is>
          <t>ledger allocation factor</t>
        </is>
      </c>
      <c r="K85" s="27" t="inlineStr">
        <is>
          <t>Board-approved FY27 operating plan</t>
        </is>
      </c>
      <c r="L85" s="47" t="inlineStr">
        <is>
          <t>2026-06-30</t>
        </is>
      </c>
      <c r="M85" s="27" t="inlineStr">
        <is>
          <t>Vista ERP P&amp;L, 2025-07-01 through 2026-06-30; Operating Expense total</t>
        </is>
      </c>
    </row>
    <row r="86">
      <c r="A86" s="36" t="inlineStr">
        <is>
          <t>PLN-00124</t>
        </is>
      </c>
      <c r="B86" s="27" t="inlineStr">
        <is>
          <t>Twelve-month operating-expense reforecast</t>
        </is>
      </c>
      <c r="C86" s="27" t="inlineStr">
        <is>
          <t>Approved reforecast events</t>
        </is>
      </c>
      <c r="D86" s="27" t="inlineStr">
        <is>
          <t>Information Technology</t>
        </is>
      </c>
      <c r="E86" s="27" t="inlineStr">
        <is>
          <t>2027-04</t>
        </is>
      </c>
      <c r="F86" s="27" t="inlineStr">
        <is>
          <t>Approved case</t>
        </is>
      </c>
      <c r="G86" s="27" t="inlineStr">
        <is>
          <t>Net approved run-rate and timing adjustment</t>
        </is>
      </c>
      <c r="H86" s="46" t="n">
        <v>36.53846153846153</v>
      </c>
      <c r="I86" s="27" t="inlineStr"/>
      <c r="J86" s="27" t="inlineStr">
        <is>
          <t>USD thousands</t>
        </is>
      </c>
      <c r="K86" s="27" t="inlineStr">
        <is>
          <t>Approved hire, contract, savings, and one-time event register</t>
        </is>
      </c>
      <c r="L86" s="47" t="inlineStr">
        <is>
          <t>2026-06-30</t>
        </is>
      </c>
      <c r="M86" s="27" t="inlineStr"/>
    </row>
    <row r="87">
      <c r="A87" s="36" t="inlineStr">
        <is>
          <t>PLN-00125</t>
        </is>
      </c>
      <c r="B87" s="27" t="inlineStr">
        <is>
          <t>Twelve-month operating-expense reforecast</t>
        </is>
      </c>
      <c r="C87" s="27" t="inlineStr">
        <is>
          <t>Approved monthly plan</t>
        </is>
      </c>
      <c r="D87" s="27" t="inlineStr">
        <is>
          <t>Information Technology</t>
        </is>
      </c>
      <c r="E87" s="27" t="inlineStr">
        <is>
          <t>2027-05</t>
        </is>
      </c>
      <c r="F87" s="27" t="inlineStr">
        <is>
          <t>Approved case</t>
        </is>
      </c>
      <c r="G87" s="27" t="inlineStr">
        <is>
          <t>Controllable operating expense</t>
        </is>
      </c>
      <c r="H87" s="46" t="n">
        <v>0.009166666666666667</v>
      </c>
      <c r="I87" s="27" t="inlineStr"/>
      <c r="J87" s="27" t="inlineStr">
        <is>
          <t>ledger allocation factor</t>
        </is>
      </c>
      <c r="K87" s="27" t="inlineStr">
        <is>
          <t>Board-approved FY27 operating plan</t>
        </is>
      </c>
      <c r="L87" s="47" t="inlineStr">
        <is>
          <t>2026-06-30</t>
        </is>
      </c>
      <c r="M87" s="27" t="inlineStr">
        <is>
          <t>Vista ERP P&amp;L, 2025-07-01 through 2026-06-30; Operating Expense total</t>
        </is>
      </c>
    </row>
    <row r="88">
      <c r="A88" s="36" t="inlineStr">
        <is>
          <t>PLN-00126</t>
        </is>
      </c>
      <c r="B88" s="27" t="inlineStr">
        <is>
          <t>Twelve-month operating-expense reforecast</t>
        </is>
      </c>
      <c r="C88" s="27" t="inlineStr">
        <is>
          <t>Approved reforecast events</t>
        </is>
      </c>
      <c r="D88" s="27" t="inlineStr">
        <is>
          <t>Information Technology</t>
        </is>
      </c>
      <c r="E88" s="27" t="inlineStr">
        <is>
          <t>2027-05</t>
        </is>
      </c>
      <c r="F88" s="27" t="inlineStr">
        <is>
          <t>Approved case</t>
        </is>
      </c>
      <c r="G88" s="27" t="inlineStr">
        <is>
          <t>Net approved run-rate and timing adjustment</t>
        </is>
      </c>
      <c r="H88" s="46" t="n">
        <v>40192.3076923077</v>
      </c>
      <c r="I88" s="27" t="inlineStr"/>
      <c r="J88" s="27" t="inlineStr">
        <is>
          <t>USD</t>
        </is>
      </c>
      <c r="K88" s="27" t="inlineStr">
        <is>
          <t>Approved hire, contract, savings, and one-time event register</t>
        </is>
      </c>
      <c r="L88" s="47" t="inlineStr">
        <is>
          <t>2026-06-30</t>
        </is>
      </c>
      <c r="M88" s="27" t="inlineStr"/>
    </row>
    <row r="89">
      <c r="A89" s="36" t="inlineStr">
        <is>
          <t>PLN-00127</t>
        </is>
      </c>
      <c r="B89" s="27" t="inlineStr">
        <is>
          <t>Twelve-month operating-expense reforecast</t>
        </is>
      </c>
      <c r="C89" s="27" t="inlineStr">
        <is>
          <t>Approved monthly plan</t>
        </is>
      </c>
      <c r="D89" s="27" t="inlineStr">
        <is>
          <t>Information Technology</t>
        </is>
      </c>
      <c r="E89" s="27" t="inlineStr">
        <is>
          <t>2027-06</t>
        </is>
      </c>
      <c r="F89" s="27" t="inlineStr">
        <is>
          <t>Approved case</t>
        </is>
      </c>
      <c r="G89" s="27" t="inlineStr">
        <is>
          <t>Controllable operating expense</t>
        </is>
      </c>
      <c r="H89" s="46" t="n">
        <v>0.009166666666666667</v>
      </c>
      <c r="I89" s="27" t="inlineStr"/>
      <c r="J89" s="27" t="inlineStr">
        <is>
          <t>ledger allocation factor</t>
        </is>
      </c>
      <c r="K89" s="27" t="inlineStr">
        <is>
          <t>Board-approved FY27 operating plan</t>
        </is>
      </c>
      <c r="L89" s="47" t="inlineStr">
        <is>
          <t>2026-06-30</t>
        </is>
      </c>
      <c r="M89" s="27" t="inlineStr">
        <is>
          <t>Vista ERP P&amp;L, 2025-07-01 through 2026-06-30; Operating Expense total</t>
        </is>
      </c>
    </row>
    <row r="90">
      <c r="A90" s="36" t="inlineStr">
        <is>
          <t>PLN-00128</t>
        </is>
      </c>
      <c r="B90" s="27" t="inlineStr">
        <is>
          <t>Twelve-month operating-expense reforecast</t>
        </is>
      </c>
      <c r="C90" s="27" t="inlineStr">
        <is>
          <t>Approved reforecast events</t>
        </is>
      </c>
      <c r="D90" s="27" t="inlineStr">
        <is>
          <t>Information Technology</t>
        </is>
      </c>
      <c r="E90" s="27" t="inlineStr">
        <is>
          <t>2027-06</t>
        </is>
      </c>
      <c r="F90" s="27" t="inlineStr">
        <is>
          <t>Approved case</t>
        </is>
      </c>
      <c r="G90" s="27" t="inlineStr">
        <is>
          <t>Net approved run-rate and timing adjustment</t>
        </is>
      </c>
      <c r="H90" s="46" t="n">
        <v>43.84615384615385</v>
      </c>
      <c r="I90" s="27" t="inlineStr"/>
      <c r="J90" s="27" t="inlineStr">
        <is>
          <t>USD thousands</t>
        </is>
      </c>
      <c r="K90" s="27" t="inlineStr">
        <is>
          <t>Approved hire, contract, savings, and one-time event register</t>
        </is>
      </c>
      <c r="L90" s="47" t="inlineStr">
        <is>
          <t>2026-06-30</t>
        </is>
      </c>
      <c r="M90" s="27" t="inlineStr"/>
    </row>
    <row r="91">
      <c r="A91" s="36" t="inlineStr">
        <is>
          <t>PLN-00129</t>
        </is>
      </c>
      <c r="B91" s="27" t="inlineStr">
        <is>
          <t>Twelve-month operating-expense reforecast</t>
        </is>
      </c>
      <c r="C91" s="27" t="inlineStr">
        <is>
          <t>Approved monthly plan</t>
        </is>
      </c>
      <c r="D91" s="27" t="inlineStr">
        <is>
          <t>Sales</t>
        </is>
      </c>
      <c r="E91" s="27" t="inlineStr">
        <is>
          <t>2026-07</t>
        </is>
      </c>
      <c r="F91" s="27" t="inlineStr">
        <is>
          <t>Approved case</t>
        </is>
      </c>
      <c r="G91" s="27" t="inlineStr">
        <is>
          <t>Controllable operating expense</t>
        </is>
      </c>
      <c r="H91" s="46" t="n">
        <v>0.01485</v>
      </c>
      <c r="I91" s="27" t="inlineStr"/>
      <c r="J91" s="27" t="inlineStr">
        <is>
          <t>ledger allocation factor</t>
        </is>
      </c>
      <c r="K91" s="27" t="inlineStr">
        <is>
          <t>Board-approved FY27 operating plan</t>
        </is>
      </c>
      <c r="L91" s="47" t="inlineStr">
        <is>
          <t>2026-06-30</t>
        </is>
      </c>
      <c r="M91" s="27" t="inlineStr">
        <is>
          <t>Vista ERP P&amp;L, 2025-07-01 through 2026-06-30; Operating Expense total</t>
        </is>
      </c>
    </row>
    <row r="92">
      <c r="A92" s="36" t="inlineStr">
        <is>
          <t>PLN-00130</t>
        </is>
      </c>
      <c r="B92" s="27" t="inlineStr">
        <is>
          <t>Twelve-month operating-expense reforecast</t>
        </is>
      </c>
      <c r="C92" s="27" t="inlineStr">
        <is>
          <t>Approved reforecast events</t>
        </is>
      </c>
      <c r="D92" s="27" t="inlineStr">
        <is>
          <t>Sales</t>
        </is>
      </c>
      <c r="E92" s="27" t="inlineStr">
        <is>
          <t>2026-07</t>
        </is>
      </c>
      <c r="F92" s="27" t="inlineStr">
        <is>
          <t>Approved case</t>
        </is>
      </c>
      <c r="G92" s="27" t="inlineStr">
        <is>
          <t>Net approved run-rate and timing adjustment</t>
        </is>
      </c>
      <c r="H92" s="46" t="n">
        <v>2115.384615384615</v>
      </c>
      <c r="I92" s="27" t="inlineStr"/>
      <c r="J92" s="27" t="inlineStr">
        <is>
          <t>USD</t>
        </is>
      </c>
      <c r="K92" s="27" t="inlineStr">
        <is>
          <t>Approved hire, contract, savings, and one-time event register</t>
        </is>
      </c>
      <c r="L92" s="47" t="inlineStr">
        <is>
          <t>2026-06-30</t>
        </is>
      </c>
      <c r="M92" s="27" t="inlineStr"/>
    </row>
    <row r="93">
      <c r="A93" s="36" t="inlineStr">
        <is>
          <t>PLN-00131</t>
        </is>
      </c>
      <c r="B93" s="27" t="inlineStr">
        <is>
          <t>Twelve-month operating-expense reforecast</t>
        </is>
      </c>
      <c r="C93" s="27" t="inlineStr">
        <is>
          <t>Approved monthly plan</t>
        </is>
      </c>
      <c r="D93" s="27" t="inlineStr">
        <is>
          <t>Sales</t>
        </is>
      </c>
      <c r="E93" s="27" t="inlineStr">
        <is>
          <t>2026-08</t>
        </is>
      </c>
      <c r="F93" s="27" t="inlineStr">
        <is>
          <t>Approved case</t>
        </is>
      </c>
      <c r="G93" s="27" t="inlineStr">
        <is>
          <t>Controllable operating expense</t>
        </is>
      </c>
      <c r="H93" s="46" t="n">
        <v>0.01485</v>
      </c>
      <c r="I93" s="27" t="inlineStr"/>
      <c r="J93" s="27" t="inlineStr">
        <is>
          <t>ledger allocation factor</t>
        </is>
      </c>
      <c r="K93" s="27" t="inlineStr">
        <is>
          <t>Board-approved FY27 operating plan</t>
        </is>
      </c>
      <c r="L93" s="47" t="inlineStr">
        <is>
          <t>2026-06-30</t>
        </is>
      </c>
      <c r="M93" s="27" t="inlineStr">
        <is>
          <t>Vista ERP P&amp;L, 2025-07-01 through 2026-06-30; Operating Expense total</t>
        </is>
      </c>
    </row>
    <row r="94">
      <c r="A94" s="36" t="inlineStr">
        <is>
          <t>PLN-00132</t>
        </is>
      </c>
      <c r="B94" s="27" t="inlineStr">
        <is>
          <t>Twelve-month operating-expense reforecast</t>
        </is>
      </c>
      <c r="C94" s="27" t="inlineStr">
        <is>
          <t>Approved reforecast events</t>
        </is>
      </c>
      <c r="D94" s="27" t="inlineStr">
        <is>
          <t>Sales</t>
        </is>
      </c>
      <c r="E94" s="27" t="inlineStr">
        <is>
          <t>2026-08</t>
        </is>
      </c>
      <c r="F94" s="27" t="inlineStr">
        <is>
          <t>Approved case</t>
        </is>
      </c>
      <c r="G94" s="27" t="inlineStr">
        <is>
          <t>Net approved run-rate and timing adjustment</t>
        </is>
      </c>
      <c r="H94" s="46" t="n">
        <v>4230.76923076923</v>
      </c>
      <c r="I94" s="27" t="inlineStr"/>
      <c r="J94" s="27" t="inlineStr">
        <is>
          <t>USD</t>
        </is>
      </c>
      <c r="K94" s="27" t="inlineStr">
        <is>
          <t>Approved hire, contract, savings, and one-time event register</t>
        </is>
      </c>
      <c r="L94" s="47" t="inlineStr">
        <is>
          <t>2026-06-30</t>
        </is>
      </c>
      <c r="M94" s="27" t="inlineStr"/>
    </row>
    <row r="95">
      <c r="A95" s="36" t="inlineStr">
        <is>
          <t>PLN-00133</t>
        </is>
      </c>
      <c r="B95" s="27" t="inlineStr">
        <is>
          <t>Twelve-month operating-expense reforecast</t>
        </is>
      </c>
      <c r="C95" s="27" t="inlineStr">
        <is>
          <t>Approved monthly plan</t>
        </is>
      </c>
      <c r="D95" s="27" t="inlineStr">
        <is>
          <t>Sales</t>
        </is>
      </c>
      <c r="E95" s="27" t="inlineStr">
        <is>
          <t>2026-09</t>
        </is>
      </c>
      <c r="F95" s="27" t="inlineStr">
        <is>
          <t>Approved case</t>
        </is>
      </c>
      <c r="G95" s="27" t="inlineStr">
        <is>
          <t>Controllable operating expense</t>
        </is>
      </c>
      <c r="H95" s="46" t="n">
        <v>0.015</v>
      </c>
      <c r="I95" s="27" t="inlineStr"/>
      <c r="J95" s="27" t="inlineStr">
        <is>
          <t>ledger allocation factor</t>
        </is>
      </c>
      <c r="K95" s="27" t="inlineStr">
        <is>
          <t>Board-approved FY27 operating plan</t>
        </is>
      </c>
      <c r="L95" s="47" t="inlineStr">
        <is>
          <t>2026-06-30</t>
        </is>
      </c>
      <c r="M95" s="27" t="inlineStr">
        <is>
          <t>Vista ERP P&amp;L, 2025-07-01 through 2026-06-30; Operating Expense total</t>
        </is>
      </c>
    </row>
    <row r="96">
      <c r="A96" s="36" t="inlineStr">
        <is>
          <t>PLN-00134</t>
        </is>
      </c>
      <c r="B96" s="27" t="inlineStr">
        <is>
          <t>Twelve-month operating-expense reforecast</t>
        </is>
      </c>
      <c r="C96" s="27" t="inlineStr">
        <is>
          <t>Approved reforecast events</t>
        </is>
      </c>
      <c r="D96" s="27" t="inlineStr">
        <is>
          <t>Sales</t>
        </is>
      </c>
      <c r="E96" s="27" t="inlineStr">
        <is>
          <t>2026-09</t>
        </is>
      </c>
      <c r="F96" s="27" t="inlineStr">
        <is>
          <t>Approved case</t>
        </is>
      </c>
      <c r="G96" s="27" t="inlineStr">
        <is>
          <t>Net approved run-rate and timing adjustment</t>
        </is>
      </c>
      <c r="H96" s="46" t="n">
        <v>6346.153846153847</v>
      </c>
      <c r="I96" s="27" t="inlineStr"/>
      <c r="J96" s="27" t="inlineStr">
        <is>
          <t>USD</t>
        </is>
      </c>
      <c r="K96" s="27" t="inlineStr">
        <is>
          <t>Approved hire, contract, savings, and one-time event register</t>
        </is>
      </c>
      <c r="L96" s="47" t="inlineStr">
        <is>
          <t>2026-06-30</t>
        </is>
      </c>
      <c r="M96" s="27" t="inlineStr"/>
    </row>
    <row r="97">
      <c r="A97" s="36" t="inlineStr">
        <is>
          <t>PLN-00135</t>
        </is>
      </c>
      <c r="B97" s="27" t="inlineStr">
        <is>
          <t>Twelve-month operating-expense reforecast</t>
        </is>
      </c>
      <c r="C97" s="27" t="inlineStr">
        <is>
          <t>Approved monthly plan</t>
        </is>
      </c>
      <c r="D97" s="27" t="inlineStr">
        <is>
          <t>Sales</t>
        </is>
      </c>
      <c r="E97" s="27" t="inlineStr">
        <is>
          <t>2026-10</t>
        </is>
      </c>
      <c r="F97" s="27" t="inlineStr">
        <is>
          <t>Approved case</t>
        </is>
      </c>
      <c r="G97" s="27" t="inlineStr">
        <is>
          <t>Controllable operating expense</t>
        </is>
      </c>
      <c r="H97" s="46" t="n">
        <v>0.015</v>
      </c>
      <c r="I97" s="27" t="inlineStr"/>
      <c r="J97" s="27" t="inlineStr">
        <is>
          <t>ledger allocation factor</t>
        </is>
      </c>
      <c r="K97" s="27" t="inlineStr">
        <is>
          <t>Board-approved FY27 operating plan</t>
        </is>
      </c>
      <c r="L97" s="47" t="inlineStr">
        <is>
          <t>2026-06-30</t>
        </is>
      </c>
      <c r="M97" s="27" t="inlineStr">
        <is>
          <t>Vista ERP P&amp;L, 2025-07-01 through 2026-06-30; Operating Expense total</t>
        </is>
      </c>
    </row>
    <row r="98">
      <c r="A98" s="36" t="inlineStr">
        <is>
          <t>PLN-00136</t>
        </is>
      </c>
      <c r="B98" s="27" t="inlineStr">
        <is>
          <t>Twelve-month operating-expense reforecast</t>
        </is>
      </c>
      <c r="C98" s="27" t="inlineStr">
        <is>
          <t>Approved reforecast events</t>
        </is>
      </c>
      <c r="D98" s="27" t="inlineStr">
        <is>
          <t>Sales</t>
        </is>
      </c>
      <c r="E98" s="27" t="inlineStr">
        <is>
          <t>2026-10</t>
        </is>
      </c>
      <c r="F98" s="27" t="inlineStr">
        <is>
          <t>Approved case</t>
        </is>
      </c>
      <c r="G98" s="27" t="inlineStr">
        <is>
          <t>Net approved run-rate and timing adjustment</t>
        </is>
      </c>
      <c r="H98" s="46" t="n">
        <v>8461.538461538461</v>
      </c>
      <c r="I98" s="27" t="inlineStr"/>
      <c r="J98" s="27" t="inlineStr">
        <is>
          <t>USD</t>
        </is>
      </c>
      <c r="K98" s="27" t="inlineStr">
        <is>
          <t>Approved hire, contract, savings, and one-time event register</t>
        </is>
      </c>
      <c r="L98" s="47" t="inlineStr">
        <is>
          <t>2026-06-30</t>
        </is>
      </c>
      <c r="M98" s="27" t="inlineStr"/>
    </row>
    <row r="99">
      <c r="A99" s="36" t="inlineStr">
        <is>
          <t>PLN-00137</t>
        </is>
      </c>
      <c r="B99" s="27" t="inlineStr">
        <is>
          <t>Twelve-month operating-expense reforecast</t>
        </is>
      </c>
      <c r="C99" s="27" t="inlineStr">
        <is>
          <t>Approved monthly plan</t>
        </is>
      </c>
      <c r="D99" s="27" t="inlineStr">
        <is>
          <t>Sales</t>
        </is>
      </c>
      <c r="E99" s="27" t="inlineStr">
        <is>
          <t>2026-11</t>
        </is>
      </c>
      <c r="F99" s="27" t="inlineStr">
        <is>
          <t>Approved case</t>
        </is>
      </c>
      <c r="G99" s="27" t="inlineStr">
        <is>
          <t>Controllable operating expense</t>
        </is>
      </c>
      <c r="H99" s="46" t="n">
        <v>0.015</v>
      </c>
      <c r="I99" s="27" t="inlineStr"/>
      <c r="J99" s="27" t="inlineStr">
        <is>
          <t>ledger allocation factor</t>
        </is>
      </c>
      <c r="K99" s="27" t="inlineStr">
        <is>
          <t>Board-approved FY27 operating plan</t>
        </is>
      </c>
      <c r="L99" s="47" t="inlineStr">
        <is>
          <t>2026-06-30</t>
        </is>
      </c>
      <c r="M99" s="27" t="inlineStr">
        <is>
          <t>Vista ERP P&amp;L, 2025-07-01 through 2026-06-30; Operating Expense total</t>
        </is>
      </c>
    </row>
    <row r="100">
      <c r="A100" s="36" t="inlineStr">
        <is>
          <t>PLN-00138</t>
        </is>
      </c>
      <c r="B100" s="27" t="inlineStr">
        <is>
          <t>Twelve-month operating-expense reforecast</t>
        </is>
      </c>
      <c r="C100" s="27" t="inlineStr">
        <is>
          <t>Approved reforecast events</t>
        </is>
      </c>
      <c r="D100" s="27" t="inlineStr">
        <is>
          <t>Sales</t>
        </is>
      </c>
      <c r="E100" s="27" t="inlineStr">
        <is>
          <t>2026-11</t>
        </is>
      </c>
      <c r="F100" s="27" t="inlineStr">
        <is>
          <t>Approved case</t>
        </is>
      </c>
      <c r="G100" s="27" t="inlineStr">
        <is>
          <t>Net approved run-rate and timing adjustment</t>
        </is>
      </c>
      <c r="H100" s="46" t="n">
        <v>10576.92307692308</v>
      </c>
      <c r="I100" s="27" t="inlineStr"/>
      <c r="J100" s="27" t="inlineStr">
        <is>
          <t>USD</t>
        </is>
      </c>
      <c r="K100" s="27" t="inlineStr">
        <is>
          <t>Approved hire, contract, savings, and one-time event register</t>
        </is>
      </c>
      <c r="L100" s="47" t="inlineStr">
        <is>
          <t>2026-06-30</t>
        </is>
      </c>
      <c r="M100" s="27" t="inlineStr"/>
    </row>
    <row r="101">
      <c r="A101" s="36" t="inlineStr">
        <is>
          <t>PLN-00139</t>
        </is>
      </c>
      <c r="B101" s="27" t="inlineStr">
        <is>
          <t>Twelve-month operating-expense reforecast</t>
        </is>
      </c>
      <c r="C101" s="27" t="inlineStr">
        <is>
          <t>Approved monthly plan</t>
        </is>
      </c>
      <c r="D101" s="27" t="inlineStr">
        <is>
          <t>Sales</t>
        </is>
      </c>
      <c r="E101" s="27" t="inlineStr">
        <is>
          <t>2026-12</t>
        </is>
      </c>
      <c r="F101" s="27" t="inlineStr">
        <is>
          <t>Approved case</t>
        </is>
      </c>
      <c r="G101" s="27" t="inlineStr">
        <is>
          <t>Controllable operating expense</t>
        </is>
      </c>
      <c r="H101" s="46" t="n">
        <v>0.015375</v>
      </c>
      <c r="I101" s="27" t="inlineStr"/>
      <c r="J101" s="27" t="inlineStr">
        <is>
          <t>ledger allocation factor</t>
        </is>
      </c>
      <c r="K101" s="27" t="inlineStr">
        <is>
          <t>Board-approved FY27 operating plan</t>
        </is>
      </c>
      <c r="L101" s="47" t="inlineStr">
        <is>
          <t>2026-06-30</t>
        </is>
      </c>
      <c r="M101" s="27" t="inlineStr">
        <is>
          <t>Vista ERP P&amp;L, 2025-07-01 through 2026-06-30; Operating Expense total</t>
        </is>
      </c>
    </row>
    <row r="102">
      <c r="A102" s="36" t="inlineStr">
        <is>
          <t>PLN-00140</t>
        </is>
      </c>
      <c r="B102" s="27" t="inlineStr">
        <is>
          <t>Twelve-month operating-expense reforecast</t>
        </is>
      </c>
      <c r="C102" s="27" t="inlineStr">
        <is>
          <t>Approved reforecast events</t>
        </is>
      </c>
      <c r="D102" s="27" t="inlineStr">
        <is>
          <t>Sales</t>
        </is>
      </c>
      <c r="E102" s="27" t="inlineStr">
        <is>
          <t>2026-12</t>
        </is>
      </c>
      <c r="F102" s="27" t="inlineStr">
        <is>
          <t>Approved case</t>
        </is>
      </c>
      <c r="G102" s="27" t="inlineStr">
        <is>
          <t>Net approved run-rate and timing adjustment</t>
        </is>
      </c>
      <c r="H102" s="46" t="n">
        <v>12.69230769230769</v>
      </c>
      <c r="I102" s="27" t="inlineStr"/>
      <c r="J102" s="27" t="inlineStr">
        <is>
          <t>USD thousands</t>
        </is>
      </c>
      <c r="K102" s="27" t="inlineStr">
        <is>
          <t>Approved hire, contract, savings, and one-time event register</t>
        </is>
      </c>
      <c r="L102" s="47" t="inlineStr">
        <is>
          <t>2026-06-30</t>
        </is>
      </c>
      <c r="M102" s="27" t="inlineStr"/>
    </row>
    <row r="103">
      <c r="A103" s="36" t="inlineStr">
        <is>
          <t>PLN-00141</t>
        </is>
      </c>
      <c r="B103" s="27" t="inlineStr">
        <is>
          <t>Twelve-month operating-expense reforecast</t>
        </is>
      </c>
      <c r="C103" s="27" t="inlineStr">
        <is>
          <t>Approved monthly plan</t>
        </is>
      </c>
      <c r="D103" s="27" t="inlineStr">
        <is>
          <t>Sales</t>
        </is>
      </c>
      <c r="E103" s="27" t="inlineStr">
        <is>
          <t>2027-01</t>
        </is>
      </c>
      <c r="F103" s="27" t="inlineStr">
        <is>
          <t>Approved case</t>
        </is>
      </c>
      <c r="G103" s="27" t="inlineStr">
        <is>
          <t>Controllable operating expense</t>
        </is>
      </c>
      <c r="H103" s="46" t="n">
        <v>0.015375</v>
      </c>
      <c r="I103" s="27" t="inlineStr"/>
      <c r="J103" s="27" t="inlineStr">
        <is>
          <t>ledger allocation factor</t>
        </is>
      </c>
      <c r="K103" s="27" t="inlineStr">
        <is>
          <t>Board-approved FY27 operating plan</t>
        </is>
      </c>
      <c r="L103" s="47" t="inlineStr">
        <is>
          <t>2026-06-30</t>
        </is>
      </c>
      <c r="M103" s="27" t="inlineStr">
        <is>
          <t>Vista ERP P&amp;L, 2025-07-01 through 2026-06-30; Operating Expense total</t>
        </is>
      </c>
    </row>
    <row r="104">
      <c r="A104" s="36" t="inlineStr">
        <is>
          <t>PLN-00142</t>
        </is>
      </c>
      <c r="B104" s="27" t="inlineStr">
        <is>
          <t>Twelve-month operating-expense reforecast</t>
        </is>
      </c>
      <c r="C104" s="27" t="inlineStr">
        <is>
          <t>Approved reforecast events</t>
        </is>
      </c>
      <c r="D104" s="27" t="inlineStr">
        <is>
          <t>Sales</t>
        </is>
      </c>
      <c r="E104" s="27" t="inlineStr">
        <is>
          <t>2027-01</t>
        </is>
      </c>
      <c r="F104" s="27" t="inlineStr">
        <is>
          <t>Approved case</t>
        </is>
      </c>
      <c r="G104" s="27" t="inlineStr">
        <is>
          <t>Net approved run-rate and timing adjustment</t>
        </is>
      </c>
      <c r="H104" s="46" t="n">
        <v>14807.69230769231</v>
      </c>
      <c r="I104" s="27" t="inlineStr"/>
      <c r="J104" s="27" t="inlineStr">
        <is>
          <t>USD</t>
        </is>
      </c>
      <c r="K104" s="27" t="inlineStr">
        <is>
          <t>Approved hire, contract, savings, and one-time event register</t>
        </is>
      </c>
      <c r="L104" s="47" t="inlineStr">
        <is>
          <t>2026-06-30</t>
        </is>
      </c>
      <c r="M104" s="27" t="inlineStr"/>
    </row>
    <row r="105">
      <c r="A105" s="36" t="inlineStr">
        <is>
          <t>PLN-00143</t>
        </is>
      </c>
      <c r="B105" s="27" t="inlineStr">
        <is>
          <t>Twelve-month operating-expense reforecast</t>
        </is>
      </c>
      <c r="C105" s="27" t="inlineStr">
        <is>
          <t>Approved monthly plan</t>
        </is>
      </c>
      <c r="D105" s="27" t="inlineStr">
        <is>
          <t>Sales</t>
        </is>
      </c>
      <c r="E105" s="27" t="inlineStr">
        <is>
          <t>2027-02</t>
        </is>
      </c>
      <c r="F105" s="27" t="inlineStr">
        <is>
          <t>Approved case</t>
        </is>
      </c>
      <c r="G105" s="27" t="inlineStr">
        <is>
          <t>Controllable operating expense</t>
        </is>
      </c>
      <c r="H105" s="46" t="n">
        <v>0.015</v>
      </c>
      <c r="I105" s="27" t="inlineStr"/>
      <c r="J105" s="27" t="inlineStr">
        <is>
          <t>ledger allocation factor</t>
        </is>
      </c>
      <c r="K105" s="27" t="inlineStr">
        <is>
          <t>Board-approved FY27 operating plan</t>
        </is>
      </c>
      <c r="L105" s="47" t="inlineStr">
        <is>
          <t>2026-06-30</t>
        </is>
      </c>
      <c r="M105" s="27" t="inlineStr">
        <is>
          <t>Vista ERP P&amp;L, 2025-07-01 through 2026-06-30; Operating Expense total</t>
        </is>
      </c>
    </row>
    <row r="106">
      <c r="A106" s="36" t="inlineStr">
        <is>
          <t>PLN-00144</t>
        </is>
      </c>
      <c r="B106" s="27" t="inlineStr">
        <is>
          <t>Twelve-month operating-expense reforecast</t>
        </is>
      </c>
      <c r="C106" s="27" t="inlineStr">
        <is>
          <t>Approved reforecast events</t>
        </is>
      </c>
      <c r="D106" s="27" t="inlineStr">
        <is>
          <t>Sales</t>
        </is>
      </c>
      <c r="E106" s="27" t="inlineStr">
        <is>
          <t>2027-02</t>
        </is>
      </c>
      <c r="F106" s="27" t="inlineStr">
        <is>
          <t>Approved case</t>
        </is>
      </c>
      <c r="G106" s="27" t="inlineStr">
        <is>
          <t>Net approved run-rate and timing adjustment</t>
        </is>
      </c>
      <c r="H106" s="46" t="n">
        <v>16.92307692307692</v>
      </c>
      <c r="I106" s="27" t="inlineStr"/>
      <c r="J106" s="27" t="inlineStr">
        <is>
          <t>USD thousands</t>
        </is>
      </c>
      <c r="K106" s="27" t="inlineStr">
        <is>
          <t>Approved hire, contract, savings, and one-time event register</t>
        </is>
      </c>
      <c r="L106" s="47" t="inlineStr">
        <is>
          <t>2026-06-30</t>
        </is>
      </c>
      <c r="M106" s="27" t="inlineStr"/>
    </row>
    <row r="107">
      <c r="A107" s="36" t="inlineStr">
        <is>
          <t>PLN-00145</t>
        </is>
      </c>
      <c r="B107" s="27" t="inlineStr">
        <is>
          <t>Twelve-month operating-expense reforecast</t>
        </is>
      </c>
      <c r="C107" s="27" t="inlineStr">
        <is>
          <t>Approved monthly plan</t>
        </is>
      </c>
      <c r="D107" s="27" t="inlineStr">
        <is>
          <t>Sales</t>
        </is>
      </c>
      <c r="E107" s="27" t="inlineStr">
        <is>
          <t>2027-03</t>
        </is>
      </c>
      <c r="F107" s="27" t="inlineStr">
        <is>
          <t>Approved case</t>
        </is>
      </c>
      <c r="G107" s="27" t="inlineStr">
        <is>
          <t>Controllable operating expense</t>
        </is>
      </c>
      <c r="H107" s="46" t="n">
        <v>0.015</v>
      </c>
      <c r="I107" s="27" t="inlineStr"/>
      <c r="J107" s="27" t="inlineStr">
        <is>
          <t>ledger allocation factor</t>
        </is>
      </c>
      <c r="K107" s="27" t="inlineStr">
        <is>
          <t>Board-approved FY27 operating plan</t>
        </is>
      </c>
      <c r="L107" s="47" t="inlineStr">
        <is>
          <t>2026-06-30</t>
        </is>
      </c>
      <c r="M107" s="27" t="inlineStr">
        <is>
          <t>Vista ERP P&amp;L, 2025-07-01 through 2026-06-30; Operating Expense total</t>
        </is>
      </c>
    </row>
    <row r="108">
      <c r="A108" s="36" t="inlineStr">
        <is>
          <t>PLN-00146</t>
        </is>
      </c>
      <c r="B108" s="27" t="inlineStr">
        <is>
          <t>Twelve-month operating-expense reforecast</t>
        </is>
      </c>
      <c r="C108" s="27" t="inlineStr">
        <is>
          <t>Approved reforecast events</t>
        </is>
      </c>
      <c r="D108" s="27" t="inlineStr">
        <is>
          <t>Sales</t>
        </is>
      </c>
      <c r="E108" s="27" t="inlineStr">
        <is>
          <t>2027-03</t>
        </is>
      </c>
      <c r="F108" s="27" t="inlineStr">
        <is>
          <t>Approved case</t>
        </is>
      </c>
      <c r="G108" s="27" t="inlineStr">
        <is>
          <t>Net approved run-rate and timing adjustment</t>
        </is>
      </c>
      <c r="H108" s="46" t="n">
        <v>19038.46153846154</v>
      </c>
      <c r="I108" s="27" t="inlineStr"/>
      <c r="J108" s="27" t="inlineStr">
        <is>
          <t>USD</t>
        </is>
      </c>
      <c r="K108" s="27" t="inlineStr">
        <is>
          <t>Approved hire, contract, savings, and one-time event register</t>
        </is>
      </c>
      <c r="L108" s="47" t="inlineStr">
        <is>
          <t>2026-06-30</t>
        </is>
      </c>
      <c r="M108" s="27" t="inlineStr"/>
    </row>
    <row r="109">
      <c r="A109" s="36" t="inlineStr">
        <is>
          <t>PLN-00147</t>
        </is>
      </c>
      <c r="B109" s="27" t="inlineStr">
        <is>
          <t>Twelve-month operating-expense reforecast</t>
        </is>
      </c>
      <c r="C109" s="27" t="inlineStr">
        <is>
          <t>Approved monthly plan</t>
        </is>
      </c>
      <c r="D109" s="27" t="inlineStr">
        <is>
          <t>Sales</t>
        </is>
      </c>
      <c r="E109" s="27" t="inlineStr">
        <is>
          <t>2027-04</t>
        </is>
      </c>
      <c r="F109" s="27" t="inlineStr">
        <is>
          <t>Approved case</t>
        </is>
      </c>
      <c r="G109" s="27" t="inlineStr">
        <is>
          <t>Controllable operating expense</t>
        </is>
      </c>
      <c r="H109" s="46" t="n">
        <v>0.015</v>
      </c>
      <c r="I109" s="27" t="inlineStr"/>
      <c r="J109" s="27" t="inlineStr">
        <is>
          <t>ledger allocation factor</t>
        </is>
      </c>
      <c r="K109" s="27" t="inlineStr">
        <is>
          <t>Board-approved FY27 operating plan</t>
        </is>
      </c>
      <c r="L109" s="47" t="inlineStr">
        <is>
          <t>2026-06-30</t>
        </is>
      </c>
      <c r="M109" s="27" t="inlineStr">
        <is>
          <t>Vista ERP P&amp;L, 2025-07-01 through 2026-06-30; Operating Expense total</t>
        </is>
      </c>
    </row>
    <row r="110">
      <c r="A110" s="36" t="inlineStr">
        <is>
          <t>PLN-00148</t>
        </is>
      </c>
      <c r="B110" s="27" t="inlineStr">
        <is>
          <t>Twelve-month operating-expense reforecast</t>
        </is>
      </c>
      <c r="C110" s="27" t="inlineStr">
        <is>
          <t>Approved reforecast events</t>
        </is>
      </c>
      <c r="D110" s="27" t="inlineStr">
        <is>
          <t>Sales</t>
        </is>
      </c>
      <c r="E110" s="27" t="inlineStr">
        <is>
          <t>2027-04</t>
        </is>
      </c>
      <c r="F110" s="27" t="inlineStr">
        <is>
          <t>Approved case</t>
        </is>
      </c>
      <c r="G110" s="27" t="inlineStr">
        <is>
          <t>Net approved run-rate and timing adjustment</t>
        </is>
      </c>
      <c r="H110" s="46" t="n">
        <v>21.15384615384615</v>
      </c>
      <c r="I110" s="27" t="inlineStr"/>
      <c r="J110" s="27" t="inlineStr">
        <is>
          <t>USD thousands</t>
        </is>
      </c>
      <c r="K110" s="27" t="inlineStr">
        <is>
          <t>Approved hire, contract, savings, and one-time event register</t>
        </is>
      </c>
      <c r="L110" s="47" t="inlineStr">
        <is>
          <t>2026-06-30</t>
        </is>
      </c>
      <c r="M110" s="27" t="inlineStr"/>
    </row>
    <row r="111">
      <c r="A111" s="36" t="inlineStr">
        <is>
          <t>PLN-00149</t>
        </is>
      </c>
      <c r="B111" s="27" t="inlineStr">
        <is>
          <t>Twelve-month operating-expense reforecast</t>
        </is>
      </c>
      <c r="C111" s="27" t="inlineStr">
        <is>
          <t>Approved monthly plan</t>
        </is>
      </c>
      <c r="D111" s="27" t="inlineStr">
        <is>
          <t>Sales</t>
        </is>
      </c>
      <c r="E111" s="27" t="inlineStr">
        <is>
          <t>2027-05</t>
        </is>
      </c>
      <c r="F111" s="27" t="inlineStr">
        <is>
          <t>Approved case</t>
        </is>
      </c>
      <c r="G111" s="27" t="inlineStr">
        <is>
          <t>Controllable operating expense</t>
        </is>
      </c>
      <c r="H111" s="46" t="n">
        <v>0.015</v>
      </c>
      <c r="I111" s="27" t="inlineStr"/>
      <c r="J111" s="27" t="inlineStr">
        <is>
          <t>ledger allocation factor</t>
        </is>
      </c>
      <c r="K111" s="27" t="inlineStr">
        <is>
          <t>Board-approved FY27 operating plan</t>
        </is>
      </c>
      <c r="L111" s="47" t="inlineStr">
        <is>
          <t>2026-06-30</t>
        </is>
      </c>
      <c r="M111" s="27" t="inlineStr">
        <is>
          <t>Vista ERP P&amp;L, 2025-07-01 through 2026-06-30; Operating Expense total</t>
        </is>
      </c>
    </row>
    <row r="112">
      <c r="A112" s="36" t="inlineStr">
        <is>
          <t>PLN-00150</t>
        </is>
      </c>
      <c r="B112" s="27" t="inlineStr">
        <is>
          <t>Twelve-month operating-expense reforecast</t>
        </is>
      </c>
      <c r="C112" s="27" t="inlineStr">
        <is>
          <t>Approved reforecast events</t>
        </is>
      </c>
      <c r="D112" s="27" t="inlineStr">
        <is>
          <t>Sales</t>
        </is>
      </c>
      <c r="E112" s="27" t="inlineStr">
        <is>
          <t>2027-05</t>
        </is>
      </c>
      <c r="F112" s="27" t="inlineStr">
        <is>
          <t>Approved case</t>
        </is>
      </c>
      <c r="G112" s="27" t="inlineStr">
        <is>
          <t>Net approved run-rate and timing adjustment</t>
        </is>
      </c>
      <c r="H112" s="46" t="n">
        <v>23269.23076923077</v>
      </c>
      <c r="I112" s="27" t="inlineStr"/>
      <c r="J112" s="27" t="inlineStr">
        <is>
          <t>USD</t>
        </is>
      </c>
      <c r="K112" s="27" t="inlineStr">
        <is>
          <t>Approved hire, contract, savings, and one-time event register</t>
        </is>
      </c>
      <c r="L112" s="47" t="inlineStr">
        <is>
          <t>2026-06-30</t>
        </is>
      </c>
      <c r="M112" s="27" t="inlineStr"/>
    </row>
    <row r="113">
      <c r="A113" s="36" t="inlineStr">
        <is>
          <t>PLN-00151</t>
        </is>
      </c>
      <c r="B113" s="27" t="inlineStr">
        <is>
          <t>Twelve-month operating-expense reforecast</t>
        </is>
      </c>
      <c r="C113" s="27" t="inlineStr">
        <is>
          <t>Approved monthly plan</t>
        </is>
      </c>
      <c r="D113" s="27" t="inlineStr">
        <is>
          <t>Sales</t>
        </is>
      </c>
      <c r="E113" s="27" t="inlineStr">
        <is>
          <t>2027-06</t>
        </is>
      </c>
      <c r="F113" s="27" t="inlineStr">
        <is>
          <t>Approved case</t>
        </is>
      </c>
      <c r="G113" s="27" t="inlineStr">
        <is>
          <t>Controllable operating expense</t>
        </is>
      </c>
      <c r="H113" s="46" t="n">
        <v>0.015</v>
      </c>
      <c r="I113" s="27" t="inlineStr"/>
      <c r="J113" s="27" t="inlineStr">
        <is>
          <t>ledger allocation factor</t>
        </is>
      </c>
      <c r="K113" s="27" t="inlineStr">
        <is>
          <t>Board-approved FY27 operating plan</t>
        </is>
      </c>
      <c r="L113" s="47" t="inlineStr">
        <is>
          <t>2026-06-30</t>
        </is>
      </c>
      <c r="M113" s="27" t="inlineStr">
        <is>
          <t>Vista ERP P&amp;L, 2025-07-01 through 2026-06-30; Operating Expense total</t>
        </is>
      </c>
    </row>
    <row r="114">
      <c r="A114" s="36" t="inlineStr">
        <is>
          <t>PLN-00152</t>
        </is>
      </c>
      <c r="B114" s="27" t="inlineStr">
        <is>
          <t>Twelve-month operating-expense reforecast</t>
        </is>
      </c>
      <c r="C114" s="27" t="inlineStr">
        <is>
          <t>Approved reforecast events</t>
        </is>
      </c>
      <c r="D114" s="27" t="inlineStr">
        <is>
          <t>Sales</t>
        </is>
      </c>
      <c r="E114" s="27" t="inlineStr">
        <is>
          <t>2027-06</t>
        </is>
      </c>
      <c r="F114" s="27" t="inlineStr">
        <is>
          <t>Approved case</t>
        </is>
      </c>
      <c r="G114" s="27" t="inlineStr">
        <is>
          <t>Net approved run-rate and timing adjustment</t>
        </is>
      </c>
      <c r="H114" s="46" t="n">
        <v>25.38461538461539</v>
      </c>
      <c r="I114" s="27" t="inlineStr"/>
      <c r="J114" s="27" t="inlineStr">
        <is>
          <t>USD thousands</t>
        </is>
      </c>
      <c r="K114" s="27" t="inlineStr">
        <is>
          <t>Approved hire, contract, savings, and one-time event register</t>
        </is>
      </c>
      <c r="L114" s="47" t="inlineStr">
        <is>
          <t>2026-06-30</t>
        </is>
      </c>
      <c r="M114" s="27" t="inlineStr"/>
    </row>
    <row r="115">
      <c r="A115" s="36" t="inlineStr">
        <is>
          <t>PLN-00153</t>
        </is>
      </c>
      <c r="B115" s="27" t="inlineStr">
        <is>
          <t>Twelve-month operating-expense reforecast</t>
        </is>
      </c>
      <c r="C115" s="27" t="inlineStr">
        <is>
          <t>Approved monthly plan</t>
        </is>
      </c>
      <c r="D115" s="27" t="inlineStr">
        <is>
          <t>Finance</t>
        </is>
      </c>
      <c r="E115" s="27" t="inlineStr">
        <is>
          <t>2026-07</t>
        </is>
      </c>
      <c r="F115" s="27" t="inlineStr">
        <is>
          <t>Approved case</t>
        </is>
      </c>
      <c r="G115" s="27" t="inlineStr">
        <is>
          <t>Controllable operating expense</t>
        </is>
      </c>
      <c r="H115" s="46" t="n">
        <v>0.01155</v>
      </c>
      <c r="I115" s="27" t="inlineStr"/>
      <c r="J115" s="27" t="inlineStr">
        <is>
          <t>ledger allocation factor</t>
        </is>
      </c>
      <c r="K115" s="27" t="inlineStr">
        <is>
          <t>Board-approved FY27 operating plan</t>
        </is>
      </c>
      <c r="L115" s="47" t="inlineStr">
        <is>
          <t>2026-06-30</t>
        </is>
      </c>
      <c r="M115" s="27" t="inlineStr">
        <is>
          <t>Vista ERP P&amp;L, 2025-07-01 through 2026-06-30; Operating Expense total</t>
        </is>
      </c>
    </row>
    <row r="116">
      <c r="A116" s="36" t="inlineStr">
        <is>
          <t>PLN-00154</t>
        </is>
      </c>
      <c r="B116" s="27" t="inlineStr">
        <is>
          <t>Twelve-month operating-expense reforecast</t>
        </is>
      </c>
      <c r="C116" s="27" t="inlineStr">
        <is>
          <t>Approved reforecast events</t>
        </is>
      </c>
      <c r="D116" s="27" t="inlineStr">
        <is>
          <t>Finance</t>
        </is>
      </c>
      <c r="E116" s="27" t="inlineStr">
        <is>
          <t>2026-07</t>
        </is>
      </c>
      <c r="F116" s="27" t="inlineStr">
        <is>
          <t>Approved case</t>
        </is>
      </c>
      <c r="G116" s="27" t="inlineStr">
        <is>
          <t>Net approved run-rate and timing adjustment</t>
        </is>
      </c>
      <c r="H116" s="46" t="n">
        <v>-923.0769230769231</v>
      </c>
      <c r="I116" s="27" t="inlineStr"/>
      <c r="J116" s="27" t="inlineStr">
        <is>
          <t>USD</t>
        </is>
      </c>
      <c r="K116" s="27" t="inlineStr">
        <is>
          <t>Approved hire, contract, savings, and one-time event register</t>
        </is>
      </c>
      <c r="L116" s="47" t="inlineStr">
        <is>
          <t>2026-06-30</t>
        </is>
      </c>
      <c r="M116" s="27" t="inlineStr"/>
    </row>
    <row r="117">
      <c r="A117" s="36" t="inlineStr">
        <is>
          <t>PLN-00155</t>
        </is>
      </c>
      <c r="B117" s="27" t="inlineStr">
        <is>
          <t>Twelve-month operating-expense reforecast</t>
        </is>
      </c>
      <c r="C117" s="27" t="inlineStr">
        <is>
          <t>Approved monthly plan</t>
        </is>
      </c>
      <c r="D117" s="27" t="inlineStr">
        <is>
          <t>Finance</t>
        </is>
      </c>
      <c r="E117" s="27" t="inlineStr">
        <is>
          <t>2026-08</t>
        </is>
      </c>
      <c r="F117" s="27" t="inlineStr">
        <is>
          <t>Approved case</t>
        </is>
      </c>
      <c r="G117" s="27" t="inlineStr">
        <is>
          <t>Controllable operating expense</t>
        </is>
      </c>
      <c r="H117" s="46" t="n">
        <v>0.01155</v>
      </c>
      <c r="I117" s="27" t="inlineStr"/>
      <c r="J117" s="27" t="inlineStr">
        <is>
          <t>ledger allocation factor</t>
        </is>
      </c>
      <c r="K117" s="27" t="inlineStr">
        <is>
          <t>Board-approved FY27 operating plan</t>
        </is>
      </c>
      <c r="L117" s="47" t="inlineStr">
        <is>
          <t>2026-06-30</t>
        </is>
      </c>
      <c r="M117" s="27" t="inlineStr">
        <is>
          <t>Vista ERP P&amp;L, 2025-07-01 through 2026-06-30; Operating Expense total</t>
        </is>
      </c>
    </row>
    <row r="118">
      <c r="A118" s="36" t="inlineStr">
        <is>
          <t>PLN-00156</t>
        </is>
      </c>
      <c r="B118" s="27" t="inlineStr">
        <is>
          <t>Twelve-month operating-expense reforecast</t>
        </is>
      </c>
      <c r="C118" s="27" t="inlineStr">
        <is>
          <t>Approved reforecast events</t>
        </is>
      </c>
      <c r="D118" s="27" t="inlineStr">
        <is>
          <t>Finance</t>
        </is>
      </c>
      <c r="E118" s="27" t="inlineStr">
        <is>
          <t>2026-08</t>
        </is>
      </c>
      <c r="F118" s="27" t="inlineStr">
        <is>
          <t>Approved case</t>
        </is>
      </c>
      <c r="G118" s="27" t="inlineStr">
        <is>
          <t>Net approved run-rate and timing adjustment</t>
        </is>
      </c>
      <c r="H118" s="46" t="n">
        <v>-1846.153846153846</v>
      </c>
      <c r="I118" s="27" t="inlineStr"/>
      <c r="J118" s="27" t="inlineStr">
        <is>
          <t>USD</t>
        </is>
      </c>
      <c r="K118" s="27" t="inlineStr">
        <is>
          <t>Approved hire, contract, savings, and one-time event register</t>
        </is>
      </c>
      <c r="L118" s="47" t="inlineStr">
        <is>
          <t>2026-06-30</t>
        </is>
      </c>
      <c r="M118" s="27" t="inlineStr"/>
    </row>
    <row r="119">
      <c r="A119" s="36" t="inlineStr">
        <is>
          <t>PLN-00157</t>
        </is>
      </c>
      <c r="B119" s="27" t="inlineStr">
        <is>
          <t>Twelve-month operating-expense reforecast</t>
        </is>
      </c>
      <c r="C119" s="27" t="inlineStr">
        <is>
          <t>Approved monthly plan</t>
        </is>
      </c>
      <c r="D119" s="27" t="inlineStr">
        <is>
          <t>Finance</t>
        </is>
      </c>
      <c r="E119" s="27" t="inlineStr">
        <is>
          <t>2026-09</t>
        </is>
      </c>
      <c r="F119" s="27" t="inlineStr">
        <is>
          <t>Approved case</t>
        </is>
      </c>
      <c r="G119" s="27" t="inlineStr">
        <is>
          <t>Controllable operating expense</t>
        </is>
      </c>
      <c r="H119" s="46" t="n">
        <v>0.01166666666666667</v>
      </c>
      <c r="I119" s="27" t="inlineStr"/>
      <c r="J119" s="27" t="inlineStr">
        <is>
          <t>ledger allocation factor</t>
        </is>
      </c>
      <c r="K119" s="27" t="inlineStr">
        <is>
          <t>Board-approved FY27 operating plan</t>
        </is>
      </c>
      <c r="L119" s="47" t="inlineStr">
        <is>
          <t>2026-06-30</t>
        </is>
      </c>
      <c r="M119" s="27" t="inlineStr">
        <is>
          <t>Vista ERP P&amp;L, 2025-07-01 through 2026-06-30; Operating Expense total</t>
        </is>
      </c>
    </row>
    <row r="120">
      <c r="A120" s="36" t="inlineStr">
        <is>
          <t>PLN-00158</t>
        </is>
      </c>
      <c r="B120" s="27" t="inlineStr">
        <is>
          <t>Twelve-month operating-expense reforecast</t>
        </is>
      </c>
      <c r="C120" s="27" t="inlineStr">
        <is>
          <t>Approved reforecast events</t>
        </is>
      </c>
      <c r="D120" s="27" t="inlineStr">
        <is>
          <t>Finance</t>
        </is>
      </c>
      <c r="E120" s="27" t="inlineStr">
        <is>
          <t>2026-09</t>
        </is>
      </c>
      <c r="F120" s="27" t="inlineStr">
        <is>
          <t>Approved case</t>
        </is>
      </c>
      <c r="G120" s="27" t="inlineStr">
        <is>
          <t>Net approved run-rate and timing adjustment</t>
        </is>
      </c>
      <c r="H120" s="46" t="n">
        <v>-2769.23076923077</v>
      </c>
      <c r="I120" s="27" t="inlineStr"/>
      <c r="J120" s="27" t="inlineStr">
        <is>
          <t>USD</t>
        </is>
      </c>
      <c r="K120" s="27" t="inlineStr">
        <is>
          <t>Approved hire, contract, savings, and one-time event register</t>
        </is>
      </c>
      <c r="L120" s="47" t="inlineStr">
        <is>
          <t>2026-06-30</t>
        </is>
      </c>
      <c r="M120" s="27" t="inlineStr"/>
    </row>
    <row r="121">
      <c r="A121" s="36" t="inlineStr">
        <is>
          <t>PLN-00159</t>
        </is>
      </c>
      <c r="B121" s="27" t="inlineStr">
        <is>
          <t>Twelve-month operating-expense reforecast</t>
        </is>
      </c>
      <c r="C121" s="27" t="inlineStr">
        <is>
          <t>Approved monthly plan</t>
        </is>
      </c>
      <c r="D121" s="27" t="inlineStr">
        <is>
          <t>Finance</t>
        </is>
      </c>
      <c r="E121" s="27" t="inlineStr">
        <is>
          <t>2026-10</t>
        </is>
      </c>
      <c r="F121" s="27" t="inlineStr">
        <is>
          <t>Approved case</t>
        </is>
      </c>
      <c r="G121" s="27" t="inlineStr">
        <is>
          <t>Controllable operating expense</t>
        </is>
      </c>
      <c r="H121" s="46" t="n">
        <v>0.01166666666666667</v>
      </c>
      <c r="I121" s="27" t="inlineStr"/>
      <c r="J121" s="27" t="inlineStr">
        <is>
          <t>ledger allocation factor</t>
        </is>
      </c>
      <c r="K121" s="27" t="inlineStr">
        <is>
          <t>Board-approved FY27 operating plan</t>
        </is>
      </c>
      <c r="L121" s="47" t="inlineStr">
        <is>
          <t>2026-06-30</t>
        </is>
      </c>
      <c r="M121" s="27" t="inlineStr">
        <is>
          <t>Vista ERP P&amp;L, 2025-07-01 through 2026-06-30; Operating Expense total</t>
        </is>
      </c>
    </row>
    <row r="122">
      <c r="A122" s="36" t="inlineStr">
        <is>
          <t>PLN-00160</t>
        </is>
      </c>
      <c r="B122" s="27" t="inlineStr">
        <is>
          <t>Twelve-month operating-expense reforecast</t>
        </is>
      </c>
      <c r="C122" s="27" t="inlineStr">
        <is>
          <t>Approved reforecast events</t>
        </is>
      </c>
      <c r="D122" s="27" t="inlineStr">
        <is>
          <t>Finance</t>
        </is>
      </c>
      <c r="E122" s="27" t="inlineStr">
        <is>
          <t>2026-10</t>
        </is>
      </c>
      <c r="F122" s="27" t="inlineStr">
        <is>
          <t>Approved case</t>
        </is>
      </c>
      <c r="G122" s="27" t="inlineStr">
        <is>
          <t>Net approved run-rate and timing adjustment</t>
        </is>
      </c>
      <c r="H122" s="46" t="n">
        <v>-3692.307692307692</v>
      </c>
      <c r="I122" s="27" t="inlineStr"/>
      <c r="J122" s="27" t="inlineStr">
        <is>
          <t>USD</t>
        </is>
      </c>
      <c r="K122" s="27" t="inlineStr">
        <is>
          <t>Approved hire, contract, savings, and one-time event register</t>
        </is>
      </c>
      <c r="L122" s="47" t="inlineStr">
        <is>
          <t>2026-06-30</t>
        </is>
      </c>
      <c r="M122" s="27" t="inlineStr"/>
    </row>
    <row r="123">
      <c r="A123" s="36" t="inlineStr">
        <is>
          <t>PLN-00161</t>
        </is>
      </c>
      <c r="B123" s="27" t="inlineStr">
        <is>
          <t>Twelve-month operating-expense reforecast</t>
        </is>
      </c>
      <c r="C123" s="27" t="inlineStr">
        <is>
          <t>Approved monthly plan</t>
        </is>
      </c>
      <c r="D123" s="27" t="inlineStr">
        <is>
          <t>Finance</t>
        </is>
      </c>
      <c r="E123" s="27" t="inlineStr">
        <is>
          <t>2026-11</t>
        </is>
      </c>
      <c r="F123" s="27" t="inlineStr">
        <is>
          <t>Approved case</t>
        </is>
      </c>
      <c r="G123" s="27" t="inlineStr">
        <is>
          <t>Controllable operating expense</t>
        </is>
      </c>
      <c r="H123" s="46" t="n">
        <v>0.01166666666666667</v>
      </c>
      <c r="I123" s="27" t="inlineStr"/>
      <c r="J123" s="27" t="inlineStr">
        <is>
          <t>ledger allocation factor</t>
        </is>
      </c>
      <c r="K123" s="27" t="inlineStr">
        <is>
          <t>Board-approved FY27 operating plan</t>
        </is>
      </c>
      <c r="L123" s="47" t="inlineStr">
        <is>
          <t>2026-06-30</t>
        </is>
      </c>
      <c r="M123" s="27" t="inlineStr">
        <is>
          <t>Vista ERP P&amp;L, 2025-07-01 through 2026-06-30; Operating Expense total</t>
        </is>
      </c>
    </row>
    <row r="124">
      <c r="A124" s="36" t="inlineStr">
        <is>
          <t>PLN-00162</t>
        </is>
      </c>
      <c r="B124" s="27" t="inlineStr">
        <is>
          <t>Twelve-month operating-expense reforecast</t>
        </is>
      </c>
      <c r="C124" s="27" t="inlineStr">
        <is>
          <t>Approved reforecast events</t>
        </is>
      </c>
      <c r="D124" s="27" t="inlineStr">
        <is>
          <t>Finance</t>
        </is>
      </c>
      <c r="E124" s="27" t="inlineStr">
        <is>
          <t>2026-11</t>
        </is>
      </c>
      <c r="F124" s="27" t="inlineStr">
        <is>
          <t>Approved case</t>
        </is>
      </c>
      <c r="G124" s="27" t="inlineStr">
        <is>
          <t>Net approved run-rate and timing adjustment</t>
        </is>
      </c>
      <c r="H124" s="46" t="n">
        <v>-4615.384615384615</v>
      </c>
      <c r="I124" s="27" t="inlineStr"/>
      <c r="J124" s="27" t="inlineStr">
        <is>
          <t>USD</t>
        </is>
      </c>
      <c r="K124" s="27" t="inlineStr">
        <is>
          <t>Approved hire, contract, savings, and one-time event register</t>
        </is>
      </c>
      <c r="L124" s="47" t="inlineStr">
        <is>
          <t>2026-06-30</t>
        </is>
      </c>
      <c r="M124" s="27" t="inlineStr"/>
    </row>
    <row r="125">
      <c r="A125" s="36" t="inlineStr">
        <is>
          <t>PLN-00163</t>
        </is>
      </c>
      <c r="B125" s="27" t="inlineStr">
        <is>
          <t>Twelve-month operating-expense reforecast</t>
        </is>
      </c>
      <c r="C125" s="27" t="inlineStr">
        <is>
          <t>Approved monthly plan</t>
        </is>
      </c>
      <c r="D125" s="27" t="inlineStr">
        <is>
          <t>Finance</t>
        </is>
      </c>
      <c r="E125" s="27" t="inlineStr">
        <is>
          <t>2026-12</t>
        </is>
      </c>
      <c r="F125" s="27" t="inlineStr">
        <is>
          <t>Approved case</t>
        </is>
      </c>
      <c r="G125" s="27" t="inlineStr">
        <is>
          <t>Controllable operating expense</t>
        </is>
      </c>
      <c r="H125" s="46" t="n">
        <v>0.01195833333333333</v>
      </c>
      <c r="I125" s="27" t="inlineStr"/>
      <c r="J125" s="27" t="inlineStr">
        <is>
          <t>ledger allocation factor</t>
        </is>
      </c>
      <c r="K125" s="27" t="inlineStr">
        <is>
          <t>Board-approved FY27 operating plan</t>
        </is>
      </c>
      <c r="L125" s="47" t="inlineStr">
        <is>
          <t>2026-06-30</t>
        </is>
      </c>
      <c r="M125" s="27" t="inlineStr">
        <is>
          <t>Vista ERP P&amp;L, 2025-07-01 through 2026-06-30; Operating Expense total</t>
        </is>
      </c>
    </row>
    <row r="126">
      <c r="A126" s="36" t="inlineStr">
        <is>
          <t>PLN-00164</t>
        </is>
      </c>
      <c r="B126" s="27" t="inlineStr">
        <is>
          <t>Twelve-month operating-expense reforecast</t>
        </is>
      </c>
      <c r="C126" s="27" t="inlineStr">
        <is>
          <t>Approved reforecast events</t>
        </is>
      </c>
      <c r="D126" s="27" t="inlineStr">
        <is>
          <t>Finance</t>
        </is>
      </c>
      <c r="E126" s="27" t="inlineStr">
        <is>
          <t>2026-12</t>
        </is>
      </c>
      <c r="F126" s="27" t="inlineStr">
        <is>
          <t>Approved case</t>
        </is>
      </c>
      <c r="G126" s="27" t="inlineStr">
        <is>
          <t>Net approved run-rate and timing adjustment</t>
        </is>
      </c>
      <c r="H126" s="46" t="n">
        <v>-5538.461538461539</v>
      </c>
      <c r="I126" s="27" t="inlineStr"/>
      <c r="J126" s="27" t="inlineStr">
        <is>
          <t>USD</t>
        </is>
      </c>
      <c r="K126" s="27" t="inlineStr">
        <is>
          <t>Approved hire, contract, savings, and one-time event register</t>
        </is>
      </c>
      <c r="L126" s="47" t="inlineStr">
        <is>
          <t>2026-06-30</t>
        </is>
      </c>
      <c r="M126" s="27" t="inlineStr"/>
    </row>
    <row r="127">
      <c r="A127" s="36" t="inlineStr">
        <is>
          <t>PLN-00165</t>
        </is>
      </c>
      <c r="B127" s="27" t="inlineStr">
        <is>
          <t>Twelve-month operating-expense reforecast</t>
        </is>
      </c>
      <c r="C127" s="27" t="inlineStr">
        <is>
          <t>Approved monthly plan</t>
        </is>
      </c>
      <c r="D127" s="27" t="inlineStr">
        <is>
          <t>Finance</t>
        </is>
      </c>
      <c r="E127" s="27" t="inlineStr">
        <is>
          <t>2027-01</t>
        </is>
      </c>
      <c r="F127" s="27" t="inlineStr">
        <is>
          <t>Approved case</t>
        </is>
      </c>
      <c r="G127" s="27" t="inlineStr">
        <is>
          <t>Controllable operating expense</t>
        </is>
      </c>
      <c r="H127" s="46" t="n">
        <v>0.01195833333333333</v>
      </c>
      <c r="I127" s="27" t="inlineStr"/>
      <c r="J127" s="27" t="inlineStr">
        <is>
          <t>ledger allocation factor</t>
        </is>
      </c>
      <c r="K127" s="27" t="inlineStr">
        <is>
          <t>Board-approved FY27 operating plan</t>
        </is>
      </c>
      <c r="L127" s="47" t="inlineStr">
        <is>
          <t>2026-06-30</t>
        </is>
      </c>
      <c r="M127" s="27" t="inlineStr">
        <is>
          <t>Vista ERP P&amp;L, 2025-07-01 through 2026-06-30; Operating Expense total</t>
        </is>
      </c>
    </row>
    <row r="128">
      <c r="A128" s="36" t="inlineStr">
        <is>
          <t>PLN-00166</t>
        </is>
      </c>
      <c r="B128" s="27" t="inlineStr">
        <is>
          <t>Twelve-month operating-expense reforecast</t>
        </is>
      </c>
      <c r="C128" s="27" t="inlineStr">
        <is>
          <t>Approved reforecast events</t>
        </is>
      </c>
      <c r="D128" s="27" t="inlineStr">
        <is>
          <t>Finance</t>
        </is>
      </c>
      <c r="E128" s="27" t="inlineStr">
        <is>
          <t>2027-01</t>
        </is>
      </c>
      <c r="F128" s="27" t="inlineStr">
        <is>
          <t>Approved case</t>
        </is>
      </c>
      <c r="G128" s="27" t="inlineStr">
        <is>
          <t>Net approved run-rate and timing adjustment</t>
        </is>
      </c>
      <c r="H128" s="46" t="n">
        <v>-6461.538461538462</v>
      </c>
      <c r="I128" s="27" t="inlineStr"/>
      <c r="J128" s="27" t="inlineStr">
        <is>
          <t>USD</t>
        </is>
      </c>
      <c r="K128" s="27" t="inlineStr">
        <is>
          <t>Approved hire, contract, savings, and one-time event register</t>
        </is>
      </c>
      <c r="L128" s="47" t="inlineStr">
        <is>
          <t>2026-06-30</t>
        </is>
      </c>
      <c r="M128" s="27" t="inlineStr"/>
    </row>
    <row r="129">
      <c r="A129" s="36" t="inlineStr">
        <is>
          <t>PLN-00167</t>
        </is>
      </c>
      <c r="B129" s="27" t="inlineStr">
        <is>
          <t>Twelve-month operating-expense reforecast</t>
        </is>
      </c>
      <c r="C129" s="27" t="inlineStr">
        <is>
          <t>Approved monthly plan</t>
        </is>
      </c>
      <c r="D129" s="27" t="inlineStr">
        <is>
          <t>Finance</t>
        </is>
      </c>
      <c r="E129" s="27" t="inlineStr">
        <is>
          <t>2027-02</t>
        </is>
      </c>
      <c r="F129" s="27" t="inlineStr">
        <is>
          <t>Approved case</t>
        </is>
      </c>
      <c r="G129" s="27" t="inlineStr">
        <is>
          <t>Controllable operating expense</t>
        </is>
      </c>
      <c r="H129" s="46" t="n">
        <v>0.01166666666666667</v>
      </c>
      <c r="I129" s="27" t="inlineStr"/>
      <c r="J129" s="27" t="inlineStr">
        <is>
          <t>ledger allocation factor</t>
        </is>
      </c>
      <c r="K129" s="27" t="inlineStr">
        <is>
          <t>Board-approved FY27 operating plan</t>
        </is>
      </c>
      <c r="L129" s="47" t="inlineStr">
        <is>
          <t>2026-06-30</t>
        </is>
      </c>
      <c r="M129" s="27" t="inlineStr">
        <is>
          <t>Vista ERP P&amp;L, 2025-07-01 through 2026-06-30; Operating Expense total</t>
        </is>
      </c>
    </row>
    <row r="130">
      <c r="A130" s="36" t="inlineStr">
        <is>
          <t>PLN-00168</t>
        </is>
      </c>
      <c r="B130" s="27" t="inlineStr">
        <is>
          <t>Twelve-month operating-expense reforecast</t>
        </is>
      </c>
      <c r="C130" s="27" t="inlineStr">
        <is>
          <t>Approved reforecast events</t>
        </is>
      </c>
      <c r="D130" s="27" t="inlineStr">
        <is>
          <t>Finance</t>
        </is>
      </c>
      <c r="E130" s="27" t="inlineStr">
        <is>
          <t>2027-02</t>
        </is>
      </c>
      <c r="F130" s="27" t="inlineStr">
        <is>
          <t>Approved case</t>
        </is>
      </c>
      <c r="G130" s="27" t="inlineStr">
        <is>
          <t>Net approved run-rate and timing adjustment</t>
        </is>
      </c>
      <c r="H130" s="46" t="n">
        <v>-7384.615384615385</v>
      </c>
      <c r="I130" s="27" t="inlineStr"/>
      <c r="J130" s="27" t="inlineStr">
        <is>
          <t>USD</t>
        </is>
      </c>
      <c r="K130" s="27" t="inlineStr">
        <is>
          <t>Approved hire, contract, savings, and one-time event register</t>
        </is>
      </c>
      <c r="L130" s="47" t="inlineStr">
        <is>
          <t>2026-06-30</t>
        </is>
      </c>
      <c r="M130" s="27" t="inlineStr"/>
    </row>
    <row r="131">
      <c r="A131" s="36" t="inlineStr">
        <is>
          <t>PLN-00169</t>
        </is>
      </c>
      <c r="B131" s="27" t="inlineStr">
        <is>
          <t>Twelve-month operating-expense reforecast</t>
        </is>
      </c>
      <c r="C131" s="27" t="inlineStr">
        <is>
          <t>Approved monthly plan</t>
        </is>
      </c>
      <c r="D131" s="27" t="inlineStr">
        <is>
          <t>Finance</t>
        </is>
      </c>
      <c r="E131" s="27" t="inlineStr">
        <is>
          <t>2027-03</t>
        </is>
      </c>
      <c r="F131" s="27" t="inlineStr">
        <is>
          <t>Approved case</t>
        </is>
      </c>
      <c r="G131" s="27" t="inlineStr">
        <is>
          <t>Controllable operating expense</t>
        </is>
      </c>
      <c r="H131" s="46" t="n">
        <v>0.01166666666666667</v>
      </c>
      <c r="I131" s="27" t="inlineStr"/>
      <c r="J131" s="27" t="inlineStr">
        <is>
          <t>ledger allocation factor</t>
        </is>
      </c>
      <c r="K131" s="27" t="inlineStr">
        <is>
          <t>Board-approved FY27 operating plan</t>
        </is>
      </c>
      <c r="L131" s="47" t="inlineStr">
        <is>
          <t>2026-06-30</t>
        </is>
      </c>
      <c r="M131" s="27" t="inlineStr">
        <is>
          <t>Vista ERP P&amp;L, 2025-07-01 through 2026-06-30; Operating Expense total</t>
        </is>
      </c>
    </row>
    <row r="132">
      <c r="A132" s="36" t="inlineStr">
        <is>
          <t>PLN-00170</t>
        </is>
      </c>
      <c r="B132" s="27" t="inlineStr">
        <is>
          <t>Twelve-month operating-expense reforecast</t>
        </is>
      </c>
      <c r="C132" s="27" t="inlineStr">
        <is>
          <t>Approved reforecast events</t>
        </is>
      </c>
      <c r="D132" s="27" t="inlineStr">
        <is>
          <t>Finance</t>
        </is>
      </c>
      <c r="E132" s="27" t="inlineStr">
        <is>
          <t>2027-03</t>
        </is>
      </c>
      <c r="F132" s="27" t="inlineStr">
        <is>
          <t>Approved case</t>
        </is>
      </c>
      <c r="G132" s="27" t="inlineStr">
        <is>
          <t>Net approved run-rate and timing adjustment</t>
        </is>
      </c>
      <c r="H132" s="46" t="n">
        <v>-8307.692307692309</v>
      </c>
      <c r="I132" s="27" t="inlineStr"/>
      <c r="J132" s="27" t="inlineStr">
        <is>
          <t>USD</t>
        </is>
      </c>
      <c r="K132" s="27" t="inlineStr">
        <is>
          <t>Approved hire, contract, savings, and one-time event register</t>
        </is>
      </c>
      <c r="L132" s="47" t="inlineStr">
        <is>
          <t>2026-06-30</t>
        </is>
      </c>
      <c r="M132" s="27" t="inlineStr"/>
    </row>
    <row r="133">
      <c r="A133" s="36" t="inlineStr">
        <is>
          <t>PLN-00171</t>
        </is>
      </c>
      <c r="B133" s="27" t="inlineStr">
        <is>
          <t>Twelve-month operating-expense reforecast</t>
        </is>
      </c>
      <c r="C133" s="27" t="inlineStr">
        <is>
          <t>Approved monthly plan</t>
        </is>
      </c>
      <c r="D133" s="27" t="inlineStr">
        <is>
          <t>Finance</t>
        </is>
      </c>
      <c r="E133" s="27" t="inlineStr">
        <is>
          <t>2027-04</t>
        </is>
      </c>
      <c r="F133" s="27" t="inlineStr">
        <is>
          <t>Approved case</t>
        </is>
      </c>
      <c r="G133" s="27" t="inlineStr">
        <is>
          <t>Controllable operating expense</t>
        </is>
      </c>
      <c r="H133" s="46" t="n">
        <v>0.01166666666666667</v>
      </c>
      <c r="I133" s="27" t="inlineStr"/>
      <c r="J133" s="27" t="inlineStr">
        <is>
          <t>ledger allocation factor</t>
        </is>
      </c>
      <c r="K133" s="27" t="inlineStr">
        <is>
          <t>Board-approved FY27 operating plan</t>
        </is>
      </c>
      <c r="L133" s="47" t="inlineStr">
        <is>
          <t>2026-06-30</t>
        </is>
      </c>
      <c r="M133" s="27" t="inlineStr">
        <is>
          <t>Vista ERP P&amp;L, 2025-07-01 through 2026-06-30; Operating Expense total</t>
        </is>
      </c>
    </row>
    <row r="134">
      <c r="A134" s="36" t="inlineStr">
        <is>
          <t>PLN-00172</t>
        </is>
      </c>
      <c r="B134" s="27" t="inlineStr">
        <is>
          <t>Twelve-month operating-expense reforecast</t>
        </is>
      </c>
      <c r="C134" s="27" t="inlineStr">
        <is>
          <t>Approved reforecast events</t>
        </is>
      </c>
      <c r="D134" s="27" t="inlineStr">
        <is>
          <t>Finance</t>
        </is>
      </c>
      <c r="E134" s="27" t="inlineStr">
        <is>
          <t>2027-04</t>
        </is>
      </c>
      <c r="F134" s="27" t="inlineStr">
        <is>
          <t>Approved case</t>
        </is>
      </c>
      <c r="G134" s="27" t="inlineStr">
        <is>
          <t>Net approved run-rate and timing adjustment</t>
        </is>
      </c>
      <c r="H134" s="46" t="n">
        <v>-9230.76923076923</v>
      </c>
      <c r="I134" s="27" t="inlineStr"/>
      <c r="J134" s="27" t="inlineStr">
        <is>
          <t>USD</t>
        </is>
      </c>
      <c r="K134" s="27" t="inlineStr">
        <is>
          <t>Approved hire, contract, savings, and one-time event register</t>
        </is>
      </c>
      <c r="L134" s="47" t="inlineStr">
        <is>
          <t>2026-06-30</t>
        </is>
      </c>
      <c r="M134" s="27" t="inlineStr"/>
    </row>
    <row r="135">
      <c r="A135" s="36" t="inlineStr">
        <is>
          <t>PLN-00173</t>
        </is>
      </c>
      <c r="B135" s="27" t="inlineStr">
        <is>
          <t>Twelve-month operating-expense reforecast</t>
        </is>
      </c>
      <c r="C135" s="27" t="inlineStr">
        <is>
          <t>Approved monthly plan</t>
        </is>
      </c>
      <c r="D135" s="27" t="inlineStr">
        <is>
          <t>Finance</t>
        </is>
      </c>
      <c r="E135" s="27" t="inlineStr">
        <is>
          <t>2027-05</t>
        </is>
      </c>
      <c r="F135" s="27" t="inlineStr">
        <is>
          <t>Approved case</t>
        </is>
      </c>
      <c r="G135" s="27" t="inlineStr">
        <is>
          <t>Controllable operating expense</t>
        </is>
      </c>
      <c r="H135" s="46" t="n">
        <v>0.01166666666666667</v>
      </c>
      <c r="I135" s="27" t="inlineStr"/>
      <c r="J135" s="27" t="inlineStr">
        <is>
          <t>ledger allocation factor</t>
        </is>
      </c>
      <c r="K135" s="27" t="inlineStr">
        <is>
          <t>Board-approved FY27 operating plan</t>
        </is>
      </c>
      <c r="L135" s="47" t="inlineStr">
        <is>
          <t>2026-06-30</t>
        </is>
      </c>
      <c r="M135" s="27" t="inlineStr">
        <is>
          <t>Vista ERP P&amp;L, 2025-07-01 through 2026-06-30; Operating Expense total</t>
        </is>
      </c>
    </row>
    <row r="136">
      <c r="A136" s="36" t="inlineStr">
        <is>
          <t>PLN-00174</t>
        </is>
      </c>
      <c r="B136" s="27" t="inlineStr">
        <is>
          <t>Twelve-month operating-expense reforecast</t>
        </is>
      </c>
      <c r="C136" s="27" t="inlineStr">
        <is>
          <t>Approved reforecast events</t>
        </is>
      </c>
      <c r="D136" s="27" t="inlineStr">
        <is>
          <t>Finance</t>
        </is>
      </c>
      <c r="E136" s="27" t="inlineStr">
        <is>
          <t>2027-05</t>
        </is>
      </c>
      <c r="F136" s="27" t="inlineStr">
        <is>
          <t>Approved case</t>
        </is>
      </c>
      <c r="G136" s="27" t="inlineStr">
        <is>
          <t>Net approved run-rate and timing adjustment</t>
        </is>
      </c>
      <c r="H136" s="46" t="n">
        <v>-10153.84615384615</v>
      </c>
      <c r="I136" s="27" t="inlineStr"/>
      <c r="J136" s="27" t="inlineStr">
        <is>
          <t>USD</t>
        </is>
      </c>
      <c r="K136" s="27" t="inlineStr">
        <is>
          <t>Approved hire, contract, savings, and one-time event register</t>
        </is>
      </c>
      <c r="L136" s="47" t="inlineStr">
        <is>
          <t>2026-06-30</t>
        </is>
      </c>
      <c r="M136" s="27" t="inlineStr"/>
    </row>
    <row r="137">
      <c r="A137" s="36" t="inlineStr">
        <is>
          <t>PLN-00175</t>
        </is>
      </c>
      <c r="B137" s="27" t="inlineStr">
        <is>
          <t>Twelve-month operating-expense reforecast</t>
        </is>
      </c>
      <c r="C137" s="27" t="inlineStr">
        <is>
          <t>Approved monthly plan</t>
        </is>
      </c>
      <c r="D137" s="27" t="inlineStr">
        <is>
          <t>Finance</t>
        </is>
      </c>
      <c r="E137" s="27" t="inlineStr">
        <is>
          <t>2027-06</t>
        </is>
      </c>
      <c r="F137" s="27" t="inlineStr">
        <is>
          <t>Approved case</t>
        </is>
      </c>
      <c r="G137" s="27" t="inlineStr">
        <is>
          <t>Controllable operating expense</t>
        </is>
      </c>
      <c r="H137" s="46" t="n">
        <v>0.01166666666666667</v>
      </c>
      <c r="I137" s="27" t="inlineStr"/>
      <c r="J137" s="27" t="inlineStr">
        <is>
          <t>ledger allocation factor</t>
        </is>
      </c>
      <c r="K137" s="27" t="inlineStr">
        <is>
          <t>Board-approved FY27 operating plan</t>
        </is>
      </c>
      <c r="L137" s="47" t="inlineStr">
        <is>
          <t>2026-06-30</t>
        </is>
      </c>
      <c r="M137" s="27" t="inlineStr">
        <is>
          <t>Vista ERP P&amp;L, 2025-07-01 through 2026-06-30; Operating Expense total</t>
        </is>
      </c>
    </row>
    <row r="138">
      <c r="A138" s="36" t="inlineStr">
        <is>
          <t>PLN-00176</t>
        </is>
      </c>
      <c r="B138" s="27" t="inlineStr">
        <is>
          <t>Twelve-month operating-expense reforecast</t>
        </is>
      </c>
      <c r="C138" s="27" t="inlineStr">
        <is>
          <t>Approved reforecast events</t>
        </is>
      </c>
      <c r="D138" s="27" t="inlineStr">
        <is>
          <t>Finance</t>
        </is>
      </c>
      <c r="E138" s="27" t="inlineStr">
        <is>
          <t>2027-06</t>
        </is>
      </c>
      <c r="F138" s="27" t="inlineStr">
        <is>
          <t>Approved case</t>
        </is>
      </c>
      <c r="G138" s="27" t="inlineStr">
        <is>
          <t>Net approved run-rate and timing adjustment</t>
        </is>
      </c>
      <c r="H138" s="46" t="n">
        <v>-11.07692307692308</v>
      </c>
      <c r="I138" s="27" t="inlineStr"/>
      <c r="J138" s="27" t="inlineStr">
        <is>
          <t>USD thousands</t>
        </is>
      </c>
      <c r="K138" s="27" t="inlineStr">
        <is>
          <t>Approved hire, contract, savings, and one-time event register</t>
        </is>
      </c>
      <c r="L138" s="47" t="inlineStr">
        <is>
          <t>2026-06-30</t>
        </is>
      </c>
      <c r="M138" s="27" t="inlineStr"/>
    </row>
    <row r="139">
      <c r="A139" s="36" t="inlineStr">
        <is>
          <t>PLN-00177</t>
        </is>
      </c>
      <c r="B139" s="27" t="inlineStr">
        <is>
          <t>Twelve-month operating-expense reforecast</t>
        </is>
      </c>
      <c r="C139" s="27" t="inlineStr">
        <is>
          <t>Approved monthly plan</t>
        </is>
      </c>
      <c r="D139" s="27" t="inlineStr">
        <is>
          <t>People</t>
        </is>
      </c>
      <c r="E139" s="27" t="inlineStr">
        <is>
          <t>2026-07</t>
        </is>
      </c>
      <c r="F139" s="27" t="inlineStr">
        <is>
          <t>Approved case</t>
        </is>
      </c>
      <c r="G139" s="27" t="inlineStr">
        <is>
          <t>Controllable operating expense</t>
        </is>
      </c>
      <c r="H139" s="46" t="n">
        <v>0.00825</v>
      </c>
      <c r="I139" s="27" t="inlineStr"/>
      <c r="J139" s="27" t="inlineStr">
        <is>
          <t>ledger allocation factor</t>
        </is>
      </c>
      <c r="K139" s="27" t="inlineStr">
        <is>
          <t>Board-approved FY27 operating plan</t>
        </is>
      </c>
      <c r="L139" s="47" t="inlineStr">
        <is>
          <t>2026-06-30</t>
        </is>
      </c>
      <c r="M139" s="27" t="inlineStr">
        <is>
          <t>Vista ERP P&amp;L, 2025-07-01 through 2026-06-30; Operating Expense total</t>
        </is>
      </c>
    </row>
    <row r="140">
      <c r="A140" s="36" t="inlineStr">
        <is>
          <t>PLN-00178</t>
        </is>
      </c>
      <c r="B140" s="27" t="inlineStr">
        <is>
          <t>Twelve-month operating-expense reforecast</t>
        </is>
      </c>
      <c r="C140" s="27" t="inlineStr">
        <is>
          <t>Approved reforecast events</t>
        </is>
      </c>
      <c r="D140" s="27" t="inlineStr">
        <is>
          <t>People</t>
        </is>
      </c>
      <c r="E140" s="27" t="inlineStr">
        <is>
          <t>2026-07</t>
        </is>
      </c>
      <c r="F140" s="27" t="inlineStr">
        <is>
          <t>Approved case</t>
        </is>
      </c>
      <c r="G140" s="27" t="inlineStr">
        <is>
          <t>Net approved run-rate and timing adjustment</t>
        </is>
      </c>
      <c r="H140" s="46" t="n">
        <v>-743.5897435897435</v>
      </c>
      <c r="I140" s="27" t="inlineStr"/>
      <c r="J140" s="27" t="inlineStr">
        <is>
          <t>USD</t>
        </is>
      </c>
      <c r="K140" s="27" t="inlineStr">
        <is>
          <t>Approved hire, contract, savings, and one-time event register</t>
        </is>
      </c>
      <c r="L140" s="47" t="inlineStr">
        <is>
          <t>2026-06-30</t>
        </is>
      </c>
      <c r="M140" s="27" t="inlineStr"/>
    </row>
    <row r="141">
      <c r="A141" s="36" t="inlineStr">
        <is>
          <t>PLN-00179</t>
        </is>
      </c>
      <c r="B141" s="27" t="inlineStr">
        <is>
          <t>Twelve-month operating-expense reforecast</t>
        </is>
      </c>
      <c r="C141" s="27" t="inlineStr">
        <is>
          <t>Approved monthly plan</t>
        </is>
      </c>
      <c r="D141" s="27" t="inlineStr">
        <is>
          <t>People</t>
        </is>
      </c>
      <c r="E141" s="27" t="inlineStr">
        <is>
          <t>2026-08</t>
        </is>
      </c>
      <c r="F141" s="27" t="inlineStr">
        <is>
          <t>Approved case</t>
        </is>
      </c>
      <c r="G141" s="27" t="inlineStr">
        <is>
          <t>Controllable operating expense</t>
        </is>
      </c>
      <c r="H141" s="46" t="n">
        <v>0.00825</v>
      </c>
      <c r="I141" s="27" t="inlineStr"/>
      <c r="J141" s="27" t="inlineStr">
        <is>
          <t>ledger allocation factor</t>
        </is>
      </c>
      <c r="K141" s="27" t="inlineStr">
        <is>
          <t>Board-approved FY27 operating plan</t>
        </is>
      </c>
      <c r="L141" s="47" t="inlineStr">
        <is>
          <t>2026-06-30</t>
        </is>
      </c>
      <c r="M141" s="27" t="inlineStr">
        <is>
          <t>Vista ERP P&amp;L, 2025-07-01 through 2026-06-30; Operating Expense total</t>
        </is>
      </c>
    </row>
    <row r="142">
      <c r="A142" s="36" t="inlineStr">
        <is>
          <t>PLN-00180</t>
        </is>
      </c>
      <c r="B142" s="27" t="inlineStr">
        <is>
          <t>Twelve-month operating-expense reforecast</t>
        </is>
      </c>
      <c r="C142" s="27" t="inlineStr">
        <is>
          <t>Approved reforecast events</t>
        </is>
      </c>
      <c r="D142" s="27" t="inlineStr">
        <is>
          <t>People</t>
        </is>
      </c>
      <c r="E142" s="27" t="inlineStr">
        <is>
          <t>2026-08</t>
        </is>
      </c>
      <c r="F142" s="27" t="inlineStr">
        <is>
          <t>Approved case</t>
        </is>
      </c>
      <c r="G142" s="27" t="inlineStr">
        <is>
          <t>Net approved run-rate and timing adjustment</t>
        </is>
      </c>
      <c r="H142" s="46" t="n">
        <v>-1487.179487179487</v>
      </c>
      <c r="I142" s="27" t="inlineStr"/>
      <c r="J142" s="27" t="inlineStr">
        <is>
          <t>USD</t>
        </is>
      </c>
      <c r="K142" s="27" t="inlineStr">
        <is>
          <t>Approved hire, contract, savings, and one-time event register</t>
        </is>
      </c>
      <c r="L142" s="47" t="inlineStr">
        <is>
          <t>2026-06-30</t>
        </is>
      </c>
      <c r="M142" s="27" t="inlineStr"/>
    </row>
    <row r="143">
      <c r="A143" s="36" t="inlineStr">
        <is>
          <t>PLN-00181</t>
        </is>
      </c>
      <c r="B143" s="27" t="inlineStr">
        <is>
          <t>Twelve-month operating-expense reforecast</t>
        </is>
      </c>
      <c r="C143" s="27" t="inlineStr">
        <is>
          <t>Approved monthly plan</t>
        </is>
      </c>
      <c r="D143" s="27" t="inlineStr">
        <is>
          <t>People</t>
        </is>
      </c>
      <c r="E143" s="27" t="inlineStr">
        <is>
          <t>2026-09</t>
        </is>
      </c>
      <c r="F143" s="27" t="inlineStr">
        <is>
          <t>Approved case</t>
        </is>
      </c>
      <c r="G143" s="27" t="inlineStr">
        <is>
          <t>Controllable operating expense</t>
        </is>
      </c>
      <c r="H143" s="46" t="n">
        <v>0.008333333333333333</v>
      </c>
      <c r="I143" s="27" t="inlineStr"/>
      <c r="J143" s="27" t="inlineStr">
        <is>
          <t>ledger allocation factor</t>
        </is>
      </c>
      <c r="K143" s="27" t="inlineStr">
        <is>
          <t>Board-approved FY27 operating plan</t>
        </is>
      </c>
      <c r="L143" s="47" t="inlineStr">
        <is>
          <t>2026-06-30</t>
        </is>
      </c>
      <c r="M143" s="27" t="inlineStr">
        <is>
          <t>Vista ERP P&amp;L, 2025-07-01 through 2026-06-30; Operating Expense total</t>
        </is>
      </c>
    </row>
    <row r="144">
      <c r="A144" s="36" t="inlineStr">
        <is>
          <t>PLN-00182</t>
        </is>
      </c>
      <c r="B144" s="27" t="inlineStr">
        <is>
          <t>Twelve-month operating-expense reforecast</t>
        </is>
      </c>
      <c r="C144" s="27" t="inlineStr">
        <is>
          <t>Approved reforecast events</t>
        </is>
      </c>
      <c r="D144" s="27" t="inlineStr">
        <is>
          <t>People</t>
        </is>
      </c>
      <c r="E144" s="27" t="inlineStr">
        <is>
          <t>2026-09</t>
        </is>
      </c>
      <c r="F144" s="27" t="inlineStr">
        <is>
          <t>Approved case</t>
        </is>
      </c>
      <c r="G144" s="27" t="inlineStr">
        <is>
          <t>Net approved run-rate and timing adjustment</t>
        </is>
      </c>
      <c r="H144" s="46" t="n">
        <v>-2230.769230769231</v>
      </c>
      <c r="I144" s="27" t="inlineStr"/>
      <c r="J144" s="27" t="inlineStr">
        <is>
          <t>USD</t>
        </is>
      </c>
      <c r="K144" s="27" t="inlineStr">
        <is>
          <t>Approved hire, contract, savings, and one-time event register</t>
        </is>
      </c>
      <c r="L144" s="47" t="inlineStr">
        <is>
          <t>2026-06-30</t>
        </is>
      </c>
      <c r="M144" s="27" t="inlineStr"/>
    </row>
    <row r="145">
      <c r="A145" s="36" t="inlineStr">
        <is>
          <t>PLN-00183</t>
        </is>
      </c>
      <c r="B145" s="27" t="inlineStr">
        <is>
          <t>Twelve-month operating-expense reforecast</t>
        </is>
      </c>
      <c r="C145" s="27" t="inlineStr">
        <is>
          <t>Approved monthly plan</t>
        </is>
      </c>
      <c r="D145" s="27" t="inlineStr">
        <is>
          <t>People</t>
        </is>
      </c>
      <c r="E145" s="27" t="inlineStr">
        <is>
          <t>2026-10</t>
        </is>
      </c>
      <c r="F145" s="27" t="inlineStr">
        <is>
          <t>Approved case</t>
        </is>
      </c>
      <c r="G145" s="27" t="inlineStr">
        <is>
          <t>Controllable operating expense</t>
        </is>
      </c>
      <c r="H145" s="46" t="n">
        <v>0.008333333333333333</v>
      </c>
      <c r="I145" s="27" t="inlineStr"/>
      <c r="J145" s="27" t="inlineStr">
        <is>
          <t>ledger allocation factor</t>
        </is>
      </c>
      <c r="K145" s="27" t="inlineStr">
        <is>
          <t>Board-approved FY27 operating plan</t>
        </is>
      </c>
      <c r="L145" s="47" t="inlineStr">
        <is>
          <t>2026-06-30</t>
        </is>
      </c>
      <c r="M145" s="27" t="inlineStr">
        <is>
          <t>Vista ERP P&amp;L, 2025-07-01 through 2026-06-30; Operating Expense total</t>
        </is>
      </c>
    </row>
    <row r="146">
      <c r="A146" s="36" t="inlineStr">
        <is>
          <t>PLN-00184</t>
        </is>
      </c>
      <c r="B146" s="27" t="inlineStr">
        <is>
          <t>Twelve-month operating-expense reforecast</t>
        </is>
      </c>
      <c r="C146" s="27" t="inlineStr">
        <is>
          <t>Approved reforecast events</t>
        </is>
      </c>
      <c r="D146" s="27" t="inlineStr">
        <is>
          <t>People</t>
        </is>
      </c>
      <c r="E146" s="27" t="inlineStr">
        <is>
          <t>2026-10</t>
        </is>
      </c>
      <c r="F146" s="27" t="inlineStr">
        <is>
          <t>Approved case</t>
        </is>
      </c>
      <c r="G146" s="27" t="inlineStr">
        <is>
          <t>Net approved run-rate and timing adjustment</t>
        </is>
      </c>
      <c r="H146" s="46" t="n">
        <v>-2974.358974358974</v>
      </c>
      <c r="I146" s="27" t="inlineStr"/>
      <c r="J146" s="27" t="inlineStr">
        <is>
          <t>USD</t>
        </is>
      </c>
      <c r="K146" s="27" t="inlineStr">
        <is>
          <t>Approved hire, contract, savings, and one-time event register</t>
        </is>
      </c>
      <c r="L146" s="47" t="inlineStr">
        <is>
          <t>2026-06-30</t>
        </is>
      </c>
      <c r="M146" s="27" t="inlineStr"/>
    </row>
    <row r="147">
      <c r="A147" s="36" t="inlineStr">
        <is>
          <t>PLN-00185</t>
        </is>
      </c>
      <c r="B147" s="27" t="inlineStr">
        <is>
          <t>Twelve-month operating-expense reforecast</t>
        </is>
      </c>
      <c r="C147" s="27" t="inlineStr">
        <is>
          <t>Approved monthly plan</t>
        </is>
      </c>
      <c r="D147" s="27" t="inlineStr">
        <is>
          <t>People</t>
        </is>
      </c>
      <c r="E147" s="27" t="inlineStr">
        <is>
          <t>2026-11</t>
        </is>
      </c>
      <c r="F147" s="27" t="inlineStr">
        <is>
          <t>Approved case</t>
        </is>
      </c>
      <c r="G147" s="27" t="inlineStr">
        <is>
          <t>Controllable operating expense</t>
        </is>
      </c>
      <c r="H147" s="46" t="n">
        <v>0.008333333333333333</v>
      </c>
      <c r="I147" s="27" t="inlineStr"/>
      <c r="J147" s="27" t="inlineStr">
        <is>
          <t>ledger allocation factor</t>
        </is>
      </c>
      <c r="K147" s="27" t="inlineStr">
        <is>
          <t>Board-approved FY27 operating plan</t>
        </is>
      </c>
      <c r="L147" s="47" t="inlineStr">
        <is>
          <t>2026-06-30</t>
        </is>
      </c>
      <c r="M147" s="27" t="inlineStr">
        <is>
          <t>Vista ERP P&amp;L, 2025-07-01 through 2026-06-30; Operating Expense total</t>
        </is>
      </c>
    </row>
    <row r="148">
      <c r="A148" s="36" t="inlineStr">
        <is>
          <t>PLN-00186</t>
        </is>
      </c>
      <c r="B148" s="27" t="inlineStr">
        <is>
          <t>Twelve-month operating-expense reforecast</t>
        </is>
      </c>
      <c r="C148" s="27" t="inlineStr">
        <is>
          <t>Approved reforecast events</t>
        </is>
      </c>
      <c r="D148" s="27" t="inlineStr">
        <is>
          <t>People</t>
        </is>
      </c>
      <c r="E148" s="27" t="inlineStr">
        <is>
          <t>2026-11</t>
        </is>
      </c>
      <c r="F148" s="27" t="inlineStr">
        <is>
          <t>Approved case</t>
        </is>
      </c>
      <c r="G148" s="27" t="inlineStr">
        <is>
          <t>Net approved run-rate and timing adjustment</t>
        </is>
      </c>
      <c r="H148" s="46" t="n">
        <v>-3717.948717948718</v>
      </c>
      <c r="I148" s="27" t="inlineStr"/>
      <c r="J148" s="27" t="inlineStr">
        <is>
          <t>USD</t>
        </is>
      </c>
      <c r="K148" s="27" t="inlineStr">
        <is>
          <t>Approved hire, contract, savings, and one-time event register</t>
        </is>
      </c>
      <c r="L148" s="47" t="inlineStr">
        <is>
          <t>2026-06-30</t>
        </is>
      </c>
      <c r="M148" s="27" t="inlineStr"/>
    </row>
    <row r="149">
      <c r="A149" s="36" t="inlineStr">
        <is>
          <t>PLN-00187</t>
        </is>
      </c>
      <c r="B149" s="27" t="inlineStr">
        <is>
          <t>Twelve-month operating-expense reforecast</t>
        </is>
      </c>
      <c r="C149" s="27" t="inlineStr">
        <is>
          <t>Approved monthly plan</t>
        </is>
      </c>
      <c r="D149" s="27" t="inlineStr">
        <is>
          <t>People</t>
        </is>
      </c>
      <c r="E149" s="27" t="inlineStr">
        <is>
          <t>2026-12</t>
        </is>
      </c>
      <c r="F149" s="27" t="inlineStr">
        <is>
          <t>Approved case</t>
        </is>
      </c>
      <c r="G149" s="27" t="inlineStr">
        <is>
          <t>Controllable operating expense</t>
        </is>
      </c>
      <c r="H149" s="46" t="n">
        <v>0.008541666666666666</v>
      </c>
      <c r="I149" s="27" t="inlineStr"/>
      <c r="J149" s="27" t="inlineStr">
        <is>
          <t>ledger allocation factor</t>
        </is>
      </c>
      <c r="K149" s="27" t="inlineStr">
        <is>
          <t>Board-approved FY27 operating plan</t>
        </is>
      </c>
      <c r="L149" s="47" t="inlineStr">
        <is>
          <t>2026-06-30</t>
        </is>
      </c>
      <c r="M149" s="27" t="inlineStr">
        <is>
          <t>Vista ERP P&amp;L, 2025-07-01 through 2026-06-30; Operating Expense total</t>
        </is>
      </c>
    </row>
    <row r="150">
      <c r="A150" s="36" t="inlineStr">
        <is>
          <t>PLN-00188</t>
        </is>
      </c>
      <c r="B150" s="27" t="inlineStr">
        <is>
          <t>Twelve-month operating-expense reforecast</t>
        </is>
      </c>
      <c r="C150" s="27" t="inlineStr">
        <is>
          <t>Approved reforecast events</t>
        </is>
      </c>
      <c r="D150" s="27" t="inlineStr">
        <is>
          <t>People</t>
        </is>
      </c>
      <c r="E150" s="27" t="inlineStr">
        <is>
          <t>2026-12</t>
        </is>
      </c>
      <c r="F150" s="27" t="inlineStr">
        <is>
          <t>Approved case</t>
        </is>
      </c>
      <c r="G150" s="27" t="inlineStr">
        <is>
          <t>Net approved run-rate and timing adjustment</t>
        </is>
      </c>
      <c r="H150" s="46" t="n">
        <v>-4461.538461538462</v>
      </c>
      <c r="I150" s="27" t="inlineStr"/>
      <c r="J150" s="27" t="inlineStr">
        <is>
          <t>USD</t>
        </is>
      </c>
      <c r="K150" s="27" t="inlineStr">
        <is>
          <t>Approved hire, contract, savings, and one-time event register</t>
        </is>
      </c>
      <c r="L150" s="47" t="inlineStr">
        <is>
          <t>2026-06-30</t>
        </is>
      </c>
      <c r="M150" s="27" t="inlineStr"/>
    </row>
    <row r="151">
      <c r="A151" s="36" t="inlineStr">
        <is>
          <t>PLN-00189</t>
        </is>
      </c>
      <c r="B151" s="27" t="inlineStr">
        <is>
          <t>Twelve-month operating-expense reforecast</t>
        </is>
      </c>
      <c r="C151" s="27" t="inlineStr">
        <is>
          <t>Approved monthly plan</t>
        </is>
      </c>
      <c r="D151" s="27" t="inlineStr">
        <is>
          <t>People</t>
        </is>
      </c>
      <c r="E151" s="27" t="inlineStr">
        <is>
          <t>2027-01</t>
        </is>
      </c>
      <c r="F151" s="27" t="inlineStr">
        <is>
          <t>Approved case</t>
        </is>
      </c>
      <c r="G151" s="27" t="inlineStr">
        <is>
          <t>Controllable operating expense</t>
        </is>
      </c>
      <c r="H151" s="46" t="n">
        <v>0.008541666666666666</v>
      </c>
      <c r="I151" s="27" t="inlineStr"/>
      <c r="J151" s="27" t="inlineStr">
        <is>
          <t>ledger allocation factor</t>
        </is>
      </c>
      <c r="K151" s="27" t="inlineStr">
        <is>
          <t>Board-approved FY27 operating plan</t>
        </is>
      </c>
      <c r="L151" s="47" t="inlineStr">
        <is>
          <t>2026-06-30</t>
        </is>
      </c>
      <c r="M151" s="27" t="inlineStr">
        <is>
          <t>Vista ERP P&amp;L, 2025-07-01 through 2026-06-30; Operating Expense total</t>
        </is>
      </c>
    </row>
    <row r="152">
      <c r="A152" s="36" t="inlineStr">
        <is>
          <t>PLN-00190</t>
        </is>
      </c>
      <c r="B152" s="27" t="inlineStr">
        <is>
          <t>Twelve-month operating-expense reforecast</t>
        </is>
      </c>
      <c r="C152" s="27" t="inlineStr">
        <is>
          <t>Approved reforecast events</t>
        </is>
      </c>
      <c r="D152" s="27" t="inlineStr">
        <is>
          <t>People</t>
        </is>
      </c>
      <c r="E152" s="27" t="inlineStr">
        <is>
          <t>2027-01</t>
        </is>
      </c>
      <c r="F152" s="27" t="inlineStr">
        <is>
          <t>Approved case</t>
        </is>
      </c>
      <c r="G152" s="27" t="inlineStr">
        <is>
          <t>Net approved run-rate and timing adjustment</t>
        </is>
      </c>
      <c r="H152" s="46" t="n">
        <v>-5205.128205128205</v>
      </c>
      <c r="I152" s="27" t="inlineStr"/>
      <c r="J152" s="27" t="inlineStr">
        <is>
          <t>USD</t>
        </is>
      </c>
      <c r="K152" s="27" t="inlineStr">
        <is>
          <t>Approved hire, contract, savings, and one-time event register</t>
        </is>
      </c>
      <c r="L152" s="47" t="inlineStr">
        <is>
          <t>2026-06-30</t>
        </is>
      </c>
      <c r="M152" s="27" t="inlineStr"/>
    </row>
    <row r="153">
      <c r="A153" s="36" t="inlineStr">
        <is>
          <t>PLN-00191</t>
        </is>
      </c>
      <c r="B153" s="27" t="inlineStr">
        <is>
          <t>Twelve-month operating-expense reforecast</t>
        </is>
      </c>
      <c r="C153" s="27" t="inlineStr">
        <is>
          <t>Approved monthly plan</t>
        </is>
      </c>
      <c r="D153" s="27" t="inlineStr">
        <is>
          <t>People</t>
        </is>
      </c>
      <c r="E153" s="27" t="inlineStr">
        <is>
          <t>2027-02</t>
        </is>
      </c>
      <c r="F153" s="27" t="inlineStr">
        <is>
          <t>Approved case</t>
        </is>
      </c>
      <c r="G153" s="27" t="inlineStr">
        <is>
          <t>Controllable operating expense</t>
        </is>
      </c>
      <c r="H153" s="46" t="n">
        <v>0.008333333333333333</v>
      </c>
      <c r="I153" s="27" t="inlineStr"/>
      <c r="J153" s="27" t="inlineStr">
        <is>
          <t>ledger allocation factor</t>
        </is>
      </c>
      <c r="K153" s="27" t="inlineStr">
        <is>
          <t>Board-approved FY27 operating plan</t>
        </is>
      </c>
      <c r="L153" s="47" t="inlineStr">
        <is>
          <t>2026-06-30</t>
        </is>
      </c>
      <c r="M153" s="27" t="inlineStr">
        <is>
          <t>Vista ERP P&amp;L, 2025-07-01 through 2026-06-30; Operating Expense total</t>
        </is>
      </c>
    </row>
    <row r="154">
      <c r="A154" s="36" t="inlineStr">
        <is>
          <t>PLN-00192</t>
        </is>
      </c>
      <c r="B154" s="27" t="inlineStr">
        <is>
          <t>Twelve-month operating-expense reforecast</t>
        </is>
      </c>
      <c r="C154" s="27" t="inlineStr">
        <is>
          <t>Approved reforecast events</t>
        </is>
      </c>
      <c r="D154" s="27" t="inlineStr">
        <is>
          <t>People</t>
        </is>
      </c>
      <c r="E154" s="27" t="inlineStr">
        <is>
          <t>2027-02</t>
        </is>
      </c>
      <c r="F154" s="27" t="inlineStr">
        <is>
          <t>Approved case</t>
        </is>
      </c>
      <c r="G154" s="27" t="inlineStr">
        <is>
          <t>Net approved run-rate and timing adjustment</t>
        </is>
      </c>
      <c r="H154" s="46" t="n">
        <v>-5948.717948717948</v>
      </c>
      <c r="I154" s="27" t="inlineStr"/>
      <c r="J154" s="27" t="inlineStr">
        <is>
          <t>USD</t>
        </is>
      </c>
      <c r="K154" s="27" t="inlineStr">
        <is>
          <t>Approved hire, contract, savings, and one-time event register</t>
        </is>
      </c>
      <c r="L154" s="47" t="inlineStr">
        <is>
          <t>2026-06-30</t>
        </is>
      </c>
      <c r="M154" s="27" t="inlineStr"/>
    </row>
    <row r="155">
      <c r="A155" s="36" t="inlineStr">
        <is>
          <t>PLN-00193</t>
        </is>
      </c>
      <c r="B155" s="27" t="inlineStr">
        <is>
          <t>Twelve-month operating-expense reforecast</t>
        </is>
      </c>
      <c r="C155" s="27" t="inlineStr">
        <is>
          <t>Approved monthly plan</t>
        </is>
      </c>
      <c r="D155" s="27" t="inlineStr">
        <is>
          <t>People</t>
        </is>
      </c>
      <c r="E155" s="27" t="inlineStr">
        <is>
          <t>2027-03</t>
        </is>
      </c>
      <c r="F155" s="27" t="inlineStr">
        <is>
          <t>Approved case</t>
        </is>
      </c>
      <c r="G155" s="27" t="inlineStr">
        <is>
          <t>Controllable operating expense</t>
        </is>
      </c>
      <c r="H155" s="46" t="n">
        <v>0.008333333333333333</v>
      </c>
      <c r="I155" s="27" t="inlineStr"/>
      <c r="J155" s="27" t="inlineStr">
        <is>
          <t>ledger allocation factor</t>
        </is>
      </c>
      <c r="K155" s="27" t="inlineStr">
        <is>
          <t>Board-approved FY27 operating plan</t>
        </is>
      </c>
      <c r="L155" s="47" t="inlineStr">
        <is>
          <t>2026-06-30</t>
        </is>
      </c>
      <c r="M155" s="27" t="inlineStr">
        <is>
          <t>Vista ERP P&amp;L, 2025-07-01 through 2026-06-30; Operating Expense total</t>
        </is>
      </c>
    </row>
    <row r="156">
      <c r="A156" s="36" t="inlineStr">
        <is>
          <t>PLN-00194</t>
        </is>
      </c>
      <c r="B156" s="27" t="inlineStr">
        <is>
          <t>Twelve-month operating-expense reforecast</t>
        </is>
      </c>
      <c r="C156" s="27" t="inlineStr">
        <is>
          <t>Approved reforecast events</t>
        </is>
      </c>
      <c r="D156" s="27" t="inlineStr">
        <is>
          <t>People</t>
        </is>
      </c>
      <c r="E156" s="27" t="inlineStr">
        <is>
          <t>2027-03</t>
        </is>
      </c>
      <c r="F156" s="27" t="inlineStr">
        <is>
          <t>Approved case</t>
        </is>
      </c>
      <c r="G156" s="27" t="inlineStr">
        <is>
          <t>Net approved run-rate and timing adjustment</t>
        </is>
      </c>
      <c r="H156" s="46" t="n">
        <v>-6692.307692307692</v>
      </c>
      <c r="I156" s="27" t="inlineStr"/>
      <c r="J156" s="27" t="inlineStr">
        <is>
          <t>USD</t>
        </is>
      </c>
      <c r="K156" s="27" t="inlineStr">
        <is>
          <t>Approved hire, contract, savings, and one-time event register</t>
        </is>
      </c>
      <c r="L156" s="47" t="inlineStr">
        <is>
          <t>2026-06-30</t>
        </is>
      </c>
      <c r="M156" s="27" t="inlineStr"/>
    </row>
    <row r="157">
      <c r="A157" s="36" t="inlineStr">
        <is>
          <t>PLN-00195</t>
        </is>
      </c>
      <c r="B157" s="27" t="inlineStr">
        <is>
          <t>Twelve-month operating-expense reforecast</t>
        </is>
      </c>
      <c r="C157" s="27" t="inlineStr">
        <is>
          <t>Approved monthly plan</t>
        </is>
      </c>
      <c r="D157" s="27" t="inlineStr">
        <is>
          <t>People</t>
        </is>
      </c>
      <c r="E157" s="27" t="inlineStr">
        <is>
          <t>2027-04</t>
        </is>
      </c>
      <c r="F157" s="27" t="inlineStr">
        <is>
          <t>Approved case</t>
        </is>
      </c>
      <c r="G157" s="27" t="inlineStr">
        <is>
          <t>Controllable operating expense</t>
        </is>
      </c>
      <c r="H157" s="46" t="n">
        <v>0.008333333333333333</v>
      </c>
      <c r="I157" s="27" t="inlineStr"/>
      <c r="J157" s="27" t="inlineStr">
        <is>
          <t>ledger allocation factor</t>
        </is>
      </c>
      <c r="K157" s="27" t="inlineStr">
        <is>
          <t>Board-approved FY27 operating plan</t>
        </is>
      </c>
      <c r="L157" s="47" t="inlineStr">
        <is>
          <t>2026-06-30</t>
        </is>
      </c>
      <c r="M157" s="27" t="inlineStr">
        <is>
          <t>Vista ERP P&amp;L, 2025-07-01 through 2026-06-30; Operating Expense total</t>
        </is>
      </c>
    </row>
    <row r="158">
      <c r="A158" s="36" t="inlineStr">
        <is>
          <t>PLN-00196</t>
        </is>
      </c>
      <c r="B158" s="27" t="inlineStr">
        <is>
          <t>Twelve-month operating-expense reforecast</t>
        </is>
      </c>
      <c r="C158" s="27" t="inlineStr">
        <is>
          <t>Approved reforecast events</t>
        </is>
      </c>
      <c r="D158" s="27" t="inlineStr">
        <is>
          <t>People</t>
        </is>
      </c>
      <c r="E158" s="27" t="inlineStr">
        <is>
          <t>2027-04</t>
        </is>
      </c>
      <c r="F158" s="27" t="inlineStr">
        <is>
          <t>Approved case</t>
        </is>
      </c>
      <c r="G158" s="27" t="inlineStr">
        <is>
          <t>Net approved run-rate and timing adjustment</t>
        </is>
      </c>
      <c r="H158" s="46" t="n">
        <v>-7435.897435897436</v>
      </c>
      <c r="I158" s="27" t="inlineStr"/>
      <c r="J158" s="27" t="inlineStr">
        <is>
          <t>USD</t>
        </is>
      </c>
      <c r="K158" s="27" t="inlineStr">
        <is>
          <t>Approved hire, contract, savings, and one-time event register</t>
        </is>
      </c>
      <c r="L158" s="47" t="inlineStr">
        <is>
          <t>2026-06-30</t>
        </is>
      </c>
      <c r="M158" s="27" t="inlineStr"/>
    </row>
    <row r="159">
      <c r="A159" s="36" t="inlineStr">
        <is>
          <t>PLN-00197</t>
        </is>
      </c>
      <c r="B159" s="27" t="inlineStr">
        <is>
          <t>Twelve-month operating-expense reforecast</t>
        </is>
      </c>
      <c r="C159" s="27" t="inlineStr">
        <is>
          <t>Approved monthly plan</t>
        </is>
      </c>
      <c r="D159" s="27" t="inlineStr">
        <is>
          <t>People</t>
        </is>
      </c>
      <c r="E159" s="27" t="inlineStr">
        <is>
          <t>2027-05</t>
        </is>
      </c>
      <c r="F159" s="27" t="inlineStr">
        <is>
          <t>Approved case</t>
        </is>
      </c>
      <c r="G159" s="27" t="inlineStr">
        <is>
          <t>Controllable operating expense</t>
        </is>
      </c>
      <c r="H159" s="46" t="n">
        <v>0.008333333333333333</v>
      </c>
      <c r="I159" s="27" t="inlineStr"/>
      <c r="J159" s="27" t="inlineStr">
        <is>
          <t>ledger allocation factor</t>
        </is>
      </c>
      <c r="K159" s="27" t="inlineStr">
        <is>
          <t>Board-approved FY27 operating plan</t>
        </is>
      </c>
      <c r="L159" s="47" t="inlineStr">
        <is>
          <t>2026-06-30</t>
        </is>
      </c>
      <c r="M159" s="27" t="inlineStr">
        <is>
          <t>Vista ERP P&amp;L, 2025-07-01 through 2026-06-30; Operating Expense total</t>
        </is>
      </c>
    </row>
    <row r="160">
      <c r="A160" s="36" t="inlineStr">
        <is>
          <t>PLN-00198</t>
        </is>
      </c>
      <c r="B160" s="27" t="inlineStr">
        <is>
          <t>Twelve-month operating-expense reforecast</t>
        </is>
      </c>
      <c r="C160" s="27" t="inlineStr">
        <is>
          <t>Approved reforecast events</t>
        </is>
      </c>
      <c r="D160" s="27" t="inlineStr">
        <is>
          <t>People</t>
        </is>
      </c>
      <c r="E160" s="27" t="inlineStr">
        <is>
          <t>2027-05</t>
        </is>
      </c>
      <c r="F160" s="27" t="inlineStr">
        <is>
          <t>Approved case</t>
        </is>
      </c>
      <c r="G160" s="27" t="inlineStr">
        <is>
          <t>Net approved run-rate and timing adjustment</t>
        </is>
      </c>
      <c r="H160" s="46" t="n">
        <v>-8179.48717948718</v>
      </c>
      <c r="I160" s="27" t="inlineStr"/>
      <c r="J160" s="27" t="inlineStr">
        <is>
          <t>USD</t>
        </is>
      </c>
      <c r="K160" s="27" t="inlineStr">
        <is>
          <t>Approved hire, contract, savings, and one-time event register</t>
        </is>
      </c>
      <c r="L160" s="47" t="inlineStr">
        <is>
          <t>2026-06-30</t>
        </is>
      </c>
      <c r="M160" s="27" t="inlineStr"/>
    </row>
    <row r="161">
      <c r="A161" s="36" t="inlineStr">
        <is>
          <t>PLN-00199</t>
        </is>
      </c>
      <c r="B161" s="27" t="inlineStr">
        <is>
          <t>Twelve-month operating-expense reforecast</t>
        </is>
      </c>
      <c r="C161" s="27" t="inlineStr">
        <is>
          <t>Approved monthly plan</t>
        </is>
      </c>
      <c r="D161" s="27" t="inlineStr">
        <is>
          <t>People</t>
        </is>
      </c>
      <c r="E161" s="27" t="inlineStr">
        <is>
          <t>2027-06</t>
        </is>
      </c>
      <c r="F161" s="27" t="inlineStr">
        <is>
          <t>Approved case</t>
        </is>
      </c>
      <c r="G161" s="27" t="inlineStr">
        <is>
          <t>Controllable operating expense</t>
        </is>
      </c>
      <c r="H161" s="46" t="n">
        <v>0.008333333333333333</v>
      </c>
      <c r="I161" s="27" t="inlineStr"/>
      <c r="J161" s="27" t="inlineStr">
        <is>
          <t>ledger allocation factor</t>
        </is>
      </c>
      <c r="K161" s="27" t="inlineStr">
        <is>
          <t>Board-approved FY27 operating plan</t>
        </is>
      </c>
      <c r="L161" s="47" t="inlineStr">
        <is>
          <t>2026-06-30</t>
        </is>
      </c>
      <c r="M161" s="27" t="inlineStr">
        <is>
          <t>Vista ERP P&amp;L, 2025-07-01 through 2026-06-30; Operating Expense total</t>
        </is>
      </c>
    </row>
    <row r="162">
      <c r="A162" s="36" t="inlineStr">
        <is>
          <t>PLN-00200</t>
        </is>
      </c>
      <c r="B162" s="27" t="inlineStr">
        <is>
          <t>Twelve-month operating-expense reforecast</t>
        </is>
      </c>
      <c r="C162" s="27" t="inlineStr">
        <is>
          <t>Approved reforecast events</t>
        </is>
      </c>
      <c r="D162" s="27" t="inlineStr">
        <is>
          <t>People</t>
        </is>
      </c>
      <c r="E162" s="27" t="inlineStr">
        <is>
          <t>2027-06</t>
        </is>
      </c>
      <c r="F162" s="27" t="inlineStr">
        <is>
          <t>Approved case</t>
        </is>
      </c>
      <c r="G162" s="27" t="inlineStr">
        <is>
          <t>Net approved run-rate and timing adjustment</t>
        </is>
      </c>
      <c r="H162" s="46" t="n">
        <v>-8923.076923076924</v>
      </c>
      <c r="I162" s="27" t="inlineStr"/>
      <c r="J162" s="27" t="inlineStr">
        <is>
          <t>USD</t>
        </is>
      </c>
      <c r="K162" s="27" t="inlineStr">
        <is>
          <t>Approved hire, contract, savings, and one-time event register</t>
        </is>
      </c>
      <c r="L162" s="47" t="inlineStr">
        <is>
          <t>2026-06-30</t>
        </is>
      </c>
      <c r="M162" s="27" t="inlineStr"/>
    </row>
    <row r="163">
      <c r="A163" s="36" t="inlineStr">
        <is>
          <t>PLN-00201</t>
        </is>
      </c>
      <c r="B163" s="27" t="inlineStr">
        <is>
          <t>Twelve-month operating-expense reforecast</t>
        </is>
      </c>
      <c r="C163" s="27" t="inlineStr">
        <is>
          <t>Approved monthly plan</t>
        </is>
      </c>
      <c r="D163" s="27" t="inlineStr">
        <is>
          <t>Executive</t>
        </is>
      </c>
      <c r="E163" s="27" t="inlineStr">
        <is>
          <t>2026-07</t>
        </is>
      </c>
      <c r="F163" s="27" t="inlineStr">
        <is>
          <t>Approved case</t>
        </is>
      </c>
      <c r="G163" s="27" t="inlineStr">
        <is>
          <t>Controllable operating expense</t>
        </is>
      </c>
      <c r="H163" s="46" t="n">
        <v>0.010725</v>
      </c>
      <c r="I163" s="27" t="inlineStr"/>
      <c r="J163" s="27" t="inlineStr">
        <is>
          <t>ledger allocation factor</t>
        </is>
      </c>
      <c r="K163" s="27" t="inlineStr">
        <is>
          <t>Board-approved FY27 operating plan</t>
        </is>
      </c>
      <c r="L163" s="47" t="inlineStr">
        <is>
          <t>2026-06-30</t>
        </is>
      </c>
      <c r="M163" s="27" t="inlineStr">
        <is>
          <t>Vista ERP P&amp;L, 2025-07-01 through 2026-06-30; Operating Expense total</t>
        </is>
      </c>
    </row>
    <row r="164">
      <c r="A164" s="36" t="inlineStr">
        <is>
          <t>PLN-00202</t>
        </is>
      </c>
      <c r="B164" s="27" t="inlineStr">
        <is>
          <t>Twelve-month operating-expense reforecast</t>
        </is>
      </c>
      <c r="C164" s="27" t="inlineStr">
        <is>
          <t>Approved reforecast events</t>
        </is>
      </c>
      <c r="D164" s="27" t="inlineStr">
        <is>
          <t>Executive</t>
        </is>
      </c>
      <c r="E164" s="27" t="inlineStr">
        <is>
          <t>2026-07</t>
        </is>
      </c>
      <c r="F164" s="27" t="inlineStr">
        <is>
          <t>Approved case</t>
        </is>
      </c>
      <c r="G164" s="27" t="inlineStr">
        <is>
          <t>Net approved run-rate and timing adjustment</t>
        </is>
      </c>
      <c r="H164" s="46" t="n">
        <v>512.8205128205128</v>
      </c>
      <c r="I164" s="27" t="inlineStr"/>
      <c r="J164" s="27" t="inlineStr">
        <is>
          <t>USD</t>
        </is>
      </c>
      <c r="K164" s="27" t="inlineStr">
        <is>
          <t>Approved hire, contract, savings, and one-time event register</t>
        </is>
      </c>
      <c r="L164" s="47" t="inlineStr">
        <is>
          <t>2026-06-30</t>
        </is>
      </c>
      <c r="M164" s="27" t="inlineStr"/>
    </row>
    <row r="165">
      <c r="A165" s="36" t="inlineStr">
        <is>
          <t>PLN-00203</t>
        </is>
      </c>
      <c r="B165" s="27" t="inlineStr">
        <is>
          <t>Twelve-month operating-expense reforecast</t>
        </is>
      </c>
      <c r="C165" s="27" t="inlineStr">
        <is>
          <t>Approved monthly plan</t>
        </is>
      </c>
      <c r="D165" s="27" t="inlineStr">
        <is>
          <t>Executive</t>
        </is>
      </c>
      <c r="E165" s="27" t="inlineStr">
        <is>
          <t>2026-08</t>
        </is>
      </c>
      <c r="F165" s="27" t="inlineStr">
        <is>
          <t>Approved case</t>
        </is>
      </c>
      <c r="G165" s="27" t="inlineStr">
        <is>
          <t>Controllable operating expense</t>
        </is>
      </c>
      <c r="H165" s="46" t="n">
        <v>0.010725</v>
      </c>
      <c r="I165" s="27" t="inlineStr"/>
      <c r="J165" s="27" t="inlineStr">
        <is>
          <t>ledger allocation factor</t>
        </is>
      </c>
      <c r="K165" s="27" t="inlineStr">
        <is>
          <t>Board-approved FY27 operating plan</t>
        </is>
      </c>
      <c r="L165" s="47" t="inlineStr">
        <is>
          <t>2026-06-30</t>
        </is>
      </c>
      <c r="M165" s="27" t="inlineStr">
        <is>
          <t>Vista ERP P&amp;L, 2025-07-01 through 2026-06-30; Operating Expense total</t>
        </is>
      </c>
    </row>
    <row r="166">
      <c r="A166" s="36" t="inlineStr">
        <is>
          <t>PLN-00204</t>
        </is>
      </c>
      <c r="B166" s="27" t="inlineStr">
        <is>
          <t>Twelve-month operating-expense reforecast</t>
        </is>
      </c>
      <c r="C166" s="27" t="inlineStr">
        <is>
          <t>Approved reforecast events</t>
        </is>
      </c>
      <c r="D166" s="27" t="inlineStr">
        <is>
          <t>Executive</t>
        </is>
      </c>
      <c r="E166" s="27" t="inlineStr">
        <is>
          <t>2026-08</t>
        </is>
      </c>
      <c r="F166" s="27" t="inlineStr">
        <is>
          <t>Approved case</t>
        </is>
      </c>
      <c r="G166" s="27" t="inlineStr">
        <is>
          <t>Net approved run-rate and timing adjustment</t>
        </is>
      </c>
      <c r="H166" s="46" t="n">
        <v>1025.641025641026</v>
      </c>
      <c r="I166" s="27" t="inlineStr"/>
      <c r="J166" s="27" t="inlineStr">
        <is>
          <t>USD</t>
        </is>
      </c>
      <c r="K166" s="27" t="inlineStr">
        <is>
          <t>Approved hire, contract, savings, and one-time event register</t>
        </is>
      </c>
      <c r="L166" s="47" t="inlineStr">
        <is>
          <t>2026-06-30</t>
        </is>
      </c>
      <c r="M166" s="27" t="inlineStr"/>
    </row>
    <row r="167">
      <c r="A167" s="36" t="inlineStr">
        <is>
          <t>PLN-00205</t>
        </is>
      </c>
      <c r="B167" s="27" t="inlineStr">
        <is>
          <t>Twelve-month operating-expense reforecast</t>
        </is>
      </c>
      <c r="C167" s="27" t="inlineStr">
        <is>
          <t>Approved monthly plan</t>
        </is>
      </c>
      <c r="D167" s="27" t="inlineStr">
        <is>
          <t>Executive</t>
        </is>
      </c>
      <c r="E167" s="27" t="inlineStr">
        <is>
          <t>2026-09</t>
        </is>
      </c>
      <c r="F167" s="27" t="inlineStr">
        <is>
          <t>Approved case</t>
        </is>
      </c>
      <c r="G167" s="27" t="inlineStr">
        <is>
          <t>Controllable operating expense</t>
        </is>
      </c>
      <c r="H167" s="46" t="n">
        <v>0.01083333333333333</v>
      </c>
      <c r="I167" s="27" t="inlineStr"/>
      <c r="J167" s="27" t="inlineStr">
        <is>
          <t>ledger allocation factor</t>
        </is>
      </c>
      <c r="K167" s="27" t="inlineStr">
        <is>
          <t>Board-approved FY27 operating plan</t>
        </is>
      </c>
      <c r="L167" s="47" t="inlineStr">
        <is>
          <t>2026-06-30</t>
        </is>
      </c>
      <c r="M167" s="27" t="inlineStr">
        <is>
          <t>Vista ERP P&amp;L, 2025-07-01 through 2026-06-30; Operating Expense total</t>
        </is>
      </c>
    </row>
    <row r="168">
      <c r="A168" s="36" t="inlineStr">
        <is>
          <t>PLN-00206</t>
        </is>
      </c>
      <c r="B168" s="27" t="inlineStr">
        <is>
          <t>Twelve-month operating-expense reforecast</t>
        </is>
      </c>
      <c r="C168" s="27" t="inlineStr">
        <is>
          <t>Approved reforecast events</t>
        </is>
      </c>
      <c r="D168" s="27" t="inlineStr">
        <is>
          <t>Executive</t>
        </is>
      </c>
      <c r="E168" s="27" t="inlineStr">
        <is>
          <t>2026-09</t>
        </is>
      </c>
      <c r="F168" s="27" t="inlineStr">
        <is>
          <t>Approved case</t>
        </is>
      </c>
      <c r="G168" s="27" t="inlineStr">
        <is>
          <t>Net approved run-rate and timing adjustment</t>
        </is>
      </c>
      <c r="H168" s="46" t="n">
        <v>1538.461538461539</v>
      </c>
      <c r="I168" s="27" t="inlineStr"/>
      <c r="J168" s="27" t="inlineStr">
        <is>
          <t>USD</t>
        </is>
      </c>
      <c r="K168" s="27" t="inlineStr">
        <is>
          <t>Approved hire, contract, savings, and one-time event register</t>
        </is>
      </c>
      <c r="L168" s="47" t="inlineStr">
        <is>
          <t>2026-06-30</t>
        </is>
      </c>
      <c r="M168" s="27" t="inlineStr"/>
    </row>
    <row r="169">
      <c r="A169" s="36" t="inlineStr">
        <is>
          <t>PLN-00207</t>
        </is>
      </c>
      <c r="B169" s="27" t="inlineStr">
        <is>
          <t>Twelve-month operating-expense reforecast</t>
        </is>
      </c>
      <c r="C169" s="27" t="inlineStr">
        <is>
          <t>Approved monthly plan</t>
        </is>
      </c>
      <c r="D169" s="27" t="inlineStr">
        <is>
          <t>Executive</t>
        </is>
      </c>
      <c r="E169" s="27" t="inlineStr">
        <is>
          <t>2026-10</t>
        </is>
      </c>
      <c r="F169" s="27" t="inlineStr">
        <is>
          <t>Approved case</t>
        </is>
      </c>
      <c r="G169" s="27" t="inlineStr">
        <is>
          <t>Controllable operating expense</t>
        </is>
      </c>
      <c r="H169" s="46" t="n">
        <v>0.01083333333333333</v>
      </c>
      <c r="I169" s="27" t="inlineStr"/>
      <c r="J169" s="27" t="inlineStr">
        <is>
          <t>ledger allocation factor</t>
        </is>
      </c>
      <c r="K169" s="27" t="inlineStr">
        <is>
          <t>Board-approved FY27 operating plan</t>
        </is>
      </c>
      <c r="L169" s="47" t="inlineStr">
        <is>
          <t>2026-06-30</t>
        </is>
      </c>
      <c r="M169" s="27" t="inlineStr">
        <is>
          <t>Vista ERP P&amp;L, 2025-07-01 through 2026-06-30; Operating Expense total</t>
        </is>
      </c>
    </row>
    <row r="170">
      <c r="A170" s="36" t="inlineStr">
        <is>
          <t>PLN-00208</t>
        </is>
      </c>
      <c r="B170" s="27" t="inlineStr">
        <is>
          <t>Twelve-month operating-expense reforecast</t>
        </is>
      </c>
      <c r="C170" s="27" t="inlineStr">
        <is>
          <t>Approved reforecast events</t>
        </is>
      </c>
      <c r="D170" s="27" t="inlineStr">
        <is>
          <t>Executive</t>
        </is>
      </c>
      <c r="E170" s="27" t="inlineStr">
        <is>
          <t>2026-10</t>
        </is>
      </c>
      <c r="F170" s="27" t="inlineStr">
        <is>
          <t>Approved case</t>
        </is>
      </c>
      <c r="G170" s="27" t="inlineStr">
        <is>
          <t>Net approved run-rate and timing adjustment</t>
        </is>
      </c>
      <c r="H170" s="46" t="n">
        <v>2051.282051282051</v>
      </c>
      <c r="I170" s="27" t="inlineStr"/>
      <c r="J170" s="27" t="inlineStr">
        <is>
          <t>USD</t>
        </is>
      </c>
      <c r="K170" s="27" t="inlineStr">
        <is>
          <t>Approved hire, contract, savings, and one-time event register</t>
        </is>
      </c>
      <c r="L170" s="47" t="inlineStr">
        <is>
          <t>2026-06-30</t>
        </is>
      </c>
      <c r="M170" s="27" t="inlineStr"/>
    </row>
    <row r="171">
      <c r="A171" s="36" t="inlineStr">
        <is>
          <t>PLN-00209</t>
        </is>
      </c>
      <c r="B171" s="27" t="inlineStr">
        <is>
          <t>Twelve-month operating-expense reforecast</t>
        </is>
      </c>
      <c r="C171" s="27" t="inlineStr">
        <is>
          <t>Approved monthly plan</t>
        </is>
      </c>
      <c r="D171" s="27" t="inlineStr">
        <is>
          <t>Executive</t>
        </is>
      </c>
      <c r="E171" s="27" t="inlineStr">
        <is>
          <t>2026-11</t>
        </is>
      </c>
      <c r="F171" s="27" t="inlineStr">
        <is>
          <t>Approved case</t>
        </is>
      </c>
      <c r="G171" s="27" t="inlineStr">
        <is>
          <t>Controllable operating expense</t>
        </is>
      </c>
      <c r="H171" s="46" t="n">
        <v>0.01083333333333333</v>
      </c>
      <c r="I171" s="27" t="inlineStr"/>
      <c r="J171" s="27" t="inlineStr">
        <is>
          <t>ledger allocation factor</t>
        </is>
      </c>
      <c r="K171" s="27" t="inlineStr">
        <is>
          <t>Board-approved FY27 operating plan</t>
        </is>
      </c>
      <c r="L171" s="47" t="inlineStr">
        <is>
          <t>2026-06-30</t>
        </is>
      </c>
      <c r="M171" s="27" t="inlineStr">
        <is>
          <t>Vista ERP P&amp;L, 2025-07-01 through 2026-06-30; Operating Expense total</t>
        </is>
      </c>
    </row>
    <row r="172">
      <c r="A172" s="36" t="inlineStr">
        <is>
          <t>PLN-00210</t>
        </is>
      </c>
      <c r="B172" s="27" t="inlineStr">
        <is>
          <t>Twelve-month operating-expense reforecast</t>
        </is>
      </c>
      <c r="C172" s="27" t="inlineStr">
        <is>
          <t>Approved reforecast events</t>
        </is>
      </c>
      <c r="D172" s="27" t="inlineStr">
        <is>
          <t>Executive</t>
        </is>
      </c>
      <c r="E172" s="27" t="inlineStr">
        <is>
          <t>2026-11</t>
        </is>
      </c>
      <c r="F172" s="27" t="inlineStr">
        <is>
          <t>Approved case</t>
        </is>
      </c>
      <c r="G172" s="27" t="inlineStr">
        <is>
          <t>Net approved run-rate and timing adjustment</t>
        </is>
      </c>
      <c r="H172" s="46" t="n">
        <v>2564.102564102564</v>
      </c>
      <c r="I172" s="27" t="inlineStr"/>
      <c r="J172" s="27" t="inlineStr">
        <is>
          <t>USD</t>
        </is>
      </c>
      <c r="K172" s="27" t="inlineStr">
        <is>
          <t>Approved hire, contract, savings, and one-time event register</t>
        </is>
      </c>
      <c r="L172" s="47" t="inlineStr">
        <is>
          <t>2026-06-30</t>
        </is>
      </c>
      <c r="M172" s="27" t="inlineStr"/>
    </row>
    <row r="173">
      <c r="A173" s="36" t="inlineStr">
        <is>
          <t>PLN-00211</t>
        </is>
      </c>
      <c r="B173" s="27" t="inlineStr">
        <is>
          <t>Twelve-month operating-expense reforecast</t>
        </is>
      </c>
      <c r="C173" s="27" t="inlineStr">
        <is>
          <t>Approved monthly plan</t>
        </is>
      </c>
      <c r="D173" s="27" t="inlineStr">
        <is>
          <t>Executive</t>
        </is>
      </c>
      <c r="E173" s="27" t="inlineStr">
        <is>
          <t>2026-12</t>
        </is>
      </c>
      <c r="F173" s="27" t="inlineStr">
        <is>
          <t>Approved case</t>
        </is>
      </c>
      <c r="G173" s="27" t="inlineStr">
        <is>
          <t>Controllable operating expense</t>
        </is>
      </c>
      <c r="H173" s="46" t="n">
        <v>0.01110416666666667</v>
      </c>
      <c r="I173" s="27" t="inlineStr"/>
      <c r="J173" s="27" t="inlineStr">
        <is>
          <t>ledger allocation factor</t>
        </is>
      </c>
      <c r="K173" s="27" t="inlineStr">
        <is>
          <t>Board-approved FY27 operating plan</t>
        </is>
      </c>
      <c r="L173" s="47" t="inlineStr">
        <is>
          <t>2026-06-30</t>
        </is>
      </c>
      <c r="M173" s="27" t="inlineStr">
        <is>
          <t>Vista ERP P&amp;L, 2025-07-01 through 2026-06-30; Operating Expense total</t>
        </is>
      </c>
    </row>
    <row r="174">
      <c r="A174" s="36" t="inlineStr">
        <is>
          <t>PLN-00212</t>
        </is>
      </c>
      <c r="B174" s="27" t="inlineStr">
        <is>
          <t>Twelve-month operating-expense reforecast</t>
        </is>
      </c>
      <c r="C174" s="27" t="inlineStr">
        <is>
          <t>Approved reforecast events</t>
        </is>
      </c>
      <c r="D174" s="27" t="inlineStr">
        <is>
          <t>Executive</t>
        </is>
      </c>
      <c r="E174" s="27" t="inlineStr">
        <is>
          <t>2026-12</t>
        </is>
      </c>
      <c r="F174" s="27" t="inlineStr">
        <is>
          <t>Approved case</t>
        </is>
      </c>
      <c r="G174" s="27" t="inlineStr">
        <is>
          <t>Net approved run-rate and timing adjustment</t>
        </is>
      </c>
      <c r="H174" s="46" t="n">
        <v>3076.923076923077</v>
      </c>
      <c r="I174" s="27" t="inlineStr"/>
      <c r="J174" s="27" t="inlineStr">
        <is>
          <t>USD</t>
        </is>
      </c>
      <c r="K174" s="27" t="inlineStr">
        <is>
          <t>Approved hire, contract, savings, and one-time event register</t>
        </is>
      </c>
      <c r="L174" s="47" t="inlineStr">
        <is>
          <t>2026-06-30</t>
        </is>
      </c>
      <c r="M174" s="27" t="inlineStr"/>
    </row>
    <row r="175">
      <c r="A175" s="36" t="inlineStr">
        <is>
          <t>PLN-00213</t>
        </is>
      </c>
      <c r="B175" s="27" t="inlineStr">
        <is>
          <t>Twelve-month operating-expense reforecast</t>
        </is>
      </c>
      <c r="C175" s="27" t="inlineStr">
        <is>
          <t>Approved monthly plan</t>
        </is>
      </c>
      <c r="D175" s="27" t="inlineStr">
        <is>
          <t>Executive</t>
        </is>
      </c>
      <c r="E175" s="27" t="inlineStr">
        <is>
          <t>2027-01</t>
        </is>
      </c>
      <c r="F175" s="27" t="inlineStr">
        <is>
          <t>Approved case</t>
        </is>
      </c>
      <c r="G175" s="27" t="inlineStr">
        <is>
          <t>Controllable operating expense</t>
        </is>
      </c>
      <c r="H175" s="46" t="n">
        <v>0.01110416666666667</v>
      </c>
      <c r="I175" s="27" t="inlineStr"/>
      <c r="J175" s="27" t="inlineStr">
        <is>
          <t>ledger allocation factor</t>
        </is>
      </c>
      <c r="K175" s="27" t="inlineStr">
        <is>
          <t>Board-approved FY27 operating plan</t>
        </is>
      </c>
      <c r="L175" s="47" t="inlineStr">
        <is>
          <t>2026-06-30</t>
        </is>
      </c>
      <c r="M175" s="27" t="inlineStr">
        <is>
          <t>Vista ERP P&amp;L, 2025-07-01 through 2026-06-30; Operating Expense total</t>
        </is>
      </c>
    </row>
    <row r="176">
      <c r="A176" s="36" t="inlineStr">
        <is>
          <t>PLN-00214</t>
        </is>
      </c>
      <c r="B176" s="27" t="inlineStr">
        <is>
          <t>Twelve-month operating-expense reforecast</t>
        </is>
      </c>
      <c r="C176" s="27" t="inlineStr">
        <is>
          <t>Approved reforecast events</t>
        </is>
      </c>
      <c r="D176" s="27" t="inlineStr">
        <is>
          <t>Executive</t>
        </is>
      </c>
      <c r="E176" s="27" t="inlineStr">
        <is>
          <t>2027-01</t>
        </is>
      </c>
      <c r="F176" s="27" t="inlineStr">
        <is>
          <t>Approved case</t>
        </is>
      </c>
      <c r="G176" s="27" t="inlineStr">
        <is>
          <t>Net approved run-rate and timing adjustment</t>
        </is>
      </c>
      <c r="H176" s="46" t="n">
        <v>3589.74358974359</v>
      </c>
      <c r="I176" s="27" t="inlineStr"/>
      <c r="J176" s="27" t="inlineStr">
        <is>
          <t>USD</t>
        </is>
      </c>
      <c r="K176" s="27" t="inlineStr">
        <is>
          <t>Approved hire, contract, savings, and one-time event register</t>
        </is>
      </c>
      <c r="L176" s="47" t="inlineStr">
        <is>
          <t>2026-06-30</t>
        </is>
      </c>
      <c r="M176" s="27" t="inlineStr"/>
    </row>
    <row r="177">
      <c r="A177" s="36" t="inlineStr">
        <is>
          <t>PLN-00215</t>
        </is>
      </c>
      <c r="B177" s="27" t="inlineStr">
        <is>
          <t>Twelve-month operating-expense reforecast</t>
        </is>
      </c>
      <c r="C177" s="27" t="inlineStr">
        <is>
          <t>Approved monthly plan</t>
        </is>
      </c>
      <c r="D177" s="27" t="inlineStr">
        <is>
          <t>Executive</t>
        </is>
      </c>
      <c r="E177" s="27" t="inlineStr">
        <is>
          <t>2027-02</t>
        </is>
      </c>
      <c r="F177" s="27" t="inlineStr">
        <is>
          <t>Approved case</t>
        </is>
      </c>
      <c r="G177" s="27" t="inlineStr">
        <is>
          <t>Controllable operating expense</t>
        </is>
      </c>
      <c r="H177" s="46" t="n">
        <v>0.01083333333333333</v>
      </c>
      <c r="I177" s="27" t="inlineStr"/>
      <c r="J177" s="27" t="inlineStr">
        <is>
          <t>ledger allocation factor</t>
        </is>
      </c>
      <c r="K177" s="27" t="inlineStr">
        <is>
          <t>Board-approved FY27 operating plan</t>
        </is>
      </c>
      <c r="L177" s="47" t="inlineStr">
        <is>
          <t>2026-06-30</t>
        </is>
      </c>
      <c r="M177" s="27" t="inlineStr">
        <is>
          <t>Vista ERP P&amp;L, 2025-07-01 through 2026-06-30; Operating Expense total</t>
        </is>
      </c>
    </row>
    <row r="178">
      <c r="A178" s="36" t="inlineStr">
        <is>
          <t>PLN-00216</t>
        </is>
      </c>
      <c r="B178" s="27" t="inlineStr">
        <is>
          <t>Twelve-month operating-expense reforecast</t>
        </is>
      </c>
      <c r="C178" s="27" t="inlineStr">
        <is>
          <t>Approved reforecast events</t>
        </is>
      </c>
      <c r="D178" s="27" t="inlineStr">
        <is>
          <t>Executive</t>
        </is>
      </c>
      <c r="E178" s="27" t="inlineStr">
        <is>
          <t>2027-02</t>
        </is>
      </c>
      <c r="F178" s="27" t="inlineStr">
        <is>
          <t>Approved case</t>
        </is>
      </c>
      <c r="G178" s="27" t="inlineStr">
        <is>
          <t>Net approved run-rate and timing adjustment</t>
        </is>
      </c>
      <c r="H178" s="46" t="n">
        <v>4102.564102564103</v>
      </c>
      <c r="I178" s="27" t="inlineStr"/>
      <c r="J178" s="27" t="inlineStr">
        <is>
          <t>USD</t>
        </is>
      </c>
      <c r="K178" s="27" t="inlineStr">
        <is>
          <t>Approved hire, contract, savings, and one-time event register</t>
        </is>
      </c>
      <c r="L178" s="47" t="inlineStr">
        <is>
          <t>2026-06-30</t>
        </is>
      </c>
      <c r="M178" s="27" t="inlineStr"/>
    </row>
    <row r="179">
      <c r="A179" s="36" t="inlineStr">
        <is>
          <t>PLN-00217</t>
        </is>
      </c>
      <c r="B179" s="27" t="inlineStr">
        <is>
          <t>Twelve-month operating-expense reforecast</t>
        </is>
      </c>
      <c r="C179" s="27" t="inlineStr">
        <is>
          <t>Approved monthly plan</t>
        </is>
      </c>
      <c r="D179" s="27" t="inlineStr">
        <is>
          <t>Executive</t>
        </is>
      </c>
      <c r="E179" s="27" t="inlineStr">
        <is>
          <t>2027-03</t>
        </is>
      </c>
      <c r="F179" s="27" t="inlineStr">
        <is>
          <t>Approved case</t>
        </is>
      </c>
      <c r="G179" s="27" t="inlineStr">
        <is>
          <t>Controllable operating expense</t>
        </is>
      </c>
      <c r="H179" s="46" t="n">
        <v>0.01083333333333333</v>
      </c>
      <c r="I179" s="27" t="inlineStr"/>
      <c r="J179" s="27" t="inlineStr">
        <is>
          <t>ledger allocation factor</t>
        </is>
      </c>
      <c r="K179" s="27" t="inlineStr">
        <is>
          <t>Board-approved FY27 operating plan</t>
        </is>
      </c>
      <c r="L179" s="47" t="inlineStr">
        <is>
          <t>2026-06-30</t>
        </is>
      </c>
      <c r="M179" s="27" t="inlineStr">
        <is>
          <t>Vista ERP P&amp;L, 2025-07-01 through 2026-06-30; Operating Expense total</t>
        </is>
      </c>
    </row>
    <row r="180">
      <c r="A180" s="36" t="inlineStr">
        <is>
          <t>PLN-00218</t>
        </is>
      </c>
      <c r="B180" s="27" t="inlineStr">
        <is>
          <t>Twelve-month operating-expense reforecast</t>
        </is>
      </c>
      <c r="C180" s="27" t="inlineStr">
        <is>
          <t>Approved reforecast events</t>
        </is>
      </c>
      <c r="D180" s="27" t="inlineStr">
        <is>
          <t>Executive</t>
        </is>
      </c>
      <c r="E180" s="27" t="inlineStr">
        <is>
          <t>2027-03</t>
        </is>
      </c>
      <c r="F180" s="27" t="inlineStr">
        <is>
          <t>Approved case</t>
        </is>
      </c>
      <c r="G180" s="27" t="inlineStr">
        <is>
          <t>Net approved run-rate and timing adjustment</t>
        </is>
      </c>
      <c r="H180" s="46" t="n">
        <v>4615.384615384615</v>
      </c>
      <c r="I180" s="27" t="inlineStr"/>
      <c r="J180" s="27" t="inlineStr">
        <is>
          <t>USD</t>
        </is>
      </c>
      <c r="K180" s="27" t="inlineStr">
        <is>
          <t>Approved hire, contract, savings, and one-time event register</t>
        </is>
      </c>
      <c r="L180" s="47" t="inlineStr">
        <is>
          <t>2026-06-30</t>
        </is>
      </c>
      <c r="M180" s="27" t="inlineStr"/>
    </row>
    <row r="181">
      <c r="A181" s="36" t="inlineStr">
        <is>
          <t>PLN-00219</t>
        </is>
      </c>
      <c r="B181" s="27" t="inlineStr">
        <is>
          <t>Twelve-month operating-expense reforecast</t>
        </is>
      </c>
      <c r="C181" s="27" t="inlineStr">
        <is>
          <t>Approved monthly plan</t>
        </is>
      </c>
      <c r="D181" s="27" t="inlineStr">
        <is>
          <t>Executive</t>
        </is>
      </c>
      <c r="E181" s="27" t="inlineStr">
        <is>
          <t>2027-04</t>
        </is>
      </c>
      <c r="F181" s="27" t="inlineStr">
        <is>
          <t>Approved case</t>
        </is>
      </c>
      <c r="G181" s="27" t="inlineStr">
        <is>
          <t>Controllable operating expense</t>
        </is>
      </c>
      <c r="H181" s="46" t="n">
        <v>0.01083333333333333</v>
      </c>
      <c r="I181" s="27" t="inlineStr"/>
      <c r="J181" s="27" t="inlineStr">
        <is>
          <t>ledger allocation factor</t>
        </is>
      </c>
      <c r="K181" s="27" t="inlineStr">
        <is>
          <t>Board-approved FY27 operating plan</t>
        </is>
      </c>
      <c r="L181" s="47" t="inlineStr">
        <is>
          <t>2026-06-30</t>
        </is>
      </c>
      <c r="M181" s="27" t="inlineStr">
        <is>
          <t>Vista ERP P&amp;L, 2025-07-01 through 2026-06-30; Operating Expense total</t>
        </is>
      </c>
    </row>
    <row r="182">
      <c r="A182" s="36" t="inlineStr">
        <is>
          <t>PLN-00220</t>
        </is>
      </c>
      <c r="B182" s="27" t="inlineStr">
        <is>
          <t>Twelve-month operating-expense reforecast</t>
        </is>
      </c>
      <c r="C182" s="27" t="inlineStr">
        <is>
          <t>Approved reforecast events</t>
        </is>
      </c>
      <c r="D182" s="27" t="inlineStr">
        <is>
          <t>Executive</t>
        </is>
      </c>
      <c r="E182" s="27" t="inlineStr">
        <is>
          <t>2027-04</t>
        </is>
      </c>
      <c r="F182" s="27" t="inlineStr">
        <is>
          <t>Approved case</t>
        </is>
      </c>
      <c r="G182" s="27" t="inlineStr">
        <is>
          <t>Net approved run-rate and timing adjustment</t>
        </is>
      </c>
      <c r="H182" s="46" t="n">
        <v>5128.205128205128</v>
      </c>
      <c r="I182" s="27" t="inlineStr"/>
      <c r="J182" s="27" t="inlineStr">
        <is>
          <t>USD</t>
        </is>
      </c>
      <c r="K182" s="27" t="inlineStr">
        <is>
          <t>Approved hire, contract, savings, and one-time event register</t>
        </is>
      </c>
      <c r="L182" s="47" t="inlineStr">
        <is>
          <t>2026-06-30</t>
        </is>
      </c>
      <c r="M182" s="27" t="inlineStr"/>
    </row>
    <row r="183">
      <c r="A183" s="36" t="inlineStr">
        <is>
          <t>PLN-00221</t>
        </is>
      </c>
      <c r="B183" s="27" t="inlineStr">
        <is>
          <t>Twelve-month operating-expense reforecast</t>
        </is>
      </c>
      <c r="C183" s="27" t="inlineStr">
        <is>
          <t>Approved monthly plan</t>
        </is>
      </c>
      <c r="D183" s="27" t="inlineStr">
        <is>
          <t>Executive</t>
        </is>
      </c>
      <c r="E183" s="27" t="inlineStr">
        <is>
          <t>2027-05</t>
        </is>
      </c>
      <c r="F183" s="27" t="inlineStr">
        <is>
          <t>Approved case</t>
        </is>
      </c>
      <c r="G183" s="27" t="inlineStr">
        <is>
          <t>Controllable operating expense</t>
        </is>
      </c>
      <c r="H183" s="46" t="n">
        <v>0.01083333333333333</v>
      </c>
      <c r="I183" s="27" t="inlineStr"/>
      <c r="J183" s="27" t="inlineStr">
        <is>
          <t>ledger allocation factor</t>
        </is>
      </c>
      <c r="K183" s="27" t="inlineStr">
        <is>
          <t>Board-approved FY27 operating plan</t>
        </is>
      </c>
      <c r="L183" s="47" t="inlineStr">
        <is>
          <t>2026-06-30</t>
        </is>
      </c>
      <c r="M183" s="27" t="inlineStr">
        <is>
          <t>Vista ERP P&amp;L, 2025-07-01 through 2026-06-30; Operating Expense total</t>
        </is>
      </c>
    </row>
    <row r="184">
      <c r="A184" s="36" t="inlineStr">
        <is>
          <t>PLN-00222</t>
        </is>
      </c>
      <c r="B184" s="27" t="inlineStr">
        <is>
          <t>Twelve-month operating-expense reforecast</t>
        </is>
      </c>
      <c r="C184" s="27" t="inlineStr">
        <is>
          <t>Approved reforecast events</t>
        </is>
      </c>
      <c r="D184" s="27" t="inlineStr">
        <is>
          <t>Executive</t>
        </is>
      </c>
      <c r="E184" s="27" t="inlineStr">
        <is>
          <t>2027-05</t>
        </is>
      </c>
      <c r="F184" s="27" t="inlineStr">
        <is>
          <t>Approved case</t>
        </is>
      </c>
      <c r="G184" s="27" t="inlineStr">
        <is>
          <t>Net approved run-rate and timing adjustment</t>
        </is>
      </c>
      <c r="H184" s="46" t="n">
        <v>5641.025641025641</v>
      </c>
      <c r="I184" s="27" t="inlineStr"/>
      <c r="J184" s="27" t="inlineStr">
        <is>
          <t>USD</t>
        </is>
      </c>
      <c r="K184" s="27" t="inlineStr">
        <is>
          <t>Approved hire, contract, savings, and one-time event register</t>
        </is>
      </c>
      <c r="L184" s="47" t="inlineStr">
        <is>
          <t>2026-06-30</t>
        </is>
      </c>
      <c r="M184" s="27" t="inlineStr"/>
    </row>
    <row r="185">
      <c r="A185" s="36" t="inlineStr">
        <is>
          <t>PLN-00223</t>
        </is>
      </c>
      <c r="B185" s="27" t="inlineStr">
        <is>
          <t>Twelve-month operating-expense reforecast</t>
        </is>
      </c>
      <c r="C185" s="27" t="inlineStr">
        <is>
          <t>Approved monthly plan</t>
        </is>
      </c>
      <c r="D185" s="27" t="inlineStr">
        <is>
          <t>Executive</t>
        </is>
      </c>
      <c r="E185" s="27" t="inlineStr">
        <is>
          <t>2027-06</t>
        </is>
      </c>
      <c r="F185" s="27" t="inlineStr">
        <is>
          <t>Approved case</t>
        </is>
      </c>
      <c r="G185" s="27" t="inlineStr">
        <is>
          <t>Controllable operating expense</t>
        </is>
      </c>
      <c r="H185" s="46" t="n">
        <v>0.01083333333333333</v>
      </c>
      <c r="I185" s="27" t="inlineStr"/>
      <c r="J185" s="27" t="inlineStr">
        <is>
          <t>ledger allocation factor</t>
        </is>
      </c>
      <c r="K185" s="27" t="inlineStr">
        <is>
          <t>Board-approved FY27 operating plan</t>
        </is>
      </c>
      <c r="L185" s="47" t="inlineStr">
        <is>
          <t>2026-06-30</t>
        </is>
      </c>
      <c r="M185" s="27" t="inlineStr">
        <is>
          <t>Vista ERP P&amp;L, 2025-07-01 through 2026-06-30; Operating Expense total</t>
        </is>
      </c>
    </row>
    <row r="186">
      <c r="A186" s="36" t="inlineStr">
        <is>
          <t>PLN-00224</t>
        </is>
      </c>
      <c r="B186" s="27" t="inlineStr">
        <is>
          <t>Twelve-month operating-expense reforecast</t>
        </is>
      </c>
      <c r="C186" s="27" t="inlineStr">
        <is>
          <t>Approved reforecast events</t>
        </is>
      </c>
      <c r="D186" s="27" t="inlineStr">
        <is>
          <t>Executive</t>
        </is>
      </c>
      <c r="E186" s="27" t="inlineStr">
        <is>
          <t>2027-06</t>
        </is>
      </c>
      <c r="F186" s="27" t="inlineStr">
        <is>
          <t>Approved case</t>
        </is>
      </c>
      <c r="G186" s="27" t="inlineStr">
        <is>
          <t>Net approved run-rate and timing adjustment</t>
        </is>
      </c>
      <c r="H186" s="46" t="n">
        <v>6153.846153846154</v>
      </c>
      <c r="I186" s="27" t="inlineStr"/>
      <c r="J186" s="27" t="inlineStr">
        <is>
          <t>USD</t>
        </is>
      </c>
      <c r="K186" s="27" t="inlineStr">
        <is>
          <t>Approved hire, contract, savings, and one-time event register</t>
        </is>
      </c>
      <c r="L186" s="47" t="inlineStr">
        <is>
          <t>2026-06-30</t>
        </is>
      </c>
      <c r="M186" s="27" t="inlineStr"/>
    </row>
    <row r="187">
      <c r="A187" s="36" t="inlineStr">
        <is>
          <t>PLN-00225</t>
        </is>
      </c>
      <c r="B187" s="27" t="inlineStr">
        <is>
          <t>Twelve-month operating-expense reforecast</t>
        </is>
      </c>
      <c r="C187" s="27" t="inlineStr">
        <is>
          <t>Scope exclusions</t>
        </is>
      </c>
      <c r="D187" s="27" t="inlineStr">
        <is>
          <t>Depreciation</t>
        </is>
      </c>
      <c r="E187" s="27" t="inlineStr">
        <is>
          <t>FY27</t>
        </is>
      </c>
      <c r="F187" s="27" t="inlineStr">
        <is>
          <t>Approved case</t>
        </is>
      </c>
      <c r="G187" s="27" t="inlineStr">
        <is>
          <t>Excluded non-controllable expense</t>
        </is>
      </c>
      <c r="H187" s="46" t="n">
        <v>420000</v>
      </c>
      <c r="I187" s="27" t="inlineStr"/>
      <c r="J187" s="27" t="inlineStr">
        <is>
          <t>USD</t>
        </is>
      </c>
      <c r="K187" s="27" t="inlineStr">
        <is>
          <t>Finance operating schedule</t>
        </is>
      </c>
      <c r="L187" s="47" t="inlineStr">
        <is>
          <t>2026-06-30</t>
        </is>
      </c>
      <c r="M187" s="27" t="inlineStr"/>
    </row>
    <row r="188">
      <c r="A188" s="36" t="inlineStr">
        <is>
          <t>PLN-00226</t>
        </is>
      </c>
      <c r="B188" s="27" t="inlineStr">
        <is>
          <t>Twelve-month operating-expense reforecast</t>
        </is>
      </c>
      <c r="C188" s="27" t="inlineStr">
        <is>
          <t>Scope exclusions</t>
        </is>
      </c>
      <c r="D188" s="27" t="inlineStr">
        <is>
          <t>Interest</t>
        </is>
      </c>
      <c r="E188" s="27" t="inlineStr">
        <is>
          <t>FY27</t>
        </is>
      </c>
      <c r="F188" s="27" t="inlineStr">
        <is>
          <t>Approved case</t>
        </is>
      </c>
      <c r="G188" s="27" t="inlineStr">
        <is>
          <t>Excluded non-controllable expense</t>
        </is>
      </c>
      <c r="H188" s="46" t="n">
        <v>310000</v>
      </c>
      <c r="I188" s="27" t="inlineStr"/>
      <c r="J188" s="27" t="inlineStr">
        <is>
          <t>USD</t>
        </is>
      </c>
      <c r="K188" s="27" t="inlineStr">
        <is>
          <t>Finance operating schedule</t>
        </is>
      </c>
      <c r="L188" s="47" t="inlineStr">
        <is>
          <t>2026-06-30</t>
        </is>
      </c>
      <c r="M188" s="27" t="inlineStr"/>
    </row>
    <row r="189">
      <c r="A189" s="36" t="inlineStr">
        <is>
          <t>PLN-00321</t>
        </is>
      </c>
      <c r="B189" s="27" t="inlineStr">
        <is>
          <t>Complete the FY27 field workforce plan</t>
        </is>
      </c>
      <c r="C189" s="27" t="inlineStr">
        <is>
          <t>Monthly productive-hour demand</t>
        </is>
      </c>
      <c r="D189" s="27" t="inlineStr">
        <is>
          <t>Journey</t>
        </is>
      </c>
      <c r="E189" s="27" t="inlineStr">
        <is>
          <t>2026-07</t>
        </is>
      </c>
      <c r="F189" s="27" t="inlineStr">
        <is>
          <t>Approved case</t>
        </is>
      </c>
      <c r="G189" s="27" t="inlineStr">
        <is>
          <t>Required productive hours</t>
        </is>
      </c>
      <c r="H189" s="46" t="n">
        <v>10204.416</v>
      </c>
      <c r="I189" s="27" t="inlineStr"/>
      <c r="J189" s="27" t="inlineStr">
        <is>
          <t>hours</t>
        </is>
      </c>
      <c r="K189" s="27" t="inlineStr">
        <is>
          <t>Signed backlog labor-demand conversion</t>
        </is>
      </c>
      <c r="L189" s="47" t="inlineStr">
        <is>
          <t>2026-06-30</t>
        </is>
      </c>
      <c r="M189" s="27" t="inlineStr"/>
    </row>
    <row r="190">
      <c r="A190" s="36" t="inlineStr">
        <is>
          <t>PLN-00322</t>
        </is>
      </c>
      <c r="B190" s="27" t="inlineStr">
        <is>
          <t>Complete the FY27 field workforce plan</t>
        </is>
      </c>
      <c r="C190" s="27" t="inlineStr">
        <is>
          <t>Monthly productive-hour demand</t>
        </is>
      </c>
      <c r="D190" s="27" t="inlineStr">
        <is>
          <t>Journey</t>
        </is>
      </c>
      <c r="E190" s="27" t="inlineStr">
        <is>
          <t>2026-08</t>
        </is>
      </c>
      <c r="F190" s="27" t="inlineStr">
        <is>
          <t>Approved case</t>
        </is>
      </c>
      <c r="G190" s="27" t="inlineStr">
        <is>
          <t>Required productive hours</t>
        </is>
      </c>
      <c r="H190" s="46" t="n">
        <v>10323.3024</v>
      </c>
      <c r="I190" s="27" t="inlineStr"/>
      <c r="J190" s="27" t="inlineStr">
        <is>
          <t>hours</t>
        </is>
      </c>
      <c r="K190" s="27" t="inlineStr">
        <is>
          <t>Signed backlog labor-demand conversion</t>
        </is>
      </c>
      <c r="L190" s="47" t="inlineStr">
        <is>
          <t>2026-06-30</t>
        </is>
      </c>
      <c r="M190" s="27" t="inlineStr"/>
    </row>
    <row r="191">
      <c r="A191" s="36" t="inlineStr">
        <is>
          <t>PLN-00323</t>
        </is>
      </c>
      <c r="B191" s="27" t="inlineStr">
        <is>
          <t>Complete the FY27 field workforce plan</t>
        </is>
      </c>
      <c r="C191" s="27" t="inlineStr">
        <is>
          <t>Monthly productive-hour demand</t>
        </is>
      </c>
      <c r="D191" s="27" t="inlineStr">
        <is>
          <t>Journey</t>
        </is>
      </c>
      <c r="E191" s="27" t="inlineStr">
        <is>
          <t>2026-09</t>
        </is>
      </c>
      <c r="F191" s="27" t="inlineStr">
        <is>
          <t>Approved case</t>
        </is>
      </c>
      <c r="G191" s="27" t="inlineStr">
        <is>
          <t>Required productive hours</t>
        </is>
      </c>
      <c r="H191" s="46" t="n">
        <v>10442.1888</v>
      </c>
      <c r="I191" s="27" t="inlineStr"/>
      <c r="J191" s="27" t="inlineStr">
        <is>
          <t>hours</t>
        </is>
      </c>
      <c r="K191" s="27" t="inlineStr">
        <is>
          <t>Signed backlog labor-demand conversion</t>
        </is>
      </c>
      <c r="L191" s="47" t="inlineStr">
        <is>
          <t>2026-06-30</t>
        </is>
      </c>
      <c r="M191" s="27" t="inlineStr"/>
    </row>
    <row r="192">
      <c r="A192" s="36" t="inlineStr">
        <is>
          <t>PLN-00324</t>
        </is>
      </c>
      <c r="B192" s="27" t="inlineStr">
        <is>
          <t>Complete the FY27 field workforce plan</t>
        </is>
      </c>
      <c r="C192" s="27" t="inlineStr">
        <is>
          <t>Monthly productive-hour demand</t>
        </is>
      </c>
      <c r="D192" s="27" t="inlineStr">
        <is>
          <t>Journey</t>
        </is>
      </c>
      <c r="E192" s="27" t="inlineStr">
        <is>
          <t>2026-10</t>
        </is>
      </c>
      <c r="F192" s="27" t="inlineStr">
        <is>
          <t>Approved case</t>
        </is>
      </c>
      <c r="G192" s="27" t="inlineStr">
        <is>
          <t>Required productive hours</t>
        </is>
      </c>
      <c r="H192" s="46" t="n">
        <v>10561.0752</v>
      </c>
      <c r="I192" s="27" t="inlineStr"/>
      <c r="J192" s="27" t="inlineStr">
        <is>
          <t>hours</t>
        </is>
      </c>
      <c r="K192" s="27" t="inlineStr">
        <is>
          <t>Signed backlog labor-demand conversion</t>
        </is>
      </c>
      <c r="L192" s="47" t="inlineStr">
        <is>
          <t>2026-06-30</t>
        </is>
      </c>
      <c r="M192" s="27" t="inlineStr"/>
    </row>
    <row r="193">
      <c r="A193" s="36" t="inlineStr">
        <is>
          <t>PLN-00325</t>
        </is>
      </c>
      <c r="B193" s="27" t="inlineStr">
        <is>
          <t>Complete the FY27 field workforce plan</t>
        </is>
      </c>
      <c r="C193" s="27" t="inlineStr">
        <is>
          <t>Monthly productive-hour demand</t>
        </is>
      </c>
      <c r="D193" s="27" t="inlineStr">
        <is>
          <t>Journey</t>
        </is>
      </c>
      <c r="E193" s="27" t="inlineStr">
        <is>
          <t>2026-11</t>
        </is>
      </c>
      <c r="F193" s="27" t="inlineStr">
        <is>
          <t>Approved case</t>
        </is>
      </c>
      <c r="G193" s="27" t="inlineStr">
        <is>
          <t>Required productive hours</t>
        </is>
      </c>
      <c r="H193" s="46" t="n">
        <v>10679.9616</v>
      </c>
      <c r="I193" s="27" t="inlineStr"/>
      <c r="J193" s="27" t="inlineStr">
        <is>
          <t>hours</t>
        </is>
      </c>
      <c r="K193" s="27" t="inlineStr">
        <is>
          <t>Signed backlog labor-demand conversion</t>
        </is>
      </c>
      <c r="L193" s="47" t="inlineStr">
        <is>
          <t>2026-06-30</t>
        </is>
      </c>
      <c r="M193" s="27" t="inlineStr"/>
    </row>
    <row r="194">
      <c r="A194" s="36" t="inlineStr">
        <is>
          <t>PLN-00326</t>
        </is>
      </c>
      <c r="B194" s="27" t="inlineStr">
        <is>
          <t>Complete the FY27 field workforce plan</t>
        </is>
      </c>
      <c r="C194" s="27" t="inlineStr">
        <is>
          <t>Monthly productive-hour demand</t>
        </is>
      </c>
      <c r="D194" s="27" t="inlineStr">
        <is>
          <t>Journey</t>
        </is>
      </c>
      <c r="E194" s="27" t="inlineStr">
        <is>
          <t>2026-12</t>
        </is>
      </c>
      <c r="F194" s="27" t="inlineStr">
        <is>
          <t>Approved case</t>
        </is>
      </c>
      <c r="G194" s="27" t="inlineStr">
        <is>
          <t>Required productive hours</t>
        </is>
      </c>
      <c r="H194" s="46" t="n">
        <v>10798.848</v>
      </c>
      <c r="I194" s="27" t="inlineStr"/>
      <c r="J194" s="27" t="inlineStr">
        <is>
          <t>hours</t>
        </is>
      </c>
      <c r="K194" s="27" t="inlineStr">
        <is>
          <t>Signed backlog labor-demand conversion</t>
        </is>
      </c>
      <c r="L194" s="47" t="inlineStr">
        <is>
          <t>2026-06-30</t>
        </is>
      </c>
      <c r="M194" s="27" t="inlineStr"/>
    </row>
    <row r="195">
      <c r="A195" s="36" t="inlineStr">
        <is>
          <t>PLN-00327</t>
        </is>
      </c>
      <c r="B195" s="27" t="inlineStr">
        <is>
          <t>Complete the FY27 field workforce plan</t>
        </is>
      </c>
      <c r="C195" s="27" t="inlineStr">
        <is>
          <t>Monthly productive-hour demand</t>
        </is>
      </c>
      <c r="D195" s="27" t="inlineStr">
        <is>
          <t>Journey</t>
        </is>
      </c>
      <c r="E195" s="27" t="inlineStr">
        <is>
          <t>2027-01</t>
        </is>
      </c>
      <c r="F195" s="27" t="inlineStr">
        <is>
          <t>Approved case</t>
        </is>
      </c>
      <c r="G195" s="27" t="inlineStr">
        <is>
          <t>Required productive hours</t>
        </is>
      </c>
      <c r="H195" s="46" t="n">
        <v>10917.7344</v>
      </c>
      <c r="I195" s="27" t="inlineStr"/>
      <c r="J195" s="27" t="inlineStr">
        <is>
          <t>hours</t>
        </is>
      </c>
      <c r="K195" s="27" t="inlineStr">
        <is>
          <t>Signed backlog labor-demand conversion</t>
        </is>
      </c>
      <c r="L195" s="47" t="inlineStr">
        <is>
          <t>2026-06-30</t>
        </is>
      </c>
      <c r="M195" s="27" t="inlineStr"/>
    </row>
    <row r="196">
      <c r="A196" s="36" t="inlineStr">
        <is>
          <t>PLN-00328</t>
        </is>
      </c>
      <c r="B196" s="27" t="inlineStr">
        <is>
          <t>Complete the FY27 field workforce plan</t>
        </is>
      </c>
      <c r="C196" s="27" t="inlineStr">
        <is>
          <t>Monthly productive-hour demand</t>
        </is>
      </c>
      <c r="D196" s="27" t="inlineStr">
        <is>
          <t>Journey</t>
        </is>
      </c>
      <c r="E196" s="27" t="inlineStr">
        <is>
          <t>2027-02</t>
        </is>
      </c>
      <c r="F196" s="27" t="inlineStr">
        <is>
          <t>Approved case</t>
        </is>
      </c>
      <c r="G196" s="27" t="inlineStr">
        <is>
          <t>Required productive hours</t>
        </is>
      </c>
      <c r="H196" s="46" t="n">
        <v>12027.3408</v>
      </c>
      <c r="I196" s="27" t="inlineStr"/>
      <c r="J196" s="27" t="inlineStr">
        <is>
          <t>hours</t>
        </is>
      </c>
      <c r="K196" s="27" t="inlineStr">
        <is>
          <t>Signed backlog labor-demand conversion</t>
        </is>
      </c>
      <c r="L196" s="47" t="inlineStr">
        <is>
          <t>2026-06-30</t>
        </is>
      </c>
      <c r="M196" s="27" t="inlineStr"/>
    </row>
    <row r="197">
      <c r="A197" s="36" t="inlineStr">
        <is>
          <t>PLN-00329</t>
        </is>
      </c>
      <c r="B197" s="27" t="inlineStr">
        <is>
          <t>Complete the FY27 field workforce plan</t>
        </is>
      </c>
      <c r="C197" s="27" t="inlineStr">
        <is>
          <t>Monthly productive-hour demand</t>
        </is>
      </c>
      <c r="D197" s="27" t="inlineStr">
        <is>
          <t>Journey</t>
        </is>
      </c>
      <c r="E197" s="27" t="inlineStr">
        <is>
          <t>2027-03</t>
        </is>
      </c>
      <c r="F197" s="27" t="inlineStr">
        <is>
          <t>Approved case</t>
        </is>
      </c>
      <c r="G197" s="27" t="inlineStr">
        <is>
          <t>Required productive hours</t>
        </is>
      </c>
      <c r="H197" s="46" t="n">
        <v>12146.2272</v>
      </c>
      <c r="I197" s="27" t="inlineStr"/>
      <c r="J197" s="27" t="inlineStr">
        <is>
          <t>hours</t>
        </is>
      </c>
      <c r="K197" s="27" t="inlineStr">
        <is>
          <t>Signed backlog labor-demand conversion</t>
        </is>
      </c>
      <c r="L197" s="47" t="inlineStr">
        <is>
          <t>2026-06-30</t>
        </is>
      </c>
      <c r="M197" s="27" t="inlineStr"/>
    </row>
    <row r="198">
      <c r="A198" s="36" t="inlineStr">
        <is>
          <t>PLN-00330</t>
        </is>
      </c>
      <c r="B198" s="27" t="inlineStr">
        <is>
          <t>Complete the FY27 field workforce plan</t>
        </is>
      </c>
      <c r="C198" s="27" t="inlineStr">
        <is>
          <t>Monthly productive-hour demand</t>
        </is>
      </c>
      <c r="D198" s="27" t="inlineStr">
        <is>
          <t>Journey</t>
        </is>
      </c>
      <c r="E198" s="27" t="inlineStr">
        <is>
          <t>2027-04</t>
        </is>
      </c>
      <c r="F198" s="27" t="inlineStr">
        <is>
          <t>Approved case</t>
        </is>
      </c>
      <c r="G198" s="27" t="inlineStr">
        <is>
          <t>Required productive hours</t>
        </is>
      </c>
      <c r="H198" s="46" t="n">
        <v>12265.1136</v>
      </c>
      <c r="I198" s="27" t="inlineStr"/>
      <c r="J198" s="27" t="inlineStr">
        <is>
          <t>hours</t>
        </is>
      </c>
      <c r="K198" s="27" t="inlineStr">
        <is>
          <t>Signed backlog labor-demand conversion</t>
        </is>
      </c>
      <c r="L198" s="47" t="inlineStr">
        <is>
          <t>2026-06-30</t>
        </is>
      </c>
      <c r="M198" s="27" t="inlineStr"/>
    </row>
    <row r="199">
      <c r="A199" s="36" t="inlineStr">
        <is>
          <t>PLN-00331</t>
        </is>
      </c>
      <c r="B199" s="27" t="inlineStr">
        <is>
          <t>Complete the FY27 field workforce plan</t>
        </is>
      </c>
      <c r="C199" s="27" t="inlineStr">
        <is>
          <t>Monthly productive-hour demand</t>
        </is>
      </c>
      <c r="D199" s="27" t="inlineStr">
        <is>
          <t>Journey</t>
        </is>
      </c>
      <c r="E199" s="27" t="inlineStr">
        <is>
          <t>2027-05</t>
        </is>
      </c>
      <c r="F199" s="27" t="inlineStr">
        <is>
          <t>Approved case</t>
        </is>
      </c>
      <c r="G199" s="27" t="inlineStr">
        <is>
          <t>Required productive hours</t>
        </is>
      </c>
      <c r="H199" s="46" t="n">
        <v>11393.28</v>
      </c>
      <c r="I199" s="27" t="inlineStr"/>
      <c r="J199" s="27" t="inlineStr">
        <is>
          <t>hours</t>
        </is>
      </c>
      <c r="K199" s="27" t="inlineStr">
        <is>
          <t>Signed backlog labor-demand conversion</t>
        </is>
      </c>
      <c r="L199" s="47" t="inlineStr">
        <is>
          <t>2026-06-30</t>
        </is>
      </c>
      <c r="M199" s="27" t="inlineStr"/>
    </row>
    <row r="200">
      <c r="A200" s="36" t="inlineStr">
        <is>
          <t>PLN-00332</t>
        </is>
      </c>
      <c r="B200" s="27" t="inlineStr">
        <is>
          <t>Complete the FY27 field workforce plan</t>
        </is>
      </c>
      <c r="C200" s="27" t="inlineStr">
        <is>
          <t>Monthly productive-hour demand</t>
        </is>
      </c>
      <c r="D200" s="27" t="inlineStr">
        <is>
          <t>Journey</t>
        </is>
      </c>
      <c r="E200" s="27" t="inlineStr">
        <is>
          <t>2027-06</t>
        </is>
      </c>
      <c r="F200" s="27" t="inlineStr">
        <is>
          <t>Approved case</t>
        </is>
      </c>
      <c r="G200" s="27" t="inlineStr">
        <is>
          <t>Required productive hours</t>
        </is>
      </c>
      <c r="H200" s="46" t="n">
        <v>11512.1664</v>
      </c>
      <c r="I200" s="27" t="inlineStr"/>
      <c r="J200" s="27" t="inlineStr">
        <is>
          <t>hours</t>
        </is>
      </c>
      <c r="K200" s="27" t="inlineStr">
        <is>
          <t>Signed backlog labor-demand conversion</t>
        </is>
      </c>
      <c r="L200" s="47" t="inlineStr">
        <is>
          <t>2026-06-30</t>
        </is>
      </c>
      <c r="M200" s="27" t="inlineStr"/>
    </row>
    <row r="201">
      <c r="A201" s="36" t="inlineStr">
        <is>
          <t>PLN-00338</t>
        </is>
      </c>
      <c r="B201" s="27" t="inlineStr">
        <is>
          <t>Complete the FY27 field workforce plan</t>
        </is>
      </c>
      <c r="C201" s="27" t="inlineStr">
        <is>
          <t>Monthly productive-hour demand</t>
        </is>
      </c>
      <c r="D201" s="27" t="inlineStr">
        <is>
          <t>Apprentice</t>
        </is>
      </c>
      <c r="E201" s="27" t="inlineStr">
        <is>
          <t>2026-07</t>
        </is>
      </c>
      <c r="F201" s="27" t="inlineStr">
        <is>
          <t>Approved case</t>
        </is>
      </c>
      <c r="G201" s="27" t="inlineStr">
        <is>
          <t>Required productive hours</t>
        </is>
      </c>
      <c r="H201" s="46" t="n">
        <v>3141.48352</v>
      </c>
      <c r="I201" s="27" t="inlineStr"/>
      <c r="J201" s="27" t="inlineStr">
        <is>
          <t>hours</t>
        </is>
      </c>
      <c r="K201" s="27" t="inlineStr">
        <is>
          <t>Signed backlog labor-demand conversion</t>
        </is>
      </c>
      <c r="L201" s="47" t="inlineStr">
        <is>
          <t>2026-06-30</t>
        </is>
      </c>
      <c r="M201" s="27" t="inlineStr"/>
    </row>
    <row r="202">
      <c r="A202" s="36" t="inlineStr">
        <is>
          <t>PLN-00339</t>
        </is>
      </c>
      <c r="B202" s="27" t="inlineStr">
        <is>
          <t>Complete the FY27 field workforce plan</t>
        </is>
      </c>
      <c r="C202" s="27" t="inlineStr">
        <is>
          <t>Monthly productive-hour demand</t>
        </is>
      </c>
      <c r="D202" s="27" t="inlineStr">
        <is>
          <t>Apprentice</t>
        </is>
      </c>
      <c r="E202" s="27" t="inlineStr">
        <is>
          <t>2026-08</t>
        </is>
      </c>
      <c r="F202" s="27" t="inlineStr">
        <is>
          <t>Approved case</t>
        </is>
      </c>
      <c r="G202" s="27" t="inlineStr">
        <is>
          <t>Required productive hours</t>
        </is>
      </c>
      <c r="H202" s="46" t="n">
        <v>3178.083328</v>
      </c>
      <c r="I202" s="27" t="inlineStr"/>
      <c r="J202" s="27" t="inlineStr">
        <is>
          <t>hours</t>
        </is>
      </c>
      <c r="K202" s="27" t="inlineStr">
        <is>
          <t>Signed backlog labor-demand conversion</t>
        </is>
      </c>
      <c r="L202" s="47" t="inlineStr">
        <is>
          <t>2026-06-30</t>
        </is>
      </c>
      <c r="M202" s="27" t="inlineStr"/>
    </row>
    <row r="203">
      <c r="A203" s="36" t="inlineStr">
        <is>
          <t>PLN-00340</t>
        </is>
      </c>
      <c r="B203" s="27" t="inlineStr">
        <is>
          <t>Complete the FY27 field workforce plan</t>
        </is>
      </c>
      <c r="C203" s="27" t="inlineStr">
        <is>
          <t>Monthly productive-hour demand</t>
        </is>
      </c>
      <c r="D203" s="27" t="inlineStr">
        <is>
          <t>Apprentice</t>
        </is>
      </c>
      <c r="E203" s="27" t="inlineStr">
        <is>
          <t>2026-09</t>
        </is>
      </c>
      <c r="F203" s="27" t="inlineStr">
        <is>
          <t>Approved case</t>
        </is>
      </c>
      <c r="G203" s="27" t="inlineStr">
        <is>
          <t>Required productive hours</t>
        </is>
      </c>
      <c r="H203" s="46" t="n">
        <v>3214.683136</v>
      </c>
      <c r="I203" s="27" t="inlineStr"/>
      <c r="J203" s="27" t="inlineStr">
        <is>
          <t>hours</t>
        </is>
      </c>
      <c r="K203" s="27" t="inlineStr">
        <is>
          <t>Signed backlog labor-demand conversion</t>
        </is>
      </c>
      <c r="L203" s="47" t="inlineStr">
        <is>
          <t>2026-06-30</t>
        </is>
      </c>
      <c r="M203" s="27" t="inlineStr"/>
    </row>
    <row r="204">
      <c r="A204" s="36" t="inlineStr">
        <is>
          <t>PLN-00341</t>
        </is>
      </c>
      <c r="B204" s="27" t="inlineStr">
        <is>
          <t>Complete the FY27 field workforce plan</t>
        </is>
      </c>
      <c r="C204" s="27" t="inlineStr">
        <is>
          <t>Monthly productive-hour demand</t>
        </is>
      </c>
      <c r="D204" s="27" t="inlineStr">
        <is>
          <t>Apprentice</t>
        </is>
      </c>
      <c r="E204" s="27" t="inlineStr">
        <is>
          <t>2026-10</t>
        </is>
      </c>
      <c r="F204" s="27" t="inlineStr">
        <is>
          <t>Approved case</t>
        </is>
      </c>
      <c r="G204" s="27" t="inlineStr">
        <is>
          <t>Required productive hours</t>
        </is>
      </c>
      <c r="H204" s="46" t="n">
        <v>3251.282944</v>
      </c>
      <c r="I204" s="27" t="inlineStr"/>
      <c r="J204" s="27" t="inlineStr">
        <is>
          <t>hours</t>
        </is>
      </c>
      <c r="K204" s="27" t="inlineStr">
        <is>
          <t>Signed backlog labor-demand conversion</t>
        </is>
      </c>
      <c r="L204" s="47" t="inlineStr">
        <is>
          <t>2026-06-30</t>
        </is>
      </c>
      <c r="M204" s="27" t="inlineStr"/>
    </row>
    <row r="205">
      <c r="A205" s="36" t="inlineStr">
        <is>
          <t>PLN-00342</t>
        </is>
      </c>
      <c r="B205" s="27" t="inlineStr">
        <is>
          <t>Complete the FY27 field workforce plan</t>
        </is>
      </c>
      <c r="C205" s="27" t="inlineStr">
        <is>
          <t>Monthly productive-hour demand</t>
        </is>
      </c>
      <c r="D205" s="27" t="inlineStr">
        <is>
          <t>Apprentice</t>
        </is>
      </c>
      <c r="E205" s="27" t="inlineStr">
        <is>
          <t>2026-11</t>
        </is>
      </c>
      <c r="F205" s="27" t="inlineStr">
        <is>
          <t>Approved case</t>
        </is>
      </c>
      <c r="G205" s="27" t="inlineStr">
        <is>
          <t>Required productive hours</t>
        </is>
      </c>
      <c r="H205" s="46" t="n">
        <v>3287.882752</v>
      </c>
      <c r="I205" s="27" t="inlineStr"/>
      <c r="J205" s="27" t="inlineStr">
        <is>
          <t>hours</t>
        </is>
      </c>
      <c r="K205" s="27" t="inlineStr">
        <is>
          <t>Signed backlog labor-demand conversion</t>
        </is>
      </c>
      <c r="L205" s="47" t="inlineStr">
        <is>
          <t>2026-06-30</t>
        </is>
      </c>
      <c r="M205" s="27" t="inlineStr"/>
    </row>
    <row r="206">
      <c r="A206" s="36" t="inlineStr">
        <is>
          <t>PLN-00343</t>
        </is>
      </c>
      <c r="B206" s="27" t="inlineStr">
        <is>
          <t>Complete the FY27 field workforce plan</t>
        </is>
      </c>
      <c r="C206" s="27" t="inlineStr">
        <is>
          <t>Monthly productive-hour demand</t>
        </is>
      </c>
      <c r="D206" s="27" t="inlineStr">
        <is>
          <t>Apprentice</t>
        </is>
      </c>
      <c r="E206" s="27" t="inlineStr">
        <is>
          <t>2026-12</t>
        </is>
      </c>
      <c r="F206" s="27" t="inlineStr">
        <is>
          <t>Approved case</t>
        </is>
      </c>
      <c r="G206" s="27" t="inlineStr">
        <is>
          <t>Required productive hours</t>
        </is>
      </c>
      <c r="H206" s="46" t="n">
        <v>3324.48256</v>
      </c>
      <c r="I206" s="27" t="inlineStr"/>
      <c r="J206" s="27" t="inlineStr">
        <is>
          <t>hours</t>
        </is>
      </c>
      <c r="K206" s="27" t="inlineStr">
        <is>
          <t>Signed backlog labor-demand conversion</t>
        </is>
      </c>
      <c r="L206" s="47" t="inlineStr">
        <is>
          <t>2026-06-30</t>
        </is>
      </c>
      <c r="M206" s="27" t="inlineStr"/>
    </row>
    <row r="207">
      <c r="A207" s="36" t="inlineStr">
        <is>
          <t>PLN-00344</t>
        </is>
      </c>
      <c r="B207" s="27" t="inlineStr">
        <is>
          <t>Complete the FY27 field workforce plan</t>
        </is>
      </c>
      <c r="C207" s="27" t="inlineStr">
        <is>
          <t>Monthly productive-hour demand</t>
        </is>
      </c>
      <c r="D207" s="27" t="inlineStr">
        <is>
          <t>Apprentice</t>
        </is>
      </c>
      <c r="E207" s="27" t="inlineStr">
        <is>
          <t>2027-01</t>
        </is>
      </c>
      <c r="F207" s="27" t="inlineStr">
        <is>
          <t>Approved case</t>
        </is>
      </c>
      <c r="G207" s="27" t="inlineStr">
        <is>
          <t>Required productive hours</t>
        </is>
      </c>
      <c r="H207" s="46" t="n">
        <v>3361.082368</v>
      </c>
      <c r="I207" s="27" t="inlineStr"/>
      <c r="J207" s="27" t="inlineStr">
        <is>
          <t>hours</t>
        </is>
      </c>
      <c r="K207" s="27" t="inlineStr">
        <is>
          <t>Signed backlog labor-demand conversion</t>
        </is>
      </c>
      <c r="L207" s="47" t="inlineStr">
        <is>
          <t>2026-06-30</t>
        </is>
      </c>
      <c r="M207" s="27" t="inlineStr"/>
    </row>
    <row r="208">
      <c r="A208" s="36" t="inlineStr">
        <is>
          <t>PLN-00345</t>
        </is>
      </c>
      <c r="B208" s="27" t="inlineStr">
        <is>
          <t>Complete the FY27 field workforce plan</t>
        </is>
      </c>
      <c r="C208" s="27" t="inlineStr">
        <is>
          <t>Monthly productive-hour demand</t>
        </is>
      </c>
      <c r="D208" s="27" t="inlineStr">
        <is>
          <t>Apprentice</t>
        </is>
      </c>
      <c r="E208" s="27" t="inlineStr">
        <is>
          <t>2027-02</t>
        </is>
      </c>
      <c r="F208" s="27" t="inlineStr">
        <is>
          <t>Approved case</t>
        </is>
      </c>
      <c r="G208" s="27" t="inlineStr">
        <is>
          <t>Required productive hours</t>
        </is>
      </c>
      <c r="H208" s="46" t="n">
        <v>3702.680576</v>
      </c>
      <c r="I208" s="27" t="inlineStr"/>
      <c r="J208" s="27" t="inlineStr">
        <is>
          <t>hours</t>
        </is>
      </c>
      <c r="K208" s="27" t="inlineStr">
        <is>
          <t>Signed backlog labor-demand conversion</t>
        </is>
      </c>
      <c r="L208" s="47" t="inlineStr">
        <is>
          <t>2026-06-30</t>
        </is>
      </c>
      <c r="M208" s="27" t="inlineStr"/>
    </row>
    <row r="209">
      <c r="A209" s="36" t="inlineStr">
        <is>
          <t>PLN-00346</t>
        </is>
      </c>
      <c r="B209" s="27" t="inlineStr">
        <is>
          <t>Complete the FY27 field workforce plan</t>
        </is>
      </c>
      <c r="C209" s="27" t="inlineStr">
        <is>
          <t>Monthly productive-hour demand</t>
        </is>
      </c>
      <c r="D209" s="27" t="inlineStr">
        <is>
          <t>Apprentice</t>
        </is>
      </c>
      <c r="E209" s="27" t="inlineStr">
        <is>
          <t>2027-03</t>
        </is>
      </c>
      <c r="F209" s="27" t="inlineStr">
        <is>
          <t>Approved case</t>
        </is>
      </c>
      <c r="G209" s="27" t="inlineStr">
        <is>
          <t>Required productive hours</t>
        </is>
      </c>
      <c r="H209" s="46" t="n">
        <v>3739.280384</v>
      </c>
      <c r="I209" s="27" t="inlineStr"/>
      <c r="J209" s="27" t="inlineStr">
        <is>
          <t>hours</t>
        </is>
      </c>
      <c r="K209" s="27" t="inlineStr">
        <is>
          <t>Signed backlog labor-demand conversion</t>
        </is>
      </c>
      <c r="L209" s="47" t="inlineStr">
        <is>
          <t>2026-06-30</t>
        </is>
      </c>
      <c r="M209" s="27" t="inlineStr"/>
    </row>
    <row r="210">
      <c r="A210" s="36" t="inlineStr">
        <is>
          <t>PLN-00347</t>
        </is>
      </c>
      <c r="B210" s="27" t="inlineStr">
        <is>
          <t>Complete the FY27 field workforce plan</t>
        </is>
      </c>
      <c r="C210" s="27" t="inlineStr">
        <is>
          <t>Monthly productive-hour demand</t>
        </is>
      </c>
      <c r="D210" s="27" t="inlineStr">
        <is>
          <t>Apprentice</t>
        </is>
      </c>
      <c r="E210" s="27" t="inlineStr">
        <is>
          <t>2027-04</t>
        </is>
      </c>
      <c r="F210" s="27" t="inlineStr">
        <is>
          <t>Approved case</t>
        </is>
      </c>
      <c r="G210" s="27" t="inlineStr">
        <is>
          <t>Required productive hours</t>
        </is>
      </c>
      <c r="H210" s="46" t="n">
        <v>3775.880192</v>
      </c>
      <c r="I210" s="27" t="inlineStr"/>
      <c r="J210" s="27" t="inlineStr">
        <is>
          <t>hours</t>
        </is>
      </c>
      <c r="K210" s="27" t="inlineStr">
        <is>
          <t>Signed backlog labor-demand conversion</t>
        </is>
      </c>
      <c r="L210" s="47" t="inlineStr">
        <is>
          <t>2026-06-30</t>
        </is>
      </c>
      <c r="M210" s="27" t="inlineStr"/>
    </row>
    <row r="211">
      <c r="A211" s="36" t="inlineStr">
        <is>
          <t>PLN-00348</t>
        </is>
      </c>
      <c r="B211" s="27" t="inlineStr">
        <is>
          <t>Complete the FY27 field workforce plan</t>
        </is>
      </c>
      <c r="C211" s="27" t="inlineStr">
        <is>
          <t>Monthly productive-hour demand</t>
        </is>
      </c>
      <c r="D211" s="27" t="inlineStr">
        <is>
          <t>Apprentice</t>
        </is>
      </c>
      <c r="E211" s="27" t="inlineStr">
        <is>
          <t>2027-05</t>
        </is>
      </c>
      <c r="F211" s="27" t="inlineStr">
        <is>
          <t>Approved case</t>
        </is>
      </c>
      <c r="G211" s="27" t="inlineStr">
        <is>
          <t>Required productive hours</t>
        </is>
      </c>
      <c r="H211" s="46" t="n">
        <v>3507.4816</v>
      </c>
      <c r="I211" s="27" t="inlineStr"/>
      <c r="J211" s="27" t="inlineStr">
        <is>
          <t>hours</t>
        </is>
      </c>
      <c r="K211" s="27" t="inlineStr">
        <is>
          <t>Signed backlog labor-demand conversion</t>
        </is>
      </c>
      <c r="L211" s="47" t="inlineStr">
        <is>
          <t>2026-06-30</t>
        </is>
      </c>
      <c r="M211" s="27" t="inlineStr"/>
    </row>
    <row r="212">
      <c r="A212" s="36" t="inlineStr">
        <is>
          <t>PLN-00349</t>
        </is>
      </c>
      <c r="B212" s="27" t="inlineStr">
        <is>
          <t>Complete the FY27 field workforce plan</t>
        </is>
      </c>
      <c r="C212" s="27" t="inlineStr">
        <is>
          <t>Monthly productive-hour demand</t>
        </is>
      </c>
      <c r="D212" s="27" t="inlineStr">
        <is>
          <t>Apprentice</t>
        </is>
      </c>
      <c r="E212" s="27" t="inlineStr">
        <is>
          <t>2027-06</t>
        </is>
      </c>
      <c r="F212" s="27" t="inlineStr">
        <is>
          <t>Approved case</t>
        </is>
      </c>
      <c r="G212" s="27" t="inlineStr">
        <is>
          <t>Required productive hours</t>
        </is>
      </c>
      <c r="H212" s="46" t="n">
        <v>3544.081408</v>
      </c>
      <c r="I212" s="27" t="inlineStr"/>
      <c r="J212" s="27" t="inlineStr">
        <is>
          <t>hours</t>
        </is>
      </c>
      <c r="K212" s="27" t="inlineStr">
        <is>
          <t>Signed backlog labor-demand conversion</t>
        </is>
      </c>
      <c r="L212" s="47" t="inlineStr">
        <is>
          <t>2026-06-30</t>
        </is>
      </c>
      <c r="M212" s="27" t="inlineStr"/>
    </row>
    <row r="213">
      <c r="A213" s="36" t="inlineStr">
        <is>
          <t>PLN-00355</t>
        </is>
      </c>
      <c r="B213" s="27" t="inlineStr">
        <is>
          <t>Complete the FY27 field workforce plan</t>
        </is>
      </c>
      <c r="C213" s="27" t="inlineStr">
        <is>
          <t>Monthly productive-hour demand</t>
        </is>
      </c>
      <c r="D213" s="27" t="inlineStr">
        <is>
          <t>Controls technician</t>
        </is>
      </c>
      <c r="E213" s="27" t="inlineStr">
        <is>
          <t>2026-07</t>
        </is>
      </c>
      <c r="F213" s="27" t="inlineStr">
        <is>
          <t>Approved case</t>
        </is>
      </c>
      <c r="G213" s="27" t="inlineStr">
        <is>
          <t>Required productive hours</t>
        </is>
      </c>
      <c r="H213" s="46" t="n">
        <v>1621.632</v>
      </c>
      <c r="I213" s="27" t="inlineStr"/>
      <c r="J213" s="27" t="inlineStr">
        <is>
          <t>hours</t>
        </is>
      </c>
      <c r="K213" s="27" t="inlineStr">
        <is>
          <t>Signed backlog labor-demand conversion</t>
        </is>
      </c>
      <c r="L213" s="47" t="inlineStr">
        <is>
          <t>2026-06-30</t>
        </is>
      </c>
      <c r="M213" s="27" t="inlineStr"/>
    </row>
    <row r="214">
      <c r="A214" s="36" t="inlineStr">
        <is>
          <t>PLN-00356</t>
        </is>
      </c>
      <c r="B214" s="27" t="inlineStr">
        <is>
          <t>Complete the FY27 field workforce plan</t>
        </is>
      </c>
      <c r="C214" s="27" t="inlineStr">
        <is>
          <t>Monthly productive-hour demand</t>
        </is>
      </c>
      <c r="D214" s="27" t="inlineStr">
        <is>
          <t>Controls technician</t>
        </is>
      </c>
      <c r="E214" s="27" t="inlineStr">
        <is>
          <t>2026-08</t>
        </is>
      </c>
      <c r="F214" s="27" t="inlineStr">
        <is>
          <t>Approved case</t>
        </is>
      </c>
      <c r="G214" s="27" t="inlineStr">
        <is>
          <t>Required productive hours</t>
        </is>
      </c>
      <c r="H214" s="46" t="n">
        <v>1640.5248</v>
      </c>
      <c r="I214" s="27" t="inlineStr"/>
      <c r="J214" s="27" t="inlineStr">
        <is>
          <t>hours</t>
        </is>
      </c>
      <c r="K214" s="27" t="inlineStr">
        <is>
          <t>Signed backlog labor-demand conversion</t>
        </is>
      </c>
      <c r="L214" s="47" t="inlineStr">
        <is>
          <t>2026-06-30</t>
        </is>
      </c>
      <c r="M214" s="27" t="inlineStr"/>
    </row>
    <row r="215">
      <c r="A215" s="36" t="inlineStr">
        <is>
          <t>PLN-00357</t>
        </is>
      </c>
      <c r="B215" s="27" t="inlineStr">
        <is>
          <t>Complete the FY27 field workforce plan</t>
        </is>
      </c>
      <c r="C215" s="27" t="inlineStr">
        <is>
          <t>Monthly productive-hour demand</t>
        </is>
      </c>
      <c r="D215" s="27" t="inlineStr">
        <is>
          <t>Controls technician</t>
        </is>
      </c>
      <c r="E215" s="27" t="inlineStr">
        <is>
          <t>2026-09</t>
        </is>
      </c>
      <c r="F215" s="27" t="inlineStr">
        <is>
          <t>Approved case</t>
        </is>
      </c>
      <c r="G215" s="27" t="inlineStr">
        <is>
          <t>Required productive hours</t>
        </is>
      </c>
      <c r="H215" s="46" t="n">
        <v>1659.4176</v>
      </c>
      <c r="I215" s="27" t="inlineStr"/>
      <c r="J215" s="27" t="inlineStr">
        <is>
          <t>hours</t>
        </is>
      </c>
      <c r="K215" s="27" t="inlineStr">
        <is>
          <t>Signed backlog labor-demand conversion</t>
        </is>
      </c>
      <c r="L215" s="47" t="inlineStr">
        <is>
          <t>2026-06-30</t>
        </is>
      </c>
      <c r="M215" s="27" t="inlineStr"/>
    </row>
    <row r="216">
      <c r="A216" s="36" t="inlineStr">
        <is>
          <t>PLN-00358</t>
        </is>
      </c>
      <c r="B216" s="27" t="inlineStr">
        <is>
          <t>Complete the FY27 field workforce plan</t>
        </is>
      </c>
      <c r="C216" s="27" t="inlineStr">
        <is>
          <t>Monthly productive-hour demand</t>
        </is>
      </c>
      <c r="D216" s="27" t="inlineStr">
        <is>
          <t>Controls technician</t>
        </is>
      </c>
      <c r="E216" s="27" t="inlineStr">
        <is>
          <t>2026-10</t>
        </is>
      </c>
      <c r="F216" s="27" t="inlineStr">
        <is>
          <t>Approved case</t>
        </is>
      </c>
      <c r="G216" s="27" t="inlineStr">
        <is>
          <t>Required productive hours</t>
        </is>
      </c>
      <c r="H216" s="46" t="n">
        <v>1678.3104</v>
      </c>
      <c r="I216" s="27" t="inlineStr"/>
      <c r="J216" s="27" t="inlineStr">
        <is>
          <t>hours</t>
        </is>
      </c>
      <c r="K216" s="27" t="inlineStr">
        <is>
          <t>Signed backlog labor-demand conversion</t>
        </is>
      </c>
      <c r="L216" s="47" t="inlineStr">
        <is>
          <t>2026-06-30</t>
        </is>
      </c>
      <c r="M216" s="27" t="inlineStr"/>
    </row>
    <row r="217">
      <c r="A217" s="36" t="inlineStr">
        <is>
          <t>PLN-00359</t>
        </is>
      </c>
      <c r="B217" s="27" t="inlineStr">
        <is>
          <t>Complete the FY27 field workforce plan</t>
        </is>
      </c>
      <c r="C217" s="27" t="inlineStr">
        <is>
          <t>Monthly productive-hour demand</t>
        </is>
      </c>
      <c r="D217" s="27" t="inlineStr">
        <is>
          <t>Controls technician</t>
        </is>
      </c>
      <c r="E217" s="27" t="inlineStr">
        <is>
          <t>2026-11</t>
        </is>
      </c>
      <c r="F217" s="27" t="inlineStr">
        <is>
          <t>Approved case</t>
        </is>
      </c>
      <c r="G217" s="27" t="inlineStr">
        <is>
          <t>Required productive hours</t>
        </is>
      </c>
      <c r="H217" s="46" t="n">
        <v>1697.2032</v>
      </c>
      <c r="I217" s="27" t="inlineStr"/>
      <c r="J217" s="27" t="inlineStr">
        <is>
          <t>hours</t>
        </is>
      </c>
      <c r="K217" s="27" t="inlineStr">
        <is>
          <t>Signed backlog labor-demand conversion</t>
        </is>
      </c>
      <c r="L217" s="47" t="inlineStr">
        <is>
          <t>2026-06-30</t>
        </is>
      </c>
      <c r="M217" s="27" t="inlineStr"/>
    </row>
    <row r="218">
      <c r="A218" s="36" t="inlineStr">
        <is>
          <t>PLN-00360</t>
        </is>
      </c>
      <c r="B218" s="27" t="inlineStr">
        <is>
          <t>Complete the FY27 field workforce plan</t>
        </is>
      </c>
      <c r="C218" s="27" t="inlineStr">
        <is>
          <t>Monthly productive-hour demand</t>
        </is>
      </c>
      <c r="D218" s="27" t="inlineStr">
        <is>
          <t>Controls technician</t>
        </is>
      </c>
      <c r="E218" s="27" t="inlineStr">
        <is>
          <t>2026-12</t>
        </is>
      </c>
      <c r="F218" s="27" t="inlineStr">
        <is>
          <t>Approved case</t>
        </is>
      </c>
      <c r="G218" s="27" t="inlineStr">
        <is>
          <t>Required productive hours</t>
        </is>
      </c>
      <c r="H218" s="46" t="n">
        <v>1716.096</v>
      </c>
      <c r="I218" s="27" t="inlineStr"/>
      <c r="J218" s="27" t="inlineStr">
        <is>
          <t>hours</t>
        </is>
      </c>
      <c r="K218" s="27" t="inlineStr">
        <is>
          <t>Signed backlog labor-demand conversion</t>
        </is>
      </c>
      <c r="L218" s="47" t="inlineStr">
        <is>
          <t>2026-06-30</t>
        </is>
      </c>
      <c r="M218" s="27" t="inlineStr"/>
    </row>
    <row r="219">
      <c r="A219" s="36" t="inlineStr">
        <is>
          <t>PLN-00361</t>
        </is>
      </c>
      <c r="B219" s="27" t="inlineStr">
        <is>
          <t>Complete the FY27 field workforce plan</t>
        </is>
      </c>
      <c r="C219" s="27" t="inlineStr">
        <is>
          <t>Monthly productive-hour demand</t>
        </is>
      </c>
      <c r="D219" s="27" t="inlineStr">
        <is>
          <t>Controls technician</t>
        </is>
      </c>
      <c r="E219" s="27" t="inlineStr">
        <is>
          <t>2027-01</t>
        </is>
      </c>
      <c r="F219" s="27" t="inlineStr">
        <is>
          <t>Approved case</t>
        </is>
      </c>
      <c r="G219" s="27" t="inlineStr">
        <is>
          <t>Required productive hours</t>
        </is>
      </c>
      <c r="H219" s="46" t="n">
        <v>1734.9888</v>
      </c>
      <c r="I219" s="27" t="inlineStr"/>
      <c r="J219" s="27" t="inlineStr">
        <is>
          <t>hours</t>
        </is>
      </c>
      <c r="K219" s="27" t="inlineStr">
        <is>
          <t>Signed backlog labor-demand conversion</t>
        </is>
      </c>
      <c r="L219" s="47" t="inlineStr">
        <is>
          <t>2026-06-30</t>
        </is>
      </c>
      <c r="M219" s="27" t="inlineStr"/>
    </row>
    <row r="220">
      <c r="A220" s="36" t="inlineStr">
        <is>
          <t>PLN-00362</t>
        </is>
      </c>
      <c r="B220" s="27" t="inlineStr">
        <is>
          <t>Complete the FY27 field workforce plan</t>
        </is>
      </c>
      <c r="C220" s="27" t="inlineStr">
        <is>
          <t>Monthly productive-hour demand</t>
        </is>
      </c>
      <c r="D220" s="27" t="inlineStr">
        <is>
          <t>Controls technician</t>
        </is>
      </c>
      <c r="E220" s="27" t="inlineStr">
        <is>
          <t>2027-02</t>
        </is>
      </c>
      <c r="F220" s="27" t="inlineStr">
        <is>
          <t>Approved case</t>
        </is>
      </c>
      <c r="G220" s="27" t="inlineStr">
        <is>
          <t>Required productive hours</t>
        </is>
      </c>
      <c r="H220" s="46" t="n">
        <v>1911.3216</v>
      </c>
      <c r="I220" s="27" t="inlineStr"/>
      <c r="J220" s="27" t="inlineStr">
        <is>
          <t>hours</t>
        </is>
      </c>
      <c r="K220" s="27" t="inlineStr">
        <is>
          <t>Signed backlog labor-demand conversion</t>
        </is>
      </c>
      <c r="L220" s="47" t="inlineStr">
        <is>
          <t>2026-06-30</t>
        </is>
      </c>
      <c r="M220" s="27" t="inlineStr"/>
    </row>
    <row r="221">
      <c r="A221" s="36" t="inlineStr">
        <is>
          <t>PLN-00363</t>
        </is>
      </c>
      <c r="B221" s="27" t="inlineStr">
        <is>
          <t>Complete the FY27 field workforce plan</t>
        </is>
      </c>
      <c r="C221" s="27" t="inlineStr">
        <is>
          <t>Monthly productive-hour demand</t>
        </is>
      </c>
      <c r="D221" s="27" t="inlineStr">
        <is>
          <t>Controls technician</t>
        </is>
      </c>
      <c r="E221" s="27" t="inlineStr">
        <is>
          <t>2027-03</t>
        </is>
      </c>
      <c r="F221" s="27" t="inlineStr">
        <is>
          <t>Approved case</t>
        </is>
      </c>
      <c r="G221" s="27" t="inlineStr">
        <is>
          <t>Required productive hours</t>
        </is>
      </c>
      <c r="H221" s="46" t="n">
        <v>1930.2144</v>
      </c>
      <c r="I221" s="27" t="inlineStr"/>
      <c r="J221" s="27" t="inlineStr">
        <is>
          <t>hours</t>
        </is>
      </c>
      <c r="K221" s="27" t="inlineStr">
        <is>
          <t>Signed backlog labor-demand conversion</t>
        </is>
      </c>
      <c r="L221" s="47" t="inlineStr">
        <is>
          <t>2026-06-30</t>
        </is>
      </c>
      <c r="M221" s="27" t="inlineStr"/>
    </row>
    <row r="222">
      <c r="A222" s="36" t="inlineStr">
        <is>
          <t>PLN-00364</t>
        </is>
      </c>
      <c r="B222" s="27" t="inlineStr">
        <is>
          <t>Complete the FY27 field workforce plan</t>
        </is>
      </c>
      <c r="C222" s="27" t="inlineStr">
        <is>
          <t>Monthly productive-hour demand</t>
        </is>
      </c>
      <c r="D222" s="27" t="inlineStr">
        <is>
          <t>Controls technician</t>
        </is>
      </c>
      <c r="E222" s="27" t="inlineStr">
        <is>
          <t>2027-04</t>
        </is>
      </c>
      <c r="F222" s="27" t="inlineStr">
        <is>
          <t>Approved case</t>
        </is>
      </c>
      <c r="G222" s="27" t="inlineStr">
        <is>
          <t>Required productive hours</t>
        </is>
      </c>
      <c r="H222" s="46" t="n">
        <v>1949.1072</v>
      </c>
      <c r="I222" s="27" t="inlineStr"/>
      <c r="J222" s="27" t="inlineStr">
        <is>
          <t>hours</t>
        </is>
      </c>
      <c r="K222" s="27" t="inlineStr">
        <is>
          <t>Signed backlog labor-demand conversion</t>
        </is>
      </c>
      <c r="L222" s="47" t="inlineStr">
        <is>
          <t>2026-06-30</t>
        </is>
      </c>
      <c r="M222" s="27" t="inlineStr"/>
    </row>
    <row r="223">
      <c r="A223" s="36" t="inlineStr">
        <is>
          <t>PLN-00365</t>
        </is>
      </c>
      <c r="B223" s="27" t="inlineStr">
        <is>
          <t>Complete the FY27 field workforce plan</t>
        </is>
      </c>
      <c r="C223" s="27" t="inlineStr">
        <is>
          <t>Monthly productive-hour demand</t>
        </is>
      </c>
      <c r="D223" s="27" t="inlineStr">
        <is>
          <t>Controls technician</t>
        </is>
      </c>
      <c r="E223" s="27" t="inlineStr">
        <is>
          <t>2027-05</t>
        </is>
      </c>
      <c r="F223" s="27" t="inlineStr">
        <is>
          <t>Approved case</t>
        </is>
      </c>
      <c r="G223" s="27" t="inlineStr">
        <is>
          <t>Required productive hours</t>
        </is>
      </c>
      <c r="H223" s="46" t="n">
        <v>1810.56</v>
      </c>
      <c r="I223" s="27" t="inlineStr"/>
      <c r="J223" s="27" t="inlineStr">
        <is>
          <t>hours</t>
        </is>
      </c>
      <c r="K223" s="27" t="inlineStr">
        <is>
          <t>Signed backlog labor-demand conversion</t>
        </is>
      </c>
      <c r="L223" s="47" t="inlineStr">
        <is>
          <t>2026-06-30</t>
        </is>
      </c>
      <c r="M223" s="27" t="inlineStr"/>
    </row>
    <row r="224">
      <c r="A224" s="36" t="inlineStr">
        <is>
          <t>PLN-00366</t>
        </is>
      </c>
      <c r="B224" s="27" t="inlineStr">
        <is>
          <t>Complete the FY27 field workforce plan</t>
        </is>
      </c>
      <c r="C224" s="27" t="inlineStr">
        <is>
          <t>Monthly productive-hour demand</t>
        </is>
      </c>
      <c r="D224" s="27" t="inlineStr">
        <is>
          <t>Controls technician</t>
        </is>
      </c>
      <c r="E224" s="27" t="inlineStr">
        <is>
          <t>2027-06</t>
        </is>
      </c>
      <c r="F224" s="27" t="inlineStr">
        <is>
          <t>Approved case</t>
        </is>
      </c>
      <c r="G224" s="27" t="inlineStr">
        <is>
          <t>Required productive hours</t>
        </is>
      </c>
      <c r="H224" s="46" t="n">
        <v>1829.4528</v>
      </c>
      <c r="I224" s="27" t="inlineStr"/>
      <c r="J224" s="27" t="inlineStr">
        <is>
          <t>hours</t>
        </is>
      </c>
      <c r="K224" s="27" t="inlineStr">
        <is>
          <t>Signed backlog labor-demand conversion</t>
        </is>
      </c>
      <c r="L224" s="47" t="inlineStr">
        <is>
          <t>2026-06-30</t>
        </is>
      </c>
      <c r="M224" s="27" t="inlineStr"/>
    </row>
    <row r="225">
      <c r="A225" s="36" t="inlineStr">
        <is>
          <t>PLN-00367</t>
        </is>
      </c>
      <c r="B225" s="27" t="inlineStr">
        <is>
          <t>Complete the FY27 field workforce plan</t>
        </is>
      </c>
      <c r="C225" s="27" t="inlineStr">
        <is>
          <t>Workforce policy</t>
        </is>
      </c>
      <c r="D225" s="27" t="inlineStr">
        <is>
          <t>All field trades</t>
        </is>
      </c>
      <c r="E225" s="27" t="inlineStr">
        <is>
          <t>FY27</t>
        </is>
      </c>
      <c r="F225" s="27" t="inlineStr">
        <is>
          <t>Approved case</t>
        </is>
      </c>
      <c r="G225" s="27" t="inlineStr">
        <is>
          <t>Annual wage escalation</t>
        </is>
      </c>
      <c r="H225" s="46" t="n">
        <v>0.035</v>
      </c>
      <c r="I225" s="27" t="inlineStr"/>
      <c r="J225" s="27" t="inlineStr">
        <is>
          <t>decimal ratio</t>
        </is>
      </c>
      <c r="K225" s="27" t="inlineStr">
        <is>
          <t>Finance operating schedule</t>
        </is>
      </c>
      <c r="L225" s="47" t="inlineStr">
        <is>
          <t>2026-06-30</t>
        </is>
      </c>
      <c r="M225" s="27" t="inlineStr"/>
    </row>
    <row r="226">
      <c r="A226" s="36" t="inlineStr">
        <is>
          <t>PLN-00368</t>
        </is>
      </c>
      <c r="B226" s="27" t="inlineStr">
        <is>
          <t>Complete the FY27 field workforce plan</t>
        </is>
      </c>
      <c r="C226" s="27" t="inlineStr">
        <is>
          <t>Workforce policy</t>
        </is>
      </c>
      <c r="D226" s="27" t="inlineStr">
        <is>
          <t>New hires</t>
        </is>
      </c>
      <c r="E226" s="27" t="inlineStr">
        <is>
          <t>FY27</t>
        </is>
      </c>
      <c r="F226" s="27" t="inlineStr">
        <is>
          <t>Approved case</t>
        </is>
      </c>
      <c r="G226" s="27" t="inlineStr">
        <is>
          <t>Training ramp productive factor</t>
        </is>
      </c>
      <c r="H226" s="46" t="n">
        <v>0.65</v>
      </c>
      <c r="I226" s="27" t="inlineStr"/>
      <c r="J226" s="27" t="inlineStr">
        <is>
          <t>decimal ratio</t>
        </is>
      </c>
      <c r="K226" s="27" t="inlineStr">
        <is>
          <t>Finance operating schedule</t>
        </is>
      </c>
      <c r="L226" s="47" t="inlineStr">
        <is>
          <t>2026-06-30</t>
        </is>
      </c>
      <c r="M226" s="27" t="inlineStr"/>
    </row>
    <row r="227">
      <c r="A227" s="36" t="inlineStr">
        <is>
          <t>PLN-00369</t>
        </is>
      </c>
      <c r="B227" s="27" t="inlineStr">
        <is>
          <t>Complete the FY27 field workforce plan</t>
        </is>
      </c>
      <c r="C227" s="27" t="inlineStr">
        <is>
          <t>Workforce policy</t>
        </is>
      </c>
      <c r="D227" s="27" t="inlineStr">
        <is>
          <t>Journey</t>
        </is>
      </c>
      <c r="E227" s="27" t="inlineStr">
        <is>
          <t>FY27</t>
        </is>
      </c>
      <c r="F227" s="27" t="inlineStr">
        <is>
          <t>Approved case</t>
        </is>
      </c>
      <c r="G227" s="27" t="inlineStr">
        <is>
          <t>Maximum overtime share</t>
        </is>
      </c>
      <c r="H227" s="46" t="n">
        <v>0.08</v>
      </c>
      <c r="I227" s="27" t="inlineStr"/>
      <c r="J227" s="27" t="inlineStr">
        <is>
          <t>decimal ratio</t>
        </is>
      </c>
      <c r="K227" s="27" t="inlineStr">
        <is>
          <t>Finance operating schedule</t>
        </is>
      </c>
      <c r="L227" s="47" t="inlineStr">
        <is>
          <t>2026-06-30</t>
        </is>
      </c>
      <c r="M227" s="27" t="inlineStr"/>
    </row>
    <row r="228">
      <c r="A228" s="36" t="inlineStr">
        <is>
          <t>PLN-01219</t>
        </is>
      </c>
      <c r="B228" s="27" t="inlineStr">
        <is>
          <t>Create the FY27 budget-reallocation optimizer</t>
        </is>
      </c>
      <c r="C228" s="27" t="inlineStr">
        <is>
          <t>Budget reallocation initiatives</t>
        </is>
      </c>
      <c r="D228" s="27" t="inlineStr">
        <is>
          <t>Field scheduling</t>
        </is>
      </c>
      <c r="E228" s="27" t="inlineStr">
        <is>
          <t>FY27</t>
        </is>
      </c>
      <c r="F228" s="27" t="inlineStr">
        <is>
          <t>Approved case</t>
        </is>
      </c>
      <c r="G228" s="27" t="inlineStr">
        <is>
          <t>FY27 cash spend</t>
        </is>
      </c>
      <c r="H228" s="46" t="n">
        <v>620000</v>
      </c>
      <c r="I228" s="27" t="inlineStr"/>
      <c r="J228" s="27" t="inlineStr">
        <is>
          <t>USD</t>
        </is>
      </c>
      <c r="K228" s="27" t="inlineStr">
        <is>
          <t>Finance operating schedule</t>
        </is>
      </c>
      <c r="L228" s="47" t="inlineStr">
        <is>
          <t>2026-06-30</t>
        </is>
      </c>
      <c r="M228" s="27" t="inlineStr"/>
    </row>
    <row r="229">
      <c r="A229" s="36" t="inlineStr">
        <is>
          <t>PLN-01220</t>
        </is>
      </c>
      <c r="B229" s="27" t="inlineStr">
        <is>
          <t>Create the FY27 budget-reallocation optimizer</t>
        </is>
      </c>
      <c r="C229" s="27" t="inlineStr">
        <is>
          <t>Budget reallocation initiatives</t>
        </is>
      </c>
      <c r="D229" s="27" t="inlineStr">
        <is>
          <t>Field scheduling</t>
        </is>
      </c>
      <c r="E229" s="27" t="inlineStr">
        <is>
          <t>FY27</t>
        </is>
      </c>
      <c r="F229" s="27" t="inlineStr">
        <is>
          <t>Approved case</t>
        </is>
      </c>
      <c r="G229" s="27" t="inlineStr">
        <is>
          <t>Annual EBITDA benefit</t>
        </is>
      </c>
      <c r="H229" s="46" t="n">
        <v>1050000</v>
      </c>
      <c r="I229" s="27" t="inlineStr"/>
      <c r="J229" s="27" t="inlineStr">
        <is>
          <t>USD</t>
        </is>
      </c>
      <c r="K229" s="27" t="inlineStr">
        <is>
          <t>Finance operating schedule</t>
        </is>
      </c>
      <c r="L229" s="47" t="inlineStr">
        <is>
          <t>2026-06-30</t>
        </is>
      </c>
      <c r="M229" s="27" t="inlineStr"/>
    </row>
    <row r="230">
      <c r="A230" s="36" t="inlineStr">
        <is>
          <t>PLN-01221</t>
        </is>
      </c>
      <c r="B230" s="27" t="inlineStr">
        <is>
          <t>Create the FY27 budget-reallocation optimizer</t>
        </is>
      </c>
      <c r="C230" s="27" t="inlineStr">
        <is>
          <t>Budget reallocation initiatives</t>
        </is>
      </c>
      <c r="D230" s="27" t="inlineStr">
        <is>
          <t>Field scheduling</t>
        </is>
      </c>
      <c r="E230" s="27" t="inlineStr">
        <is>
          <t>FY27</t>
        </is>
      </c>
      <c r="F230" s="27" t="inlineStr">
        <is>
          <t>Approved case</t>
        </is>
      </c>
      <c r="G230" s="27" t="inlineStr">
        <is>
          <t>Realization probability</t>
        </is>
      </c>
      <c r="H230" s="46" t="n">
        <v>0.82</v>
      </c>
      <c r="I230" s="27" t="inlineStr"/>
      <c r="J230" s="27" t="inlineStr">
        <is>
          <t>decimal ratio</t>
        </is>
      </c>
      <c r="K230" s="27" t="inlineStr">
        <is>
          <t>Finance operating schedule</t>
        </is>
      </c>
      <c r="L230" s="47" t="inlineStr">
        <is>
          <t>2026-06-30</t>
        </is>
      </c>
      <c r="M230" s="27" t="inlineStr"/>
    </row>
    <row r="231">
      <c r="A231" s="36" t="inlineStr">
        <is>
          <t>PLN-01222</t>
        </is>
      </c>
      <c r="B231" s="27" t="inlineStr">
        <is>
          <t>Create the FY27 budget-reallocation optimizer</t>
        </is>
      </c>
      <c r="C231" s="27" t="inlineStr">
        <is>
          <t>Budget reallocation initiatives</t>
        </is>
      </c>
      <c r="D231" s="27" t="inlineStr">
        <is>
          <t>Field scheduling</t>
        </is>
      </c>
      <c r="E231" s="27" t="inlineStr">
        <is>
          <t>FY27</t>
        </is>
      </c>
      <c r="F231" s="27" t="inlineStr">
        <is>
          <t>Approved case</t>
        </is>
      </c>
      <c r="G231" s="27" t="inlineStr">
        <is>
          <t>Three-year risk-adjusted NPV</t>
        </is>
      </c>
      <c r="H231" s="46" t="n">
        <v>1340</v>
      </c>
      <c r="I231" s="27" t="inlineStr"/>
      <c r="J231" s="27" t="inlineStr">
        <is>
          <t>USD thousands</t>
        </is>
      </c>
      <c r="K231" s="27" t="inlineStr">
        <is>
          <t>Finance operating schedule</t>
        </is>
      </c>
      <c r="L231" s="47" t="inlineStr">
        <is>
          <t>2026-06-30</t>
        </is>
      </c>
      <c r="M231" s="27" t="inlineStr"/>
    </row>
    <row r="232">
      <c r="A232" s="36" t="inlineStr">
        <is>
          <t>PLN-01223</t>
        </is>
      </c>
      <c r="B232" s="27" t="inlineStr">
        <is>
          <t>Create the FY27 budget-reallocation optimizer</t>
        </is>
      </c>
      <c r="C232" s="27" t="inlineStr">
        <is>
          <t>Budget reallocation initiatives</t>
        </is>
      </c>
      <c r="D232" s="27" t="inlineStr">
        <is>
          <t>Field scheduling</t>
        </is>
      </c>
      <c r="E232" s="27" t="inlineStr">
        <is>
          <t>FY27</t>
        </is>
      </c>
      <c r="F232" s="27" t="inlineStr">
        <is>
          <t>Approved case</t>
        </is>
      </c>
      <c r="G232" s="27" t="inlineStr">
        <is>
          <t>Dependency</t>
        </is>
      </c>
      <c r="H232" s="46" t="inlineStr"/>
      <c r="I232" s="27" t="inlineStr"/>
      <c r="J232" s="27" t="inlineStr">
        <is>
          <t>classification</t>
        </is>
      </c>
      <c r="K232" s="27" t="inlineStr">
        <is>
          <t>Finance operating schedule</t>
        </is>
      </c>
      <c r="L232" s="47" t="inlineStr">
        <is>
          <t>2026-06-30</t>
        </is>
      </c>
      <c r="M232" s="27" t="inlineStr"/>
    </row>
    <row r="233">
      <c r="A233" s="36" t="inlineStr">
        <is>
          <t>PLN-01224</t>
        </is>
      </c>
      <c r="B233" s="27" t="inlineStr">
        <is>
          <t>Create the FY27 budget-reallocation optimizer</t>
        </is>
      </c>
      <c r="C233" s="27" t="inlineStr">
        <is>
          <t>Budget reallocation initiatives</t>
        </is>
      </c>
      <c r="D233" s="27" t="inlineStr">
        <is>
          <t>Field scheduling</t>
        </is>
      </c>
      <c r="E233" s="27" t="inlineStr">
        <is>
          <t>FY27</t>
        </is>
      </c>
      <c r="F233" s="27" t="inlineStr">
        <is>
          <t>Approved case</t>
        </is>
      </c>
      <c r="G233" s="27" t="inlineStr">
        <is>
          <t>Status</t>
        </is>
      </c>
      <c r="H233" s="46" t="inlineStr"/>
      <c r="I233" s="27" t="inlineStr">
        <is>
          <t>Required</t>
        </is>
      </c>
      <c r="J233" s="27" t="inlineStr">
        <is>
          <t>classification</t>
        </is>
      </c>
      <c r="K233" s="27" t="inlineStr">
        <is>
          <t>Finance operating schedule</t>
        </is>
      </c>
      <c r="L233" s="47" t="inlineStr">
        <is>
          <t>2026-06-30</t>
        </is>
      </c>
      <c r="M233" s="27" t="inlineStr"/>
    </row>
    <row r="234">
      <c r="A234" s="36" t="inlineStr">
        <is>
          <t>PLN-01225</t>
        </is>
      </c>
      <c r="B234" s="27" t="inlineStr">
        <is>
          <t>Create the FY27 budget-reallocation optimizer</t>
        </is>
      </c>
      <c r="C234" s="27" t="inlineStr">
        <is>
          <t>Budget reallocation initiatives</t>
        </is>
      </c>
      <c r="D234" s="27" t="inlineStr">
        <is>
          <t>Service routing AI</t>
        </is>
      </c>
      <c r="E234" s="27" t="inlineStr">
        <is>
          <t>FY27</t>
        </is>
      </c>
      <c r="F234" s="27" t="inlineStr">
        <is>
          <t>Approved case</t>
        </is>
      </c>
      <c r="G234" s="27" t="inlineStr">
        <is>
          <t>FY27 cash spend</t>
        </is>
      </c>
      <c r="H234" s="46" t="n">
        <v>480000</v>
      </c>
      <c r="I234" s="27" t="inlineStr"/>
      <c r="J234" s="27" t="inlineStr">
        <is>
          <t>USD</t>
        </is>
      </c>
      <c r="K234" s="27" t="inlineStr">
        <is>
          <t>Finance operating schedule</t>
        </is>
      </c>
      <c r="L234" s="47" t="inlineStr">
        <is>
          <t>2026-06-30</t>
        </is>
      </c>
      <c r="M234" s="27" t="inlineStr"/>
    </row>
    <row r="235">
      <c r="A235" s="36" t="inlineStr">
        <is>
          <t>PLN-01226</t>
        </is>
      </c>
      <c r="B235" s="27" t="inlineStr">
        <is>
          <t>Create the FY27 budget-reallocation optimizer</t>
        </is>
      </c>
      <c r="C235" s="27" t="inlineStr">
        <is>
          <t>Budget reallocation initiatives</t>
        </is>
      </c>
      <c r="D235" s="27" t="inlineStr">
        <is>
          <t>Service routing AI</t>
        </is>
      </c>
      <c r="E235" s="27" t="inlineStr">
        <is>
          <t>FY27</t>
        </is>
      </c>
      <c r="F235" s="27" t="inlineStr">
        <is>
          <t>Approved case</t>
        </is>
      </c>
      <c r="G235" s="27" t="inlineStr">
        <is>
          <t>Annual EBITDA benefit</t>
        </is>
      </c>
      <c r="H235" s="46" t="n">
        <v>910</v>
      </c>
      <c r="I235" s="27" t="inlineStr"/>
      <c r="J235" s="27" t="inlineStr">
        <is>
          <t>USD thousands</t>
        </is>
      </c>
      <c r="K235" s="27" t="inlineStr">
        <is>
          <t>Finance operating schedule</t>
        </is>
      </c>
      <c r="L235" s="47" t="inlineStr">
        <is>
          <t>2026-06-30</t>
        </is>
      </c>
      <c r="M235" s="27" t="inlineStr"/>
    </row>
    <row r="236">
      <c r="A236" s="36" t="inlineStr">
        <is>
          <t>PLN-01227</t>
        </is>
      </c>
      <c r="B236" s="27" t="inlineStr">
        <is>
          <t>Create the FY27 budget-reallocation optimizer</t>
        </is>
      </c>
      <c r="C236" s="27" t="inlineStr">
        <is>
          <t>Budget reallocation initiatives</t>
        </is>
      </c>
      <c r="D236" s="27" t="inlineStr">
        <is>
          <t>Service routing AI</t>
        </is>
      </c>
      <c r="E236" s="27" t="inlineStr">
        <is>
          <t>FY27</t>
        </is>
      </c>
      <c r="F236" s="27" t="inlineStr">
        <is>
          <t>Approved case</t>
        </is>
      </c>
      <c r="G236" s="27" t="inlineStr">
        <is>
          <t>Realization probability</t>
        </is>
      </c>
      <c r="H236" s="46" t="n">
        <v>0.68</v>
      </c>
      <c r="I236" s="27" t="inlineStr"/>
      <c r="J236" s="27" t="inlineStr">
        <is>
          <t>decimal ratio</t>
        </is>
      </c>
      <c r="K236" s="27" t="inlineStr">
        <is>
          <t>Finance operating schedule</t>
        </is>
      </c>
      <c r="L236" s="47" t="inlineStr">
        <is>
          <t>2026-06-30</t>
        </is>
      </c>
      <c r="M236" s="27" t="inlineStr"/>
    </row>
    <row r="237">
      <c r="A237" s="36" t="inlineStr">
        <is>
          <t>PLN-01228</t>
        </is>
      </c>
      <c r="B237" s="27" t="inlineStr">
        <is>
          <t>Create the FY27 budget-reallocation optimizer</t>
        </is>
      </c>
      <c r="C237" s="27" t="inlineStr">
        <is>
          <t>Budget reallocation initiatives</t>
        </is>
      </c>
      <c r="D237" s="27" t="inlineStr">
        <is>
          <t>Service routing AI</t>
        </is>
      </c>
      <c r="E237" s="27" t="inlineStr">
        <is>
          <t>FY27</t>
        </is>
      </c>
      <c r="F237" s="27" t="inlineStr">
        <is>
          <t>Approved case</t>
        </is>
      </c>
      <c r="G237" s="27" t="inlineStr">
        <is>
          <t>Three-year risk-adjusted NPV</t>
        </is>
      </c>
      <c r="H237" s="46" t="n">
        <v>1080000</v>
      </c>
      <c r="I237" s="27" t="inlineStr"/>
      <c r="J237" s="27" t="inlineStr">
        <is>
          <t>USD</t>
        </is>
      </c>
      <c r="K237" s="27" t="inlineStr">
        <is>
          <t>Finance operating schedule</t>
        </is>
      </c>
      <c r="L237" s="47" t="inlineStr">
        <is>
          <t>2026-06-30</t>
        </is>
      </c>
      <c r="M237" s="27" t="inlineStr"/>
    </row>
    <row r="238">
      <c r="A238" s="36" t="inlineStr">
        <is>
          <t>PLN-01229</t>
        </is>
      </c>
      <c r="B238" s="27" t="inlineStr">
        <is>
          <t>Create the FY27 budget-reallocation optimizer</t>
        </is>
      </c>
      <c r="C238" s="27" t="inlineStr">
        <is>
          <t>Budget reallocation initiatives</t>
        </is>
      </c>
      <c r="D238" s="27" t="inlineStr">
        <is>
          <t>Service routing AI</t>
        </is>
      </c>
      <c r="E238" s="27" t="inlineStr">
        <is>
          <t>FY27</t>
        </is>
      </c>
      <c r="F238" s="27" t="inlineStr">
        <is>
          <t>Approved case</t>
        </is>
      </c>
      <c r="G238" s="27" t="inlineStr">
        <is>
          <t>Dependency</t>
        </is>
      </c>
      <c r="H238" s="46" t="inlineStr"/>
      <c r="I238" s="27" t="inlineStr">
        <is>
          <t>Field scheduling</t>
        </is>
      </c>
      <c r="J238" s="27" t="inlineStr">
        <is>
          <t>classification</t>
        </is>
      </c>
      <c r="K238" s="27" t="inlineStr">
        <is>
          <t>Finance operating schedule</t>
        </is>
      </c>
      <c r="L238" s="47" t="inlineStr">
        <is>
          <t>2026-06-30</t>
        </is>
      </c>
      <c r="M238" s="27" t="inlineStr"/>
    </row>
    <row r="239">
      <c r="A239" s="36" t="inlineStr">
        <is>
          <t>PLN-01230</t>
        </is>
      </c>
      <c r="B239" s="27" t="inlineStr">
        <is>
          <t>Create the FY27 budget-reallocation optimizer</t>
        </is>
      </c>
      <c r="C239" s="27" t="inlineStr">
        <is>
          <t>Budget reallocation initiatives</t>
        </is>
      </c>
      <c r="D239" s="27" t="inlineStr">
        <is>
          <t>Service routing AI</t>
        </is>
      </c>
      <c r="E239" s="27" t="inlineStr">
        <is>
          <t>FY27</t>
        </is>
      </c>
      <c r="F239" s="27" t="inlineStr">
        <is>
          <t>Approved case</t>
        </is>
      </c>
      <c r="G239" s="27" t="inlineStr">
        <is>
          <t>Status</t>
        </is>
      </c>
      <c r="H239" s="46" t="inlineStr"/>
      <c r="I239" s="27" t="inlineStr">
        <is>
          <t>Optional</t>
        </is>
      </c>
      <c r="J239" s="27" t="inlineStr">
        <is>
          <t>classification</t>
        </is>
      </c>
      <c r="K239" s="27" t="inlineStr">
        <is>
          <t>Finance operating schedule</t>
        </is>
      </c>
      <c r="L239" s="47" t="inlineStr">
        <is>
          <t>2026-06-30</t>
        </is>
      </c>
      <c r="M239" s="27" t="inlineStr"/>
    </row>
    <row r="240">
      <c r="A240" s="36" t="inlineStr">
        <is>
          <t>PLN-01231</t>
        </is>
      </c>
      <c r="B240" s="27" t="inlineStr">
        <is>
          <t>Create the FY27 budget-reallocation optimizer</t>
        </is>
      </c>
      <c r="C240" s="27" t="inlineStr">
        <is>
          <t>Budget reallocation initiatives</t>
        </is>
      </c>
      <c r="D240" s="27" t="inlineStr">
        <is>
          <t>Estimator enablement</t>
        </is>
      </c>
      <c r="E240" s="27" t="inlineStr">
        <is>
          <t>FY27</t>
        </is>
      </c>
      <c r="F240" s="27" t="inlineStr">
        <is>
          <t>Approved case</t>
        </is>
      </c>
      <c r="G240" s="27" t="inlineStr">
        <is>
          <t>FY27 cash spend</t>
        </is>
      </c>
      <c r="H240" s="46" t="n">
        <v>350000</v>
      </c>
      <c r="I240" s="27" t="inlineStr"/>
      <c r="J240" s="27" t="inlineStr">
        <is>
          <t>USD</t>
        </is>
      </c>
      <c r="K240" s="27" t="inlineStr">
        <is>
          <t>Finance operating schedule</t>
        </is>
      </c>
      <c r="L240" s="47" t="inlineStr">
        <is>
          <t>2026-06-30</t>
        </is>
      </c>
      <c r="M240" s="27" t="inlineStr"/>
    </row>
    <row r="241">
      <c r="A241" s="36" t="inlineStr">
        <is>
          <t>PLN-01232</t>
        </is>
      </c>
      <c r="B241" s="27" t="inlineStr">
        <is>
          <t>Create the FY27 budget-reallocation optimizer</t>
        </is>
      </c>
      <c r="C241" s="27" t="inlineStr">
        <is>
          <t>Budget reallocation initiatives</t>
        </is>
      </c>
      <c r="D241" s="27" t="inlineStr">
        <is>
          <t>Estimator enablement</t>
        </is>
      </c>
      <c r="E241" s="27" t="inlineStr">
        <is>
          <t>FY27</t>
        </is>
      </c>
      <c r="F241" s="27" t="inlineStr">
        <is>
          <t>Approved case</t>
        </is>
      </c>
      <c r="G241" s="27" t="inlineStr">
        <is>
          <t>Annual EBITDA benefit</t>
        </is>
      </c>
      <c r="H241" s="46" t="n">
        <v>620000</v>
      </c>
      <c r="I241" s="27" t="inlineStr"/>
      <c r="J241" s="27" t="inlineStr">
        <is>
          <t>USD</t>
        </is>
      </c>
      <c r="K241" s="27" t="inlineStr">
        <is>
          <t>Finance operating schedule</t>
        </is>
      </c>
      <c r="L241" s="47" t="inlineStr">
        <is>
          <t>2026-06-30</t>
        </is>
      </c>
      <c r="M241" s="27" t="inlineStr"/>
    </row>
    <row r="242">
      <c r="A242" s="36" t="inlineStr">
        <is>
          <t>PLN-01233</t>
        </is>
      </c>
      <c r="B242" s="27" t="inlineStr">
        <is>
          <t>Create the FY27 budget-reallocation optimizer</t>
        </is>
      </c>
      <c r="C242" s="27" t="inlineStr">
        <is>
          <t>Budget reallocation initiatives</t>
        </is>
      </c>
      <c r="D242" s="27" t="inlineStr">
        <is>
          <t>Estimator enablement</t>
        </is>
      </c>
      <c r="E242" s="27" t="inlineStr">
        <is>
          <t>FY27</t>
        </is>
      </c>
      <c r="F242" s="27" t="inlineStr">
        <is>
          <t>Approved case</t>
        </is>
      </c>
      <c r="G242" s="27" t="inlineStr">
        <is>
          <t>Realization probability</t>
        </is>
      </c>
      <c r="H242" s="46" t="n">
        <v>0.75</v>
      </c>
      <c r="I242" s="27" t="inlineStr"/>
      <c r="J242" s="27" t="inlineStr">
        <is>
          <t>decimal ratio</t>
        </is>
      </c>
      <c r="K242" s="27" t="inlineStr">
        <is>
          <t>Finance operating schedule</t>
        </is>
      </c>
      <c r="L242" s="47" t="inlineStr">
        <is>
          <t>2026-06-30</t>
        </is>
      </c>
      <c r="M242" s="27" t="inlineStr"/>
    </row>
    <row r="243">
      <c r="A243" s="36" t="inlineStr">
        <is>
          <t>PLN-01234</t>
        </is>
      </c>
      <c r="B243" s="27" t="inlineStr">
        <is>
          <t>Create the FY27 budget-reallocation optimizer</t>
        </is>
      </c>
      <c r="C243" s="27" t="inlineStr">
        <is>
          <t>Budget reallocation initiatives</t>
        </is>
      </c>
      <c r="D243" s="27" t="inlineStr">
        <is>
          <t>Estimator enablement</t>
        </is>
      </c>
      <c r="E243" s="27" t="inlineStr">
        <is>
          <t>FY27</t>
        </is>
      </c>
      <c r="F243" s="27" t="inlineStr">
        <is>
          <t>Approved case</t>
        </is>
      </c>
      <c r="G243" s="27" t="inlineStr">
        <is>
          <t>Three-year risk-adjusted NPV</t>
        </is>
      </c>
      <c r="H243" s="46" t="n">
        <v>720</v>
      </c>
      <c r="I243" s="27" t="inlineStr"/>
      <c r="J243" s="27" t="inlineStr">
        <is>
          <t>USD thousands</t>
        </is>
      </c>
      <c r="K243" s="27" t="inlineStr">
        <is>
          <t>Finance operating schedule</t>
        </is>
      </c>
      <c r="L243" s="47" t="inlineStr">
        <is>
          <t>2026-06-30</t>
        </is>
      </c>
      <c r="M243" s="27" t="inlineStr"/>
    </row>
    <row r="244">
      <c r="A244" s="36" t="inlineStr">
        <is>
          <t>PLN-01235</t>
        </is>
      </c>
      <c r="B244" s="27" t="inlineStr">
        <is>
          <t>Create the FY27 budget-reallocation optimizer</t>
        </is>
      </c>
      <c r="C244" s="27" t="inlineStr">
        <is>
          <t>Budget reallocation initiatives</t>
        </is>
      </c>
      <c r="D244" s="27" t="inlineStr">
        <is>
          <t>Estimator enablement</t>
        </is>
      </c>
      <c r="E244" s="27" t="inlineStr">
        <is>
          <t>FY27</t>
        </is>
      </c>
      <c r="F244" s="27" t="inlineStr">
        <is>
          <t>Approved case</t>
        </is>
      </c>
      <c r="G244" s="27" t="inlineStr">
        <is>
          <t>Dependency</t>
        </is>
      </c>
      <c r="H244" s="46" t="inlineStr"/>
      <c r="I244" s="27" t="inlineStr"/>
      <c r="J244" s="27" t="inlineStr">
        <is>
          <t>classification</t>
        </is>
      </c>
      <c r="K244" s="27" t="inlineStr">
        <is>
          <t>Finance operating schedule</t>
        </is>
      </c>
      <c r="L244" s="47" t="inlineStr">
        <is>
          <t>2026-06-30</t>
        </is>
      </c>
      <c r="M244" s="27" t="inlineStr"/>
    </row>
    <row r="245">
      <c r="A245" s="36" t="inlineStr">
        <is>
          <t>PLN-01236</t>
        </is>
      </c>
      <c r="B245" s="27" t="inlineStr">
        <is>
          <t>Create the FY27 budget-reallocation optimizer</t>
        </is>
      </c>
      <c r="C245" s="27" t="inlineStr">
        <is>
          <t>Budget reallocation initiatives</t>
        </is>
      </c>
      <c r="D245" s="27" t="inlineStr">
        <is>
          <t>Estimator enablement</t>
        </is>
      </c>
      <c r="E245" s="27" t="inlineStr">
        <is>
          <t>FY27</t>
        </is>
      </c>
      <c r="F245" s="27" t="inlineStr">
        <is>
          <t>Approved case</t>
        </is>
      </c>
      <c r="G245" s="27" t="inlineStr">
        <is>
          <t>Status</t>
        </is>
      </c>
      <c r="H245" s="46" t="inlineStr"/>
      <c r="I245" s="27" t="inlineStr">
        <is>
          <t>Optional</t>
        </is>
      </c>
      <c r="J245" s="27" t="inlineStr">
        <is>
          <t>classification</t>
        </is>
      </c>
      <c r="K245" s="27" t="inlineStr">
        <is>
          <t>Finance operating schedule</t>
        </is>
      </c>
      <c r="L245" s="47" t="inlineStr">
        <is>
          <t>2026-06-30</t>
        </is>
      </c>
      <c r="M245" s="27" t="inlineStr"/>
    </row>
    <row r="246">
      <c r="A246" s="36" t="inlineStr">
        <is>
          <t>PLN-01237</t>
        </is>
      </c>
      <c r="B246" s="27" t="inlineStr">
        <is>
          <t>Create the FY27 budget-reallocation optimizer</t>
        </is>
      </c>
      <c r="C246" s="27" t="inlineStr">
        <is>
          <t>Budget reallocation initiatives</t>
        </is>
      </c>
      <c r="D246" s="27" t="inlineStr">
        <is>
          <t>Procurement analytics</t>
        </is>
      </c>
      <c r="E246" s="27" t="inlineStr">
        <is>
          <t>FY27</t>
        </is>
      </c>
      <c r="F246" s="27" t="inlineStr">
        <is>
          <t>Approved case</t>
        </is>
      </c>
      <c r="G246" s="27" t="inlineStr">
        <is>
          <t>FY27 cash spend</t>
        </is>
      </c>
      <c r="H246" s="46" t="n">
        <v>540000</v>
      </c>
      <c r="I246" s="27" t="inlineStr"/>
      <c r="J246" s="27" t="inlineStr">
        <is>
          <t>USD</t>
        </is>
      </c>
      <c r="K246" s="27" t="inlineStr">
        <is>
          <t>Finance operating schedule</t>
        </is>
      </c>
      <c r="L246" s="47" t="inlineStr">
        <is>
          <t>2026-06-30</t>
        </is>
      </c>
      <c r="M246" s="27" t="inlineStr"/>
    </row>
    <row r="247">
      <c r="A247" s="36" t="inlineStr">
        <is>
          <t>PLN-01238</t>
        </is>
      </c>
      <c r="B247" s="27" t="inlineStr">
        <is>
          <t>Create the FY27 budget-reallocation optimizer</t>
        </is>
      </c>
      <c r="C247" s="27" t="inlineStr">
        <is>
          <t>Budget reallocation initiatives</t>
        </is>
      </c>
      <c r="D247" s="27" t="inlineStr">
        <is>
          <t>Procurement analytics</t>
        </is>
      </c>
      <c r="E247" s="27" t="inlineStr">
        <is>
          <t>FY27</t>
        </is>
      </c>
      <c r="F247" s="27" t="inlineStr">
        <is>
          <t>Approved case</t>
        </is>
      </c>
      <c r="G247" s="27" t="inlineStr">
        <is>
          <t>Annual EBITDA benefit</t>
        </is>
      </c>
      <c r="H247" s="46" t="n">
        <v>1180</v>
      </c>
      <c r="I247" s="27" t="inlineStr"/>
      <c r="J247" s="27" t="inlineStr">
        <is>
          <t>USD thousands</t>
        </is>
      </c>
      <c r="K247" s="27" t="inlineStr">
        <is>
          <t>Finance operating schedule</t>
        </is>
      </c>
      <c r="L247" s="47" t="inlineStr">
        <is>
          <t>2026-06-30</t>
        </is>
      </c>
      <c r="M247" s="27" t="inlineStr"/>
    </row>
    <row r="248">
      <c r="A248" s="36" t="inlineStr">
        <is>
          <t>PLN-01239</t>
        </is>
      </c>
      <c r="B248" s="27" t="inlineStr">
        <is>
          <t>Create the FY27 budget-reallocation optimizer</t>
        </is>
      </c>
      <c r="C248" s="27" t="inlineStr">
        <is>
          <t>Budget reallocation initiatives</t>
        </is>
      </c>
      <c r="D248" s="27" t="inlineStr">
        <is>
          <t>Procurement analytics</t>
        </is>
      </c>
      <c r="E248" s="27" t="inlineStr">
        <is>
          <t>FY27</t>
        </is>
      </c>
      <c r="F248" s="27" t="inlineStr">
        <is>
          <t>Approved case</t>
        </is>
      </c>
      <c r="G248" s="27" t="inlineStr">
        <is>
          <t>Realization probability</t>
        </is>
      </c>
      <c r="H248" s="46" t="n">
        <v>0.72</v>
      </c>
      <c r="I248" s="27" t="inlineStr"/>
      <c r="J248" s="27" t="inlineStr">
        <is>
          <t>decimal ratio</t>
        </is>
      </c>
      <c r="K248" s="27" t="inlineStr">
        <is>
          <t>Finance operating schedule</t>
        </is>
      </c>
      <c r="L248" s="47" t="inlineStr">
        <is>
          <t>2026-06-30</t>
        </is>
      </c>
      <c r="M248" s="27" t="inlineStr"/>
    </row>
    <row r="249">
      <c r="A249" s="36" t="inlineStr">
        <is>
          <t>PLN-01240</t>
        </is>
      </c>
      <c r="B249" s="27" t="inlineStr">
        <is>
          <t>Create the FY27 budget-reallocation optimizer</t>
        </is>
      </c>
      <c r="C249" s="27" t="inlineStr">
        <is>
          <t>Budget reallocation initiatives</t>
        </is>
      </c>
      <c r="D249" s="27" t="inlineStr">
        <is>
          <t>Procurement analytics</t>
        </is>
      </c>
      <c r="E249" s="27" t="inlineStr">
        <is>
          <t>FY27</t>
        </is>
      </c>
      <c r="F249" s="27" t="inlineStr">
        <is>
          <t>Approved case</t>
        </is>
      </c>
      <c r="G249" s="27" t="inlineStr">
        <is>
          <t>Three-year risk-adjusted NPV</t>
        </is>
      </c>
      <c r="H249" s="46" t="n">
        <v>1420000</v>
      </c>
      <c r="I249" s="27" t="inlineStr"/>
      <c r="J249" s="27" t="inlineStr">
        <is>
          <t>USD</t>
        </is>
      </c>
      <c r="K249" s="27" t="inlineStr">
        <is>
          <t>Finance operating schedule</t>
        </is>
      </c>
      <c r="L249" s="47" t="inlineStr">
        <is>
          <t>2026-06-30</t>
        </is>
      </c>
      <c r="M249" s="27" t="inlineStr"/>
    </row>
    <row r="250">
      <c r="A250" s="36" t="inlineStr">
        <is>
          <t>PLN-01241</t>
        </is>
      </c>
      <c r="B250" s="27" t="inlineStr">
        <is>
          <t>Create the FY27 budget-reallocation optimizer</t>
        </is>
      </c>
      <c r="C250" s="27" t="inlineStr">
        <is>
          <t>Budget reallocation initiatives</t>
        </is>
      </c>
      <c r="D250" s="27" t="inlineStr">
        <is>
          <t>Procurement analytics</t>
        </is>
      </c>
      <c r="E250" s="27" t="inlineStr">
        <is>
          <t>FY27</t>
        </is>
      </c>
      <c r="F250" s="27" t="inlineStr">
        <is>
          <t>Approved case</t>
        </is>
      </c>
      <c r="G250" s="27" t="inlineStr">
        <is>
          <t>Dependency</t>
        </is>
      </c>
      <c r="H250" s="46" t="inlineStr"/>
      <c r="I250" s="27" t="inlineStr"/>
      <c r="J250" s="27" t="inlineStr">
        <is>
          <t>classification</t>
        </is>
      </c>
      <c r="K250" s="27" t="inlineStr">
        <is>
          <t>Finance operating schedule</t>
        </is>
      </c>
      <c r="L250" s="47" t="inlineStr">
        <is>
          <t>2026-06-30</t>
        </is>
      </c>
      <c r="M250" s="27" t="inlineStr"/>
    </row>
    <row r="251">
      <c r="A251" s="36" t="inlineStr">
        <is>
          <t>PLN-01242</t>
        </is>
      </c>
      <c r="B251" s="27" t="inlineStr">
        <is>
          <t>Create the FY27 budget-reallocation optimizer</t>
        </is>
      </c>
      <c r="C251" s="27" t="inlineStr">
        <is>
          <t>Budget reallocation initiatives</t>
        </is>
      </c>
      <c r="D251" s="27" t="inlineStr">
        <is>
          <t>Procurement analytics</t>
        </is>
      </c>
      <c r="E251" s="27" t="inlineStr">
        <is>
          <t>FY27</t>
        </is>
      </c>
      <c r="F251" s="27" t="inlineStr">
        <is>
          <t>Approved case</t>
        </is>
      </c>
      <c r="G251" s="27" t="inlineStr">
        <is>
          <t>Status</t>
        </is>
      </c>
      <c r="H251" s="46" t="inlineStr"/>
      <c r="I251" s="27" t="inlineStr">
        <is>
          <t>Optional</t>
        </is>
      </c>
      <c r="J251" s="27" t="inlineStr">
        <is>
          <t>classification</t>
        </is>
      </c>
      <c r="K251" s="27" t="inlineStr">
        <is>
          <t>Finance operating schedule</t>
        </is>
      </c>
      <c r="L251" s="47" t="inlineStr">
        <is>
          <t>2026-06-30</t>
        </is>
      </c>
      <c r="M251" s="27" t="inlineStr"/>
    </row>
    <row r="252">
      <c r="A252" s="36" t="inlineStr">
        <is>
          <t>PLN-01243</t>
        </is>
      </c>
      <c r="B252" s="27" t="inlineStr">
        <is>
          <t>Create the FY27 budget-reallocation optimizer</t>
        </is>
      </c>
      <c r="C252" s="27" t="inlineStr">
        <is>
          <t>Budget reallocation initiatives</t>
        </is>
      </c>
      <c r="D252" s="27" t="inlineStr">
        <is>
          <t>Controls lab</t>
        </is>
      </c>
      <c r="E252" s="27" t="inlineStr">
        <is>
          <t>FY27</t>
        </is>
      </c>
      <c r="F252" s="27" t="inlineStr">
        <is>
          <t>Approved case</t>
        </is>
      </c>
      <c r="G252" s="27" t="inlineStr">
        <is>
          <t>FY27 cash spend</t>
        </is>
      </c>
      <c r="H252" s="46" t="n">
        <v>775000</v>
      </c>
      <c r="I252" s="27" t="inlineStr"/>
      <c r="J252" s="27" t="inlineStr">
        <is>
          <t>USD</t>
        </is>
      </c>
      <c r="K252" s="27" t="inlineStr">
        <is>
          <t>Finance operating schedule</t>
        </is>
      </c>
      <c r="L252" s="47" t="inlineStr">
        <is>
          <t>2026-06-30</t>
        </is>
      </c>
      <c r="M252" s="27" t="inlineStr"/>
    </row>
    <row r="253">
      <c r="A253" s="36" t="inlineStr">
        <is>
          <t>PLN-01244</t>
        </is>
      </c>
      <c r="B253" s="27" t="inlineStr">
        <is>
          <t>Create the FY27 budget-reallocation optimizer</t>
        </is>
      </c>
      <c r="C253" s="27" t="inlineStr">
        <is>
          <t>Budget reallocation initiatives</t>
        </is>
      </c>
      <c r="D253" s="27" t="inlineStr">
        <is>
          <t>Controls lab</t>
        </is>
      </c>
      <c r="E253" s="27" t="inlineStr">
        <is>
          <t>FY27</t>
        </is>
      </c>
      <c r="F253" s="27" t="inlineStr">
        <is>
          <t>Approved case</t>
        </is>
      </c>
      <c r="G253" s="27" t="inlineStr">
        <is>
          <t>Annual EBITDA benefit</t>
        </is>
      </c>
      <c r="H253" s="46" t="n">
        <v>1260000</v>
      </c>
      <c r="I253" s="27" t="inlineStr"/>
      <c r="J253" s="27" t="inlineStr">
        <is>
          <t>USD</t>
        </is>
      </c>
      <c r="K253" s="27" t="inlineStr">
        <is>
          <t>Finance operating schedule</t>
        </is>
      </c>
      <c r="L253" s="47" t="inlineStr">
        <is>
          <t>2026-06-30</t>
        </is>
      </c>
      <c r="M253" s="27" t="inlineStr"/>
    </row>
    <row r="254">
      <c r="A254" s="36" t="inlineStr">
        <is>
          <t>PLN-01245</t>
        </is>
      </c>
      <c r="B254" s="27" t="inlineStr">
        <is>
          <t>Create the FY27 budget-reallocation optimizer</t>
        </is>
      </c>
      <c r="C254" s="27" t="inlineStr">
        <is>
          <t>Budget reallocation initiatives</t>
        </is>
      </c>
      <c r="D254" s="27" t="inlineStr">
        <is>
          <t>Controls lab</t>
        </is>
      </c>
      <c r="E254" s="27" t="inlineStr">
        <is>
          <t>FY27</t>
        </is>
      </c>
      <c r="F254" s="27" t="inlineStr">
        <is>
          <t>Approved case</t>
        </is>
      </c>
      <c r="G254" s="27" t="inlineStr">
        <is>
          <t>Realization probability</t>
        </is>
      </c>
      <c r="H254" s="46" t="n">
        <v>0.64</v>
      </c>
      <c r="I254" s="27" t="inlineStr"/>
      <c r="J254" s="27" t="inlineStr">
        <is>
          <t>decimal ratio</t>
        </is>
      </c>
      <c r="K254" s="27" t="inlineStr">
        <is>
          <t>Finance operating schedule</t>
        </is>
      </c>
      <c r="L254" s="47" t="inlineStr">
        <is>
          <t>2026-06-30</t>
        </is>
      </c>
      <c r="M254" s="27" t="inlineStr"/>
    </row>
    <row r="255">
      <c r="A255" s="36" t="inlineStr">
        <is>
          <t>PLN-01246</t>
        </is>
      </c>
      <c r="B255" s="27" t="inlineStr">
        <is>
          <t>Create the FY27 budget-reallocation optimizer</t>
        </is>
      </c>
      <c r="C255" s="27" t="inlineStr">
        <is>
          <t>Budget reallocation initiatives</t>
        </is>
      </c>
      <c r="D255" s="27" t="inlineStr">
        <is>
          <t>Controls lab</t>
        </is>
      </c>
      <c r="E255" s="27" t="inlineStr">
        <is>
          <t>FY27</t>
        </is>
      </c>
      <c r="F255" s="27" t="inlineStr">
        <is>
          <t>Approved case</t>
        </is>
      </c>
      <c r="G255" s="27" t="inlineStr">
        <is>
          <t>Three-year risk-adjusted NPV</t>
        </is>
      </c>
      <c r="H255" s="46" t="n">
        <v>1610</v>
      </c>
      <c r="I255" s="27" t="inlineStr"/>
      <c r="J255" s="27" t="inlineStr">
        <is>
          <t>USD thousands</t>
        </is>
      </c>
      <c r="K255" s="27" t="inlineStr">
        <is>
          <t>Finance operating schedule</t>
        </is>
      </c>
      <c r="L255" s="47" t="inlineStr">
        <is>
          <t>2026-06-30</t>
        </is>
      </c>
      <c r="M255" s="27" t="inlineStr"/>
    </row>
    <row r="256">
      <c r="A256" s="36" t="inlineStr">
        <is>
          <t>PLN-01247</t>
        </is>
      </c>
      <c r="B256" s="27" t="inlineStr">
        <is>
          <t>Create the FY27 budget-reallocation optimizer</t>
        </is>
      </c>
      <c r="C256" s="27" t="inlineStr">
        <is>
          <t>Budget reallocation initiatives</t>
        </is>
      </c>
      <c r="D256" s="27" t="inlineStr">
        <is>
          <t>Controls lab</t>
        </is>
      </c>
      <c r="E256" s="27" t="inlineStr">
        <is>
          <t>FY27</t>
        </is>
      </c>
      <c r="F256" s="27" t="inlineStr">
        <is>
          <t>Approved case</t>
        </is>
      </c>
      <c r="G256" s="27" t="inlineStr">
        <is>
          <t>Dependency</t>
        </is>
      </c>
      <c r="H256" s="46" t="inlineStr"/>
      <c r="I256" s="27" t="inlineStr">
        <is>
          <t>Estimator enablement</t>
        </is>
      </c>
      <c r="J256" s="27" t="inlineStr">
        <is>
          <t>classification</t>
        </is>
      </c>
      <c r="K256" s="27" t="inlineStr">
        <is>
          <t>Finance operating schedule</t>
        </is>
      </c>
      <c r="L256" s="47" t="inlineStr">
        <is>
          <t>2026-06-30</t>
        </is>
      </c>
      <c r="M256" s="27" t="inlineStr"/>
    </row>
    <row r="257">
      <c r="A257" s="36" t="inlineStr">
        <is>
          <t>PLN-01248</t>
        </is>
      </c>
      <c r="B257" s="27" t="inlineStr">
        <is>
          <t>Create the FY27 budget-reallocation optimizer</t>
        </is>
      </c>
      <c r="C257" s="27" t="inlineStr">
        <is>
          <t>Budget reallocation initiatives</t>
        </is>
      </c>
      <c r="D257" s="27" t="inlineStr">
        <is>
          <t>Controls lab</t>
        </is>
      </c>
      <c r="E257" s="27" t="inlineStr">
        <is>
          <t>FY27</t>
        </is>
      </c>
      <c r="F257" s="27" t="inlineStr">
        <is>
          <t>Approved case</t>
        </is>
      </c>
      <c r="G257" s="27" t="inlineStr">
        <is>
          <t>Status</t>
        </is>
      </c>
      <c r="H257" s="46" t="inlineStr"/>
      <c r="I257" s="27" t="inlineStr">
        <is>
          <t>Optional</t>
        </is>
      </c>
      <c r="J257" s="27" t="inlineStr">
        <is>
          <t>classification</t>
        </is>
      </c>
      <c r="K257" s="27" t="inlineStr">
        <is>
          <t>Finance operating schedule</t>
        </is>
      </c>
      <c r="L257" s="47" t="inlineStr">
        <is>
          <t>2026-06-30</t>
        </is>
      </c>
      <c r="M257" s="27" t="inlineStr"/>
    </row>
    <row r="258">
      <c r="A258" s="36" t="inlineStr">
        <is>
          <t>PLN-01249</t>
        </is>
      </c>
      <c r="B258" s="27" t="inlineStr">
        <is>
          <t>Create the FY27 budget-reallocation optimizer</t>
        </is>
      </c>
      <c r="C258" s="27" t="inlineStr">
        <is>
          <t>Budget reallocation initiatives</t>
        </is>
      </c>
      <c r="D258" s="27" t="inlineStr">
        <is>
          <t>Branch sales hires</t>
        </is>
      </c>
      <c r="E258" s="27" t="inlineStr">
        <is>
          <t>FY27</t>
        </is>
      </c>
      <c r="F258" s="27" t="inlineStr">
        <is>
          <t>Approved case</t>
        </is>
      </c>
      <c r="G258" s="27" t="inlineStr">
        <is>
          <t>FY27 cash spend</t>
        </is>
      </c>
      <c r="H258" s="46" t="n">
        <v>860000</v>
      </c>
      <c r="I258" s="27" t="inlineStr"/>
      <c r="J258" s="27" t="inlineStr">
        <is>
          <t>USD</t>
        </is>
      </c>
      <c r="K258" s="27" t="inlineStr">
        <is>
          <t>Finance operating schedule</t>
        </is>
      </c>
      <c r="L258" s="47" t="inlineStr">
        <is>
          <t>2026-06-30</t>
        </is>
      </c>
      <c r="M258" s="27" t="inlineStr"/>
    </row>
    <row r="259">
      <c r="A259" s="36" t="inlineStr">
        <is>
          <t>PLN-01250</t>
        </is>
      </c>
      <c r="B259" s="27" t="inlineStr">
        <is>
          <t>Create the FY27 budget-reallocation optimizer</t>
        </is>
      </c>
      <c r="C259" s="27" t="inlineStr">
        <is>
          <t>Budget reallocation initiatives</t>
        </is>
      </c>
      <c r="D259" s="27" t="inlineStr">
        <is>
          <t>Branch sales hires</t>
        </is>
      </c>
      <c r="E259" s="27" t="inlineStr">
        <is>
          <t>FY27</t>
        </is>
      </c>
      <c r="F259" s="27" t="inlineStr">
        <is>
          <t>Approved case</t>
        </is>
      </c>
      <c r="G259" s="27" t="inlineStr">
        <is>
          <t>Annual EBITDA benefit</t>
        </is>
      </c>
      <c r="H259" s="46" t="n">
        <v>1440</v>
      </c>
      <c r="I259" s="27" t="inlineStr"/>
      <c r="J259" s="27" t="inlineStr">
        <is>
          <t>USD thousands</t>
        </is>
      </c>
      <c r="K259" s="27" t="inlineStr">
        <is>
          <t>Finance operating schedule</t>
        </is>
      </c>
      <c r="L259" s="47" t="inlineStr">
        <is>
          <t>2026-06-30</t>
        </is>
      </c>
      <c r="M259" s="27" t="inlineStr"/>
    </row>
    <row r="260">
      <c r="A260" s="36" t="inlineStr">
        <is>
          <t>PLN-01251</t>
        </is>
      </c>
      <c r="B260" s="27" t="inlineStr">
        <is>
          <t>Create the FY27 budget-reallocation optimizer</t>
        </is>
      </c>
      <c r="C260" s="27" t="inlineStr">
        <is>
          <t>Budget reallocation initiatives</t>
        </is>
      </c>
      <c r="D260" s="27" t="inlineStr">
        <is>
          <t>Branch sales hires</t>
        </is>
      </c>
      <c r="E260" s="27" t="inlineStr">
        <is>
          <t>FY27</t>
        </is>
      </c>
      <c r="F260" s="27" t="inlineStr">
        <is>
          <t>Approved case</t>
        </is>
      </c>
      <c r="G260" s="27" t="inlineStr">
        <is>
          <t>Realization probability</t>
        </is>
      </c>
      <c r="H260" s="46" t="n">
        <v>0.58</v>
      </c>
      <c r="I260" s="27" t="inlineStr"/>
      <c r="J260" s="27" t="inlineStr">
        <is>
          <t>decimal ratio</t>
        </is>
      </c>
      <c r="K260" s="27" t="inlineStr">
        <is>
          <t>Finance operating schedule</t>
        </is>
      </c>
      <c r="L260" s="47" t="inlineStr">
        <is>
          <t>2026-06-30</t>
        </is>
      </c>
      <c r="M260" s="27" t="inlineStr"/>
    </row>
    <row r="261">
      <c r="A261" s="36" t="inlineStr">
        <is>
          <t>PLN-01252</t>
        </is>
      </c>
      <c r="B261" s="27" t="inlineStr">
        <is>
          <t>Create the FY27 budget-reallocation optimizer</t>
        </is>
      </c>
      <c r="C261" s="27" t="inlineStr">
        <is>
          <t>Budget reallocation initiatives</t>
        </is>
      </c>
      <c r="D261" s="27" t="inlineStr">
        <is>
          <t>Branch sales hires</t>
        </is>
      </c>
      <c r="E261" s="27" t="inlineStr">
        <is>
          <t>FY27</t>
        </is>
      </c>
      <c r="F261" s="27" t="inlineStr">
        <is>
          <t>Approved case</t>
        </is>
      </c>
      <c r="G261" s="27" t="inlineStr">
        <is>
          <t>Three-year risk-adjusted NPV</t>
        </is>
      </c>
      <c r="H261" s="46" t="n">
        <v>1720000</v>
      </c>
      <c r="I261" s="27" t="inlineStr"/>
      <c r="J261" s="27" t="inlineStr">
        <is>
          <t>USD</t>
        </is>
      </c>
      <c r="K261" s="27" t="inlineStr">
        <is>
          <t>Finance operating schedule</t>
        </is>
      </c>
      <c r="L261" s="47" t="inlineStr">
        <is>
          <t>2026-06-30</t>
        </is>
      </c>
      <c r="M261" s="27" t="inlineStr"/>
    </row>
    <row r="262">
      <c r="A262" s="36" t="inlineStr">
        <is>
          <t>PLN-01253</t>
        </is>
      </c>
      <c r="B262" s="27" t="inlineStr">
        <is>
          <t>Create the FY27 budget-reallocation optimizer</t>
        </is>
      </c>
      <c r="C262" s="27" t="inlineStr">
        <is>
          <t>Budget reallocation initiatives</t>
        </is>
      </c>
      <c r="D262" s="27" t="inlineStr">
        <is>
          <t>Branch sales hires</t>
        </is>
      </c>
      <c r="E262" s="27" t="inlineStr">
        <is>
          <t>FY27</t>
        </is>
      </c>
      <c r="F262" s="27" t="inlineStr">
        <is>
          <t>Approved case</t>
        </is>
      </c>
      <c r="G262" s="27" t="inlineStr">
        <is>
          <t>Dependency</t>
        </is>
      </c>
      <c r="H262" s="46" t="inlineStr"/>
      <c r="I262" s="27" t="inlineStr"/>
      <c r="J262" s="27" t="inlineStr">
        <is>
          <t>classification</t>
        </is>
      </c>
      <c r="K262" s="27" t="inlineStr">
        <is>
          <t>Finance operating schedule</t>
        </is>
      </c>
      <c r="L262" s="47" t="inlineStr">
        <is>
          <t>2026-06-30</t>
        </is>
      </c>
      <c r="M262" s="27" t="inlineStr"/>
    </row>
    <row r="263">
      <c r="A263" s="36" t="inlineStr">
        <is>
          <t>PLN-01254</t>
        </is>
      </c>
      <c r="B263" s="27" t="inlineStr">
        <is>
          <t>Create the FY27 budget-reallocation optimizer</t>
        </is>
      </c>
      <c r="C263" s="27" t="inlineStr">
        <is>
          <t>Budget reallocation initiatives</t>
        </is>
      </c>
      <c r="D263" s="27" t="inlineStr">
        <is>
          <t>Branch sales hires</t>
        </is>
      </c>
      <c r="E263" s="27" t="inlineStr">
        <is>
          <t>FY27</t>
        </is>
      </c>
      <c r="F263" s="27" t="inlineStr">
        <is>
          <t>Approved case</t>
        </is>
      </c>
      <c r="G263" s="27" t="inlineStr">
        <is>
          <t>Status</t>
        </is>
      </c>
      <c r="H263" s="46" t="inlineStr"/>
      <c r="I263" s="27" t="inlineStr">
        <is>
          <t>Optional</t>
        </is>
      </c>
      <c r="J263" s="27" t="inlineStr">
        <is>
          <t>classification</t>
        </is>
      </c>
      <c r="K263" s="27" t="inlineStr">
        <is>
          <t>Finance operating schedule</t>
        </is>
      </c>
      <c r="L263" s="47" t="inlineStr">
        <is>
          <t>2026-06-30</t>
        </is>
      </c>
      <c r="M263" s="27" t="inlineStr"/>
    </row>
    <row r="264">
      <c r="A264" s="36" t="inlineStr">
        <is>
          <t>PLN-01255</t>
        </is>
      </c>
      <c r="B264" s="27" t="inlineStr">
        <is>
          <t>Create the FY27 budget-reallocation optimizer</t>
        </is>
      </c>
      <c r="C264" s="27" t="inlineStr">
        <is>
          <t>Budget reallocation initiatives</t>
        </is>
      </c>
      <c r="D264" s="27" t="inlineStr">
        <is>
          <t>Cyber remediation</t>
        </is>
      </c>
      <c r="E264" s="27" t="inlineStr">
        <is>
          <t>FY27</t>
        </is>
      </c>
      <c r="F264" s="27" t="inlineStr">
        <is>
          <t>Approved case</t>
        </is>
      </c>
      <c r="G264" s="27" t="inlineStr">
        <is>
          <t>FY27 cash spend</t>
        </is>
      </c>
      <c r="H264" s="46" t="n">
        <v>410000</v>
      </c>
      <c r="I264" s="27" t="inlineStr"/>
      <c r="J264" s="27" t="inlineStr">
        <is>
          <t>USD</t>
        </is>
      </c>
      <c r="K264" s="27" t="inlineStr">
        <is>
          <t>Finance operating schedule</t>
        </is>
      </c>
      <c r="L264" s="47" t="inlineStr">
        <is>
          <t>2026-06-30</t>
        </is>
      </c>
      <c r="M264" s="27" t="inlineStr"/>
    </row>
    <row r="265">
      <c r="A265" s="36" t="inlineStr">
        <is>
          <t>PLN-01256</t>
        </is>
      </c>
      <c r="B265" s="27" t="inlineStr">
        <is>
          <t>Create the FY27 budget-reallocation optimizer</t>
        </is>
      </c>
      <c r="C265" s="27" t="inlineStr">
        <is>
          <t>Budget reallocation initiatives</t>
        </is>
      </c>
      <c r="D265" s="27" t="inlineStr">
        <is>
          <t>Cyber remediation</t>
        </is>
      </c>
      <c r="E265" s="27" t="inlineStr">
        <is>
          <t>FY27</t>
        </is>
      </c>
      <c r="F265" s="27" t="inlineStr">
        <is>
          <t>Approved case</t>
        </is>
      </c>
      <c r="G265" s="27" t="inlineStr">
        <is>
          <t>Annual EBITDA benefit</t>
        </is>
      </c>
      <c r="H265" s="46" t="n">
        <v>260000</v>
      </c>
      <c r="I265" s="27" t="inlineStr"/>
      <c r="J265" s="27" t="inlineStr">
        <is>
          <t>USD</t>
        </is>
      </c>
      <c r="K265" s="27" t="inlineStr">
        <is>
          <t>Finance operating schedule</t>
        </is>
      </c>
      <c r="L265" s="47" t="inlineStr">
        <is>
          <t>2026-06-30</t>
        </is>
      </c>
      <c r="M265" s="27" t="inlineStr"/>
    </row>
    <row r="266">
      <c r="A266" s="36" t="inlineStr">
        <is>
          <t>PLN-01257</t>
        </is>
      </c>
      <c r="B266" s="27" t="inlineStr">
        <is>
          <t>Create the FY27 budget-reallocation optimizer</t>
        </is>
      </c>
      <c r="C266" s="27" t="inlineStr">
        <is>
          <t>Budget reallocation initiatives</t>
        </is>
      </c>
      <c r="D266" s="27" t="inlineStr">
        <is>
          <t>Cyber remediation</t>
        </is>
      </c>
      <c r="E266" s="27" t="inlineStr">
        <is>
          <t>FY27</t>
        </is>
      </c>
      <c r="F266" s="27" t="inlineStr">
        <is>
          <t>Approved case</t>
        </is>
      </c>
      <c r="G266" s="27" t="inlineStr">
        <is>
          <t>Realization probability</t>
        </is>
      </c>
      <c r="H266" s="46" t="n">
        <v>1</v>
      </c>
      <c r="I266" s="27" t="inlineStr"/>
      <c r="J266" s="27" t="inlineStr">
        <is>
          <t>decimal ratio</t>
        </is>
      </c>
      <c r="K266" s="27" t="inlineStr">
        <is>
          <t>Finance operating schedule</t>
        </is>
      </c>
      <c r="L266" s="47" t="inlineStr">
        <is>
          <t>2026-06-30</t>
        </is>
      </c>
      <c r="M266" s="27" t="inlineStr"/>
    </row>
    <row r="267">
      <c r="A267" s="36" t="inlineStr">
        <is>
          <t>PLN-01258</t>
        </is>
      </c>
      <c r="B267" s="27" t="inlineStr">
        <is>
          <t>Create the FY27 budget-reallocation optimizer</t>
        </is>
      </c>
      <c r="C267" s="27" t="inlineStr">
        <is>
          <t>Budget reallocation initiatives</t>
        </is>
      </c>
      <c r="D267" s="27" t="inlineStr">
        <is>
          <t>Cyber remediation</t>
        </is>
      </c>
      <c r="E267" s="27" t="inlineStr">
        <is>
          <t>FY27</t>
        </is>
      </c>
      <c r="F267" s="27" t="inlineStr">
        <is>
          <t>Approved case</t>
        </is>
      </c>
      <c r="G267" s="27" t="inlineStr">
        <is>
          <t>Three-year risk-adjusted NPV</t>
        </is>
      </c>
      <c r="H267" s="46" t="n">
        <v>490</v>
      </c>
      <c r="I267" s="27" t="inlineStr"/>
      <c r="J267" s="27" t="inlineStr">
        <is>
          <t>USD thousands</t>
        </is>
      </c>
      <c r="K267" s="27" t="inlineStr">
        <is>
          <t>Finance operating schedule</t>
        </is>
      </c>
      <c r="L267" s="47" t="inlineStr">
        <is>
          <t>2026-06-30</t>
        </is>
      </c>
      <c r="M267" s="27" t="inlineStr"/>
    </row>
    <row r="268">
      <c r="A268" s="36" t="inlineStr">
        <is>
          <t>PLN-01259</t>
        </is>
      </c>
      <c r="B268" s="27" t="inlineStr">
        <is>
          <t>Create the FY27 budget-reallocation optimizer</t>
        </is>
      </c>
      <c r="C268" s="27" t="inlineStr">
        <is>
          <t>Budget reallocation initiatives</t>
        </is>
      </c>
      <c r="D268" s="27" t="inlineStr">
        <is>
          <t>Cyber remediation</t>
        </is>
      </c>
      <c r="E268" s="27" t="inlineStr">
        <is>
          <t>FY27</t>
        </is>
      </c>
      <c r="F268" s="27" t="inlineStr">
        <is>
          <t>Approved case</t>
        </is>
      </c>
      <c r="G268" s="27" t="inlineStr">
        <is>
          <t>Dependency</t>
        </is>
      </c>
      <c r="H268" s="46" t="inlineStr"/>
      <c r="I268" s="27" t="inlineStr"/>
      <c r="J268" s="27" t="inlineStr">
        <is>
          <t>classification</t>
        </is>
      </c>
      <c r="K268" s="27" t="inlineStr">
        <is>
          <t>Finance operating schedule</t>
        </is>
      </c>
      <c r="L268" s="47" t="inlineStr">
        <is>
          <t>2026-06-30</t>
        </is>
      </c>
      <c r="M268" s="27" t="inlineStr"/>
    </row>
    <row r="269">
      <c r="A269" s="36" t="inlineStr">
        <is>
          <t>PLN-01260</t>
        </is>
      </c>
      <c r="B269" s="27" t="inlineStr">
        <is>
          <t>Create the FY27 budget-reallocation optimizer</t>
        </is>
      </c>
      <c r="C269" s="27" t="inlineStr">
        <is>
          <t>Budget reallocation initiatives</t>
        </is>
      </c>
      <c r="D269" s="27" t="inlineStr">
        <is>
          <t>Cyber remediation</t>
        </is>
      </c>
      <c r="E269" s="27" t="inlineStr">
        <is>
          <t>FY27</t>
        </is>
      </c>
      <c r="F269" s="27" t="inlineStr">
        <is>
          <t>Approved case</t>
        </is>
      </c>
      <c r="G269" s="27" t="inlineStr">
        <is>
          <t>Status</t>
        </is>
      </c>
      <c r="H269" s="46" t="inlineStr"/>
      <c r="I269" s="27" t="inlineStr">
        <is>
          <t>Required</t>
        </is>
      </c>
      <c r="J269" s="27" t="inlineStr">
        <is>
          <t>classification</t>
        </is>
      </c>
      <c r="K269" s="27" t="inlineStr">
        <is>
          <t>Finance operating schedule</t>
        </is>
      </c>
      <c r="L269" s="47" t="inlineStr">
        <is>
          <t>2026-06-30</t>
        </is>
      </c>
      <c r="M269" s="27" t="inlineStr"/>
    </row>
    <row r="270">
      <c r="A270" s="36" t="inlineStr">
        <is>
          <t>PLN-01261</t>
        </is>
      </c>
      <c r="B270" s="27" t="inlineStr">
        <is>
          <t>Create the FY27 budget-reallocation optimizer</t>
        </is>
      </c>
      <c r="C270" s="27" t="inlineStr">
        <is>
          <t>Budget reallocation initiatives</t>
        </is>
      </c>
      <c r="D270" s="27" t="inlineStr">
        <is>
          <t>Fleet telematics</t>
        </is>
      </c>
      <c r="E270" s="27" t="inlineStr">
        <is>
          <t>FY27</t>
        </is>
      </c>
      <c r="F270" s="27" t="inlineStr">
        <is>
          <t>Approved case</t>
        </is>
      </c>
      <c r="G270" s="27" t="inlineStr">
        <is>
          <t>FY27 cash spend</t>
        </is>
      </c>
      <c r="H270" s="46" t="n">
        <v>290000</v>
      </c>
      <c r="I270" s="27" t="inlineStr"/>
      <c r="J270" s="27" t="inlineStr">
        <is>
          <t>USD</t>
        </is>
      </c>
      <c r="K270" s="27" t="inlineStr">
        <is>
          <t>Finance operating schedule</t>
        </is>
      </c>
      <c r="L270" s="47" t="inlineStr">
        <is>
          <t>2026-06-30</t>
        </is>
      </c>
      <c r="M270" s="27" t="inlineStr"/>
    </row>
    <row r="271">
      <c r="A271" s="36" t="inlineStr">
        <is>
          <t>PLN-01262</t>
        </is>
      </c>
      <c r="B271" s="27" t="inlineStr">
        <is>
          <t>Create the FY27 budget-reallocation optimizer</t>
        </is>
      </c>
      <c r="C271" s="27" t="inlineStr">
        <is>
          <t>Budget reallocation initiatives</t>
        </is>
      </c>
      <c r="D271" s="27" t="inlineStr">
        <is>
          <t>Fleet telematics</t>
        </is>
      </c>
      <c r="E271" s="27" t="inlineStr">
        <is>
          <t>FY27</t>
        </is>
      </c>
      <c r="F271" s="27" t="inlineStr">
        <is>
          <t>Approved case</t>
        </is>
      </c>
      <c r="G271" s="27" t="inlineStr">
        <is>
          <t>Annual EBITDA benefit</t>
        </is>
      </c>
      <c r="H271" s="46" t="n">
        <v>510</v>
      </c>
      <c r="I271" s="27" t="inlineStr"/>
      <c r="J271" s="27" t="inlineStr">
        <is>
          <t>USD thousands</t>
        </is>
      </c>
      <c r="K271" s="27" t="inlineStr">
        <is>
          <t>Finance operating schedule</t>
        </is>
      </c>
      <c r="L271" s="47" t="inlineStr">
        <is>
          <t>2026-06-30</t>
        </is>
      </c>
      <c r="M271" s="27" t="inlineStr"/>
    </row>
    <row r="272">
      <c r="A272" s="36" t="inlineStr">
        <is>
          <t>PLN-01263</t>
        </is>
      </c>
      <c r="B272" s="27" t="inlineStr">
        <is>
          <t>Create the FY27 budget-reallocation optimizer</t>
        </is>
      </c>
      <c r="C272" s="27" t="inlineStr">
        <is>
          <t>Budget reallocation initiatives</t>
        </is>
      </c>
      <c r="D272" s="27" t="inlineStr">
        <is>
          <t>Fleet telematics</t>
        </is>
      </c>
      <c r="E272" s="27" t="inlineStr">
        <is>
          <t>FY27</t>
        </is>
      </c>
      <c r="F272" s="27" t="inlineStr">
        <is>
          <t>Approved case</t>
        </is>
      </c>
      <c r="G272" s="27" t="inlineStr">
        <is>
          <t>Realization probability</t>
        </is>
      </c>
      <c r="H272" s="46" t="n">
        <v>0.88</v>
      </c>
      <c r="I272" s="27" t="inlineStr"/>
      <c r="J272" s="27" t="inlineStr">
        <is>
          <t>decimal ratio</t>
        </is>
      </c>
      <c r="K272" s="27" t="inlineStr">
        <is>
          <t>Finance operating schedule</t>
        </is>
      </c>
      <c r="L272" s="47" t="inlineStr">
        <is>
          <t>2026-06-30</t>
        </is>
      </c>
      <c r="M272" s="27" t="inlineStr"/>
    </row>
    <row r="273">
      <c r="A273" s="36" t="inlineStr">
        <is>
          <t>PLN-01264</t>
        </is>
      </c>
      <c r="B273" s="27" t="inlineStr">
        <is>
          <t>Create the FY27 budget-reallocation optimizer</t>
        </is>
      </c>
      <c r="C273" s="27" t="inlineStr">
        <is>
          <t>Budget reallocation initiatives</t>
        </is>
      </c>
      <c r="D273" s="27" t="inlineStr">
        <is>
          <t>Fleet telematics</t>
        </is>
      </c>
      <c r="E273" s="27" t="inlineStr">
        <is>
          <t>FY27</t>
        </is>
      </c>
      <c r="F273" s="27" t="inlineStr">
        <is>
          <t>Approved case</t>
        </is>
      </c>
      <c r="G273" s="27" t="inlineStr">
        <is>
          <t>Three-year risk-adjusted NPV</t>
        </is>
      </c>
      <c r="H273" s="46" t="n">
        <v>650000</v>
      </c>
      <c r="I273" s="27" t="inlineStr"/>
      <c r="J273" s="27" t="inlineStr">
        <is>
          <t>USD</t>
        </is>
      </c>
      <c r="K273" s="27" t="inlineStr">
        <is>
          <t>Finance operating schedule</t>
        </is>
      </c>
      <c r="L273" s="47" t="inlineStr">
        <is>
          <t>2026-06-30</t>
        </is>
      </c>
      <c r="M273" s="27" t="inlineStr"/>
    </row>
    <row r="274">
      <c r="A274" s="36" t="inlineStr">
        <is>
          <t>PLN-01265</t>
        </is>
      </c>
      <c r="B274" s="27" t="inlineStr">
        <is>
          <t>Create the FY27 budget-reallocation optimizer</t>
        </is>
      </c>
      <c r="C274" s="27" t="inlineStr">
        <is>
          <t>Budget reallocation initiatives</t>
        </is>
      </c>
      <c r="D274" s="27" t="inlineStr">
        <is>
          <t>Fleet telematics</t>
        </is>
      </c>
      <c r="E274" s="27" t="inlineStr">
        <is>
          <t>FY27</t>
        </is>
      </c>
      <c r="F274" s="27" t="inlineStr">
        <is>
          <t>Approved case</t>
        </is>
      </c>
      <c r="G274" s="27" t="inlineStr">
        <is>
          <t>Dependency</t>
        </is>
      </c>
      <c r="H274" s="46" t="inlineStr"/>
      <c r="I274" s="27" t="inlineStr"/>
      <c r="J274" s="27" t="inlineStr">
        <is>
          <t>classification</t>
        </is>
      </c>
      <c r="K274" s="27" t="inlineStr">
        <is>
          <t>Finance operating schedule</t>
        </is>
      </c>
      <c r="L274" s="47" t="inlineStr">
        <is>
          <t>2026-06-30</t>
        </is>
      </c>
      <c r="M274" s="27" t="inlineStr"/>
    </row>
    <row r="275">
      <c r="A275" s="36" t="inlineStr">
        <is>
          <t>PLN-01266</t>
        </is>
      </c>
      <c r="B275" s="27" t="inlineStr">
        <is>
          <t>Create the FY27 budget-reallocation optimizer</t>
        </is>
      </c>
      <c r="C275" s="27" t="inlineStr">
        <is>
          <t>Budget reallocation initiatives</t>
        </is>
      </c>
      <c r="D275" s="27" t="inlineStr">
        <is>
          <t>Fleet telematics</t>
        </is>
      </c>
      <c r="E275" s="27" t="inlineStr">
        <is>
          <t>FY27</t>
        </is>
      </c>
      <c r="F275" s="27" t="inlineStr">
        <is>
          <t>Approved case</t>
        </is>
      </c>
      <c r="G275" s="27" t="inlineStr">
        <is>
          <t>Status</t>
        </is>
      </c>
      <c r="H275" s="46" t="inlineStr"/>
      <c r="I275" s="27" t="inlineStr">
        <is>
          <t>Optional</t>
        </is>
      </c>
      <c r="J275" s="27" t="inlineStr">
        <is>
          <t>classification</t>
        </is>
      </c>
      <c r="K275" s="27" t="inlineStr">
        <is>
          <t>Finance operating schedule</t>
        </is>
      </c>
      <c r="L275" s="47" t="inlineStr">
        <is>
          <t>2026-06-30</t>
        </is>
      </c>
      <c r="M275" s="27" t="inlineStr"/>
    </row>
    <row r="276">
      <c r="A276" s="36" t="inlineStr">
        <is>
          <t>PLN-01267</t>
        </is>
      </c>
      <c r="B276" s="27" t="inlineStr">
        <is>
          <t>Create the FY27 budget-reallocation optimizer</t>
        </is>
      </c>
      <c r="C276" s="27" t="inlineStr">
        <is>
          <t>Budget optimization policy</t>
        </is>
      </c>
      <c r="D276" s="27" t="inlineStr">
        <is>
          <t>Portfolio</t>
        </is>
      </c>
      <c r="E276" s="27" t="inlineStr">
        <is>
          <t>FY27</t>
        </is>
      </c>
      <c r="F276" s="27" t="inlineStr">
        <is>
          <t>Approved case</t>
        </is>
      </c>
      <c r="G276" s="27" t="inlineStr">
        <is>
          <t>Reallocation budget</t>
        </is>
      </c>
      <c r="H276" s="46" t="n">
        <v>3250000</v>
      </c>
      <c r="I276" s="27" t="inlineStr"/>
      <c r="J276" s="27" t="inlineStr">
        <is>
          <t>USD</t>
        </is>
      </c>
      <c r="K276" s="27" t="inlineStr">
        <is>
          <t>Finance operating schedule</t>
        </is>
      </c>
      <c r="L276" s="47" t="inlineStr">
        <is>
          <t>2026-06-30</t>
        </is>
      </c>
      <c r="M276" s="27" t="inlineStr"/>
    </row>
    <row r="277">
      <c r="A277" s="36" t="inlineStr">
        <is>
          <t>PLN-01268</t>
        </is>
      </c>
      <c r="B277" s="27" t="inlineStr">
        <is>
          <t>Create the FY27 budget-reallocation optimizer</t>
        </is>
      </c>
      <c r="C277" s="27" t="inlineStr">
        <is>
          <t>Budget optimization policy</t>
        </is>
      </c>
      <c r="D277" s="27" t="inlineStr">
        <is>
          <t>Portfolio</t>
        </is>
      </c>
      <c r="E277" s="27" t="inlineStr">
        <is>
          <t>FY27</t>
        </is>
      </c>
      <c r="F277" s="27" t="inlineStr">
        <is>
          <t>Approved case</t>
        </is>
      </c>
      <c r="G277" s="27" t="inlineStr">
        <is>
          <t>Minimum expected EBITDA benefit</t>
        </is>
      </c>
      <c r="H277" s="46" t="n">
        <v>2500000</v>
      </c>
      <c r="I277" s="27" t="inlineStr"/>
      <c r="J277" s="27" t="inlineStr">
        <is>
          <t>USD</t>
        </is>
      </c>
      <c r="K277" s="27" t="inlineStr">
        <is>
          <t>Finance operating schedule</t>
        </is>
      </c>
      <c r="L277" s="47" t="inlineStr">
        <is>
          <t>2026-06-30</t>
        </is>
      </c>
      <c r="M277" s="27" t="inlineStr"/>
    </row>
    <row r="278">
      <c r="A278" s="36" t="inlineStr">
        <is>
          <t>PLN-01269</t>
        </is>
      </c>
      <c r="B278" s="27" t="inlineStr">
        <is>
          <t>Create the FY27 budget-reallocation optimizer</t>
        </is>
      </c>
      <c r="C278" s="27" t="inlineStr">
        <is>
          <t>Budget optimization policy</t>
        </is>
      </c>
      <c r="D278" s="27" t="inlineStr">
        <is>
          <t>Portfolio</t>
        </is>
      </c>
      <c r="E278" s="27" t="inlineStr">
        <is>
          <t>FY27</t>
        </is>
      </c>
      <c r="F278" s="27" t="inlineStr">
        <is>
          <t>Approved case</t>
        </is>
      </c>
      <c r="G278" s="27" t="inlineStr">
        <is>
          <t>Maximum initiatives</t>
        </is>
      </c>
      <c r="H278" s="46" t="n">
        <v>6</v>
      </c>
      <c r="I278" s="27" t="inlineStr"/>
      <c r="J278" s="27" t="inlineStr">
        <is>
          <t>count</t>
        </is>
      </c>
      <c r="K278" s="27" t="inlineStr">
        <is>
          <t>Finance operating schedule</t>
        </is>
      </c>
      <c r="L278" s="47" t="inlineStr">
        <is>
          <t>2026-06-30</t>
        </is>
      </c>
      <c r="M278" s="27" t="inlineStr"/>
    </row>
    <row r="279">
      <c r="A279" s="36" t="inlineStr">
        <is>
          <t>PLN-01284</t>
        </is>
      </c>
      <c r="B279" s="27" t="inlineStr">
        <is>
          <t>Create the FY27 budget-reallocation optimizer</t>
        </is>
      </c>
      <c r="C279" s="27" t="inlineStr">
        <is>
          <t>Hardened initiative constraints</t>
        </is>
      </c>
      <c r="D279" s="27" t="inlineStr">
        <is>
          <t>Field scheduling</t>
        </is>
      </c>
      <c r="E279" s="27" t="inlineStr">
        <is>
          <t>Portfolio</t>
        </is>
      </c>
      <c r="F279" s="27" t="inlineStr">
        <is>
          <t>Approved case</t>
        </is>
      </c>
      <c r="G279" s="27" t="inlineStr">
        <is>
          <t>FY28 cash spend</t>
        </is>
      </c>
      <c r="H279" s="46" t="n">
        <v>310000</v>
      </c>
      <c r="I279" s="27" t="inlineStr"/>
      <c r="J279" s="27" t="inlineStr">
        <is>
          <t>USD</t>
        </is>
      </c>
      <c r="K279" s="27" t="inlineStr">
        <is>
          <t>Finance operating schedule</t>
        </is>
      </c>
      <c r="L279" s="47" t="inlineStr">
        <is>
          <t>2026-06-30</t>
        </is>
      </c>
      <c r="M279" s="27" t="inlineStr"/>
    </row>
    <row r="280">
      <c r="A280" s="36" t="inlineStr">
        <is>
          <t>PLN-01285</t>
        </is>
      </c>
      <c r="B280" s="27" t="inlineStr">
        <is>
          <t>Create the FY27 budget-reallocation optimizer</t>
        </is>
      </c>
      <c r="C280" s="27" t="inlineStr">
        <is>
          <t>Hardened initiative constraints</t>
        </is>
      </c>
      <c r="D280" s="27" t="inlineStr">
        <is>
          <t>Field scheduling</t>
        </is>
      </c>
      <c r="E280" s="27" t="inlineStr">
        <is>
          <t>Portfolio</t>
        </is>
      </c>
      <c r="F280" s="27" t="inlineStr">
        <is>
          <t>Approved case</t>
        </is>
      </c>
      <c r="G280" s="27" t="inlineStr">
        <is>
          <t>Scarce technician hours</t>
        </is>
      </c>
      <c r="H280" s="46" t="n">
        <v>320</v>
      </c>
      <c r="I280" s="27" t="inlineStr"/>
      <c r="J280" s="27" t="inlineStr">
        <is>
          <t>hours</t>
        </is>
      </c>
      <c r="K280" s="27" t="inlineStr">
        <is>
          <t>Finance operating schedule</t>
        </is>
      </c>
      <c r="L280" s="47" t="inlineStr">
        <is>
          <t>2026-06-30</t>
        </is>
      </c>
      <c r="M280" s="27" t="inlineStr"/>
    </row>
    <row r="281">
      <c r="A281" s="36" t="inlineStr">
        <is>
          <t>PLN-01286</t>
        </is>
      </c>
      <c r="B281" s="27" t="inlineStr">
        <is>
          <t>Create the FY27 budget-reallocation optimizer</t>
        </is>
      </c>
      <c r="C281" s="27" t="inlineStr">
        <is>
          <t>Hardened initiative constraints</t>
        </is>
      </c>
      <c r="D281" s="27" t="inlineStr">
        <is>
          <t>Field scheduling</t>
        </is>
      </c>
      <c r="E281" s="27" t="inlineStr">
        <is>
          <t>Portfolio</t>
        </is>
      </c>
      <c r="F281" s="27" t="inlineStr">
        <is>
          <t>Approved case</t>
        </is>
      </c>
      <c r="G281" s="27" t="inlineStr">
        <is>
          <t>Benefit domain</t>
        </is>
      </c>
      <c r="H281" s="46" t="inlineStr"/>
      <c r="I281" s="27" t="inlineStr">
        <is>
          <t>Operations</t>
        </is>
      </c>
      <c r="J281" s="27" t="inlineStr">
        <is>
          <t>classification</t>
        </is>
      </c>
      <c r="K281" s="27" t="inlineStr">
        <is>
          <t>Finance operating schedule</t>
        </is>
      </c>
      <c r="L281" s="47" t="inlineStr">
        <is>
          <t>2026-06-30</t>
        </is>
      </c>
      <c r="M281" s="27" t="inlineStr"/>
    </row>
    <row r="282">
      <c r="A282" s="36" t="inlineStr">
        <is>
          <t>PLN-01287</t>
        </is>
      </c>
      <c r="B282" s="27" t="inlineStr">
        <is>
          <t>Create the FY27 budget-reallocation optimizer</t>
        </is>
      </c>
      <c r="C282" s="27" t="inlineStr">
        <is>
          <t>Hardened initiative constraints</t>
        </is>
      </c>
      <c r="D282" s="27" t="inlineStr">
        <is>
          <t>Field scheduling</t>
        </is>
      </c>
      <c r="E282" s="27" t="inlineStr">
        <is>
          <t>Portfolio</t>
        </is>
      </c>
      <c r="F282" s="27" t="inlineStr">
        <is>
          <t>Approved case</t>
        </is>
      </c>
      <c r="G282" s="27" t="inlineStr">
        <is>
          <t>Resilience initiative</t>
        </is>
      </c>
      <c r="H282" s="46" t="n">
        <v>0</v>
      </c>
      <c r="I282" s="27" t="inlineStr"/>
      <c r="J282" s="27" t="inlineStr">
        <is>
          <t>boolean</t>
        </is>
      </c>
      <c r="K282" s="27" t="inlineStr">
        <is>
          <t>Finance operating schedule</t>
        </is>
      </c>
      <c r="L282" s="47" t="inlineStr">
        <is>
          <t>2026-06-30</t>
        </is>
      </c>
      <c r="M282" s="27" t="inlineStr"/>
    </row>
    <row r="283">
      <c r="A283" s="36" t="inlineStr">
        <is>
          <t>PLN-01288</t>
        </is>
      </c>
      <c r="B283" s="27" t="inlineStr">
        <is>
          <t>Create the FY27 budget-reallocation optimizer</t>
        </is>
      </c>
      <c r="C283" s="27" t="inlineStr">
        <is>
          <t>Hardened initiative constraints</t>
        </is>
      </c>
      <c r="D283" s="27" t="inlineStr">
        <is>
          <t>Field scheduling</t>
        </is>
      </c>
      <c r="E283" s="27" t="inlineStr">
        <is>
          <t>Portfolio</t>
        </is>
      </c>
      <c r="F283" s="27" t="inlineStr">
        <is>
          <t>Approved case</t>
        </is>
      </c>
      <c r="G283" s="27" t="inlineStr">
        <is>
          <t>Mutually exclusive with</t>
        </is>
      </c>
      <c r="H283" s="46" t="inlineStr"/>
      <c r="I283" s="27" t="inlineStr"/>
      <c r="J283" s="27" t="inlineStr">
        <is>
          <t>classification</t>
        </is>
      </c>
      <c r="K283" s="27" t="inlineStr">
        <is>
          <t>Finance operating schedule</t>
        </is>
      </c>
      <c r="L283" s="47" t="inlineStr">
        <is>
          <t>2026-06-30</t>
        </is>
      </c>
      <c r="M283" s="27" t="inlineStr"/>
    </row>
    <row r="284">
      <c r="A284" s="36" t="inlineStr">
        <is>
          <t>PLN-01289</t>
        </is>
      </c>
      <c r="B284" s="27" t="inlineStr">
        <is>
          <t>Create the FY27 budget-reallocation optimizer</t>
        </is>
      </c>
      <c r="C284" s="27" t="inlineStr">
        <is>
          <t>Hardened initiative constraints</t>
        </is>
      </c>
      <c r="D284" s="27" t="inlineStr">
        <is>
          <t>Service routing AI</t>
        </is>
      </c>
      <c r="E284" s="27" t="inlineStr">
        <is>
          <t>Portfolio</t>
        </is>
      </c>
      <c r="F284" s="27" t="inlineStr">
        <is>
          <t>Approved case</t>
        </is>
      </c>
      <c r="G284" s="27" t="inlineStr">
        <is>
          <t>FY28 cash spend</t>
        </is>
      </c>
      <c r="H284" s="46" t="n">
        <v>220000</v>
      </c>
      <c r="I284" s="27" t="inlineStr"/>
      <c r="J284" s="27" t="inlineStr">
        <is>
          <t>USD</t>
        </is>
      </c>
      <c r="K284" s="27" t="inlineStr">
        <is>
          <t>Finance operating schedule</t>
        </is>
      </c>
      <c r="L284" s="47" t="inlineStr">
        <is>
          <t>2026-06-30</t>
        </is>
      </c>
      <c r="M284" s="27" t="inlineStr"/>
    </row>
    <row r="285">
      <c r="A285" s="36" t="inlineStr">
        <is>
          <t>PLN-01290</t>
        </is>
      </c>
      <c r="B285" s="27" t="inlineStr">
        <is>
          <t>Create the FY27 budget-reallocation optimizer</t>
        </is>
      </c>
      <c r="C285" s="27" t="inlineStr">
        <is>
          <t>Hardened initiative constraints</t>
        </is>
      </c>
      <c r="D285" s="27" t="inlineStr">
        <is>
          <t>Service routing AI</t>
        </is>
      </c>
      <c r="E285" s="27" t="inlineStr">
        <is>
          <t>Portfolio</t>
        </is>
      </c>
      <c r="F285" s="27" t="inlineStr">
        <is>
          <t>Approved case</t>
        </is>
      </c>
      <c r="G285" s="27" t="inlineStr">
        <is>
          <t>Scarce technician hours</t>
        </is>
      </c>
      <c r="H285" s="46" t="n">
        <v>510</v>
      </c>
      <c r="I285" s="27" t="inlineStr"/>
      <c r="J285" s="27" t="inlineStr">
        <is>
          <t>hours</t>
        </is>
      </c>
      <c r="K285" s="27" t="inlineStr">
        <is>
          <t>Finance operating schedule</t>
        </is>
      </c>
      <c r="L285" s="47" t="inlineStr">
        <is>
          <t>2026-06-30</t>
        </is>
      </c>
      <c r="M285" s="27" t="inlineStr"/>
    </row>
    <row r="286">
      <c r="A286" s="36" t="inlineStr">
        <is>
          <t>PLN-01291</t>
        </is>
      </c>
      <c r="B286" s="27" t="inlineStr">
        <is>
          <t>Create the FY27 budget-reallocation optimizer</t>
        </is>
      </c>
      <c r="C286" s="27" t="inlineStr">
        <is>
          <t>Hardened initiative constraints</t>
        </is>
      </c>
      <c r="D286" s="27" t="inlineStr">
        <is>
          <t>Service routing AI</t>
        </is>
      </c>
      <c r="E286" s="27" t="inlineStr">
        <is>
          <t>Portfolio</t>
        </is>
      </c>
      <c r="F286" s="27" t="inlineStr">
        <is>
          <t>Approved case</t>
        </is>
      </c>
      <c r="G286" s="27" t="inlineStr">
        <is>
          <t>Benefit domain</t>
        </is>
      </c>
      <c r="H286" s="46" t="inlineStr"/>
      <c r="I286" s="27" t="inlineStr">
        <is>
          <t>Service</t>
        </is>
      </c>
      <c r="J286" s="27" t="inlineStr">
        <is>
          <t>classification</t>
        </is>
      </c>
      <c r="K286" s="27" t="inlineStr">
        <is>
          <t>Finance operating schedule</t>
        </is>
      </c>
      <c r="L286" s="47" t="inlineStr">
        <is>
          <t>2026-06-30</t>
        </is>
      </c>
      <c r="M286" s="27" t="inlineStr"/>
    </row>
    <row r="287">
      <c r="A287" s="36" t="inlineStr">
        <is>
          <t>PLN-01292</t>
        </is>
      </c>
      <c r="B287" s="27" t="inlineStr">
        <is>
          <t>Create the FY27 budget-reallocation optimizer</t>
        </is>
      </c>
      <c r="C287" s="27" t="inlineStr">
        <is>
          <t>Hardened initiative constraints</t>
        </is>
      </c>
      <c r="D287" s="27" t="inlineStr">
        <is>
          <t>Service routing AI</t>
        </is>
      </c>
      <c r="E287" s="27" t="inlineStr">
        <is>
          <t>Portfolio</t>
        </is>
      </c>
      <c r="F287" s="27" t="inlineStr">
        <is>
          <t>Approved case</t>
        </is>
      </c>
      <c r="G287" s="27" t="inlineStr">
        <is>
          <t>Resilience initiative</t>
        </is>
      </c>
      <c r="H287" s="46" t="n">
        <v>0</v>
      </c>
      <c r="I287" s="27" t="inlineStr"/>
      <c r="J287" s="27" t="inlineStr">
        <is>
          <t>boolean</t>
        </is>
      </c>
      <c r="K287" s="27" t="inlineStr">
        <is>
          <t>Finance operating schedule</t>
        </is>
      </c>
      <c r="L287" s="47" t="inlineStr">
        <is>
          <t>2026-06-30</t>
        </is>
      </c>
      <c r="M287" s="27" t="inlineStr"/>
    </row>
    <row r="288">
      <c r="A288" s="36" t="inlineStr">
        <is>
          <t>PLN-01293</t>
        </is>
      </c>
      <c r="B288" s="27" t="inlineStr">
        <is>
          <t>Create the FY27 budget-reallocation optimizer</t>
        </is>
      </c>
      <c r="C288" s="27" t="inlineStr">
        <is>
          <t>Hardened initiative constraints</t>
        </is>
      </c>
      <c r="D288" s="27" t="inlineStr">
        <is>
          <t>Service routing AI</t>
        </is>
      </c>
      <c r="E288" s="27" t="inlineStr">
        <is>
          <t>Portfolio</t>
        </is>
      </c>
      <c r="F288" s="27" t="inlineStr">
        <is>
          <t>Approved case</t>
        </is>
      </c>
      <c r="G288" s="27" t="inlineStr">
        <is>
          <t>Mutually exclusive with</t>
        </is>
      </c>
      <c r="H288" s="46" t="inlineStr"/>
      <c r="I288" s="27" t="inlineStr"/>
      <c r="J288" s="27" t="inlineStr">
        <is>
          <t>classification</t>
        </is>
      </c>
      <c r="K288" s="27" t="inlineStr">
        <is>
          <t>Finance operating schedule</t>
        </is>
      </c>
      <c r="L288" s="47" t="inlineStr">
        <is>
          <t>2026-06-30</t>
        </is>
      </c>
      <c r="M288" s="27" t="inlineStr"/>
    </row>
    <row r="289">
      <c r="A289" s="36" t="inlineStr">
        <is>
          <t>PLN-01294</t>
        </is>
      </c>
      <c r="B289" s="27" t="inlineStr">
        <is>
          <t>Create the FY27 budget-reallocation optimizer</t>
        </is>
      </c>
      <c r="C289" s="27" t="inlineStr">
        <is>
          <t>Hardened initiative constraints</t>
        </is>
      </c>
      <c r="D289" s="27" t="inlineStr">
        <is>
          <t>Estimator enablement</t>
        </is>
      </c>
      <c r="E289" s="27" t="inlineStr">
        <is>
          <t>Portfolio</t>
        </is>
      </c>
      <c r="F289" s="27" t="inlineStr">
        <is>
          <t>Approved case</t>
        </is>
      </c>
      <c r="G289" s="27" t="inlineStr">
        <is>
          <t>FY28 cash spend</t>
        </is>
      </c>
      <c r="H289" s="46" t="n">
        <v>175000</v>
      </c>
      <c r="I289" s="27" t="inlineStr"/>
      <c r="J289" s="27" t="inlineStr">
        <is>
          <t>USD</t>
        </is>
      </c>
      <c r="K289" s="27" t="inlineStr">
        <is>
          <t>Finance operating schedule</t>
        </is>
      </c>
      <c r="L289" s="47" t="inlineStr">
        <is>
          <t>2026-06-30</t>
        </is>
      </c>
      <c r="M289" s="27" t="inlineStr"/>
    </row>
    <row r="290">
      <c r="A290" s="36" t="inlineStr">
        <is>
          <t>PLN-01295</t>
        </is>
      </c>
      <c r="B290" s="27" t="inlineStr">
        <is>
          <t>Create the FY27 budget-reallocation optimizer</t>
        </is>
      </c>
      <c r="C290" s="27" t="inlineStr">
        <is>
          <t>Hardened initiative constraints</t>
        </is>
      </c>
      <c r="D290" s="27" t="inlineStr">
        <is>
          <t>Estimator enablement</t>
        </is>
      </c>
      <c r="E290" s="27" t="inlineStr">
        <is>
          <t>Portfolio</t>
        </is>
      </c>
      <c r="F290" s="27" t="inlineStr">
        <is>
          <t>Approved case</t>
        </is>
      </c>
      <c r="G290" s="27" t="inlineStr">
        <is>
          <t>Scarce technician hours</t>
        </is>
      </c>
      <c r="H290" s="46" t="n">
        <v>240</v>
      </c>
      <c r="I290" s="27" t="inlineStr"/>
      <c r="J290" s="27" t="inlineStr">
        <is>
          <t>hours</t>
        </is>
      </c>
      <c r="K290" s="27" t="inlineStr">
        <is>
          <t>Finance operating schedule</t>
        </is>
      </c>
      <c r="L290" s="47" t="inlineStr">
        <is>
          <t>2026-06-30</t>
        </is>
      </c>
      <c r="M290" s="27" t="inlineStr"/>
    </row>
    <row r="291">
      <c r="A291" s="36" t="inlineStr">
        <is>
          <t>PLN-01296</t>
        </is>
      </c>
      <c r="B291" s="27" t="inlineStr">
        <is>
          <t>Create the FY27 budget-reallocation optimizer</t>
        </is>
      </c>
      <c r="C291" s="27" t="inlineStr">
        <is>
          <t>Hardened initiative constraints</t>
        </is>
      </c>
      <c r="D291" s="27" t="inlineStr">
        <is>
          <t>Estimator enablement</t>
        </is>
      </c>
      <c r="E291" s="27" t="inlineStr">
        <is>
          <t>Portfolio</t>
        </is>
      </c>
      <c r="F291" s="27" t="inlineStr">
        <is>
          <t>Approved case</t>
        </is>
      </c>
      <c r="G291" s="27" t="inlineStr">
        <is>
          <t>Benefit domain</t>
        </is>
      </c>
      <c r="H291" s="46" t="inlineStr"/>
      <c r="I291" s="27" t="inlineStr">
        <is>
          <t>Construction</t>
        </is>
      </c>
      <c r="J291" s="27" t="inlineStr">
        <is>
          <t>classification</t>
        </is>
      </c>
      <c r="K291" s="27" t="inlineStr">
        <is>
          <t>Finance operating schedule</t>
        </is>
      </c>
      <c r="L291" s="47" t="inlineStr">
        <is>
          <t>2026-06-30</t>
        </is>
      </c>
      <c r="M291" s="27" t="inlineStr"/>
    </row>
    <row r="292">
      <c r="A292" s="36" t="inlineStr">
        <is>
          <t>PLN-01297</t>
        </is>
      </c>
      <c r="B292" s="27" t="inlineStr">
        <is>
          <t>Create the FY27 budget-reallocation optimizer</t>
        </is>
      </c>
      <c r="C292" s="27" t="inlineStr">
        <is>
          <t>Hardened initiative constraints</t>
        </is>
      </c>
      <c r="D292" s="27" t="inlineStr">
        <is>
          <t>Estimator enablement</t>
        </is>
      </c>
      <c r="E292" s="27" t="inlineStr">
        <is>
          <t>Portfolio</t>
        </is>
      </c>
      <c r="F292" s="27" t="inlineStr">
        <is>
          <t>Approved case</t>
        </is>
      </c>
      <c r="G292" s="27" t="inlineStr">
        <is>
          <t>Resilience initiative</t>
        </is>
      </c>
      <c r="H292" s="46" t="n">
        <v>0</v>
      </c>
      <c r="I292" s="27" t="inlineStr"/>
      <c r="J292" s="27" t="inlineStr">
        <is>
          <t>boolean</t>
        </is>
      </c>
      <c r="K292" s="27" t="inlineStr">
        <is>
          <t>Finance operating schedule</t>
        </is>
      </c>
      <c r="L292" s="47" t="inlineStr">
        <is>
          <t>2026-06-30</t>
        </is>
      </c>
      <c r="M292" s="27" t="inlineStr"/>
    </row>
    <row r="293">
      <c r="A293" s="36" t="inlineStr">
        <is>
          <t>PLN-01298</t>
        </is>
      </c>
      <c r="B293" s="27" t="inlineStr">
        <is>
          <t>Create the FY27 budget-reallocation optimizer</t>
        </is>
      </c>
      <c r="C293" s="27" t="inlineStr">
        <is>
          <t>Hardened initiative constraints</t>
        </is>
      </c>
      <c r="D293" s="27" t="inlineStr">
        <is>
          <t>Estimator enablement</t>
        </is>
      </c>
      <c r="E293" s="27" t="inlineStr">
        <is>
          <t>Portfolio</t>
        </is>
      </c>
      <c r="F293" s="27" t="inlineStr">
        <is>
          <t>Approved case</t>
        </is>
      </c>
      <c r="G293" s="27" t="inlineStr">
        <is>
          <t>Mutually exclusive with</t>
        </is>
      </c>
      <c r="H293" s="46" t="inlineStr"/>
      <c r="I293" s="27" t="inlineStr"/>
      <c r="J293" s="27" t="inlineStr">
        <is>
          <t>classification</t>
        </is>
      </c>
      <c r="K293" s="27" t="inlineStr">
        <is>
          <t>Finance operating schedule</t>
        </is>
      </c>
      <c r="L293" s="47" t="inlineStr">
        <is>
          <t>2026-06-30</t>
        </is>
      </c>
      <c r="M293" s="27" t="inlineStr"/>
    </row>
    <row r="294">
      <c r="A294" s="36" t="inlineStr">
        <is>
          <t>PLN-01299</t>
        </is>
      </c>
      <c r="B294" s="27" t="inlineStr">
        <is>
          <t>Create the FY27 budget-reallocation optimizer</t>
        </is>
      </c>
      <c r="C294" s="27" t="inlineStr">
        <is>
          <t>Hardened initiative constraints</t>
        </is>
      </c>
      <c r="D294" s="27" t="inlineStr">
        <is>
          <t>Procurement analytics</t>
        </is>
      </c>
      <c r="E294" s="27" t="inlineStr">
        <is>
          <t>Portfolio</t>
        </is>
      </c>
      <c r="F294" s="27" t="inlineStr">
        <is>
          <t>Approved case</t>
        </is>
      </c>
      <c r="G294" s="27" t="inlineStr">
        <is>
          <t>FY28 cash spend</t>
        </is>
      </c>
      <c r="H294" s="46" t="n">
        <v>380</v>
      </c>
      <c r="I294" s="27" t="inlineStr"/>
      <c r="J294" s="27" t="inlineStr">
        <is>
          <t>USD thousands</t>
        </is>
      </c>
      <c r="K294" s="27" t="inlineStr">
        <is>
          <t>Finance operating schedule</t>
        </is>
      </c>
      <c r="L294" s="47" t="inlineStr">
        <is>
          <t>2026-06-30</t>
        </is>
      </c>
      <c r="M294" s="27" t="inlineStr"/>
    </row>
    <row r="295">
      <c r="A295" s="36" t="inlineStr">
        <is>
          <t>PLN-01300</t>
        </is>
      </c>
      <c r="B295" s="27" t="inlineStr">
        <is>
          <t>Create the FY27 budget-reallocation optimizer</t>
        </is>
      </c>
      <c r="C295" s="27" t="inlineStr">
        <is>
          <t>Hardened initiative constraints</t>
        </is>
      </c>
      <c r="D295" s="27" t="inlineStr">
        <is>
          <t>Procurement analytics</t>
        </is>
      </c>
      <c r="E295" s="27" t="inlineStr">
        <is>
          <t>Portfolio</t>
        </is>
      </c>
      <c r="F295" s="27" t="inlineStr">
        <is>
          <t>Approved case</t>
        </is>
      </c>
      <c r="G295" s="27" t="inlineStr">
        <is>
          <t>Scarce technician hours</t>
        </is>
      </c>
      <c r="H295" s="46" t="n">
        <v>190</v>
      </c>
      <c r="I295" s="27" t="inlineStr"/>
      <c r="J295" s="27" t="inlineStr">
        <is>
          <t>hours</t>
        </is>
      </c>
      <c r="K295" s="27" t="inlineStr">
        <is>
          <t>Finance operating schedule</t>
        </is>
      </c>
      <c r="L295" s="47" t="inlineStr">
        <is>
          <t>2026-06-30</t>
        </is>
      </c>
      <c r="M295" s="27" t="inlineStr"/>
    </row>
    <row r="296">
      <c r="A296" s="36" t="inlineStr">
        <is>
          <t>PLN-01301</t>
        </is>
      </c>
      <c r="B296" s="27" t="inlineStr">
        <is>
          <t>Create the FY27 budget-reallocation optimizer</t>
        </is>
      </c>
      <c r="C296" s="27" t="inlineStr">
        <is>
          <t>Hardened initiative constraints</t>
        </is>
      </c>
      <c r="D296" s="27" t="inlineStr">
        <is>
          <t>Procurement analytics</t>
        </is>
      </c>
      <c r="E296" s="27" t="inlineStr">
        <is>
          <t>Portfolio</t>
        </is>
      </c>
      <c r="F296" s="27" t="inlineStr">
        <is>
          <t>Approved case</t>
        </is>
      </c>
      <c r="G296" s="27" t="inlineStr">
        <is>
          <t>Benefit domain</t>
        </is>
      </c>
      <c r="H296" s="46" t="inlineStr"/>
      <c r="I296" s="27" t="inlineStr">
        <is>
          <t>Operations</t>
        </is>
      </c>
      <c r="J296" s="27" t="inlineStr">
        <is>
          <t>classification</t>
        </is>
      </c>
      <c r="K296" s="27" t="inlineStr">
        <is>
          <t>Finance operating schedule</t>
        </is>
      </c>
      <c r="L296" s="47" t="inlineStr">
        <is>
          <t>2026-06-30</t>
        </is>
      </c>
      <c r="M296" s="27" t="inlineStr"/>
    </row>
    <row r="297">
      <c r="A297" s="36" t="inlineStr">
        <is>
          <t>PLN-01302</t>
        </is>
      </c>
      <c r="B297" s="27" t="inlineStr">
        <is>
          <t>Create the FY27 budget-reallocation optimizer</t>
        </is>
      </c>
      <c r="C297" s="27" t="inlineStr">
        <is>
          <t>Hardened initiative constraints</t>
        </is>
      </c>
      <c r="D297" s="27" t="inlineStr">
        <is>
          <t>Procurement analytics</t>
        </is>
      </c>
      <c r="E297" s="27" t="inlineStr">
        <is>
          <t>Portfolio</t>
        </is>
      </c>
      <c r="F297" s="27" t="inlineStr">
        <is>
          <t>Approved case</t>
        </is>
      </c>
      <c r="G297" s="27" t="inlineStr">
        <is>
          <t>Resilience initiative</t>
        </is>
      </c>
      <c r="H297" s="46" t="n">
        <v>0</v>
      </c>
      <c r="I297" s="27" t="inlineStr"/>
      <c r="J297" s="27" t="inlineStr">
        <is>
          <t>boolean</t>
        </is>
      </c>
      <c r="K297" s="27" t="inlineStr">
        <is>
          <t>Finance operating schedule</t>
        </is>
      </c>
      <c r="L297" s="47" t="inlineStr">
        <is>
          <t>2026-06-30</t>
        </is>
      </c>
      <c r="M297" s="27" t="inlineStr"/>
    </row>
    <row r="298">
      <c r="A298" s="36" t="inlineStr">
        <is>
          <t>PLN-01303</t>
        </is>
      </c>
      <c r="B298" s="27" t="inlineStr">
        <is>
          <t>Create the FY27 budget-reallocation optimizer</t>
        </is>
      </c>
      <c r="C298" s="27" t="inlineStr">
        <is>
          <t>Hardened initiative constraints</t>
        </is>
      </c>
      <c r="D298" s="27" t="inlineStr">
        <is>
          <t>Procurement analytics</t>
        </is>
      </c>
      <c r="E298" s="27" t="inlineStr">
        <is>
          <t>Portfolio</t>
        </is>
      </c>
      <c r="F298" s="27" t="inlineStr">
        <is>
          <t>Approved case</t>
        </is>
      </c>
      <c r="G298" s="27" t="inlineStr">
        <is>
          <t>Mutually exclusive with</t>
        </is>
      </c>
      <c r="H298" s="46" t="inlineStr"/>
      <c r="I298" s="27" t="inlineStr">
        <is>
          <t>Branch sales hires</t>
        </is>
      </c>
      <c r="J298" s="27" t="inlineStr">
        <is>
          <t>classification</t>
        </is>
      </c>
      <c r="K298" s="27" t="inlineStr">
        <is>
          <t>Finance operating schedule</t>
        </is>
      </c>
      <c r="L298" s="47" t="inlineStr">
        <is>
          <t>2026-06-30</t>
        </is>
      </c>
      <c r="M298" s="27" t="inlineStr"/>
    </row>
    <row r="299">
      <c r="A299" s="36" t="inlineStr">
        <is>
          <t>PLN-01304</t>
        </is>
      </c>
      <c r="B299" s="27" t="inlineStr">
        <is>
          <t>Create the FY27 budget-reallocation optimizer</t>
        </is>
      </c>
      <c r="C299" s="27" t="inlineStr">
        <is>
          <t>Hardened initiative constraints</t>
        </is>
      </c>
      <c r="D299" s="27" t="inlineStr">
        <is>
          <t>Controls lab</t>
        </is>
      </c>
      <c r="E299" s="27" t="inlineStr">
        <is>
          <t>Portfolio</t>
        </is>
      </c>
      <c r="F299" s="27" t="inlineStr">
        <is>
          <t>Approved case</t>
        </is>
      </c>
      <c r="G299" s="27" t="inlineStr">
        <is>
          <t>FY28 cash spend</t>
        </is>
      </c>
      <c r="H299" s="46" t="n">
        <v>640000</v>
      </c>
      <c r="I299" s="27" t="inlineStr"/>
      <c r="J299" s="27" t="inlineStr">
        <is>
          <t>USD</t>
        </is>
      </c>
      <c r="K299" s="27" t="inlineStr">
        <is>
          <t>Finance operating schedule</t>
        </is>
      </c>
      <c r="L299" s="47" t="inlineStr">
        <is>
          <t>2026-06-30</t>
        </is>
      </c>
      <c r="M299" s="27" t="inlineStr"/>
    </row>
    <row r="300">
      <c r="A300" s="36" t="inlineStr">
        <is>
          <t>PLN-01305</t>
        </is>
      </c>
      <c r="B300" s="27" t="inlineStr">
        <is>
          <t>Create the FY27 budget-reallocation optimizer</t>
        </is>
      </c>
      <c r="C300" s="27" t="inlineStr">
        <is>
          <t>Hardened initiative constraints</t>
        </is>
      </c>
      <c r="D300" s="27" t="inlineStr">
        <is>
          <t>Controls lab</t>
        </is>
      </c>
      <c r="E300" s="27" t="inlineStr">
        <is>
          <t>Portfolio</t>
        </is>
      </c>
      <c r="F300" s="27" t="inlineStr">
        <is>
          <t>Approved case</t>
        </is>
      </c>
      <c r="G300" s="27" t="inlineStr">
        <is>
          <t>Scarce technician hours</t>
        </is>
      </c>
      <c r="H300" s="46" t="n">
        <v>690</v>
      </c>
      <c r="I300" s="27" t="inlineStr"/>
      <c r="J300" s="27" t="inlineStr">
        <is>
          <t>hours</t>
        </is>
      </c>
      <c r="K300" s="27" t="inlineStr">
        <is>
          <t>Finance operating schedule</t>
        </is>
      </c>
      <c r="L300" s="47" t="inlineStr">
        <is>
          <t>2026-06-30</t>
        </is>
      </c>
      <c r="M300" s="27" t="inlineStr"/>
    </row>
    <row r="301">
      <c r="A301" s="36" t="inlineStr">
        <is>
          <t>PLN-01306</t>
        </is>
      </c>
      <c r="B301" s="27" t="inlineStr">
        <is>
          <t>Create the FY27 budget-reallocation optimizer</t>
        </is>
      </c>
      <c r="C301" s="27" t="inlineStr">
        <is>
          <t>Hardened initiative constraints</t>
        </is>
      </c>
      <c r="D301" s="27" t="inlineStr">
        <is>
          <t>Controls lab</t>
        </is>
      </c>
      <c r="E301" s="27" t="inlineStr">
        <is>
          <t>Portfolio</t>
        </is>
      </c>
      <c r="F301" s="27" t="inlineStr">
        <is>
          <t>Approved case</t>
        </is>
      </c>
      <c r="G301" s="27" t="inlineStr">
        <is>
          <t>Benefit domain</t>
        </is>
      </c>
      <c r="H301" s="46" t="inlineStr"/>
      <c r="I301" s="27" t="inlineStr">
        <is>
          <t>Controls</t>
        </is>
      </c>
      <c r="J301" s="27" t="inlineStr">
        <is>
          <t>classification</t>
        </is>
      </c>
      <c r="K301" s="27" t="inlineStr">
        <is>
          <t>Finance operating schedule</t>
        </is>
      </c>
      <c r="L301" s="47" t="inlineStr">
        <is>
          <t>2026-06-30</t>
        </is>
      </c>
      <c r="M301" s="27" t="inlineStr"/>
    </row>
    <row r="302">
      <c r="A302" s="36" t="inlineStr">
        <is>
          <t>PLN-01307</t>
        </is>
      </c>
      <c r="B302" s="27" t="inlineStr">
        <is>
          <t>Create the FY27 budget-reallocation optimizer</t>
        </is>
      </c>
      <c r="C302" s="27" t="inlineStr">
        <is>
          <t>Hardened initiative constraints</t>
        </is>
      </c>
      <c r="D302" s="27" t="inlineStr">
        <is>
          <t>Controls lab</t>
        </is>
      </c>
      <c r="E302" s="27" t="inlineStr">
        <is>
          <t>Portfolio</t>
        </is>
      </c>
      <c r="F302" s="27" t="inlineStr">
        <is>
          <t>Approved case</t>
        </is>
      </c>
      <c r="G302" s="27" t="inlineStr">
        <is>
          <t>Resilience initiative</t>
        </is>
      </c>
      <c r="H302" s="46" t="n">
        <v>0</v>
      </c>
      <c r="I302" s="27" t="inlineStr"/>
      <c r="J302" s="27" t="inlineStr">
        <is>
          <t>boolean</t>
        </is>
      </c>
      <c r="K302" s="27" t="inlineStr">
        <is>
          <t>Finance operating schedule</t>
        </is>
      </c>
      <c r="L302" s="47" t="inlineStr">
        <is>
          <t>2026-06-30</t>
        </is>
      </c>
      <c r="M302" s="27" t="inlineStr"/>
    </row>
    <row r="303">
      <c r="A303" s="36" t="inlineStr">
        <is>
          <t>PLN-01308</t>
        </is>
      </c>
      <c r="B303" s="27" t="inlineStr">
        <is>
          <t>Create the FY27 budget-reallocation optimizer</t>
        </is>
      </c>
      <c r="C303" s="27" t="inlineStr">
        <is>
          <t>Hardened initiative constraints</t>
        </is>
      </c>
      <c r="D303" s="27" t="inlineStr">
        <is>
          <t>Controls lab</t>
        </is>
      </c>
      <c r="E303" s="27" t="inlineStr">
        <is>
          <t>Portfolio</t>
        </is>
      </c>
      <c r="F303" s="27" t="inlineStr">
        <is>
          <t>Approved case</t>
        </is>
      </c>
      <c r="G303" s="27" t="inlineStr">
        <is>
          <t>Mutually exclusive with</t>
        </is>
      </c>
      <c r="H303" s="46" t="inlineStr"/>
      <c r="I303" s="27" t="inlineStr">
        <is>
          <t>Branch sales hires</t>
        </is>
      </c>
      <c r="J303" s="27" t="inlineStr">
        <is>
          <t>classification</t>
        </is>
      </c>
      <c r="K303" s="27" t="inlineStr">
        <is>
          <t>Finance operating schedule</t>
        </is>
      </c>
      <c r="L303" s="47" t="inlineStr">
        <is>
          <t>2026-06-30</t>
        </is>
      </c>
      <c r="M303" s="27" t="inlineStr"/>
    </row>
    <row r="304">
      <c r="A304" s="36" t="inlineStr">
        <is>
          <t>PLN-01309</t>
        </is>
      </c>
      <c r="B304" s="27" t="inlineStr">
        <is>
          <t>Create the FY27 budget-reallocation optimizer</t>
        </is>
      </c>
      <c r="C304" s="27" t="inlineStr">
        <is>
          <t>Hardened initiative constraints</t>
        </is>
      </c>
      <c r="D304" s="27" t="inlineStr">
        <is>
          <t>Branch sales hires</t>
        </is>
      </c>
      <c r="E304" s="27" t="inlineStr">
        <is>
          <t>Portfolio</t>
        </is>
      </c>
      <c r="F304" s="27" t="inlineStr">
        <is>
          <t>Approved case</t>
        </is>
      </c>
      <c r="G304" s="27" t="inlineStr">
        <is>
          <t>FY28 cash spend</t>
        </is>
      </c>
      <c r="H304" s="46" t="n">
        <v>520000</v>
      </c>
      <c r="I304" s="27" t="inlineStr"/>
      <c r="J304" s="27" t="inlineStr">
        <is>
          <t>USD</t>
        </is>
      </c>
      <c r="K304" s="27" t="inlineStr">
        <is>
          <t>Finance operating schedule</t>
        </is>
      </c>
      <c r="L304" s="47" t="inlineStr">
        <is>
          <t>2026-06-30</t>
        </is>
      </c>
      <c r="M304" s="27" t="inlineStr"/>
    </row>
    <row r="305">
      <c r="A305" s="36" t="inlineStr">
        <is>
          <t>PLN-01310</t>
        </is>
      </c>
      <c r="B305" s="27" t="inlineStr">
        <is>
          <t>Create the FY27 budget-reallocation optimizer</t>
        </is>
      </c>
      <c r="C305" s="27" t="inlineStr">
        <is>
          <t>Hardened initiative constraints</t>
        </is>
      </c>
      <c r="D305" s="27" t="inlineStr">
        <is>
          <t>Branch sales hires</t>
        </is>
      </c>
      <c r="E305" s="27" t="inlineStr">
        <is>
          <t>Portfolio</t>
        </is>
      </c>
      <c r="F305" s="27" t="inlineStr">
        <is>
          <t>Approved case</t>
        </is>
      </c>
      <c r="G305" s="27" t="inlineStr">
        <is>
          <t>Scarce technician hours</t>
        </is>
      </c>
      <c r="H305" s="46" t="n">
        <v>260</v>
      </c>
      <c r="I305" s="27" t="inlineStr"/>
      <c r="J305" s="27" t="inlineStr">
        <is>
          <t>hours</t>
        </is>
      </c>
      <c r="K305" s="27" t="inlineStr">
        <is>
          <t>Finance operating schedule</t>
        </is>
      </c>
      <c r="L305" s="47" t="inlineStr">
        <is>
          <t>2026-06-30</t>
        </is>
      </c>
      <c r="M305" s="27" t="inlineStr"/>
    </row>
    <row r="306">
      <c r="A306" s="36" t="inlineStr">
        <is>
          <t>PLN-01311</t>
        </is>
      </c>
      <c r="B306" s="27" t="inlineStr">
        <is>
          <t>Create the FY27 budget-reallocation optimizer</t>
        </is>
      </c>
      <c r="C306" s="27" t="inlineStr">
        <is>
          <t>Hardened initiative constraints</t>
        </is>
      </c>
      <c r="D306" s="27" t="inlineStr">
        <is>
          <t>Branch sales hires</t>
        </is>
      </c>
      <c r="E306" s="27" t="inlineStr">
        <is>
          <t>Portfolio</t>
        </is>
      </c>
      <c r="F306" s="27" t="inlineStr">
        <is>
          <t>Approved case</t>
        </is>
      </c>
      <c r="G306" s="27" t="inlineStr">
        <is>
          <t>Benefit domain</t>
        </is>
      </c>
      <c r="H306" s="46" t="inlineStr"/>
      <c r="I306" s="27" t="inlineStr">
        <is>
          <t>Commercial</t>
        </is>
      </c>
      <c r="J306" s="27" t="inlineStr">
        <is>
          <t>classification</t>
        </is>
      </c>
      <c r="K306" s="27" t="inlineStr">
        <is>
          <t>Finance operating schedule</t>
        </is>
      </c>
      <c r="L306" s="47" t="inlineStr">
        <is>
          <t>2026-06-30</t>
        </is>
      </c>
      <c r="M306" s="27" t="inlineStr"/>
    </row>
    <row r="307">
      <c r="A307" s="36" t="inlineStr">
        <is>
          <t>PLN-01312</t>
        </is>
      </c>
      <c r="B307" s="27" t="inlineStr">
        <is>
          <t>Create the FY27 budget-reallocation optimizer</t>
        </is>
      </c>
      <c r="C307" s="27" t="inlineStr">
        <is>
          <t>Hardened initiative constraints</t>
        </is>
      </c>
      <c r="D307" s="27" t="inlineStr">
        <is>
          <t>Branch sales hires</t>
        </is>
      </c>
      <c r="E307" s="27" t="inlineStr">
        <is>
          <t>Portfolio</t>
        </is>
      </c>
      <c r="F307" s="27" t="inlineStr">
        <is>
          <t>Approved case</t>
        </is>
      </c>
      <c r="G307" s="27" t="inlineStr">
        <is>
          <t>Resilience initiative</t>
        </is>
      </c>
      <c r="H307" s="46" t="n">
        <v>0</v>
      </c>
      <c r="I307" s="27" t="inlineStr"/>
      <c r="J307" s="27" t="inlineStr">
        <is>
          <t>boolean</t>
        </is>
      </c>
      <c r="K307" s="27" t="inlineStr">
        <is>
          <t>Finance operating schedule</t>
        </is>
      </c>
      <c r="L307" s="47" t="inlineStr">
        <is>
          <t>2026-06-30</t>
        </is>
      </c>
      <c r="M307" s="27" t="inlineStr"/>
    </row>
    <row r="308">
      <c r="A308" s="36" t="inlineStr">
        <is>
          <t>PLN-01313</t>
        </is>
      </c>
      <c r="B308" s="27" t="inlineStr">
        <is>
          <t>Create the FY27 budget-reallocation optimizer</t>
        </is>
      </c>
      <c r="C308" s="27" t="inlineStr">
        <is>
          <t>Hardened initiative constraints</t>
        </is>
      </c>
      <c r="D308" s="27" t="inlineStr">
        <is>
          <t>Branch sales hires</t>
        </is>
      </c>
      <c r="E308" s="27" t="inlineStr">
        <is>
          <t>Portfolio</t>
        </is>
      </c>
      <c r="F308" s="27" t="inlineStr">
        <is>
          <t>Approved case</t>
        </is>
      </c>
      <c r="G308" s="27" t="inlineStr">
        <is>
          <t>Mutually exclusive with</t>
        </is>
      </c>
      <c r="H308" s="46" t="inlineStr"/>
      <c r="I308" s="27" t="inlineStr">
        <is>
          <t>Controls lab; Procurement analytics</t>
        </is>
      </c>
      <c r="J308" s="27" t="inlineStr">
        <is>
          <t>classification</t>
        </is>
      </c>
      <c r="K308" s="27" t="inlineStr">
        <is>
          <t>Finance operating schedule</t>
        </is>
      </c>
      <c r="L308" s="47" t="inlineStr">
        <is>
          <t>2026-06-30</t>
        </is>
      </c>
      <c r="M308" s="27" t="inlineStr"/>
    </row>
    <row r="309">
      <c r="A309" s="36" t="inlineStr">
        <is>
          <t>PLN-01314</t>
        </is>
      </c>
      <c r="B309" s="27" t="inlineStr">
        <is>
          <t>Create the FY27 budget-reallocation optimizer</t>
        </is>
      </c>
      <c r="C309" s="27" t="inlineStr">
        <is>
          <t>Hardened initiative constraints</t>
        </is>
      </c>
      <c r="D309" s="27" t="inlineStr">
        <is>
          <t>Cyber remediation</t>
        </is>
      </c>
      <c r="E309" s="27" t="inlineStr">
        <is>
          <t>Portfolio</t>
        </is>
      </c>
      <c r="F309" s="27" t="inlineStr">
        <is>
          <t>Approved case</t>
        </is>
      </c>
      <c r="G309" s="27" t="inlineStr">
        <is>
          <t>FY28 cash spend</t>
        </is>
      </c>
      <c r="H309" s="46" t="n">
        <v>210000</v>
      </c>
      <c r="I309" s="27" t="inlineStr"/>
      <c r="J309" s="27" t="inlineStr">
        <is>
          <t>USD</t>
        </is>
      </c>
      <c r="K309" s="27" t="inlineStr">
        <is>
          <t>Finance operating schedule</t>
        </is>
      </c>
      <c r="L309" s="47" t="inlineStr">
        <is>
          <t>2026-06-30</t>
        </is>
      </c>
      <c r="M309" s="27" t="inlineStr"/>
    </row>
    <row r="310">
      <c r="A310" s="36" t="inlineStr">
        <is>
          <t>PLN-01315</t>
        </is>
      </c>
      <c r="B310" s="27" t="inlineStr">
        <is>
          <t>Create the FY27 budget-reallocation optimizer</t>
        </is>
      </c>
      <c r="C310" s="27" t="inlineStr">
        <is>
          <t>Hardened initiative constraints</t>
        </is>
      </c>
      <c r="D310" s="27" t="inlineStr">
        <is>
          <t>Cyber remediation</t>
        </is>
      </c>
      <c r="E310" s="27" t="inlineStr">
        <is>
          <t>Portfolio</t>
        </is>
      </c>
      <c r="F310" s="27" t="inlineStr">
        <is>
          <t>Approved case</t>
        </is>
      </c>
      <c r="G310" s="27" t="inlineStr">
        <is>
          <t>Scarce technician hours</t>
        </is>
      </c>
      <c r="H310" s="46" t="n">
        <v>80</v>
      </c>
      <c r="I310" s="27" t="inlineStr"/>
      <c r="J310" s="27" t="inlineStr">
        <is>
          <t>hours</t>
        </is>
      </c>
      <c r="K310" s="27" t="inlineStr">
        <is>
          <t>Finance operating schedule</t>
        </is>
      </c>
      <c r="L310" s="47" t="inlineStr">
        <is>
          <t>2026-06-30</t>
        </is>
      </c>
      <c r="M310" s="27" t="inlineStr"/>
    </row>
    <row r="311">
      <c r="A311" s="36" t="inlineStr">
        <is>
          <t>PLN-01316</t>
        </is>
      </c>
      <c r="B311" s="27" t="inlineStr">
        <is>
          <t>Create the FY27 budget-reallocation optimizer</t>
        </is>
      </c>
      <c r="C311" s="27" t="inlineStr">
        <is>
          <t>Hardened initiative constraints</t>
        </is>
      </c>
      <c r="D311" s="27" t="inlineStr">
        <is>
          <t>Cyber remediation</t>
        </is>
      </c>
      <c r="E311" s="27" t="inlineStr">
        <is>
          <t>Portfolio</t>
        </is>
      </c>
      <c r="F311" s="27" t="inlineStr">
        <is>
          <t>Approved case</t>
        </is>
      </c>
      <c r="G311" s="27" t="inlineStr">
        <is>
          <t>Benefit domain</t>
        </is>
      </c>
      <c r="H311" s="46" t="inlineStr"/>
      <c r="I311" s="27" t="inlineStr">
        <is>
          <t>Resilience</t>
        </is>
      </c>
      <c r="J311" s="27" t="inlineStr">
        <is>
          <t>classification</t>
        </is>
      </c>
      <c r="K311" s="27" t="inlineStr">
        <is>
          <t>Finance operating schedule</t>
        </is>
      </c>
      <c r="L311" s="47" t="inlineStr">
        <is>
          <t>2026-06-30</t>
        </is>
      </c>
      <c r="M311" s="27" t="inlineStr"/>
    </row>
    <row r="312">
      <c r="A312" s="36" t="inlineStr">
        <is>
          <t>PLN-01317</t>
        </is>
      </c>
      <c r="B312" s="27" t="inlineStr">
        <is>
          <t>Create the FY27 budget-reallocation optimizer</t>
        </is>
      </c>
      <c r="C312" s="27" t="inlineStr">
        <is>
          <t>Hardened initiative constraints</t>
        </is>
      </c>
      <c r="D312" s="27" t="inlineStr">
        <is>
          <t>Cyber remediation</t>
        </is>
      </c>
      <c r="E312" s="27" t="inlineStr">
        <is>
          <t>Portfolio</t>
        </is>
      </c>
      <c r="F312" s="27" t="inlineStr">
        <is>
          <t>Approved case</t>
        </is>
      </c>
      <c r="G312" s="27" t="inlineStr">
        <is>
          <t>Resilience initiative</t>
        </is>
      </c>
      <c r="H312" s="46" t="n">
        <v>1</v>
      </c>
      <c r="I312" s="27" t="inlineStr"/>
      <c r="J312" s="27" t="inlineStr">
        <is>
          <t>boolean</t>
        </is>
      </c>
      <c r="K312" s="27" t="inlineStr">
        <is>
          <t>Finance operating schedule</t>
        </is>
      </c>
      <c r="L312" s="47" t="inlineStr">
        <is>
          <t>2026-06-30</t>
        </is>
      </c>
      <c r="M312" s="27" t="inlineStr"/>
    </row>
    <row r="313">
      <c r="A313" s="36" t="inlineStr">
        <is>
          <t>PLN-01318</t>
        </is>
      </c>
      <c r="B313" s="27" t="inlineStr">
        <is>
          <t>Create the FY27 budget-reallocation optimizer</t>
        </is>
      </c>
      <c r="C313" s="27" t="inlineStr">
        <is>
          <t>Hardened initiative constraints</t>
        </is>
      </c>
      <c r="D313" s="27" t="inlineStr">
        <is>
          <t>Cyber remediation</t>
        </is>
      </c>
      <c r="E313" s="27" t="inlineStr">
        <is>
          <t>Portfolio</t>
        </is>
      </c>
      <c r="F313" s="27" t="inlineStr">
        <is>
          <t>Approved case</t>
        </is>
      </c>
      <c r="G313" s="27" t="inlineStr">
        <is>
          <t>Mutually exclusive with</t>
        </is>
      </c>
      <c r="H313" s="46" t="inlineStr"/>
      <c r="I313" s="27" t="inlineStr"/>
      <c r="J313" s="27" t="inlineStr">
        <is>
          <t>classification</t>
        </is>
      </c>
      <c r="K313" s="27" t="inlineStr">
        <is>
          <t>Finance operating schedule</t>
        </is>
      </c>
      <c r="L313" s="47" t="inlineStr">
        <is>
          <t>2026-06-30</t>
        </is>
      </c>
      <c r="M313" s="27" t="inlineStr"/>
    </row>
    <row r="314">
      <c r="A314" s="36" t="inlineStr">
        <is>
          <t>PLN-01319</t>
        </is>
      </c>
      <c r="B314" s="27" t="inlineStr">
        <is>
          <t>Create the FY27 budget-reallocation optimizer</t>
        </is>
      </c>
      <c r="C314" s="27" t="inlineStr">
        <is>
          <t>Hardened initiative constraints</t>
        </is>
      </c>
      <c r="D314" s="27" t="inlineStr">
        <is>
          <t>Fleet telematics</t>
        </is>
      </c>
      <c r="E314" s="27" t="inlineStr">
        <is>
          <t>Portfolio</t>
        </is>
      </c>
      <c r="F314" s="27" t="inlineStr">
        <is>
          <t>Approved case</t>
        </is>
      </c>
      <c r="G314" s="27" t="inlineStr">
        <is>
          <t>FY28 cash spend</t>
        </is>
      </c>
      <c r="H314" s="46" t="n">
        <v>145</v>
      </c>
      <c r="I314" s="27" t="inlineStr"/>
      <c r="J314" s="27" t="inlineStr">
        <is>
          <t>USD thousands</t>
        </is>
      </c>
      <c r="K314" s="27" t="inlineStr">
        <is>
          <t>Finance operating schedule</t>
        </is>
      </c>
      <c r="L314" s="47" t="inlineStr">
        <is>
          <t>2026-06-30</t>
        </is>
      </c>
      <c r="M314" s="27" t="inlineStr"/>
    </row>
    <row r="315">
      <c r="A315" s="36" t="inlineStr">
        <is>
          <t>PLN-01320</t>
        </is>
      </c>
      <c r="B315" s="27" t="inlineStr">
        <is>
          <t>Create the FY27 budget-reallocation optimizer</t>
        </is>
      </c>
      <c r="C315" s="27" t="inlineStr">
        <is>
          <t>Hardened initiative constraints</t>
        </is>
      </c>
      <c r="D315" s="27" t="inlineStr">
        <is>
          <t>Fleet telematics</t>
        </is>
      </c>
      <c r="E315" s="27" t="inlineStr">
        <is>
          <t>Portfolio</t>
        </is>
      </c>
      <c r="F315" s="27" t="inlineStr">
        <is>
          <t>Approved case</t>
        </is>
      </c>
      <c r="G315" s="27" t="inlineStr">
        <is>
          <t>Scarce technician hours</t>
        </is>
      </c>
      <c r="H315" s="46" t="n">
        <v>430</v>
      </c>
      <c r="I315" s="27" t="inlineStr"/>
      <c r="J315" s="27" t="inlineStr">
        <is>
          <t>hours</t>
        </is>
      </c>
      <c r="K315" s="27" t="inlineStr">
        <is>
          <t>Finance operating schedule</t>
        </is>
      </c>
      <c r="L315" s="47" t="inlineStr">
        <is>
          <t>2026-06-30</t>
        </is>
      </c>
      <c r="M315" s="27" t="inlineStr"/>
    </row>
    <row r="316">
      <c r="A316" s="36" t="inlineStr">
        <is>
          <t>PLN-01321</t>
        </is>
      </c>
      <c r="B316" s="27" t="inlineStr">
        <is>
          <t>Create the FY27 budget-reallocation optimizer</t>
        </is>
      </c>
      <c r="C316" s="27" t="inlineStr">
        <is>
          <t>Hardened initiative constraints</t>
        </is>
      </c>
      <c r="D316" s="27" t="inlineStr">
        <is>
          <t>Fleet telematics</t>
        </is>
      </c>
      <c r="E316" s="27" t="inlineStr">
        <is>
          <t>Portfolio</t>
        </is>
      </c>
      <c r="F316" s="27" t="inlineStr">
        <is>
          <t>Approved case</t>
        </is>
      </c>
      <c r="G316" s="27" t="inlineStr">
        <is>
          <t>Benefit domain</t>
        </is>
      </c>
      <c r="H316" s="46" t="inlineStr"/>
      <c r="I316" s="27" t="inlineStr">
        <is>
          <t>Operations</t>
        </is>
      </c>
      <c r="J316" s="27" t="inlineStr">
        <is>
          <t>classification</t>
        </is>
      </c>
      <c r="K316" s="27" t="inlineStr">
        <is>
          <t>Finance operating schedule</t>
        </is>
      </c>
      <c r="L316" s="47" t="inlineStr">
        <is>
          <t>2026-06-30</t>
        </is>
      </c>
      <c r="M316" s="27" t="inlineStr"/>
    </row>
    <row r="317">
      <c r="A317" s="36" t="inlineStr">
        <is>
          <t>PLN-01322</t>
        </is>
      </c>
      <c r="B317" s="27" t="inlineStr">
        <is>
          <t>Create the FY27 budget-reallocation optimizer</t>
        </is>
      </c>
      <c r="C317" s="27" t="inlineStr">
        <is>
          <t>Hardened initiative constraints</t>
        </is>
      </c>
      <c r="D317" s="27" t="inlineStr">
        <is>
          <t>Fleet telematics</t>
        </is>
      </c>
      <c r="E317" s="27" t="inlineStr">
        <is>
          <t>Portfolio</t>
        </is>
      </c>
      <c r="F317" s="27" t="inlineStr">
        <is>
          <t>Approved case</t>
        </is>
      </c>
      <c r="G317" s="27" t="inlineStr">
        <is>
          <t>Resilience initiative</t>
        </is>
      </c>
      <c r="H317" s="46" t="n">
        <v>0</v>
      </c>
      <c r="I317" s="27" t="inlineStr"/>
      <c r="J317" s="27" t="inlineStr">
        <is>
          <t>boolean</t>
        </is>
      </c>
      <c r="K317" s="27" t="inlineStr">
        <is>
          <t>Finance operating schedule</t>
        </is>
      </c>
      <c r="L317" s="47" t="inlineStr">
        <is>
          <t>2026-06-30</t>
        </is>
      </c>
      <c r="M317" s="27" t="inlineStr"/>
    </row>
    <row r="318">
      <c r="A318" s="36" t="inlineStr">
        <is>
          <t>PLN-01323</t>
        </is>
      </c>
      <c r="B318" s="27" t="inlineStr">
        <is>
          <t>Create the FY27 budget-reallocation optimizer</t>
        </is>
      </c>
      <c r="C318" s="27" t="inlineStr">
        <is>
          <t>Hardened initiative constraints</t>
        </is>
      </c>
      <c r="D318" s="27" t="inlineStr">
        <is>
          <t>Fleet telematics</t>
        </is>
      </c>
      <c r="E318" s="27" t="inlineStr">
        <is>
          <t>Portfolio</t>
        </is>
      </c>
      <c r="F318" s="27" t="inlineStr">
        <is>
          <t>Approved case</t>
        </is>
      </c>
      <c r="G318" s="27" t="inlineStr">
        <is>
          <t>Mutually exclusive with</t>
        </is>
      </c>
      <c r="H318" s="46" t="inlineStr"/>
      <c r="I318" s="27" t="inlineStr"/>
      <c r="J318" s="27" t="inlineStr">
        <is>
          <t>classification</t>
        </is>
      </c>
      <c r="K318" s="27" t="inlineStr">
        <is>
          <t>Finance operating schedule</t>
        </is>
      </c>
      <c r="L318" s="47" t="inlineStr">
        <is>
          <t>2026-06-30</t>
        </is>
      </c>
      <c r="M318" s="27" t="inlineStr"/>
    </row>
    <row r="319">
      <c r="A319" s="36" t="inlineStr">
        <is>
          <t>PLN-01324</t>
        </is>
      </c>
      <c r="B319" s="27" t="inlineStr">
        <is>
          <t>Create the FY27 budget-reallocation optimizer</t>
        </is>
      </c>
      <c r="C319" s="27" t="inlineStr">
        <is>
          <t>Budget optimization policy</t>
        </is>
      </c>
      <c r="D319" s="27" t="inlineStr">
        <is>
          <t>Portfolio</t>
        </is>
      </c>
      <c r="E319" s="27" t="inlineStr">
        <is>
          <t>Hardened</t>
        </is>
      </c>
      <c r="F319" s="27" t="inlineStr">
        <is>
          <t>Approved case</t>
        </is>
      </c>
      <c r="G319" s="27" t="inlineStr">
        <is>
          <t>FY28 cash budget</t>
        </is>
      </c>
      <c r="H319" s="46" t="n">
        <v>1900000</v>
      </c>
      <c r="I319" s="27" t="inlineStr"/>
      <c r="J319" s="27" t="inlineStr">
        <is>
          <t>USD</t>
        </is>
      </c>
      <c r="K319" s="27" t="inlineStr">
        <is>
          <t>Finance operating schedule</t>
        </is>
      </c>
      <c r="L319" s="47" t="inlineStr">
        <is>
          <t>2026-06-30</t>
        </is>
      </c>
      <c r="M319" s="27" t="inlineStr"/>
    </row>
    <row r="320">
      <c r="A320" s="36" t="inlineStr">
        <is>
          <t>PLN-01325</t>
        </is>
      </c>
      <c r="B320" s="27" t="inlineStr">
        <is>
          <t>Create the FY27 budget-reallocation optimizer</t>
        </is>
      </c>
      <c r="C320" s="27" t="inlineStr">
        <is>
          <t>Budget optimization policy</t>
        </is>
      </c>
      <c r="D320" s="27" t="inlineStr">
        <is>
          <t>Portfolio</t>
        </is>
      </c>
      <c r="E320" s="27" t="inlineStr">
        <is>
          <t>Hardened</t>
        </is>
      </c>
      <c r="F320" s="27" t="inlineStr">
        <is>
          <t>Approved case</t>
        </is>
      </c>
      <c r="G320" s="27" t="inlineStr">
        <is>
          <t>Technician-hour capacity</t>
        </is>
      </c>
      <c r="H320" s="46" t="n">
        <v>1750</v>
      </c>
      <c r="I320" s="27" t="inlineStr"/>
      <c r="J320" s="27" t="inlineStr">
        <is>
          <t>hours</t>
        </is>
      </c>
      <c r="K320" s="27" t="inlineStr">
        <is>
          <t>Finance operating schedule</t>
        </is>
      </c>
      <c r="L320" s="47" t="inlineStr">
        <is>
          <t>2026-06-30</t>
        </is>
      </c>
      <c r="M320" s="27" t="inlineStr"/>
    </row>
    <row r="321">
      <c r="A321" s="36" t="inlineStr">
        <is>
          <t>PLN-01326</t>
        </is>
      </c>
      <c r="B321" s="27" t="inlineStr">
        <is>
          <t>Create the FY27 budget-reallocation optimizer</t>
        </is>
      </c>
      <c r="C321" s="27" t="inlineStr">
        <is>
          <t>Budget optimization policy</t>
        </is>
      </c>
      <c r="D321" s="27" t="inlineStr">
        <is>
          <t>Portfolio</t>
        </is>
      </c>
      <c r="E321" s="27" t="inlineStr">
        <is>
          <t>Hardened</t>
        </is>
      </c>
      <c r="F321" s="27" t="inlineStr">
        <is>
          <t>Approved case</t>
        </is>
      </c>
      <c r="G321" s="27" t="inlineStr">
        <is>
          <t>Minimum resilience initiatives</t>
        </is>
      </c>
      <c r="H321" s="46" t="n">
        <v>1</v>
      </c>
      <c r="I321" s="27" t="inlineStr"/>
      <c r="J321" s="27" t="inlineStr">
        <is>
          <t>count</t>
        </is>
      </c>
      <c r="K321" s="27" t="inlineStr">
        <is>
          <t>Finance operating schedule</t>
        </is>
      </c>
      <c r="L321" s="47" t="inlineStr">
        <is>
          <t>2026-06-30</t>
        </is>
      </c>
      <c r="M321" s="27" t="inlineStr"/>
    </row>
    <row r="322">
      <c r="A322" s="36" t="inlineStr">
        <is>
          <t>PLN-01327</t>
        </is>
      </c>
      <c r="B322" s="27" t="inlineStr">
        <is>
          <t>Create the FY27 budget-reallocation optimizer</t>
        </is>
      </c>
      <c r="C322" s="27" t="inlineStr">
        <is>
          <t>Budget optimization policy</t>
        </is>
      </c>
      <c r="D322" s="27" t="inlineStr">
        <is>
          <t>Portfolio</t>
        </is>
      </c>
      <c r="E322" s="27" t="inlineStr">
        <is>
          <t>Hardened</t>
        </is>
      </c>
      <c r="F322" s="27" t="inlineStr">
        <is>
          <t>Approved case</t>
        </is>
      </c>
      <c r="G322" s="27" t="inlineStr">
        <is>
          <t>Maximum initiatives per benefit domain</t>
        </is>
      </c>
      <c r="H322" s="46" t="n">
        <v>2</v>
      </c>
      <c r="I322" s="27" t="inlineStr"/>
      <c r="J322" s="27" t="inlineStr">
        <is>
          <t>count</t>
        </is>
      </c>
      <c r="K322" s="27" t="inlineStr">
        <is>
          <t>Finance operating schedule</t>
        </is>
      </c>
      <c r="L322" s="47" t="inlineStr">
        <is>
          <t>2026-06-30</t>
        </is>
      </c>
      <c r="M322" s="27" t="inlineStr"/>
    </row>
  </sheetData>
  <autoFilter ref="A4:M322"/>
  <mergeCells count="2">
    <mergeCell ref="A2:M2"/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FY27 operating plan | Branches and Backlog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PLN-00507</t>
        </is>
      </c>
      <c r="B5" s="27" t="inlineStr">
        <is>
          <t>Branch contribution and economic-profit ranking</t>
        </is>
      </c>
      <c r="C5" s="27" t="inlineStr">
        <is>
          <t>Branch economics</t>
        </is>
      </c>
      <c r="D5" s="27" t="inlineStr">
        <is>
          <t>Portland Construction</t>
        </is>
      </c>
      <c r="E5" s="27" t="inlineStr">
        <is>
          <t>LTM 2026-06-30</t>
        </is>
      </c>
      <c r="F5" s="27" t="inlineStr">
        <is>
          <t>Approved case</t>
        </is>
      </c>
      <c r="G5" s="27" t="inlineStr">
        <is>
          <t>Revenue allocation</t>
        </is>
      </c>
      <c r="H5" s="46" t="n">
        <v>0.31</v>
      </c>
      <c r="I5" s="27" t="inlineStr"/>
      <c r="J5" s="27" t="inlineStr">
        <is>
          <t>ledger allocation factor</t>
        </is>
      </c>
      <c r="K5" s="27" t="inlineStr">
        <is>
          <t>Finance operating schedule</t>
        </is>
      </c>
      <c r="L5" s="47" t="inlineStr">
        <is>
          <t>2026-06-30</t>
        </is>
      </c>
      <c r="M5" s="27" t="inlineStr">
        <is>
          <t>Vista ERP P&amp;L, 2025-07-01 through 2026-06-30; Revenue total</t>
        </is>
      </c>
    </row>
    <row r="6">
      <c r="A6" s="36" t="inlineStr">
        <is>
          <t>PLN-00508</t>
        </is>
      </c>
      <c r="B6" s="27" t="inlineStr">
        <is>
          <t>Branch contribution and economic-profit ranking</t>
        </is>
      </c>
      <c r="C6" s="27" t="inlineStr">
        <is>
          <t>Branch economics</t>
        </is>
      </c>
      <c r="D6" s="27" t="inlineStr">
        <is>
          <t>Portland Construction</t>
        </is>
      </c>
      <c r="E6" s="27" t="inlineStr">
        <is>
          <t>LTM 2026-06-30</t>
        </is>
      </c>
      <c r="F6" s="27" t="inlineStr">
        <is>
          <t>Approved case</t>
        </is>
      </c>
      <c r="G6" s="27" t="inlineStr">
        <is>
          <t>Contribution margin</t>
        </is>
      </c>
      <c r="H6" s="46" t="n">
        <v>0.235</v>
      </c>
      <c r="I6" s="27" t="inlineStr"/>
      <c r="J6" s="27" t="inlineStr">
        <is>
          <t>decimal ratio</t>
        </is>
      </c>
      <c r="K6" s="27" t="inlineStr">
        <is>
          <t>Finance operating schedule</t>
        </is>
      </c>
      <c r="L6" s="47" t="inlineStr">
        <is>
          <t>2026-06-30</t>
        </is>
      </c>
      <c r="M6" s="27" t="inlineStr"/>
    </row>
    <row r="7">
      <c r="A7" s="36" t="inlineStr">
        <is>
          <t>PLN-00509</t>
        </is>
      </c>
      <c r="B7" s="27" t="inlineStr">
        <is>
          <t>Branch contribution and economic-profit ranking</t>
        </is>
      </c>
      <c r="C7" s="27" t="inlineStr">
        <is>
          <t>Activity drivers</t>
        </is>
      </c>
      <c r="D7" s="27" t="inlineStr">
        <is>
          <t>Portland Construction</t>
        </is>
      </c>
      <c r="E7" s="27" t="inlineStr">
        <is>
          <t>LTM 2026-06-30</t>
        </is>
      </c>
      <c r="F7" s="27" t="inlineStr">
        <is>
          <t>Approved case</t>
        </is>
      </c>
      <c r="G7" s="27" t="inlineStr">
        <is>
          <t>Customer invoice count in hundreds</t>
        </is>
      </c>
      <c r="H7" s="46" t="n">
        <v>31</v>
      </c>
      <c r="I7" s="27" t="inlineStr"/>
      <c r="J7" s="27" t="inlineStr">
        <is>
          <t>count</t>
        </is>
      </c>
      <c r="K7" s="27" t="inlineStr">
        <is>
          <t>Finance operating schedule</t>
        </is>
      </c>
      <c r="L7" s="47" t="inlineStr">
        <is>
          <t>2026-06-30</t>
        </is>
      </c>
      <c r="M7" s="27" t="inlineStr"/>
    </row>
    <row r="8">
      <c r="A8" s="36" t="inlineStr">
        <is>
          <t>PLN-00510</t>
        </is>
      </c>
      <c r="B8" s="27" t="inlineStr">
        <is>
          <t>Branch contribution and economic-profit ranking</t>
        </is>
      </c>
      <c r="C8" s="27" t="inlineStr">
        <is>
          <t>Activity drivers</t>
        </is>
      </c>
      <c r="D8" s="27" t="inlineStr">
        <is>
          <t>Portland Construction</t>
        </is>
      </c>
      <c r="E8" s="27" t="inlineStr">
        <is>
          <t>2026-06-30</t>
        </is>
      </c>
      <c r="F8" s="27" t="inlineStr">
        <is>
          <t>Approved case</t>
        </is>
      </c>
      <c r="G8" s="27" t="inlineStr">
        <is>
          <t>Active employee count</t>
        </is>
      </c>
      <c r="H8" s="46" t="n">
        <v>42</v>
      </c>
      <c r="I8" s="27" t="inlineStr"/>
      <c r="J8" s="27" t="inlineStr">
        <is>
          <t>count</t>
        </is>
      </c>
      <c r="K8" s="27" t="inlineStr">
        <is>
          <t>Finance operating schedule</t>
        </is>
      </c>
      <c r="L8" s="47" t="inlineStr">
        <is>
          <t>2026-06-30</t>
        </is>
      </c>
      <c r="M8" s="27" t="inlineStr"/>
    </row>
    <row r="9">
      <c r="A9" s="36" t="inlineStr">
        <is>
          <t>PLN-00511</t>
        </is>
      </c>
      <c r="B9" s="27" t="inlineStr">
        <is>
          <t>Branch contribution and economic-profit ranking</t>
        </is>
      </c>
      <c r="C9" s="27" t="inlineStr">
        <is>
          <t>Capital base</t>
        </is>
      </c>
      <c r="D9" s="27" t="inlineStr">
        <is>
          <t>Portland Construction</t>
        </is>
      </c>
      <c r="E9" s="27" t="inlineStr">
        <is>
          <t>LTM 2026-06-30</t>
        </is>
      </c>
      <c r="F9" s="27" t="inlineStr">
        <is>
          <t>Approved case</t>
        </is>
      </c>
      <c r="G9" s="27" t="inlineStr">
        <is>
          <t>Average invested capital</t>
        </is>
      </c>
      <c r="H9" s="46" t="n">
        <v>8400000</v>
      </c>
      <c r="I9" s="27" t="inlineStr"/>
      <c r="J9" s="27" t="inlineStr">
        <is>
          <t>USD</t>
        </is>
      </c>
      <c r="K9" s="27" t="inlineStr">
        <is>
          <t>Finance operating schedule</t>
        </is>
      </c>
      <c r="L9" s="47" t="inlineStr">
        <is>
          <t>2026-06-30</t>
        </is>
      </c>
      <c r="M9" s="27" t="inlineStr"/>
    </row>
    <row r="10">
      <c r="A10" s="36" t="inlineStr">
        <is>
          <t>PLN-00512</t>
        </is>
      </c>
      <c r="B10" s="27" t="inlineStr">
        <is>
          <t>Branch contribution and economic-profit ranking</t>
        </is>
      </c>
      <c r="C10" s="27" t="inlineStr">
        <is>
          <t>Branch economics</t>
        </is>
      </c>
      <c r="D10" s="27" t="inlineStr">
        <is>
          <t>Seattle Construction</t>
        </is>
      </c>
      <c r="E10" s="27" t="inlineStr">
        <is>
          <t>LTM 2026-06-30</t>
        </is>
      </c>
      <c r="F10" s="27" t="inlineStr">
        <is>
          <t>Approved case</t>
        </is>
      </c>
      <c r="G10" s="27" t="inlineStr">
        <is>
          <t>Revenue allocation</t>
        </is>
      </c>
      <c r="H10" s="46" t="n">
        <v>0.25</v>
      </c>
      <c r="I10" s="27" t="inlineStr"/>
      <c r="J10" s="27" t="inlineStr">
        <is>
          <t>ledger allocation factor</t>
        </is>
      </c>
      <c r="K10" s="27" t="inlineStr">
        <is>
          <t>Finance operating schedule</t>
        </is>
      </c>
      <c r="L10" s="47" t="inlineStr">
        <is>
          <t>2026-06-30</t>
        </is>
      </c>
      <c r="M10" s="27" t="inlineStr">
        <is>
          <t>Vista ERP P&amp;L, 2025-07-01 through 2026-06-30; Revenue total</t>
        </is>
      </c>
    </row>
    <row r="11">
      <c r="A11" s="36" t="inlineStr">
        <is>
          <t>PLN-00513</t>
        </is>
      </c>
      <c r="B11" s="27" t="inlineStr">
        <is>
          <t>Branch contribution and economic-profit ranking</t>
        </is>
      </c>
      <c r="C11" s="27" t="inlineStr">
        <is>
          <t>Branch economics</t>
        </is>
      </c>
      <c r="D11" s="27" t="inlineStr">
        <is>
          <t>Seattle Construction</t>
        </is>
      </c>
      <c r="E11" s="27" t="inlineStr">
        <is>
          <t>LTM 2026-06-30</t>
        </is>
      </c>
      <c r="F11" s="27" t="inlineStr">
        <is>
          <t>Approved case</t>
        </is>
      </c>
      <c r="G11" s="27" t="inlineStr">
        <is>
          <t>Contribution margin</t>
        </is>
      </c>
      <c r="H11" s="46" t="n">
        <v>0.218</v>
      </c>
      <c r="I11" s="27" t="inlineStr"/>
      <c r="J11" s="27" t="inlineStr">
        <is>
          <t>decimal ratio</t>
        </is>
      </c>
      <c r="K11" s="27" t="inlineStr">
        <is>
          <t>Finance operating schedule</t>
        </is>
      </c>
      <c r="L11" s="47" t="inlineStr">
        <is>
          <t>2026-06-30</t>
        </is>
      </c>
      <c r="M11" s="27" t="inlineStr"/>
    </row>
    <row r="12">
      <c r="A12" s="36" t="inlineStr">
        <is>
          <t>PLN-00514</t>
        </is>
      </c>
      <c r="B12" s="27" t="inlineStr">
        <is>
          <t>Branch contribution and economic-profit ranking</t>
        </is>
      </c>
      <c r="C12" s="27" t="inlineStr">
        <is>
          <t>Activity drivers</t>
        </is>
      </c>
      <c r="D12" s="27" t="inlineStr">
        <is>
          <t>Seattle Construction</t>
        </is>
      </c>
      <c r="E12" s="27" t="inlineStr">
        <is>
          <t>LTM 2026-06-30</t>
        </is>
      </c>
      <c r="F12" s="27" t="inlineStr">
        <is>
          <t>Approved case</t>
        </is>
      </c>
      <c r="G12" s="27" t="inlineStr">
        <is>
          <t>Customer invoice count in hundreds</t>
        </is>
      </c>
      <c r="H12" s="46" t="n">
        <v>24</v>
      </c>
      <c r="I12" s="27" t="inlineStr"/>
      <c r="J12" s="27" t="inlineStr">
        <is>
          <t>count</t>
        </is>
      </c>
      <c r="K12" s="27" t="inlineStr">
        <is>
          <t>Finance operating schedule</t>
        </is>
      </c>
      <c r="L12" s="47" t="inlineStr">
        <is>
          <t>2026-06-30</t>
        </is>
      </c>
      <c r="M12" s="27" t="inlineStr"/>
    </row>
    <row r="13">
      <c r="A13" s="36" t="inlineStr">
        <is>
          <t>PLN-00515</t>
        </is>
      </c>
      <c r="B13" s="27" t="inlineStr">
        <is>
          <t>Branch contribution and economic-profit ranking</t>
        </is>
      </c>
      <c r="C13" s="27" t="inlineStr">
        <is>
          <t>Activity drivers</t>
        </is>
      </c>
      <c r="D13" s="27" t="inlineStr">
        <is>
          <t>Seattle Construction</t>
        </is>
      </c>
      <c r="E13" s="27" t="inlineStr">
        <is>
          <t>2026-06-30</t>
        </is>
      </c>
      <c r="F13" s="27" t="inlineStr">
        <is>
          <t>Approved case</t>
        </is>
      </c>
      <c r="G13" s="27" t="inlineStr">
        <is>
          <t>Active employee count</t>
        </is>
      </c>
      <c r="H13" s="46" t="n">
        <v>36</v>
      </c>
      <c r="I13" s="27" t="inlineStr"/>
      <c r="J13" s="27" t="inlineStr">
        <is>
          <t>count</t>
        </is>
      </c>
      <c r="K13" s="27" t="inlineStr">
        <is>
          <t>Finance operating schedule</t>
        </is>
      </c>
      <c r="L13" s="47" t="inlineStr">
        <is>
          <t>2026-06-30</t>
        </is>
      </c>
      <c r="M13" s="27" t="inlineStr"/>
    </row>
    <row r="14">
      <c r="A14" s="36" t="inlineStr">
        <is>
          <t>PLN-00516</t>
        </is>
      </c>
      <c r="B14" s="27" t="inlineStr">
        <is>
          <t>Branch contribution and economic-profit ranking</t>
        </is>
      </c>
      <c r="C14" s="27" t="inlineStr">
        <is>
          <t>Capital base</t>
        </is>
      </c>
      <c r="D14" s="27" t="inlineStr">
        <is>
          <t>Seattle Construction</t>
        </is>
      </c>
      <c r="E14" s="27" t="inlineStr">
        <is>
          <t>LTM 2026-06-30</t>
        </is>
      </c>
      <c r="F14" s="27" t="inlineStr">
        <is>
          <t>Approved case</t>
        </is>
      </c>
      <c r="G14" s="27" t="inlineStr">
        <is>
          <t>Average invested capital</t>
        </is>
      </c>
      <c r="H14" s="46" t="n">
        <v>7200000</v>
      </c>
      <c r="I14" s="27" t="inlineStr"/>
      <c r="J14" s="27" t="inlineStr">
        <is>
          <t>USD</t>
        </is>
      </c>
      <c r="K14" s="27" t="inlineStr">
        <is>
          <t>Finance operating schedule</t>
        </is>
      </c>
      <c r="L14" s="47" t="inlineStr">
        <is>
          <t>2026-06-30</t>
        </is>
      </c>
      <c r="M14" s="27" t="inlineStr"/>
    </row>
    <row r="15">
      <c r="A15" s="36" t="inlineStr">
        <is>
          <t>PLN-00517</t>
        </is>
      </c>
      <c r="B15" s="27" t="inlineStr">
        <is>
          <t>Branch contribution and economic-profit ranking</t>
        </is>
      </c>
      <c r="C15" s="27" t="inlineStr">
        <is>
          <t>Branch economics</t>
        </is>
      </c>
      <c r="D15" s="27" t="inlineStr">
        <is>
          <t>Boise Service</t>
        </is>
      </c>
      <c r="E15" s="27" t="inlineStr">
        <is>
          <t>LTM 2026-06-30</t>
        </is>
      </c>
      <c r="F15" s="27" t="inlineStr">
        <is>
          <t>Approved case</t>
        </is>
      </c>
      <c r="G15" s="27" t="inlineStr">
        <is>
          <t>Revenue allocation</t>
        </is>
      </c>
      <c r="H15" s="46" t="n">
        <v>0.13</v>
      </c>
      <c r="I15" s="27" t="inlineStr"/>
      <c r="J15" s="27" t="inlineStr">
        <is>
          <t>ledger allocation factor</t>
        </is>
      </c>
      <c r="K15" s="27" t="inlineStr">
        <is>
          <t>Finance operating schedule</t>
        </is>
      </c>
      <c r="L15" s="47" t="inlineStr">
        <is>
          <t>2026-06-30</t>
        </is>
      </c>
      <c r="M15" s="27" t="inlineStr">
        <is>
          <t>Vista ERP P&amp;L, 2025-07-01 through 2026-06-30; Revenue total</t>
        </is>
      </c>
    </row>
    <row r="16">
      <c r="A16" s="36" t="inlineStr">
        <is>
          <t>PLN-00518</t>
        </is>
      </c>
      <c r="B16" s="27" t="inlineStr">
        <is>
          <t>Branch contribution and economic-profit ranking</t>
        </is>
      </c>
      <c r="C16" s="27" t="inlineStr">
        <is>
          <t>Branch economics</t>
        </is>
      </c>
      <c r="D16" s="27" t="inlineStr">
        <is>
          <t>Boise Service</t>
        </is>
      </c>
      <c r="E16" s="27" t="inlineStr">
        <is>
          <t>LTM 2026-06-30</t>
        </is>
      </c>
      <c r="F16" s="27" t="inlineStr">
        <is>
          <t>Approved case</t>
        </is>
      </c>
      <c r="G16" s="27" t="inlineStr">
        <is>
          <t>Contribution margin</t>
        </is>
      </c>
      <c r="H16" s="46" t="n">
        <v>0.365</v>
      </c>
      <c r="I16" s="27" t="inlineStr"/>
      <c r="J16" s="27" t="inlineStr">
        <is>
          <t>decimal ratio</t>
        </is>
      </c>
      <c r="K16" s="27" t="inlineStr">
        <is>
          <t>Finance operating schedule</t>
        </is>
      </c>
      <c r="L16" s="47" t="inlineStr">
        <is>
          <t>2026-06-30</t>
        </is>
      </c>
      <c r="M16" s="27" t="inlineStr"/>
    </row>
    <row r="17">
      <c r="A17" s="36" t="inlineStr">
        <is>
          <t>PLN-00519</t>
        </is>
      </c>
      <c r="B17" s="27" t="inlineStr">
        <is>
          <t>Branch contribution and economic-profit ranking</t>
        </is>
      </c>
      <c r="C17" s="27" t="inlineStr">
        <is>
          <t>Activity drivers</t>
        </is>
      </c>
      <c r="D17" s="27" t="inlineStr">
        <is>
          <t>Boise Service</t>
        </is>
      </c>
      <c r="E17" s="27" t="inlineStr">
        <is>
          <t>LTM 2026-06-30</t>
        </is>
      </c>
      <c r="F17" s="27" t="inlineStr">
        <is>
          <t>Approved case</t>
        </is>
      </c>
      <c r="G17" s="27" t="inlineStr">
        <is>
          <t>Customer invoice count in hundreds</t>
        </is>
      </c>
      <c r="H17" s="46" t="n">
        <v>16</v>
      </c>
      <c r="I17" s="27" t="inlineStr"/>
      <c r="J17" s="27" t="inlineStr">
        <is>
          <t>count</t>
        </is>
      </c>
      <c r="K17" s="27" t="inlineStr">
        <is>
          <t>Finance operating schedule</t>
        </is>
      </c>
      <c r="L17" s="47" t="inlineStr">
        <is>
          <t>2026-06-30</t>
        </is>
      </c>
      <c r="M17" s="27" t="inlineStr"/>
    </row>
    <row r="18">
      <c r="A18" s="36" t="inlineStr">
        <is>
          <t>PLN-00520</t>
        </is>
      </c>
      <c r="B18" s="27" t="inlineStr">
        <is>
          <t>Branch contribution and economic-profit ranking</t>
        </is>
      </c>
      <c r="C18" s="27" t="inlineStr">
        <is>
          <t>Activity drivers</t>
        </is>
      </c>
      <c r="D18" s="27" t="inlineStr">
        <is>
          <t>Boise Service</t>
        </is>
      </c>
      <c r="E18" s="27" t="inlineStr">
        <is>
          <t>2026-06-30</t>
        </is>
      </c>
      <c r="F18" s="27" t="inlineStr">
        <is>
          <t>Approved case</t>
        </is>
      </c>
      <c r="G18" s="27" t="inlineStr">
        <is>
          <t>Active employee count</t>
        </is>
      </c>
      <c r="H18" s="46" t="n">
        <v>12</v>
      </c>
      <c r="I18" s="27" t="inlineStr"/>
      <c r="J18" s="27" t="inlineStr">
        <is>
          <t>count</t>
        </is>
      </c>
      <c r="K18" s="27" t="inlineStr">
        <is>
          <t>Finance operating schedule</t>
        </is>
      </c>
      <c r="L18" s="47" t="inlineStr">
        <is>
          <t>2026-06-30</t>
        </is>
      </c>
      <c r="M18" s="27" t="inlineStr"/>
    </row>
    <row r="19">
      <c r="A19" s="36" t="inlineStr">
        <is>
          <t>PLN-00521</t>
        </is>
      </c>
      <c r="B19" s="27" t="inlineStr">
        <is>
          <t>Branch contribution and economic-profit ranking</t>
        </is>
      </c>
      <c r="C19" s="27" t="inlineStr">
        <is>
          <t>Capital base</t>
        </is>
      </c>
      <c r="D19" s="27" t="inlineStr">
        <is>
          <t>Boise Service</t>
        </is>
      </c>
      <c r="E19" s="27" t="inlineStr">
        <is>
          <t>LTM 2026-06-30</t>
        </is>
      </c>
      <c r="F19" s="27" t="inlineStr">
        <is>
          <t>Approved case</t>
        </is>
      </c>
      <c r="G19" s="27" t="inlineStr">
        <is>
          <t>Average invested capital</t>
        </is>
      </c>
      <c r="H19" s="46" t="n">
        <v>3100000</v>
      </c>
      <c r="I19" s="27" t="inlineStr"/>
      <c r="J19" s="27" t="inlineStr">
        <is>
          <t>USD</t>
        </is>
      </c>
      <c r="K19" s="27" t="inlineStr">
        <is>
          <t>Finance operating schedule</t>
        </is>
      </c>
      <c r="L19" s="47" t="inlineStr">
        <is>
          <t>2026-06-30</t>
        </is>
      </c>
      <c r="M19" s="27" t="inlineStr"/>
    </row>
    <row r="20">
      <c r="A20" s="36" t="inlineStr">
        <is>
          <t>PLN-00522</t>
        </is>
      </c>
      <c r="B20" s="27" t="inlineStr">
        <is>
          <t>Branch contribution and economic-profit ranking</t>
        </is>
      </c>
      <c r="C20" s="27" t="inlineStr">
        <is>
          <t>Branch economics</t>
        </is>
      </c>
      <c r="D20" s="27" t="inlineStr">
        <is>
          <t>Portland Service</t>
        </is>
      </c>
      <c r="E20" s="27" t="inlineStr">
        <is>
          <t>LTM 2026-06-30</t>
        </is>
      </c>
      <c r="F20" s="27" t="inlineStr">
        <is>
          <t>Approved case</t>
        </is>
      </c>
      <c r="G20" s="27" t="inlineStr">
        <is>
          <t>Revenue allocation</t>
        </is>
      </c>
      <c r="H20" s="46" t="n">
        <v>0.14</v>
      </c>
      <c r="I20" s="27" t="inlineStr"/>
      <c r="J20" s="27" t="inlineStr">
        <is>
          <t>ledger allocation factor</t>
        </is>
      </c>
      <c r="K20" s="27" t="inlineStr">
        <is>
          <t>Finance operating schedule</t>
        </is>
      </c>
      <c r="L20" s="47" t="inlineStr">
        <is>
          <t>2026-06-30</t>
        </is>
      </c>
      <c r="M20" s="27" t="inlineStr">
        <is>
          <t>Vista ERP P&amp;L, 2025-07-01 through 2026-06-30; Revenue total</t>
        </is>
      </c>
    </row>
    <row r="21">
      <c r="A21" s="36" t="inlineStr">
        <is>
          <t>PLN-00523</t>
        </is>
      </c>
      <c r="B21" s="27" t="inlineStr">
        <is>
          <t>Branch contribution and economic-profit ranking</t>
        </is>
      </c>
      <c r="C21" s="27" t="inlineStr">
        <is>
          <t>Branch economics</t>
        </is>
      </c>
      <c r="D21" s="27" t="inlineStr">
        <is>
          <t>Portland Service</t>
        </is>
      </c>
      <c r="E21" s="27" t="inlineStr">
        <is>
          <t>LTM 2026-06-30</t>
        </is>
      </c>
      <c r="F21" s="27" t="inlineStr">
        <is>
          <t>Approved case</t>
        </is>
      </c>
      <c r="G21" s="27" t="inlineStr">
        <is>
          <t>Contribution margin</t>
        </is>
      </c>
      <c r="H21" s="46" t="n">
        <v>0.392</v>
      </c>
      <c r="I21" s="27" t="inlineStr"/>
      <c r="J21" s="27" t="inlineStr">
        <is>
          <t>decimal ratio</t>
        </is>
      </c>
      <c r="K21" s="27" t="inlineStr">
        <is>
          <t>Finance operating schedule</t>
        </is>
      </c>
      <c r="L21" s="47" t="inlineStr">
        <is>
          <t>2026-06-30</t>
        </is>
      </c>
      <c r="M21" s="27" t="inlineStr"/>
    </row>
    <row r="22">
      <c r="A22" s="36" t="inlineStr">
        <is>
          <t>PLN-00524</t>
        </is>
      </c>
      <c r="B22" s="27" t="inlineStr">
        <is>
          <t>Branch contribution and economic-profit ranking</t>
        </is>
      </c>
      <c r="C22" s="27" t="inlineStr">
        <is>
          <t>Activity drivers</t>
        </is>
      </c>
      <c r="D22" s="27" t="inlineStr">
        <is>
          <t>Portland Service</t>
        </is>
      </c>
      <c r="E22" s="27" t="inlineStr">
        <is>
          <t>LTM 2026-06-30</t>
        </is>
      </c>
      <c r="F22" s="27" t="inlineStr">
        <is>
          <t>Approved case</t>
        </is>
      </c>
      <c r="G22" s="27" t="inlineStr">
        <is>
          <t>Customer invoice count in hundreds</t>
        </is>
      </c>
      <c r="H22" s="46" t="n">
        <v>19</v>
      </c>
      <c r="I22" s="27" t="inlineStr"/>
      <c r="J22" s="27" t="inlineStr">
        <is>
          <t>count</t>
        </is>
      </c>
      <c r="K22" s="27" t="inlineStr">
        <is>
          <t>Finance operating schedule</t>
        </is>
      </c>
      <c r="L22" s="47" t="inlineStr">
        <is>
          <t>2026-06-30</t>
        </is>
      </c>
      <c r="M22" s="27" t="inlineStr"/>
    </row>
    <row r="23">
      <c r="A23" s="36" t="inlineStr">
        <is>
          <t>PLN-00525</t>
        </is>
      </c>
      <c r="B23" s="27" t="inlineStr">
        <is>
          <t>Branch contribution and economic-profit ranking</t>
        </is>
      </c>
      <c r="C23" s="27" t="inlineStr">
        <is>
          <t>Activity drivers</t>
        </is>
      </c>
      <c r="D23" s="27" t="inlineStr">
        <is>
          <t>Portland Service</t>
        </is>
      </c>
      <c r="E23" s="27" t="inlineStr">
        <is>
          <t>2026-06-30</t>
        </is>
      </c>
      <c r="F23" s="27" t="inlineStr">
        <is>
          <t>Approved case</t>
        </is>
      </c>
      <c r="G23" s="27" t="inlineStr">
        <is>
          <t>Active employee count</t>
        </is>
      </c>
      <c r="H23" s="46" t="n">
        <v>15</v>
      </c>
      <c r="I23" s="27" t="inlineStr"/>
      <c r="J23" s="27" t="inlineStr">
        <is>
          <t>count</t>
        </is>
      </c>
      <c r="K23" s="27" t="inlineStr">
        <is>
          <t>Finance operating schedule</t>
        </is>
      </c>
      <c r="L23" s="47" t="inlineStr">
        <is>
          <t>2026-06-30</t>
        </is>
      </c>
      <c r="M23" s="27" t="inlineStr"/>
    </row>
    <row r="24">
      <c r="A24" s="36" t="inlineStr">
        <is>
          <t>PLN-00526</t>
        </is>
      </c>
      <c r="B24" s="27" t="inlineStr">
        <is>
          <t>Branch contribution and economic-profit ranking</t>
        </is>
      </c>
      <c r="C24" s="27" t="inlineStr">
        <is>
          <t>Capital base</t>
        </is>
      </c>
      <c r="D24" s="27" t="inlineStr">
        <is>
          <t>Portland Service</t>
        </is>
      </c>
      <c r="E24" s="27" t="inlineStr">
        <is>
          <t>LTM 2026-06-30</t>
        </is>
      </c>
      <c r="F24" s="27" t="inlineStr">
        <is>
          <t>Approved case</t>
        </is>
      </c>
      <c r="G24" s="27" t="inlineStr">
        <is>
          <t>Average invested capital</t>
        </is>
      </c>
      <c r="H24" s="46" t="n">
        <v>3800</v>
      </c>
      <c r="I24" s="27" t="inlineStr"/>
      <c r="J24" s="27" t="inlineStr">
        <is>
          <t>USD thousands</t>
        </is>
      </c>
      <c r="K24" s="27" t="inlineStr">
        <is>
          <t>Finance operating schedule</t>
        </is>
      </c>
      <c r="L24" s="47" t="inlineStr">
        <is>
          <t>2026-06-30</t>
        </is>
      </c>
      <c r="M24" s="27" t="inlineStr"/>
    </row>
    <row r="25">
      <c r="A25" s="36" t="inlineStr">
        <is>
          <t>PLN-00527</t>
        </is>
      </c>
      <c r="B25" s="27" t="inlineStr">
        <is>
          <t>Branch contribution and economic-profit ranking</t>
        </is>
      </c>
      <c r="C25" s="27" t="inlineStr">
        <is>
          <t>Branch economics</t>
        </is>
      </c>
      <c r="D25" s="27" t="inlineStr">
        <is>
          <t>Controls West</t>
        </is>
      </c>
      <c r="E25" s="27" t="inlineStr">
        <is>
          <t>LTM 2026-06-30</t>
        </is>
      </c>
      <c r="F25" s="27" t="inlineStr">
        <is>
          <t>Approved case</t>
        </is>
      </c>
      <c r="G25" s="27" t="inlineStr">
        <is>
          <t>Revenue allocation</t>
        </is>
      </c>
      <c r="H25" s="46" t="n">
        <v>0.11</v>
      </c>
      <c r="I25" s="27" t="inlineStr"/>
      <c r="J25" s="27" t="inlineStr">
        <is>
          <t>ledger allocation factor</t>
        </is>
      </c>
      <c r="K25" s="27" t="inlineStr">
        <is>
          <t>Finance operating schedule</t>
        </is>
      </c>
      <c r="L25" s="47" t="inlineStr">
        <is>
          <t>2026-06-30</t>
        </is>
      </c>
      <c r="M25" s="27" t="inlineStr">
        <is>
          <t>Vista ERP P&amp;L, 2025-07-01 through 2026-06-30; Revenue total</t>
        </is>
      </c>
    </row>
    <row r="26">
      <c r="A26" s="36" t="inlineStr">
        <is>
          <t>PLN-00528</t>
        </is>
      </c>
      <c r="B26" s="27" t="inlineStr">
        <is>
          <t>Branch contribution and economic-profit ranking</t>
        </is>
      </c>
      <c r="C26" s="27" t="inlineStr">
        <is>
          <t>Branch economics</t>
        </is>
      </c>
      <c r="D26" s="27" t="inlineStr">
        <is>
          <t>Controls West</t>
        </is>
      </c>
      <c r="E26" s="27" t="inlineStr">
        <is>
          <t>LTM 2026-06-30</t>
        </is>
      </c>
      <c r="F26" s="27" t="inlineStr">
        <is>
          <t>Approved case</t>
        </is>
      </c>
      <c r="G26" s="27" t="inlineStr">
        <is>
          <t>Contribution margin</t>
        </is>
      </c>
      <c r="H26" s="46" t="n">
        <v>0.322</v>
      </c>
      <c r="I26" s="27" t="inlineStr"/>
      <c r="J26" s="27" t="inlineStr">
        <is>
          <t>decimal ratio</t>
        </is>
      </c>
      <c r="K26" s="27" t="inlineStr">
        <is>
          <t>Finance operating schedule</t>
        </is>
      </c>
      <c r="L26" s="47" t="inlineStr">
        <is>
          <t>2026-06-30</t>
        </is>
      </c>
      <c r="M26" s="27" t="inlineStr"/>
    </row>
    <row r="27">
      <c r="A27" s="36" t="inlineStr">
        <is>
          <t>PLN-00529</t>
        </is>
      </c>
      <c r="B27" s="27" t="inlineStr">
        <is>
          <t>Branch contribution and economic-profit ranking</t>
        </is>
      </c>
      <c r="C27" s="27" t="inlineStr">
        <is>
          <t>Activity drivers</t>
        </is>
      </c>
      <c r="D27" s="27" t="inlineStr">
        <is>
          <t>Controls West</t>
        </is>
      </c>
      <c r="E27" s="27" t="inlineStr">
        <is>
          <t>LTM 2026-06-30</t>
        </is>
      </c>
      <c r="F27" s="27" t="inlineStr">
        <is>
          <t>Approved case</t>
        </is>
      </c>
      <c r="G27" s="27" t="inlineStr">
        <is>
          <t>Customer invoice count in hundreds</t>
        </is>
      </c>
      <c r="H27" s="46" t="n">
        <v>8</v>
      </c>
      <c r="I27" s="27" t="inlineStr"/>
      <c r="J27" s="27" t="inlineStr">
        <is>
          <t>count</t>
        </is>
      </c>
      <c r="K27" s="27" t="inlineStr">
        <is>
          <t>Finance operating schedule</t>
        </is>
      </c>
      <c r="L27" s="47" t="inlineStr">
        <is>
          <t>2026-06-30</t>
        </is>
      </c>
      <c r="M27" s="27" t="inlineStr"/>
    </row>
    <row r="28">
      <c r="A28" s="36" t="inlineStr">
        <is>
          <t>PLN-00530</t>
        </is>
      </c>
      <c r="B28" s="27" t="inlineStr">
        <is>
          <t>Branch contribution and economic-profit ranking</t>
        </is>
      </c>
      <c r="C28" s="27" t="inlineStr">
        <is>
          <t>Activity drivers</t>
        </is>
      </c>
      <c r="D28" s="27" t="inlineStr">
        <is>
          <t>Controls West</t>
        </is>
      </c>
      <c r="E28" s="27" t="inlineStr">
        <is>
          <t>2026-06-30</t>
        </is>
      </c>
      <c r="F28" s="27" t="inlineStr">
        <is>
          <t>Approved case</t>
        </is>
      </c>
      <c r="G28" s="27" t="inlineStr">
        <is>
          <t>Active employee count</t>
        </is>
      </c>
      <c r="H28" s="46" t="n">
        <v>20</v>
      </c>
      <c r="I28" s="27" t="inlineStr"/>
      <c r="J28" s="27" t="inlineStr">
        <is>
          <t>count</t>
        </is>
      </c>
      <c r="K28" s="27" t="inlineStr">
        <is>
          <t>Finance operating schedule</t>
        </is>
      </c>
      <c r="L28" s="47" t="inlineStr">
        <is>
          <t>2026-06-30</t>
        </is>
      </c>
      <c r="M28" s="27" t="inlineStr"/>
    </row>
    <row r="29">
      <c r="A29" s="36" t="inlineStr">
        <is>
          <t>PLN-00531</t>
        </is>
      </c>
      <c r="B29" s="27" t="inlineStr">
        <is>
          <t>Branch contribution and economic-profit ranking</t>
        </is>
      </c>
      <c r="C29" s="27" t="inlineStr">
        <is>
          <t>Capital base</t>
        </is>
      </c>
      <c r="D29" s="27" t="inlineStr">
        <is>
          <t>Controls West</t>
        </is>
      </c>
      <c r="E29" s="27" t="inlineStr">
        <is>
          <t>LTM 2026-06-30</t>
        </is>
      </c>
      <c r="F29" s="27" t="inlineStr">
        <is>
          <t>Approved case</t>
        </is>
      </c>
      <c r="G29" s="27" t="inlineStr">
        <is>
          <t>Average invested capital</t>
        </is>
      </c>
      <c r="H29" s="46" t="n">
        <v>4200000</v>
      </c>
      <c r="I29" s="27" t="inlineStr"/>
      <c r="J29" s="27" t="inlineStr">
        <is>
          <t>USD</t>
        </is>
      </c>
      <c r="K29" s="27" t="inlineStr">
        <is>
          <t>Finance operating schedule</t>
        </is>
      </c>
      <c r="L29" s="47" t="inlineStr">
        <is>
          <t>2026-06-30</t>
        </is>
      </c>
      <c r="M29" s="27" t="inlineStr"/>
    </row>
    <row r="30">
      <c r="A30" s="36" t="inlineStr">
        <is>
          <t>PLN-00532</t>
        </is>
      </c>
      <c r="B30" s="27" t="inlineStr">
        <is>
          <t>Branch contribution and economic-profit ranking</t>
        </is>
      </c>
      <c r="C30" s="27" t="inlineStr">
        <is>
          <t>Branch economics</t>
        </is>
      </c>
      <c r="D30" s="27" t="inlineStr">
        <is>
          <t>Bend Construction</t>
        </is>
      </c>
      <c r="E30" s="27" t="inlineStr">
        <is>
          <t>LTM 2026-06-30</t>
        </is>
      </c>
      <c r="F30" s="27" t="inlineStr">
        <is>
          <t>Approved case</t>
        </is>
      </c>
      <c r="G30" s="27" t="inlineStr">
        <is>
          <t>Revenue allocation</t>
        </is>
      </c>
      <c r="H30" s="46" t="n">
        <v>0.06</v>
      </c>
      <c r="I30" s="27" t="inlineStr"/>
      <c r="J30" s="27" t="inlineStr">
        <is>
          <t>ledger allocation factor</t>
        </is>
      </c>
      <c r="K30" s="27" t="inlineStr">
        <is>
          <t>Finance operating schedule</t>
        </is>
      </c>
      <c r="L30" s="47" t="inlineStr">
        <is>
          <t>2026-06-30</t>
        </is>
      </c>
      <c r="M30" s="27" t="inlineStr">
        <is>
          <t>Vista ERP P&amp;L, 2025-07-01 through 2026-06-30; Revenue total</t>
        </is>
      </c>
    </row>
    <row r="31">
      <c r="A31" s="36" t="inlineStr">
        <is>
          <t>PLN-00533</t>
        </is>
      </c>
      <c r="B31" s="27" t="inlineStr">
        <is>
          <t>Branch contribution and economic-profit ranking</t>
        </is>
      </c>
      <c r="C31" s="27" t="inlineStr">
        <is>
          <t>Branch economics</t>
        </is>
      </c>
      <c r="D31" s="27" t="inlineStr">
        <is>
          <t>Bend Construction</t>
        </is>
      </c>
      <c r="E31" s="27" t="inlineStr">
        <is>
          <t>LTM 2026-06-30</t>
        </is>
      </c>
      <c r="F31" s="27" t="inlineStr">
        <is>
          <t>Approved case</t>
        </is>
      </c>
      <c r="G31" s="27" t="inlineStr">
        <is>
          <t>Contribution margin</t>
        </is>
      </c>
      <c r="H31" s="46" t="n">
        <v>0.145</v>
      </c>
      <c r="I31" s="27" t="inlineStr"/>
      <c r="J31" s="27" t="inlineStr">
        <is>
          <t>decimal ratio</t>
        </is>
      </c>
      <c r="K31" s="27" t="inlineStr">
        <is>
          <t>Finance operating schedule</t>
        </is>
      </c>
      <c r="L31" s="47" t="inlineStr">
        <is>
          <t>2026-06-30</t>
        </is>
      </c>
      <c r="M31" s="27" t="inlineStr"/>
    </row>
    <row r="32">
      <c r="A32" s="36" t="inlineStr">
        <is>
          <t>PLN-00534</t>
        </is>
      </c>
      <c r="B32" s="27" t="inlineStr">
        <is>
          <t>Branch contribution and economic-profit ranking</t>
        </is>
      </c>
      <c r="C32" s="27" t="inlineStr">
        <is>
          <t>Activity drivers</t>
        </is>
      </c>
      <c r="D32" s="27" t="inlineStr">
        <is>
          <t>Bend Construction</t>
        </is>
      </c>
      <c r="E32" s="27" t="inlineStr">
        <is>
          <t>LTM 2026-06-30</t>
        </is>
      </c>
      <c r="F32" s="27" t="inlineStr">
        <is>
          <t>Approved case</t>
        </is>
      </c>
      <c r="G32" s="27" t="inlineStr">
        <is>
          <t>Customer invoice count in hundreds</t>
        </is>
      </c>
      <c r="H32" s="46" t="n">
        <v>2</v>
      </c>
      <c r="I32" s="27" t="inlineStr"/>
      <c r="J32" s="27" t="inlineStr">
        <is>
          <t>count</t>
        </is>
      </c>
      <c r="K32" s="27" t="inlineStr">
        <is>
          <t>Finance operating schedule</t>
        </is>
      </c>
      <c r="L32" s="47" t="inlineStr">
        <is>
          <t>2026-06-30</t>
        </is>
      </c>
      <c r="M32" s="27" t="inlineStr"/>
    </row>
    <row r="33">
      <c r="A33" s="36" t="inlineStr">
        <is>
          <t>PLN-00535</t>
        </is>
      </c>
      <c r="B33" s="27" t="inlineStr">
        <is>
          <t>Branch contribution and economic-profit ranking</t>
        </is>
      </c>
      <c r="C33" s="27" t="inlineStr">
        <is>
          <t>Activity drivers</t>
        </is>
      </c>
      <c r="D33" s="27" t="inlineStr">
        <is>
          <t>Bend Construction</t>
        </is>
      </c>
      <c r="E33" s="27" t="inlineStr">
        <is>
          <t>2026-06-30</t>
        </is>
      </c>
      <c r="F33" s="27" t="inlineStr">
        <is>
          <t>Approved case</t>
        </is>
      </c>
      <c r="G33" s="27" t="inlineStr">
        <is>
          <t>Active employee count</t>
        </is>
      </c>
      <c r="H33" s="46" t="n">
        <v>10</v>
      </c>
      <c r="I33" s="27" t="inlineStr"/>
      <c r="J33" s="27" t="inlineStr">
        <is>
          <t>count</t>
        </is>
      </c>
      <c r="K33" s="27" t="inlineStr">
        <is>
          <t>Finance operating schedule</t>
        </is>
      </c>
      <c r="L33" s="47" t="inlineStr">
        <is>
          <t>2026-06-30</t>
        </is>
      </c>
      <c r="M33" s="27" t="inlineStr"/>
    </row>
    <row r="34">
      <c r="A34" s="36" t="inlineStr">
        <is>
          <t>PLN-00536</t>
        </is>
      </c>
      <c r="B34" s="27" t="inlineStr">
        <is>
          <t>Branch contribution and economic-profit ranking</t>
        </is>
      </c>
      <c r="C34" s="27" t="inlineStr">
        <is>
          <t>Capital base</t>
        </is>
      </c>
      <c r="D34" s="27" t="inlineStr">
        <is>
          <t>Bend Construction</t>
        </is>
      </c>
      <c r="E34" s="27" t="inlineStr">
        <is>
          <t>LTM 2026-06-30</t>
        </is>
      </c>
      <c r="F34" s="27" t="inlineStr">
        <is>
          <t>Approved case</t>
        </is>
      </c>
      <c r="G34" s="27" t="inlineStr">
        <is>
          <t>Average invested capital</t>
        </is>
      </c>
      <c r="H34" s="46" t="n">
        <v>5400000</v>
      </c>
      <c r="I34" s="27" t="inlineStr"/>
      <c r="J34" s="27" t="inlineStr">
        <is>
          <t>USD</t>
        </is>
      </c>
      <c r="K34" s="27" t="inlineStr">
        <is>
          <t>Finance operating schedule</t>
        </is>
      </c>
      <c r="L34" s="47" t="inlineStr">
        <is>
          <t>2026-06-30</t>
        </is>
      </c>
      <c r="M34" s="27" t="inlineStr"/>
    </row>
    <row r="35">
      <c r="A35" s="36" t="inlineStr">
        <is>
          <t>PLN-00537</t>
        </is>
      </c>
      <c r="B35" s="27" t="inlineStr">
        <is>
          <t>Branch contribution and economic-profit ranking</t>
        </is>
      </c>
      <c r="C35" s="27" t="inlineStr">
        <is>
          <t>Corporate pools</t>
        </is>
      </c>
      <c r="D35" s="27" t="inlineStr">
        <is>
          <t>Finance and shared services</t>
        </is>
      </c>
      <c r="E35" s="27" t="inlineStr">
        <is>
          <t>LTM 2026-06-30</t>
        </is>
      </c>
      <c r="F35" s="27" t="inlineStr">
        <is>
          <t>Approved case</t>
        </is>
      </c>
      <c r="G35" s="27" t="inlineStr">
        <is>
          <t>Invoice-driven pool</t>
        </is>
      </c>
      <c r="H35" s="46" t="n">
        <v>1350000</v>
      </c>
      <c r="I35" s="27" t="inlineStr"/>
      <c r="J35" s="27" t="inlineStr">
        <is>
          <t>USD</t>
        </is>
      </c>
      <c r="K35" s="27" t="inlineStr">
        <is>
          <t>Finance operating schedule</t>
        </is>
      </c>
      <c r="L35" s="47" t="inlineStr">
        <is>
          <t>2026-06-30</t>
        </is>
      </c>
      <c r="M35" s="27" t="inlineStr"/>
    </row>
    <row r="36">
      <c r="A36" s="36" t="inlineStr">
        <is>
          <t>PLN-00538</t>
        </is>
      </c>
      <c r="B36" s="27" t="inlineStr">
        <is>
          <t>Branch contribution and economic-profit ranking</t>
        </is>
      </c>
      <c r="C36" s="27" t="inlineStr">
        <is>
          <t>Corporate pools</t>
        </is>
      </c>
      <c r="D36" s="27" t="inlineStr">
        <is>
          <t>People and systems</t>
        </is>
      </c>
      <c r="E36" s="27" t="inlineStr">
        <is>
          <t>LTM 2026-06-30</t>
        </is>
      </c>
      <c r="F36" s="27" t="inlineStr">
        <is>
          <t>Approved case</t>
        </is>
      </c>
      <c r="G36" s="27" t="inlineStr">
        <is>
          <t>Employee-driven pool</t>
        </is>
      </c>
      <c r="H36" s="46" t="n">
        <v>2050</v>
      </c>
      <c r="I36" s="27" t="inlineStr"/>
      <c r="J36" s="27" t="inlineStr">
        <is>
          <t>USD thousands</t>
        </is>
      </c>
      <c r="K36" s="27" t="inlineStr">
        <is>
          <t>Finance operating schedule</t>
        </is>
      </c>
      <c r="L36" s="47" t="inlineStr">
        <is>
          <t>2026-06-30</t>
        </is>
      </c>
      <c r="M36" s="27" t="inlineStr"/>
    </row>
    <row r="37">
      <c r="A37" s="36" t="inlineStr">
        <is>
          <t>PLN-00539</t>
        </is>
      </c>
      <c r="B37" s="27" t="inlineStr">
        <is>
          <t>Branch contribution and economic-profit ranking</t>
        </is>
      </c>
      <c r="C37" s="27" t="inlineStr">
        <is>
          <t>Capital policy</t>
        </is>
      </c>
      <c r="D37" s="27" t="inlineStr">
        <is>
          <t>All branches</t>
        </is>
      </c>
      <c r="E37" s="27" t="inlineStr">
        <is>
          <t>LTM 2026-06-30</t>
        </is>
      </c>
      <c r="F37" s="27" t="inlineStr">
        <is>
          <t>Approved case</t>
        </is>
      </c>
      <c r="G37" s="27" t="inlineStr">
        <is>
          <t>Capital charge rate</t>
        </is>
      </c>
      <c r="H37" s="46" t="n">
        <v>0.105</v>
      </c>
      <c r="I37" s="27" t="inlineStr"/>
      <c r="J37" s="27" t="inlineStr">
        <is>
          <t>decimal ratio</t>
        </is>
      </c>
      <c r="K37" s="27" t="inlineStr">
        <is>
          <t>Finance operating schedule</t>
        </is>
      </c>
      <c r="L37" s="47" t="inlineStr">
        <is>
          <t>2026-06-30</t>
        </is>
      </c>
      <c r="M37" s="27" t="inlineStr"/>
    </row>
    <row r="38">
      <c r="A38" s="36" t="inlineStr">
        <is>
          <t>PLN-00702</t>
        </is>
      </c>
      <c r="B38" s="27" t="inlineStr">
        <is>
          <t>Complete the backlog burn and capacity model</t>
        </is>
      </c>
      <c r="C38" s="27" t="inlineStr">
        <is>
          <t>Monthly capacity</t>
        </is>
      </c>
      <c r="D38" s="27" t="inlineStr">
        <is>
          <t>All field labor</t>
        </is>
      </c>
      <c r="E38" s="27" t="inlineStr">
        <is>
          <t>2026-07</t>
        </is>
      </c>
      <c r="F38" s="27" t="inlineStr">
        <is>
          <t>Approved case</t>
        </is>
      </c>
      <c r="G38" s="27" t="inlineStr">
        <is>
          <t>Productive internal hours</t>
        </is>
      </c>
      <c r="H38" s="46" t="n">
        <v>31500</v>
      </c>
      <c r="I38" s="27" t="inlineStr"/>
      <c r="J38" s="27" t="inlineStr">
        <is>
          <t>hours</t>
        </is>
      </c>
      <c r="K38" s="27" t="inlineStr">
        <is>
          <t>Finance operating schedule</t>
        </is>
      </c>
      <c r="L38" s="47" t="inlineStr">
        <is>
          <t>2026-06-30</t>
        </is>
      </c>
      <c r="M38" s="27" t="inlineStr"/>
    </row>
    <row r="39">
      <c r="A39" s="36" t="inlineStr">
        <is>
          <t>PLN-00703</t>
        </is>
      </c>
      <c r="B39" s="27" t="inlineStr">
        <is>
          <t>Complete the backlog burn and capacity model</t>
        </is>
      </c>
      <c r="C39" s="27" t="inlineStr">
        <is>
          <t>Monthly capacity</t>
        </is>
      </c>
      <c r="D39" s="27" t="inlineStr">
        <is>
          <t>All field labor</t>
        </is>
      </c>
      <c r="E39" s="27" t="inlineStr">
        <is>
          <t>2026-07</t>
        </is>
      </c>
      <c r="F39" s="27" t="inlineStr">
        <is>
          <t>Approved case</t>
        </is>
      </c>
      <c r="G39" s="27" t="inlineStr">
        <is>
          <t>Subcontractable hours</t>
        </is>
      </c>
      <c r="H39" s="46" t="n">
        <v>4500</v>
      </c>
      <c r="I39" s="27" t="inlineStr"/>
      <c r="J39" s="27" t="inlineStr">
        <is>
          <t>hours</t>
        </is>
      </c>
      <c r="K39" s="27" t="inlineStr">
        <is>
          <t>Finance operating schedule</t>
        </is>
      </c>
      <c r="L39" s="47" t="inlineStr">
        <is>
          <t>2026-06-30</t>
        </is>
      </c>
      <c r="M39" s="27" t="inlineStr"/>
    </row>
    <row r="40">
      <c r="A40" s="36" t="inlineStr">
        <is>
          <t>PLN-00704</t>
        </is>
      </c>
      <c r="B40" s="27" t="inlineStr">
        <is>
          <t>Complete the backlog burn and capacity model</t>
        </is>
      </c>
      <c r="C40" s="27" t="inlineStr">
        <is>
          <t>Monthly capacity</t>
        </is>
      </c>
      <c r="D40" s="27" t="inlineStr">
        <is>
          <t>All field labor</t>
        </is>
      </c>
      <c r="E40" s="27" t="inlineStr">
        <is>
          <t>2026-07</t>
        </is>
      </c>
      <c r="F40" s="27" t="inlineStr">
        <is>
          <t>Approved case</t>
        </is>
      </c>
      <c r="G40" s="27" t="inlineStr">
        <is>
          <t>Overtime limit on internal hours</t>
        </is>
      </c>
      <c r="H40" s="46" t="n">
        <v>0.08</v>
      </c>
      <c r="I40" s="27" t="inlineStr"/>
      <c r="J40" s="27" t="inlineStr">
        <is>
          <t>decimal ratio</t>
        </is>
      </c>
      <c r="K40" s="27" t="inlineStr">
        <is>
          <t>Finance operating schedule</t>
        </is>
      </c>
      <c r="L40" s="47" t="inlineStr">
        <is>
          <t>2026-06-30</t>
        </is>
      </c>
      <c r="M40" s="27" t="inlineStr"/>
    </row>
    <row r="41">
      <c r="A41" s="36" t="inlineStr">
        <is>
          <t>PLN-00705</t>
        </is>
      </c>
      <c r="B41" s="27" t="inlineStr">
        <is>
          <t>Complete the backlog burn and capacity model</t>
        </is>
      </c>
      <c r="C41" s="27" t="inlineStr">
        <is>
          <t>Monthly capacity</t>
        </is>
      </c>
      <c r="D41" s="27" t="inlineStr">
        <is>
          <t>All field labor</t>
        </is>
      </c>
      <c r="E41" s="27" t="inlineStr">
        <is>
          <t>2026-08</t>
        </is>
      </c>
      <c r="F41" s="27" t="inlineStr">
        <is>
          <t>Approved case</t>
        </is>
      </c>
      <c r="G41" s="27" t="inlineStr">
        <is>
          <t>Productive internal hours</t>
        </is>
      </c>
      <c r="H41" s="46" t="n">
        <v>31780</v>
      </c>
      <c r="I41" s="27" t="inlineStr"/>
      <c r="J41" s="27" t="inlineStr">
        <is>
          <t>hours</t>
        </is>
      </c>
      <c r="K41" s="27" t="inlineStr">
        <is>
          <t>Finance operating schedule</t>
        </is>
      </c>
      <c r="L41" s="47" t="inlineStr">
        <is>
          <t>2026-06-30</t>
        </is>
      </c>
      <c r="M41" s="27" t="inlineStr"/>
    </row>
    <row r="42">
      <c r="A42" s="36" t="inlineStr">
        <is>
          <t>PLN-00706</t>
        </is>
      </c>
      <c r="B42" s="27" t="inlineStr">
        <is>
          <t>Complete the backlog burn and capacity model</t>
        </is>
      </c>
      <c r="C42" s="27" t="inlineStr">
        <is>
          <t>Monthly capacity</t>
        </is>
      </c>
      <c r="D42" s="27" t="inlineStr">
        <is>
          <t>All field labor</t>
        </is>
      </c>
      <c r="E42" s="27" t="inlineStr">
        <is>
          <t>2026-08</t>
        </is>
      </c>
      <c r="F42" s="27" t="inlineStr">
        <is>
          <t>Approved case</t>
        </is>
      </c>
      <c r="G42" s="27" t="inlineStr">
        <is>
          <t>Subcontractable hours</t>
        </is>
      </c>
      <c r="H42" s="46" t="n">
        <v>4500</v>
      </c>
      <c r="I42" s="27" t="inlineStr"/>
      <c r="J42" s="27" t="inlineStr">
        <is>
          <t>hours</t>
        </is>
      </c>
      <c r="K42" s="27" t="inlineStr">
        <is>
          <t>Finance operating schedule</t>
        </is>
      </c>
      <c r="L42" s="47" t="inlineStr">
        <is>
          <t>2026-06-30</t>
        </is>
      </c>
      <c r="M42" s="27" t="inlineStr"/>
    </row>
    <row r="43">
      <c r="A43" s="36" t="inlineStr">
        <is>
          <t>PLN-00707</t>
        </is>
      </c>
      <c r="B43" s="27" t="inlineStr">
        <is>
          <t>Complete the backlog burn and capacity model</t>
        </is>
      </c>
      <c r="C43" s="27" t="inlineStr">
        <is>
          <t>Monthly capacity</t>
        </is>
      </c>
      <c r="D43" s="27" t="inlineStr">
        <is>
          <t>All field labor</t>
        </is>
      </c>
      <c r="E43" s="27" t="inlineStr">
        <is>
          <t>2026-08</t>
        </is>
      </c>
      <c r="F43" s="27" t="inlineStr">
        <is>
          <t>Approved case</t>
        </is>
      </c>
      <c r="G43" s="27" t="inlineStr">
        <is>
          <t>Overtime limit on internal hours</t>
        </is>
      </c>
      <c r="H43" s="46" t="n">
        <v>0.08</v>
      </c>
      <c r="I43" s="27" t="inlineStr"/>
      <c r="J43" s="27" t="inlineStr">
        <is>
          <t>decimal ratio</t>
        </is>
      </c>
      <c r="K43" s="27" t="inlineStr">
        <is>
          <t>Finance operating schedule</t>
        </is>
      </c>
      <c r="L43" s="47" t="inlineStr">
        <is>
          <t>2026-06-30</t>
        </is>
      </c>
      <c r="M43" s="27" t="inlineStr"/>
    </row>
    <row r="44">
      <c r="A44" s="36" t="inlineStr">
        <is>
          <t>PLN-00708</t>
        </is>
      </c>
      <c r="B44" s="27" t="inlineStr">
        <is>
          <t>Complete the backlog burn and capacity model</t>
        </is>
      </c>
      <c r="C44" s="27" t="inlineStr">
        <is>
          <t>Monthly capacity</t>
        </is>
      </c>
      <c r="D44" s="27" t="inlineStr">
        <is>
          <t>All field labor</t>
        </is>
      </c>
      <c r="E44" s="27" t="inlineStr">
        <is>
          <t>2026-09</t>
        </is>
      </c>
      <c r="F44" s="27" t="inlineStr">
        <is>
          <t>Approved case</t>
        </is>
      </c>
      <c r="G44" s="27" t="inlineStr">
        <is>
          <t>Productive internal hours</t>
        </is>
      </c>
      <c r="H44" s="46" t="n">
        <v>32060</v>
      </c>
      <c r="I44" s="27" t="inlineStr"/>
      <c r="J44" s="27" t="inlineStr">
        <is>
          <t>hours</t>
        </is>
      </c>
      <c r="K44" s="27" t="inlineStr">
        <is>
          <t>Finance operating schedule</t>
        </is>
      </c>
      <c r="L44" s="47" t="inlineStr">
        <is>
          <t>2026-06-30</t>
        </is>
      </c>
      <c r="M44" s="27" t="inlineStr"/>
    </row>
    <row r="45">
      <c r="A45" s="36" t="inlineStr">
        <is>
          <t>PLN-00709</t>
        </is>
      </c>
      <c r="B45" s="27" t="inlineStr">
        <is>
          <t>Complete the backlog burn and capacity model</t>
        </is>
      </c>
      <c r="C45" s="27" t="inlineStr">
        <is>
          <t>Monthly capacity</t>
        </is>
      </c>
      <c r="D45" s="27" t="inlineStr">
        <is>
          <t>All field labor</t>
        </is>
      </c>
      <c r="E45" s="27" t="inlineStr">
        <is>
          <t>2026-09</t>
        </is>
      </c>
      <c r="F45" s="27" t="inlineStr">
        <is>
          <t>Approved case</t>
        </is>
      </c>
      <c r="G45" s="27" t="inlineStr">
        <is>
          <t>Subcontractable hours</t>
        </is>
      </c>
      <c r="H45" s="46" t="n">
        <v>4500</v>
      </c>
      <c r="I45" s="27" t="inlineStr"/>
      <c r="J45" s="27" t="inlineStr">
        <is>
          <t>hours</t>
        </is>
      </c>
      <c r="K45" s="27" t="inlineStr">
        <is>
          <t>Finance operating schedule</t>
        </is>
      </c>
      <c r="L45" s="47" t="inlineStr">
        <is>
          <t>2026-06-30</t>
        </is>
      </c>
      <c r="M45" s="27" t="inlineStr"/>
    </row>
    <row r="46">
      <c r="A46" s="36" t="inlineStr">
        <is>
          <t>PLN-00710</t>
        </is>
      </c>
      <c r="B46" s="27" t="inlineStr">
        <is>
          <t>Complete the backlog burn and capacity model</t>
        </is>
      </c>
      <c r="C46" s="27" t="inlineStr">
        <is>
          <t>Monthly capacity</t>
        </is>
      </c>
      <c r="D46" s="27" t="inlineStr">
        <is>
          <t>All field labor</t>
        </is>
      </c>
      <c r="E46" s="27" t="inlineStr">
        <is>
          <t>2026-09</t>
        </is>
      </c>
      <c r="F46" s="27" t="inlineStr">
        <is>
          <t>Approved case</t>
        </is>
      </c>
      <c r="G46" s="27" t="inlineStr">
        <is>
          <t>Overtime limit on internal hours</t>
        </is>
      </c>
      <c r="H46" s="46" t="n">
        <v>0.08</v>
      </c>
      <c r="I46" s="27" t="inlineStr"/>
      <c r="J46" s="27" t="inlineStr">
        <is>
          <t>decimal ratio</t>
        </is>
      </c>
      <c r="K46" s="27" t="inlineStr">
        <is>
          <t>Finance operating schedule</t>
        </is>
      </c>
      <c r="L46" s="47" t="inlineStr">
        <is>
          <t>2026-06-30</t>
        </is>
      </c>
      <c r="M46" s="27" t="inlineStr"/>
    </row>
    <row r="47">
      <c r="A47" s="36" t="inlineStr">
        <is>
          <t>PLN-00711</t>
        </is>
      </c>
      <c r="B47" s="27" t="inlineStr">
        <is>
          <t>Complete the backlog burn and capacity model</t>
        </is>
      </c>
      <c r="C47" s="27" t="inlineStr">
        <is>
          <t>Monthly capacity</t>
        </is>
      </c>
      <c r="D47" s="27" t="inlineStr">
        <is>
          <t>All field labor</t>
        </is>
      </c>
      <c r="E47" s="27" t="inlineStr">
        <is>
          <t>2026-10</t>
        </is>
      </c>
      <c r="F47" s="27" t="inlineStr">
        <is>
          <t>Approved case</t>
        </is>
      </c>
      <c r="G47" s="27" t="inlineStr">
        <is>
          <t>Productive internal hours</t>
        </is>
      </c>
      <c r="H47" s="46" t="n">
        <v>32340</v>
      </c>
      <c r="I47" s="27" t="inlineStr"/>
      <c r="J47" s="27" t="inlineStr">
        <is>
          <t>hours</t>
        </is>
      </c>
      <c r="K47" s="27" t="inlineStr">
        <is>
          <t>Finance operating schedule</t>
        </is>
      </c>
      <c r="L47" s="47" t="inlineStr">
        <is>
          <t>2026-06-30</t>
        </is>
      </c>
      <c r="M47" s="27" t="inlineStr"/>
    </row>
    <row r="48">
      <c r="A48" s="36" t="inlineStr">
        <is>
          <t>PLN-00712</t>
        </is>
      </c>
      <c r="B48" s="27" t="inlineStr">
        <is>
          <t>Complete the backlog burn and capacity model</t>
        </is>
      </c>
      <c r="C48" s="27" t="inlineStr">
        <is>
          <t>Monthly capacity</t>
        </is>
      </c>
      <c r="D48" s="27" t="inlineStr">
        <is>
          <t>All field labor</t>
        </is>
      </c>
      <c r="E48" s="27" t="inlineStr">
        <is>
          <t>2026-10</t>
        </is>
      </c>
      <c r="F48" s="27" t="inlineStr">
        <is>
          <t>Approved case</t>
        </is>
      </c>
      <c r="G48" s="27" t="inlineStr">
        <is>
          <t>Subcontractable hours</t>
        </is>
      </c>
      <c r="H48" s="46" t="n">
        <v>4500</v>
      </c>
      <c r="I48" s="27" t="inlineStr"/>
      <c r="J48" s="27" t="inlineStr">
        <is>
          <t>hours</t>
        </is>
      </c>
      <c r="K48" s="27" t="inlineStr">
        <is>
          <t>Finance operating schedule</t>
        </is>
      </c>
      <c r="L48" s="47" t="inlineStr">
        <is>
          <t>2026-06-30</t>
        </is>
      </c>
      <c r="M48" s="27" t="inlineStr"/>
    </row>
    <row r="49">
      <c r="A49" s="36" t="inlineStr">
        <is>
          <t>PLN-00713</t>
        </is>
      </c>
      <c r="B49" s="27" t="inlineStr">
        <is>
          <t>Complete the backlog burn and capacity model</t>
        </is>
      </c>
      <c r="C49" s="27" t="inlineStr">
        <is>
          <t>Monthly capacity</t>
        </is>
      </c>
      <c r="D49" s="27" t="inlineStr">
        <is>
          <t>All field labor</t>
        </is>
      </c>
      <c r="E49" s="27" t="inlineStr">
        <is>
          <t>2026-10</t>
        </is>
      </c>
      <c r="F49" s="27" t="inlineStr">
        <is>
          <t>Approved case</t>
        </is>
      </c>
      <c r="G49" s="27" t="inlineStr">
        <is>
          <t>Overtime limit on internal hours</t>
        </is>
      </c>
      <c r="H49" s="46" t="n">
        <v>0.08</v>
      </c>
      <c r="I49" s="27" t="inlineStr"/>
      <c r="J49" s="27" t="inlineStr">
        <is>
          <t>decimal ratio</t>
        </is>
      </c>
      <c r="K49" s="27" t="inlineStr">
        <is>
          <t>Finance operating schedule</t>
        </is>
      </c>
      <c r="L49" s="47" t="inlineStr">
        <is>
          <t>2026-06-30</t>
        </is>
      </c>
      <c r="M49" s="27" t="inlineStr"/>
    </row>
    <row r="50">
      <c r="A50" s="36" t="inlineStr">
        <is>
          <t>PLN-00714</t>
        </is>
      </c>
      <c r="B50" s="27" t="inlineStr">
        <is>
          <t>Complete the backlog burn and capacity model</t>
        </is>
      </c>
      <c r="C50" s="27" t="inlineStr">
        <is>
          <t>Monthly capacity</t>
        </is>
      </c>
      <c r="D50" s="27" t="inlineStr">
        <is>
          <t>All field labor</t>
        </is>
      </c>
      <c r="E50" s="27" t="inlineStr">
        <is>
          <t>2026-11</t>
        </is>
      </c>
      <c r="F50" s="27" t="inlineStr">
        <is>
          <t>Approved case</t>
        </is>
      </c>
      <c r="G50" s="27" t="inlineStr">
        <is>
          <t>Productive internal hours</t>
        </is>
      </c>
      <c r="H50" s="46" t="n">
        <v>32620</v>
      </c>
      <c r="I50" s="27" t="inlineStr"/>
      <c r="J50" s="27" t="inlineStr">
        <is>
          <t>hours</t>
        </is>
      </c>
      <c r="K50" s="27" t="inlineStr">
        <is>
          <t>Finance operating schedule</t>
        </is>
      </c>
      <c r="L50" s="47" t="inlineStr">
        <is>
          <t>2026-06-30</t>
        </is>
      </c>
      <c r="M50" s="27" t="inlineStr"/>
    </row>
    <row r="51">
      <c r="A51" s="36" t="inlineStr">
        <is>
          <t>PLN-00715</t>
        </is>
      </c>
      <c r="B51" s="27" t="inlineStr">
        <is>
          <t>Complete the backlog burn and capacity model</t>
        </is>
      </c>
      <c r="C51" s="27" t="inlineStr">
        <is>
          <t>Monthly capacity</t>
        </is>
      </c>
      <c r="D51" s="27" t="inlineStr">
        <is>
          <t>All field labor</t>
        </is>
      </c>
      <c r="E51" s="27" t="inlineStr">
        <is>
          <t>2026-11</t>
        </is>
      </c>
      <c r="F51" s="27" t="inlineStr">
        <is>
          <t>Approved case</t>
        </is>
      </c>
      <c r="G51" s="27" t="inlineStr">
        <is>
          <t>Subcontractable hours</t>
        </is>
      </c>
      <c r="H51" s="46" t="n">
        <v>4500</v>
      </c>
      <c r="I51" s="27" t="inlineStr"/>
      <c r="J51" s="27" t="inlineStr">
        <is>
          <t>hours</t>
        </is>
      </c>
      <c r="K51" s="27" t="inlineStr">
        <is>
          <t>Finance operating schedule</t>
        </is>
      </c>
      <c r="L51" s="47" t="inlineStr">
        <is>
          <t>2026-06-30</t>
        </is>
      </c>
      <c r="M51" s="27" t="inlineStr"/>
    </row>
    <row r="52">
      <c r="A52" s="36" t="inlineStr">
        <is>
          <t>PLN-00716</t>
        </is>
      </c>
      <c r="B52" s="27" t="inlineStr">
        <is>
          <t>Complete the backlog burn and capacity model</t>
        </is>
      </c>
      <c r="C52" s="27" t="inlineStr">
        <is>
          <t>Monthly capacity</t>
        </is>
      </c>
      <c r="D52" s="27" t="inlineStr">
        <is>
          <t>All field labor</t>
        </is>
      </c>
      <c r="E52" s="27" t="inlineStr">
        <is>
          <t>2026-11</t>
        </is>
      </c>
      <c r="F52" s="27" t="inlineStr">
        <is>
          <t>Approved case</t>
        </is>
      </c>
      <c r="G52" s="27" t="inlineStr">
        <is>
          <t>Overtime limit on internal hours</t>
        </is>
      </c>
      <c r="H52" s="46" t="n">
        <v>0.08</v>
      </c>
      <c r="I52" s="27" t="inlineStr"/>
      <c r="J52" s="27" t="inlineStr">
        <is>
          <t>decimal ratio</t>
        </is>
      </c>
      <c r="K52" s="27" t="inlineStr">
        <is>
          <t>Finance operating schedule</t>
        </is>
      </c>
      <c r="L52" s="47" t="inlineStr">
        <is>
          <t>2026-06-30</t>
        </is>
      </c>
      <c r="M52" s="27" t="inlineStr"/>
    </row>
    <row r="53">
      <c r="A53" s="36" t="inlineStr">
        <is>
          <t>PLN-00717</t>
        </is>
      </c>
      <c r="B53" s="27" t="inlineStr">
        <is>
          <t>Complete the backlog burn and capacity model</t>
        </is>
      </c>
      <c r="C53" s="27" t="inlineStr">
        <is>
          <t>Monthly capacity</t>
        </is>
      </c>
      <c r="D53" s="27" t="inlineStr">
        <is>
          <t>All field labor</t>
        </is>
      </c>
      <c r="E53" s="27" t="inlineStr">
        <is>
          <t>2026-12</t>
        </is>
      </c>
      <c r="F53" s="27" t="inlineStr">
        <is>
          <t>Approved case</t>
        </is>
      </c>
      <c r="G53" s="27" t="inlineStr">
        <is>
          <t>Productive internal hours</t>
        </is>
      </c>
      <c r="H53" s="46" t="n">
        <v>30100</v>
      </c>
      <c r="I53" s="27" t="inlineStr"/>
      <c r="J53" s="27" t="inlineStr">
        <is>
          <t>hours</t>
        </is>
      </c>
      <c r="K53" s="27" t="inlineStr">
        <is>
          <t>Finance operating schedule</t>
        </is>
      </c>
      <c r="L53" s="47" t="inlineStr">
        <is>
          <t>2026-06-30</t>
        </is>
      </c>
      <c r="M53" s="27" t="inlineStr"/>
    </row>
    <row r="54">
      <c r="A54" s="36" t="inlineStr">
        <is>
          <t>PLN-00718</t>
        </is>
      </c>
      <c r="B54" s="27" t="inlineStr">
        <is>
          <t>Complete the backlog burn and capacity model</t>
        </is>
      </c>
      <c r="C54" s="27" t="inlineStr">
        <is>
          <t>Monthly capacity</t>
        </is>
      </c>
      <c r="D54" s="27" t="inlineStr">
        <is>
          <t>All field labor</t>
        </is>
      </c>
      <c r="E54" s="27" t="inlineStr">
        <is>
          <t>2026-12</t>
        </is>
      </c>
      <c r="F54" s="27" t="inlineStr">
        <is>
          <t>Approved case</t>
        </is>
      </c>
      <c r="G54" s="27" t="inlineStr">
        <is>
          <t>Subcontractable hours</t>
        </is>
      </c>
      <c r="H54" s="46" t="n">
        <v>4500</v>
      </c>
      <c r="I54" s="27" t="inlineStr"/>
      <c r="J54" s="27" t="inlineStr">
        <is>
          <t>hours</t>
        </is>
      </c>
      <c r="K54" s="27" t="inlineStr">
        <is>
          <t>Finance operating schedule</t>
        </is>
      </c>
      <c r="L54" s="47" t="inlineStr">
        <is>
          <t>2026-06-30</t>
        </is>
      </c>
      <c r="M54" s="27" t="inlineStr"/>
    </row>
    <row r="55">
      <c r="A55" s="36" t="inlineStr">
        <is>
          <t>PLN-00719</t>
        </is>
      </c>
      <c r="B55" s="27" t="inlineStr">
        <is>
          <t>Complete the backlog burn and capacity model</t>
        </is>
      </c>
      <c r="C55" s="27" t="inlineStr">
        <is>
          <t>Monthly capacity</t>
        </is>
      </c>
      <c r="D55" s="27" t="inlineStr">
        <is>
          <t>All field labor</t>
        </is>
      </c>
      <c r="E55" s="27" t="inlineStr">
        <is>
          <t>2026-12</t>
        </is>
      </c>
      <c r="F55" s="27" t="inlineStr">
        <is>
          <t>Approved case</t>
        </is>
      </c>
      <c r="G55" s="27" t="inlineStr">
        <is>
          <t>Overtime limit on internal hours</t>
        </is>
      </c>
      <c r="H55" s="46" t="n">
        <v>0.08</v>
      </c>
      <c r="I55" s="27" t="inlineStr"/>
      <c r="J55" s="27" t="inlineStr">
        <is>
          <t>decimal ratio</t>
        </is>
      </c>
      <c r="K55" s="27" t="inlineStr">
        <is>
          <t>Finance operating schedule</t>
        </is>
      </c>
      <c r="L55" s="47" t="inlineStr">
        <is>
          <t>2026-06-30</t>
        </is>
      </c>
      <c r="M55" s="27" t="inlineStr"/>
    </row>
    <row r="56">
      <c r="A56" s="36" t="inlineStr">
        <is>
          <t>PLN-00720</t>
        </is>
      </c>
      <c r="B56" s="27" t="inlineStr">
        <is>
          <t>Complete the backlog burn and capacity model</t>
        </is>
      </c>
      <c r="C56" s="27" t="inlineStr">
        <is>
          <t>Monthly capacity</t>
        </is>
      </c>
      <c r="D56" s="27" t="inlineStr">
        <is>
          <t>All field labor</t>
        </is>
      </c>
      <c r="E56" s="27" t="inlineStr">
        <is>
          <t>2027-01</t>
        </is>
      </c>
      <c r="F56" s="27" t="inlineStr">
        <is>
          <t>Approved case</t>
        </is>
      </c>
      <c r="G56" s="27" t="inlineStr">
        <is>
          <t>Productive internal hours</t>
        </is>
      </c>
      <c r="H56" s="46" t="n">
        <v>30380</v>
      </c>
      <c r="I56" s="27" t="inlineStr"/>
      <c r="J56" s="27" t="inlineStr">
        <is>
          <t>hours</t>
        </is>
      </c>
      <c r="K56" s="27" t="inlineStr">
        <is>
          <t>Finance operating schedule</t>
        </is>
      </c>
      <c r="L56" s="47" t="inlineStr">
        <is>
          <t>2026-06-30</t>
        </is>
      </c>
      <c r="M56" s="27" t="inlineStr"/>
    </row>
    <row r="57">
      <c r="A57" s="36" t="inlineStr">
        <is>
          <t>PLN-00721</t>
        </is>
      </c>
      <c r="B57" s="27" t="inlineStr">
        <is>
          <t>Complete the backlog burn and capacity model</t>
        </is>
      </c>
      <c r="C57" s="27" t="inlineStr">
        <is>
          <t>Monthly capacity</t>
        </is>
      </c>
      <c r="D57" s="27" t="inlineStr">
        <is>
          <t>All field labor</t>
        </is>
      </c>
      <c r="E57" s="27" t="inlineStr">
        <is>
          <t>2027-01</t>
        </is>
      </c>
      <c r="F57" s="27" t="inlineStr">
        <is>
          <t>Approved case</t>
        </is>
      </c>
      <c r="G57" s="27" t="inlineStr">
        <is>
          <t>Subcontractable hours</t>
        </is>
      </c>
      <c r="H57" s="46" t="n">
        <v>4500</v>
      </c>
      <c r="I57" s="27" t="inlineStr"/>
      <c r="J57" s="27" t="inlineStr">
        <is>
          <t>hours</t>
        </is>
      </c>
      <c r="K57" s="27" t="inlineStr">
        <is>
          <t>Finance operating schedule</t>
        </is>
      </c>
      <c r="L57" s="47" t="inlineStr">
        <is>
          <t>2026-06-30</t>
        </is>
      </c>
      <c r="M57" s="27" t="inlineStr"/>
    </row>
    <row r="58">
      <c r="A58" s="36" t="inlineStr">
        <is>
          <t>PLN-00722</t>
        </is>
      </c>
      <c r="B58" s="27" t="inlineStr">
        <is>
          <t>Complete the backlog burn and capacity model</t>
        </is>
      </c>
      <c r="C58" s="27" t="inlineStr">
        <is>
          <t>Monthly capacity</t>
        </is>
      </c>
      <c r="D58" s="27" t="inlineStr">
        <is>
          <t>All field labor</t>
        </is>
      </c>
      <c r="E58" s="27" t="inlineStr">
        <is>
          <t>2027-01</t>
        </is>
      </c>
      <c r="F58" s="27" t="inlineStr">
        <is>
          <t>Approved case</t>
        </is>
      </c>
      <c r="G58" s="27" t="inlineStr">
        <is>
          <t>Overtime limit on internal hours</t>
        </is>
      </c>
      <c r="H58" s="46" t="n">
        <v>0.08</v>
      </c>
      <c r="I58" s="27" t="inlineStr"/>
      <c r="J58" s="27" t="inlineStr">
        <is>
          <t>decimal ratio</t>
        </is>
      </c>
      <c r="K58" s="27" t="inlineStr">
        <is>
          <t>Finance operating schedule</t>
        </is>
      </c>
      <c r="L58" s="47" t="inlineStr">
        <is>
          <t>2026-06-30</t>
        </is>
      </c>
      <c r="M58" s="27" t="inlineStr"/>
    </row>
    <row r="59">
      <c r="A59" s="36" t="inlineStr">
        <is>
          <t>PLN-00723</t>
        </is>
      </c>
      <c r="B59" s="27" t="inlineStr">
        <is>
          <t>Complete the backlog burn and capacity model</t>
        </is>
      </c>
      <c r="C59" s="27" t="inlineStr">
        <is>
          <t>Monthly capacity</t>
        </is>
      </c>
      <c r="D59" s="27" t="inlineStr">
        <is>
          <t>All field labor</t>
        </is>
      </c>
      <c r="E59" s="27" t="inlineStr">
        <is>
          <t>2027-02</t>
        </is>
      </c>
      <c r="F59" s="27" t="inlineStr">
        <is>
          <t>Approved case</t>
        </is>
      </c>
      <c r="G59" s="27" t="inlineStr">
        <is>
          <t>Productive internal hours</t>
        </is>
      </c>
      <c r="H59" s="46" t="n">
        <v>33460</v>
      </c>
      <c r="I59" s="27" t="inlineStr"/>
      <c r="J59" s="27" t="inlineStr">
        <is>
          <t>hours</t>
        </is>
      </c>
      <c r="K59" s="27" t="inlineStr">
        <is>
          <t>Finance operating schedule</t>
        </is>
      </c>
      <c r="L59" s="47" t="inlineStr">
        <is>
          <t>2026-06-30</t>
        </is>
      </c>
      <c r="M59" s="27" t="inlineStr"/>
    </row>
    <row r="60">
      <c r="A60" s="36" t="inlineStr">
        <is>
          <t>PLN-00724</t>
        </is>
      </c>
      <c r="B60" s="27" t="inlineStr">
        <is>
          <t>Complete the backlog burn and capacity model</t>
        </is>
      </c>
      <c r="C60" s="27" t="inlineStr">
        <is>
          <t>Monthly capacity</t>
        </is>
      </c>
      <c r="D60" s="27" t="inlineStr">
        <is>
          <t>All field labor</t>
        </is>
      </c>
      <c r="E60" s="27" t="inlineStr">
        <is>
          <t>2027-02</t>
        </is>
      </c>
      <c r="F60" s="27" t="inlineStr">
        <is>
          <t>Approved case</t>
        </is>
      </c>
      <c r="G60" s="27" t="inlineStr">
        <is>
          <t>Subcontractable hours</t>
        </is>
      </c>
      <c r="H60" s="46" t="n">
        <v>3200</v>
      </c>
      <c r="I60" s="27" t="inlineStr"/>
      <c r="J60" s="27" t="inlineStr">
        <is>
          <t>hours</t>
        </is>
      </c>
      <c r="K60" s="27" t="inlineStr">
        <is>
          <t>Finance operating schedule</t>
        </is>
      </c>
      <c r="L60" s="47" t="inlineStr">
        <is>
          <t>2026-06-30</t>
        </is>
      </c>
      <c r="M60" s="27" t="inlineStr"/>
    </row>
    <row r="61">
      <c r="A61" s="36" t="inlineStr">
        <is>
          <t>PLN-00725</t>
        </is>
      </c>
      <c r="B61" s="27" t="inlineStr">
        <is>
          <t>Complete the backlog burn and capacity model</t>
        </is>
      </c>
      <c r="C61" s="27" t="inlineStr">
        <is>
          <t>Monthly capacity</t>
        </is>
      </c>
      <c r="D61" s="27" t="inlineStr">
        <is>
          <t>All field labor</t>
        </is>
      </c>
      <c r="E61" s="27" t="inlineStr">
        <is>
          <t>2027-02</t>
        </is>
      </c>
      <c r="F61" s="27" t="inlineStr">
        <is>
          <t>Approved case</t>
        </is>
      </c>
      <c r="G61" s="27" t="inlineStr">
        <is>
          <t>Overtime limit on internal hours</t>
        </is>
      </c>
      <c r="H61" s="46" t="n">
        <v>0.08</v>
      </c>
      <c r="I61" s="27" t="inlineStr"/>
      <c r="J61" s="27" t="inlineStr">
        <is>
          <t>decimal ratio</t>
        </is>
      </c>
      <c r="K61" s="27" t="inlineStr">
        <is>
          <t>Finance operating schedule</t>
        </is>
      </c>
      <c r="L61" s="47" t="inlineStr">
        <is>
          <t>2026-06-30</t>
        </is>
      </c>
      <c r="M61" s="27" t="inlineStr"/>
    </row>
    <row r="62">
      <c r="A62" s="36" t="inlineStr">
        <is>
          <t>PLN-00726</t>
        </is>
      </c>
      <c r="B62" s="27" t="inlineStr">
        <is>
          <t>Complete the backlog burn and capacity model</t>
        </is>
      </c>
      <c r="C62" s="27" t="inlineStr">
        <is>
          <t>Monthly capacity</t>
        </is>
      </c>
      <c r="D62" s="27" t="inlineStr">
        <is>
          <t>All field labor</t>
        </is>
      </c>
      <c r="E62" s="27" t="inlineStr">
        <is>
          <t>2027-03</t>
        </is>
      </c>
      <c r="F62" s="27" t="inlineStr">
        <is>
          <t>Approved case</t>
        </is>
      </c>
      <c r="G62" s="27" t="inlineStr">
        <is>
          <t>Productive internal hours</t>
        </is>
      </c>
      <c r="H62" s="46" t="n">
        <v>33740</v>
      </c>
      <c r="I62" s="27" t="inlineStr"/>
      <c r="J62" s="27" t="inlineStr">
        <is>
          <t>hours</t>
        </is>
      </c>
      <c r="K62" s="27" t="inlineStr">
        <is>
          <t>Finance operating schedule</t>
        </is>
      </c>
      <c r="L62" s="47" t="inlineStr">
        <is>
          <t>2026-06-30</t>
        </is>
      </c>
      <c r="M62" s="27" t="inlineStr"/>
    </row>
    <row r="63">
      <c r="A63" s="36" t="inlineStr">
        <is>
          <t>PLN-00727</t>
        </is>
      </c>
      <c r="B63" s="27" t="inlineStr">
        <is>
          <t>Complete the backlog burn and capacity model</t>
        </is>
      </c>
      <c r="C63" s="27" t="inlineStr">
        <is>
          <t>Monthly capacity</t>
        </is>
      </c>
      <c r="D63" s="27" t="inlineStr">
        <is>
          <t>All field labor</t>
        </is>
      </c>
      <c r="E63" s="27" t="inlineStr">
        <is>
          <t>2027-03</t>
        </is>
      </c>
      <c r="F63" s="27" t="inlineStr">
        <is>
          <t>Approved case</t>
        </is>
      </c>
      <c r="G63" s="27" t="inlineStr">
        <is>
          <t>Subcontractable hours</t>
        </is>
      </c>
      <c r="H63" s="46" t="n">
        <v>3200</v>
      </c>
      <c r="I63" s="27" t="inlineStr"/>
      <c r="J63" s="27" t="inlineStr">
        <is>
          <t>hours</t>
        </is>
      </c>
      <c r="K63" s="27" t="inlineStr">
        <is>
          <t>Finance operating schedule</t>
        </is>
      </c>
      <c r="L63" s="47" t="inlineStr">
        <is>
          <t>2026-06-30</t>
        </is>
      </c>
      <c r="M63" s="27" t="inlineStr"/>
    </row>
    <row r="64">
      <c r="A64" s="36" t="inlineStr">
        <is>
          <t>PLN-00728</t>
        </is>
      </c>
      <c r="B64" s="27" t="inlineStr">
        <is>
          <t>Complete the backlog burn and capacity model</t>
        </is>
      </c>
      <c r="C64" s="27" t="inlineStr">
        <is>
          <t>Monthly capacity</t>
        </is>
      </c>
      <c r="D64" s="27" t="inlineStr">
        <is>
          <t>All field labor</t>
        </is>
      </c>
      <c r="E64" s="27" t="inlineStr">
        <is>
          <t>2027-03</t>
        </is>
      </c>
      <c r="F64" s="27" t="inlineStr">
        <is>
          <t>Approved case</t>
        </is>
      </c>
      <c r="G64" s="27" t="inlineStr">
        <is>
          <t>Overtime limit on internal hours</t>
        </is>
      </c>
      <c r="H64" s="46" t="n">
        <v>0.05</v>
      </c>
      <c r="I64" s="27" t="inlineStr"/>
      <c r="J64" s="27" t="inlineStr">
        <is>
          <t>decimal ratio</t>
        </is>
      </c>
      <c r="K64" s="27" t="inlineStr">
        <is>
          <t>Finance operating schedule</t>
        </is>
      </c>
      <c r="L64" s="47" t="inlineStr">
        <is>
          <t>2026-06-30</t>
        </is>
      </c>
      <c r="M64" s="27" t="inlineStr"/>
    </row>
    <row r="65">
      <c r="A65" s="36" t="inlineStr">
        <is>
          <t>PLN-00729</t>
        </is>
      </c>
      <c r="B65" s="27" t="inlineStr">
        <is>
          <t>Complete the backlog burn and capacity model</t>
        </is>
      </c>
      <c r="C65" s="27" t="inlineStr">
        <is>
          <t>Monthly capacity</t>
        </is>
      </c>
      <c r="D65" s="27" t="inlineStr">
        <is>
          <t>All field labor</t>
        </is>
      </c>
      <c r="E65" s="27" t="inlineStr">
        <is>
          <t>2027-04</t>
        </is>
      </c>
      <c r="F65" s="27" t="inlineStr">
        <is>
          <t>Approved case</t>
        </is>
      </c>
      <c r="G65" s="27" t="inlineStr">
        <is>
          <t>Productive internal hours</t>
        </is>
      </c>
      <c r="H65" s="46" t="n">
        <v>34020</v>
      </c>
      <c r="I65" s="27" t="inlineStr"/>
      <c r="J65" s="27" t="inlineStr">
        <is>
          <t>hours</t>
        </is>
      </c>
      <c r="K65" s="27" t="inlineStr">
        <is>
          <t>Finance operating schedule</t>
        </is>
      </c>
      <c r="L65" s="47" t="inlineStr">
        <is>
          <t>2026-06-30</t>
        </is>
      </c>
      <c r="M65" s="27" t="inlineStr"/>
    </row>
    <row r="66">
      <c r="A66" s="36" t="inlineStr">
        <is>
          <t>PLN-00730</t>
        </is>
      </c>
      <c r="B66" s="27" t="inlineStr">
        <is>
          <t>Complete the backlog burn and capacity model</t>
        </is>
      </c>
      <c r="C66" s="27" t="inlineStr">
        <is>
          <t>Monthly capacity</t>
        </is>
      </c>
      <c r="D66" s="27" t="inlineStr">
        <is>
          <t>All field labor</t>
        </is>
      </c>
      <c r="E66" s="27" t="inlineStr">
        <is>
          <t>2027-04</t>
        </is>
      </c>
      <c r="F66" s="27" t="inlineStr">
        <is>
          <t>Approved case</t>
        </is>
      </c>
      <c r="G66" s="27" t="inlineStr">
        <is>
          <t>Subcontractable hours</t>
        </is>
      </c>
      <c r="H66" s="46" t="n">
        <v>3200</v>
      </c>
      <c r="I66" s="27" t="inlineStr"/>
      <c r="J66" s="27" t="inlineStr">
        <is>
          <t>hours</t>
        </is>
      </c>
      <c r="K66" s="27" t="inlineStr">
        <is>
          <t>Finance operating schedule</t>
        </is>
      </c>
      <c r="L66" s="47" t="inlineStr">
        <is>
          <t>2026-06-30</t>
        </is>
      </c>
      <c r="M66" s="27" t="inlineStr"/>
    </row>
    <row r="67">
      <c r="A67" s="36" t="inlineStr">
        <is>
          <t>PLN-00731</t>
        </is>
      </c>
      <c r="B67" s="27" t="inlineStr">
        <is>
          <t>Complete the backlog burn and capacity model</t>
        </is>
      </c>
      <c r="C67" s="27" t="inlineStr">
        <is>
          <t>Monthly capacity</t>
        </is>
      </c>
      <c r="D67" s="27" t="inlineStr">
        <is>
          <t>All field labor</t>
        </is>
      </c>
      <c r="E67" s="27" t="inlineStr">
        <is>
          <t>2027-04</t>
        </is>
      </c>
      <c r="F67" s="27" t="inlineStr">
        <is>
          <t>Approved case</t>
        </is>
      </c>
      <c r="G67" s="27" t="inlineStr">
        <is>
          <t>Overtime limit on internal hours</t>
        </is>
      </c>
      <c r="H67" s="46" t="n">
        <v>0.05</v>
      </c>
      <c r="I67" s="27" t="inlineStr"/>
      <c r="J67" s="27" t="inlineStr">
        <is>
          <t>decimal ratio</t>
        </is>
      </c>
      <c r="K67" s="27" t="inlineStr">
        <is>
          <t>Finance operating schedule</t>
        </is>
      </c>
      <c r="L67" s="47" t="inlineStr">
        <is>
          <t>2026-06-30</t>
        </is>
      </c>
      <c r="M67" s="27" t="inlineStr"/>
    </row>
    <row r="68">
      <c r="A68" s="36" t="inlineStr">
        <is>
          <t>PLN-00732</t>
        </is>
      </c>
      <c r="B68" s="27" t="inlineStr">
        <is>
          <t>Complete the backlog burn and capacity model</t>
        </is>
      </c>
      <c r="C68" s="27" t="inlineStr">
        <is>
          <t>Monthly capacity</t>
        </is>
      </c>
      <c r="D68" s="27" t="inlineStr">
        <is>
          <t>All field labor</t>
        </is>
      </c>
      <c r="E68" s="27" t="inlineStr">
        <is>
          <t>2027-05</t>
        </is>
      </c>
      <c r="F68" s="27" t="inlineStr">
        <is>
          <t>Approved case</t>
        </is>
      </c>
      <c r="G68" s="27" t="inlineStr">
        <is>
          <t>Productive internal hours</t>
        </is>
      </c>
      <c r="H68" s="46" t="n">
        <v>34300</v>
      </c>
      <c r="I68" s="27" t="inlineStr"/>
      <c r="J68" s="27" t="inlineStr">
        <is>
          <t>hours</t>
        </is>
      </c>
      <c r="K68" s="27" t="inlineStr">
        <is>
          <t>Finance operating schedule</t>
        </is>
      </c>
      <c r="L68" s="47" t="inlineStr">
        <is>
          <t>2026-06-30</t>
        </is>
      </c>
      <c r="M68" s="27" t="inlineStr"/>
    </row>
    <row r="69">
      <c r="A69" s="36" t="inlineStr">
        <is>
          <t>PLN-00733</t>
        </is>
      </c>
      <c r="B69" s="27" t="inlineStr">
        <is>
          <t>Complete the backlog burn and capacity model</t>
        </is>
      </c>
      <c r="C69" s="27" t="inlineStr">
        <is>
          <t>Monthly capacity</t>
        </is>
      </c>
      <c r="D69" s="27" t="inlineStr">
        <is>
          <t>All field labor</t>
        </is>
      </c>
      <c r="E69" s="27" t="inlineStr">
        <is>
          <t>2027-05</t>
        </is>
      </c>
      <c r="F69" s="27" t="inlineStr">
        <is>
          <t>Approved case</t>
        </is>
      </c>
      <c r="G69" s="27" t="inlineStr">
        <is>
          <t>Subcontractable hours</t>
        </is>
      </c>
      <c r="H69" s="46" t="n">
        <v>3200</v>
      </c>
      <c r="I69" s="27" t="inlineStr"/>
      <c r="J69" s="27" t="inlineStr">
        <is>
          <t>hours</t>
        </is>
      </c>
      <c r="K69" s="27" t="inlineStr">
        <is>
          <t>Finance operating schedule</t>
        </is>
      </c>
      <c r="L69" s="47" t="inlineStr">
        <is>
          <t>2026-06-30</t>
        </is>
      </c>
      <c r="M69" s="27" t="inlineStr"/>
    </row>
    <row r="70">
      <c r="A70" s="36" t="inlineStr">
        <is>
          <t>PLN-00734</t>
        </is>
      </c>
      <c r="B70" s="27" t="inlineStr">
        <is>
          <t>Complete the backlog burn and capacity model</t>
        </is>
      </c>
      <c r="C70" s="27" t="inlineStr">
        <is>
          <t>Monthly capacity</t>
        </is>
      </c>
      <c r="D70" s="27" t="inlineStr">
        <is>
          <t>All field labor</t>
        </is>
      </c>
      <c r="E70" s="27" t="inlineStr">
        <is>
          <t>2027-05</t>
        </is>
      </c>
      <c r="F70" s="27" t="inlineStr">
        <is>
          <t>Approved case</t>
        </is>
      </c>
      <c r="G70" s="27" t="inlineStr">
        <is>
          <t>Overtime limit on internal hours</t>
        </is>
      </c>
      <c r="H70" s="46" t="n">
        <v>0.08</v>
      </c>
      <c r="I70" s="27" t="inlineStr"/>
      <c r="J70" s="27" t="inlineStr">
        <is>
          <t>decimal ratio</t>
        </is>
      </c>
      <c r="K70" s="27" t="inlineStr">
        <is>
          <t>Finance operating schedule</t>
        </is>
      </c>
      <c r="L70" s="47" t="inlineStr">
        <is>
          <t>2026-06-30</t>
        </is>
      </c>
      <c r="M70" s="27" t="inlineStr"/>
    </row>
    <row r="71">
      <c r="A71" s="36" t="inlineStr">
        <is>
          <t>PLN-00735</t>
        </is>
      </c>
      <c r="B71" s="27" t="inlineStr">
        <is>
          <t>Complete the backlog burn and capacity model</t>
        </is>
      </c>
      <c r="C71" s="27" t="inlineStr">
        <is>
          <t>Monthly capacity</t>
        </is>
      </c>
      <c r="D71" s="27" t="inlineStr">
        <is>
          <t>All field labor</t>
        </is>
      </c>
      <c r="E71" s="27" t="inlineStr">
        <is>
          <t>2027-06</t>
        </is>
      </c>
      <c r="F71" s="27" t="inlineStr">
        <is>
          <t>Approved case</t>
        </is>
      </c>
      <c r="G71" s="27" t="inlineStr">
        <is>
          <t>Productive internal hours</t>
        </is>
      </c>
      <c r="H71" s="46" t="n">
        <v>34580</v>
      </c>
      <c r="I71" s="27" t="inlineStr"/>
      <c r="J71" s="27" t="inlineStr">
        <is>
          <t>hours</t>
        </is>
      </c>
      <c r="K71" s="27" t="inlineStr">
        <is>
          <t>Finance operating schedule</t>
        </is>
      </c>
      <c r="L71" s="47" t="inlineStr">
        <is>
          <t>2026-06-30</t>
        </is>
      </c>
      <c r="M71" s="27" t="inlineStr"/>
    </row>
    <row r="72">
      <c r="A72" s="36" t="inlineStr">
        <is>
          <t>PLN-00736</t>
        </is>
      </c>
      <c r="B72" s="27" t="inlineStr">
        <is>
          <t>Complete the backlog burn and capacity model</t>
        </is>
      </c>
      <c r="C72" s="27" t="inlineStr">
        <is>
          <t>Monthly capacity</t>
        </is>
      </c>
      <c r="D72" s="27" t="inlineStr">
        <is>
          <t>All field labor</t>
        </is>
      </c>
      <c r="E72" s="27" t="inlineStr">
        <is>
          <t>2027-06</t>
        </is>
      </c>
      <c r="F72" s="27" t="inlineStr">
        <is>
          <t>Approved case</t>
        </is>
      </c>
      <c r="G72" s="27" t="inlineStr">
        <is>
          <t>Subcontractable hours</t>
        </is>
      </c>
      <c r="H72" s="46" t="n">
        <v>3200</v>
      </c>
      <c r="I72" s="27" t="inlineStr"/>
      <c r="J72" s="27" t="inlineStr">
        <is>
          <t>hours</t>
        </is>
      </c>
      <c r="K72" s="27" t="inlineStr">
        <is>
          <t>Finance operating schedule</t>
        </is>
      </c>
      <c r="L72" s="47" t="inlineStr">
        <is>
          <t>2026-06-30</t>
        </is>
      </c>
      <c r="M72" s="27" t="inlineStr"/>
    </row>
    <row r="73">
      <c r="A73" s="36" t="inlineStr">
        <is>
          <t>PLN-00737</t>
        </is>
      </c>
      <c r="B73" s="27" t="inlineStr">
        <is>
          <t>Complete the backlog burn and capacity model</t>
        </is>
      </c>
      <c r="C73" s="27" t="inlineStr">
        <is>
          <t>Monthly capacity</t>
        </is>
      </c>
      <c r="D73" s="27" t="inlineStr">
        <is>
          <t>All field labor</t>
        </is>
      </c>
      <c r="E73" s="27" t="inlineStr">
        <is>
          <t>2027-06</t>
        </is>
      </c>
      <c r="F73" s="27" t="inlineStr">
        <is>
          <t>Approved case</t>
        </is>
      </c>
      <c r="G73" s="27" t="inlineStr">
        <is>
          <t>Overtime limit on internal hours</t>
        </is>
      </c>
      <c r="H73" s="46" t="n">
        <v>0.08</v>
      </c>
      <c r="I73" s="27" t="inlineStr"/>
      <c r="J73" s="27" t="inlineStr">
        <is>
          <t>decimal ratio</t>
        </is>
      </c>
      <c r="K73" s="27" t="inlineStr">
        <is>
          <t>Finance operating schedule</t>
        </is>
      </c>
      <c r="L73" s="47" t="inlineStr">
        <is>
          <t>2026-06-30</t>
        </is>
      </c>
      <c r="M73" s="27" t="inlineStr"/>
    </row>
    <row r="74">
      <c r="A74" s="36" t="inlineStr">
        <is>
          <t>PLN-00937</t>
        </is>
      </c>
      <c r="B74" s="27" t="inlineStr">
        <is>
          <t>Backlog, pipeline, and capacity conversion</t>
        </is>
      </c>
      <c r="C74" s="27" t="inlineStr">
        <is>
          <t>Signed backlog conversion</t>
        </is>
      </c>
      <c r="D74" s="27" t="inlineStr">
        <is>
          <t>Cedar Medical</t>
        </is>
      </c>
      <c r="E74" s="27" t="inlineStr">
        <is>
          <t>2026-06-30</t>
        </is>
      </c>
      <c r="F74" s="27" t="inlineStr">
        <is>
          <t>Approved case</t>
        </is>
      </c>
      <c r="G74" s="27" t="inlineStr">
        <is>
          <t>Signed backlog</t>
        </is>
      </c>
      <c r="H74" s="46" t="n">
        <v>8400000</v>
      </c>
      <c r="I74" s="27" t="inlineStr"/>
      <c r="J74" s="27" t="inlineStr">
        <is>
          <t>USD</t>
        </is>
      </c>
      <c r="K74" s="27" t="inlineStr">
        <is>
          <t>Finance operating schedule</t>
        </is>
      </c>
      <c r="L74" s="47" t="inlineStr">
        <is>
          <t>2026-06-30</t>
        </is>
      </c>
      <c r="M74" s="27" t="inlineStr"/>
    </row>
    <row r="75">
      <c r="A75" s="36" t="inlineStr">
        <is>
          <t>PLN-00938</t>
        </is>
      </c>
      <c r="B75" s="27" t="inlineStr">
        <is>
          <t>Backlog, pipeline, and capacity conversion</t>
        </is>
      </c>
      <c r="C75" s="27" t="inlineStr">
        <is>
          <t>Signed backlog conversion</t>
        </is>
      </c>
      <c r="D75" s="27" t="inlineStr">
        <is>
          <t>Cedar Medical</t>
        </is>
      </c>
      <c r="E75" s="27" t="inlineStr">
        <is>
          <t>2026-06-30</t>
        </is>
      </c>
      <c r="F75" s="27" t="inlineStr">
        <is>
          <t>Approved case</t>
        </is>
      </c>
      <c r="G75" s="27" t="inlineStr">
        <is>
          <t>Cancellation probability</t>
        </is>
      </c>
      <c r="H75" s="46" t="n">
        <v>0.05</v>
      </c>
      <c r="I75" s="27" t="inlineStr"/>
      <c r="J75" s="27" t="inlineStr">
        <is>
          <t>decimal ratio</t>
        </is>
      </c>
      <c r="K75" s="27" t="inlineStr">
        <is>
          <t>Finance operating schedule</t>
        </is>
      </c>
      <c r="L75" s="47" t="inlineStr">
        <is>
          <t>2026-06-30</t>
        </is>
      </c>
      <c r="M75" s="27" t="inlineStr"/>
    </row>
    <row r="76">
      <c r="A76" s="36" t="inlineStr">
        <is>
          <t>PLN-00939</t>
        </is>
      </c>
      <c r="B76" s="27" t="inlineStr">
        <is>
          <t>Backlog, pipeline, and capacity conversion</t>
        </is>
      </c>
      <c r="C76" s="27" t="inlineStr">
        <is>
          <t>Signed backlog conversion</t>
        </is>
      </c>
      <c r="D76" s="27" t="inlineStr">
        <is>
          <t>Cedar Medical</t>
        </is>
      </c>
      <c r="E76" s="27" t="inlineStr">
        <is>
          <t>2026-06-30</t>
        </is>
      </c>
      <c r="F76" s="27" t="inlineStr">
        <is>
          <t>Approved case</t>
        </is>
      </c>
      <c r="G76" s="27" t="inlineStr">
        <is>
          <t>H2 burn percent</t>
        </is>
      </c>
      <c r="H76" s="46" t="n">
        <v>0.42</v>
      </c>
      <c r="I76" s="27" t="inlineStr"/>
      <c r="J76" s="27" t="inlineStr">
        <is>
          <t>decimal ratio</t>
        </is>
      </c>
      <c r="K76" s="27" t="inlineStr">
        <is>
          <t>Finance operating schedule</t>
        </is>
      </c>
      <c r="L76" s="47" t="inlineStr">
        <is>
          <t>2026-06-30</t>
        </is>
      </c>
      <c r="M76" s="27" t="inlineStr"/>
    </row>
    <row r="77">
      <c r="A77" s="36" t="inlineStr">
        <is>
          <t>PLN-00940</t>
        </is>
      </c>
      <c r="B77" s="27" t="inlineStr">
        <is>
          <t>Backlog, pipeline, and capacity conversion</t>
        </is>
      </c>
      <c r="C77" s="27" t="inlineStr">
        <is>
          <t>Signed backlog conversion</t>
        </is>
      </c>
      <c r="D77" s="27" t="inlineStr">
        <is>
          <t>Cedar Medical</t>
        </is>
      </c>
      <c r="E77" s="27" t="inlineStr">
        <is>
          <t>2026-06-30</t>
        </is>
      </c>
      <c r="F77" s="27" t="inlineStr">
        <is>
          <t>Approved case</t>
        </is>
      </c>
      <c r="G77" s="27" t="inlineStr">
        <is>
          <t>FY27 burn percent</t>
        </is>
      </c>
      <c r="H77" s="46" t="n">
        <v>0.45</v>
      </c>
      <c r="I77" s="27" t="inlineStr"/>
      <c r="J77" s="27" t="inlineStr">
        <is>
          <t>decimal ratio</t>
        </is>
      </c>
      <c r="K77" s="27" t="inlineStr">
        <is>
          <t>Finance operating schedule</t>
        </is>
      </c>
      <c r="L77" s="47" t="inlineStr">
        <is>
          <t>2026-06-30</t>
        </is>
      </c>
      <c r="M77" s="27" t="inlineStr"/>
    </row>
    <row r="78">
      <c r="A78" s="36" t="inlineStr">
        <is>
          <t>PLN-00941</t>
        </is>
      </c>
      <c r="B78" s="27" t="inlineStr">
        <is>
          <t>Backlog, pipeline, and capacity conversion</t>
        </is>
      </c>
      <c r="C78" s="27" t="inlineStr">
        <is>
          <t>Signed backlog conversion</t>
        </is>
      </c>
      <c r="D78" s="27" t="inlineStr">
        <is>
          <t>Cedar Medical</t>
        </is>
      </c>
      <c r="E78" s="27" t="inlineStr">
        <is>
          <t>2026-06-30</t>
        </is>
      </c>
      <c r="F78" s="27" t="inlineStr">
        <is>
          <t>Approved case</t>
        </is>
      </c>
      <c r="G78" s="27" t="inlineStr">
        <is>
          <t>Gross margin</t>
        </is>
      </c>
      <c r="H78" s="46" t="n">
        <v>0.245</v>
      </c>
      <c r="I78" s="27" t="inlineStr"/>
      <c r="J78" s="27" t="inlineStr">
        <is>
          <t>decimal ratio</t>
        </is>
      </c>
      <c r="K78" s="27" t="inlineStr">
        <is>
          <t>Finance operating schedule</t>
        </is>
      </c>
      <c r="L78" s="47" t="inlineStr">
        <is>
          <t>2026-06-30</t>
        </is>
      </c>
      <c r="M78" s="27" t="inlineStr"/>
    </row>
    <row r="79">
      <c r="A79" s="36" t="inlineStr">
        <is>
          <t>PLN-00942</t>
        </is>
      </c>
      <c r="B79" s="27" t="inlineStr">
        <is>
          <t>Backlog, pipeline, and capacity conversion</t>
        </is>
      </c>
      <c r="C79" s="27" t="inlineStr">
        <is>
          <t>Signed backlog conversion</t>
        </is>
      </c>
      <c r="D79" s="27" t="inlineStr">
        <is>
          <t>Portland Schools</t>
        </is>
      </c>
      <c r="E79" s="27" t="inlineStr">
        <is>
          <t>2026-06-30</t>
        </is>
      </c>
      <c r="F79" s="27" t="inlineStr">
        <is>
          <t>Approved case</t>
        </is>
      </c>
      <c r="G79" s="27" t="inlineStr">
        <is>
          <t>Signed backlog</t>
        </is>
      </c>
      <c r="H79" s="46" t="n">
        <v>6750000</v>
      </c>
      <c r="I79" s="27" t="inlineStr"/>
      <c r="J79" s="27" t="inlineStr">
        <is>
          <t>USD</t>
        </is>
      </c>
      <c r="K79" s="27" t="inlineStr">
        <is>
          <t>Finance operating schedule</t>
        </is>
      </c>
      <c r="L79" s="47" t="inlineStr">
        <is>
          <t>2026-06-30</t>
        </is>
      </c>
      <c r="M79" s="27" t="inlineStr"/>
    </row>
    <row r="80">
      <c r="A80" s="36" t="inlineStr">
        <is>
          <t>PLN-00943</t>
        </is>
      </c>
      <c r="B80" s="27" t="inlineStr">
        <is>
          <t>Backlog, pipeline, and capacity conversion</t>
        </is>
      </c>
      <c r="C80" s="27" t="inlineStr">
        <is>
          <t>Signed backlog conversion</t>
        </is>
      </c>
      <c r="D80" s="27" t="inlineStr">
        <is>
          <t>Portland Schools</t>
        </is>
      </c>
      <c r="E80" s="27" t="inlineStr">
        <is>
          <t>2026-06-30</t>
        </is>
      </c>
      <c r="F80" s="27" t="inlineStr">
        <is>
          <t>Approved case</t>
        </is>
      </c>
      <c r="G80" s="27" t="inlineStr">
        <is>
          <t>Cancellation probability</t>
        </is>
      </c>
      <c r="H80" s="46" t="n">
        <v>0</v>
      </c>
      <c r="I80" s="27" t="inlineStr"/>
      <c r="J80" s="27" t="inlineStr">
        <is>
          <t>decimal ratio</t>
        </is>
      </c>
      <c r="K80" s="27" t="inlineStr">
        <is>
          <t>Finance operating schedule</t>
        </is>
      </c>
      <c r="L80" s="47" t="inlineStr">
        <is>
          <t>2026-06-30</t>
        </is>
      </c>
      <c r="M80" s="27" t="inlineStr"/>
    </row>
    <row r="81">
      <c r="A81" s="36" t="inlineStr">
        <is>
          <t>PLN-00944</t>
        </is>
      </c>
      <c r="B81" s="27" t="inlineStr">
        <is>
          <t>Backlog, pipeline, and capacity conversion</t>
        </is>
      </c>
      <c r="C81" s="27" t="inlineStr">
        <is>
          <t>Signed backlog conversion</t>
        </is>
      </c>
      <c r="D81" s="27" t="inlineStr">
        <is>
          <t>Portland Schools</t>
        </is>
      </c>
      <c r="E81" s="27" t="inlineStr">
        <is>
          <t>2026-06-30</t>
        </is>
      </c>
      <c r="F81" s="27" t="inlineStr">
        <is>
          <t>Approved case</t>
        </is>
      </c>
      <c r="G81" s="27" t="inlineStr">
        <is>
          <t>H2 burn percent</t>
        </is>
      </c>
      <c r="H81" s="46" t="n">
        <v>0.55</v>
      </c>
      <c r="I81" s="27" t="inlineStr"/>
      <c r="J81" s="27" t="inlineStr">
        <is>
          <t>decimal ratio</t>
        </is>
      </c>
      <c r="K81" s="27" t="inlineStr">
        <is>
          <t>Finance operating schedule</t>
        </is>
      </c>
      <c r="L81" s="47" t="inlineStr">
        <is>
          <t>2026-06-30</t>
        </is>
      </c>
      <c r="M81" s="27" t="inlineStr"/>
    </row>
    <row r="82">
      <c r="A82" s="36" t="inlineStr">
        <is>
          <t>PLN-00945</t>
        </is>
      </c>
      <c r="B82" s="27" t="inlineStr">
        <is>
          <t>Backlog, pipeline, and capacity conversion</t>
        </is>
      </c>
      <c r="C82" s="27" t="inlineStr">
        <is>
          <t>Signed backlog conversion</t>
        </is>
      </c>
      <c r="D82" s="27" t="inlineStr">
        <is>
          <t>Portland Schools</t>
        </is>
      </c>
      <c r="E82" s="27" t="inlineStr">
        <is>
          <t>2026-06-30</t>
        </is>
      </c>
      <c r="F82" s="27" t="inlineStr">
        <is>
          <t>Approved case</t>
        </is>
      </c>
      <c r="G82" s="27" t="inlineStr">
        <is>
          <t>FY27 burn percent</t>
        </is>
      </c>
      <c r="H82" s="46" t="n">
        <v>0.38</v>
      </c>
      <c r="I82" s="27" t="inlineStr"/>
      <c r="J82" s="27" t="inlineStr">
        <is>
          <t>decimal ratio</t>
        </is>
      </c>
      <c r="K82" s="27" t="inlineStr">
        <is>
          <t>Finance operating schedule</t>
        </is>
      </c>
      <c r="L82" s="47" t="inlineStr">
        <is>
          <t>2026-06-30</t>
        </is>
      </c>
      <c r="M82" s="27" t="inlineStr"/>
    </row>
    <row r="83">
      <c r="A83" s="36" t="inlineStr">
        <is>
          <t>PLN-00946</t>
        </is>
      </c>
      <c r="B83" s="27" t="inlineStr">
        <is>
          <t>Backlog, pipeline, and capacity conversion</t>
        </is>
      </c>
      <c r="C83" s="27" t="inlineStr">
        <is>
          <t>Signed backlog conversion</t>
        </is>
      </c>
      <c r="D83" s="27" t="inlineStr">
        <is>
          <t>Portland Schools</t>
        </is>
      </c>
      <c r="E83" s="27" t="inlineStr">
        <is>
          <t>2026-06-30</t>
        </is>
      </c>
      <c r="F83" s="27" t="inlineStr">
        <is>
          <t>Approved case</t>
        </is>
      </c>
      <c r="G83" s="27" t="inlineStr">
        <is>
          <t>Gross margin</t>
        </is>
      </c>
      <c r="H83" s="46" t="n">
        <v>0.218</v>
      </c>
      <c r="I83" s="27" t="inlineStr"/>
      <c r="J83" s="27" t="inlineStr">
        <is>
          <t>decimal ratio</t>
        </is>
      </c>
      <c r="K83" s="27" t="inlineStr">
        <is>
          <t>Finance operating schedule</t>
        </is>
      </c>
      <c r="L83" s="47" t="inlineStr">
        <is>
          <t>2026-06-30</t>
        </is>
      </c>
      <c r="M83" s="27" t="inlineStr"/>
    </row>
    <row r="84">
      <c r="A84" s="36" t="inlineStr">
        <is>
          <t>PLN-00947</t>
        </is>
      </c>
      <c r="B84" s="27" t="inlineStr">
        <is>
          <t>Backlog, pipeline, and capacity conversion</t>
        </is>
      </c>
      <c r="C84" s="27" t="inlineStr">
        <is>
          <t>Signed backlog conversion</t>
        </is>
      </c>
      <c r="D84" s="27" t="inlineStr">
        <is>
          <t>Helix Data Center</t>
        </is>
      </c>
      <c r="E84" s="27" t="inlineStr">
        <is>
          <t>2026-06-30</t>
        </is>
      </c>
      <c r="F84" s="27" t="inlineStr">
        <is>
          <t>Approved case</t>
        </is>
      </c>
      <c r="G84" s="27" t="inlineStr">
        <is>
          <t>Signed backlog</t>
        </is>
      </c>
      <c r="H84" s="46" t="n">
        <v>10200000</v>
      </c>
      <c r="I84" s="27" t="inlineStr"/>
      <c r="J84" s="27" t="inlineStr">
        <is>
          <t>USD</t>
        </is>
      </c>
      <c r="K84" s="27" t="inlineStr">
        <is>
          <t>Finance operating schedule</t>
        </is>
      </c>
      <c r="L84" s="47" t="inlineStr">
        <is>
          <t>2026-06-30</t>
        </is>
      </c>
      <c r="M84" s="27" t="inlineStr"/>
    </row>
    <row r="85">
      <c r="A85" s="36" t="inlineStr">
        <is>
          <t>PLN-00948</t>
        </is>
      </c>
      <c r="B85" s="27" t="inlineStr">
        <is>
          <t>Backlog, pipeline, and capacity conversion</t>
        </is>
      </c>
      <c r="C85" s="27" t="inlineStr">
        <is>
          <t>Signed backlog conversion</t>
        </is>
      </c>
      <c r="D85" s="27" t="inlineStr">
        <is>
          <t>Helix Data Center</t>
        </is>
      </c>
      <c r="E85" s="27" t="inlineStr">
        <is>
          <t>2026-06-30</t>
        </is>
      </c>
      <c r="F85" s="27" t="inlineStr">
        <is>
          <t>Approved case</t>
        </is>
      </c>
      <c r="G85" s="27" t="inlineStr">
        <is>
          <t>Cancellation probability</t>
        </is>
      </c>
      <c r="H85" s="46" t="n">
        <v>0.12</v>
      </c>
      <c r="I85" s="27" t="inlineStr"/>
      <c r="J85" s="27" t="inlineStr">
        <is>
          <t>decimal ratio</t>
        </is>
      </c>
      <c r="K85" s="27" t="inlineStr">
        <is>
          <t>Finance operating schedule</t>
        </is>
      </c>
      <c r="L85" s="47" t="inlineStr">
        <is>
          <t>2026-06-30</t>
        </is>
      </c>
      <c r="M85" s="27" t="inlineStr"/>
    </row>
    <row r="86">
      <c r="A86" s="36" t="inlineStr">
        <is>
          <t>PLN-00949</t>
        </is>
      </c>
      <c r="B86" s="27" t="inlineStr">
        <is>
          <t>Backlog, pipeline, and capacity conversion</t>
        </is>
      </c>
      <c r="C86" s="27" t="inlineStr">
        <is>
          <t>Signed backlog conversion</t>
        </is>
      </c>
      <c r="D86" s="27" t="inlineStr">
        <is>
          <t>Helix Data Center</t>
        </is>
      </c>
      <c r="E86" s="27" t="inlineStr">
        <is>
          <t>2026-06-30</t>
        </is>
      </c>
      <c r="F86" s="27" t="inlineStr">
        <is>
          <t>Approved case</t>
        </is>
      </c>
      <c r="G86" s="27" t="inlineStr">
        <is>
          <t>H2 burn percent</t>
        </is>
      </c>
      <c r="H86" s="46" t="n">
        <v>0.3</v>
      </c>
      <c r="I86" s="27" t="inlineStr"/>
      <c r="J86" s="27" t="inlineStr">
        <is>
          <t>decimal ratio</t>
        </is>
      </c>
      <c r="K86" s="27" t="inlineStr">
        <is>
          <t>Finance operating schedule</t>
        </is>
      </c>
      <c r="L86" s="47" t="inlineStr">
        <is>
          <t>2026-06-30</t>
        </is>
      </c>
      <c r="M86" s="27" t="inlineStr"/>
    </row>
    <row r="87">
      <c r="A87" s="36" t="inlineStr">
        <is>
          <t>PLN-00950</t>
        </is>
      </c>
      <c r="B87" s="27" t="inlineStr">
        <is>
          <t>Backlog, pipeline, and capacity conversion</t>
        </is>
      </c>
      <c r="C87" s="27" t="inlineStr">
        <is>
          <t>Signed backlog conversion</t>
        </is>
      </c>
      <c r="D87" s="27" t="inlineStr">
        <is>
          <t>Helix Data Center</t>
        </is>
      </c>
      <c r="E87" s="27" t="inlineStr">
        <is>
          <t>2026-06-30</t>
        </is>
      </c>
      <c r="F87" s="27" t="inlineStr">
        <is>
          <t>Approved case</t>
        </is>
      </c>
      <c r="G87" s="27" t="inlineStr">
        <is>
          <t>FY27 burn percent</t>
        </is>
      </c>
      <c r="H87" s="46" t="n">
        <v>0.5</v>
      </c>
      <c r="I87" s="27" t="inlineStr"/>
      <c r="J87" s="27" t="inlineStr">
        <is>
          <t>decimal ratio</t>
        </is>
      </c>
      <c r="K87" s="27" t="inlineStr">
        <is>
          <t>Finance operating schedule</t>
        </is>
      </c>
      <c r="L87" s="47" t="inlineStr">
        <is>
          <t>2026-06-30</t>
        </is>
      </c>
      <c r="M87" s="27" t="inlineStr"/>
    </row>
    <row r="88">
      <c r="A88" s="36" t="inlineStr">
        <is>
          <t>PLN-00951</t>
        </is>
      </c>
      <c r="B88" s="27" t="inlineStr">
        <is>
          <t>Backlog, pipeline, and capacity conversion</t>
        </is>
      </c>
      <c r="C88" s="27" t="inlineStr">
        <is>
          <t>Signed backlog conversion</t>
        </is>
      </c>
      <c r="D88" s="27" t="inlineStr">
        <is>
          <t>Helix Data Center</t>
        </is>
      </c>
      <c r="E88" s="27" t="inlineStr">
        <is>
          <t>2026-06-30</t>
        </is>
      </c>
      <c r="F88" s="27" t="inlineStr">
        <is>
          <t>Approved case</t>
        </is>
      </c>
      <c r="G88" s="27" t="inlineStr">
        <is>
          <t>Gross margin</t>
        </is>
      </c>
      <c r="H88" s="46" t="n">
        <v>0.271</v>
      </c>
      <c r="I88" s="27" t="inlineStr"/>
      <c r="J88" s="27" t="inlineStr">
        <is>
          <t>decimal ratio</t>
        </is>
      </c>
      <c r="K88" s="27" t="inlineStr">
        <is>
          <t>Finance operating schedule</t>
        </is>
      </c>
      <c r="L88" s="47" t="inlineStr">
        <is>
          <t>2026-06-30</t>
        </is>
      </c>
      <c r="M88" s="27" t="inlineStr"/>
    </row>
    <row r="89">
      <c r="A89" s="36" t="inlineStr">
        <is>
          <t>PLN-00952</t>
        </is>
      </c>
      <c r="B89" s="27" t="inlineStr">
        <is>
          <t>Backlog, pipeline, and capacity conversion</t>
        </is>
      </c>
      <c r="C89" s="27" t="inlineStr">
        <is>
          <t>Signed backlog conversion</t>
        </is>
      </c>
      <c r="D89" s="27" t="inlineStr">
        <is>
          <t>Juniper Offices</t>
        </is>
      </c>
      <c r="E89" s="27" t="inlineStr">
        <is>
          <t>2026-06-30</t>
        </is>
      </c>
      <c r="F89" s="27" t="inlineStr">
        <is>
          <t>Approved case</t>
        </is>
      </c>
      <c r="G89" s="27" t="inlineStr">
        <is>
          <t>Signed backlog</t>
        </is>
      </c>
      <c r="H89" s="46" t="n">
        <v>4950</v>
      </c>
      <c r="I89" s="27" t="inlineStr"/>
      <c r="J89" s="27" t="inlineStr">
        <is>
          <t>USD thousands</t>
        </is>
      </c>
      <c r="K89" s="27" t="inlineStr">
        <is>
          <t>Finance operating schedule</t>
        </is>
      </c>
      <c r="L89" s="47" t="inlineStr">
        <is>
          <t>2026-06-30</t>
        </is>
      </c>
      <c r="M89" s="27" t="inlineStr"/>
    </row>
    <row r="90">
      <c r="A90" s="36" t="inlineStr">
        <is>
          <t>PLN-00953</t>
        </is>
      </c>
      <c r="B90" s="27" t="inlineStr">
        <is>
          <t>Backlog, pipeline, and capacity conversion</t>
        </is>
      </c>
      <c r="C90" s="27" t="inlineStr">
        <is>
          <t>Signed backlog conversion</t>
        </is>
      </c>
      <c r="D90" s="27" t="inlineStr">
        <is>
          <t>Juniper Offices</t>
        </is>
      </c>
      <c r="E90" s="27" t="inlineStr">
        <is>
          <t>2026-06-30</t>
        </is>
      </c>
      <c r="F90" s="27" t="inlineStr">
        <is>
          <t>Approved case</t>
        </is>
      </c>
      <c r="G90" s="27" t="inlineStr">
        <is>
          <t>Cancellation probability</t>
        </is>
      </c>
      <c r="H90" s="46" t="n">
        <v>0.08</v>
      </c>
      <c r="I90" s="27" t="inlineStr"/>
      <c r="J90" s="27" t="inlineStr">
        <is>
          <t>decimal ratio</t>
        </is>
      </c>
      <c r="K90" s="27" t="inlineStr">
        <is>
          <t>Finance operating schedule</t>
        </is>
      </c>
      <c r="L90" s="47" t="inlineStr">
        <is>
          <t>2026-06-30</t>
        </is>
      </c>
      <c r="M90" s="27" t="inlineStr"/>
    </row>
    <row r="91">
      <c r="A91" s="36" t="inlineStr">
        <is>
          <t>PLN-00954</t>
        </is>
      </c>
      <c r="B91" s="27" t="inlineStr">
        <is>
          <t>Backlog, pipeline, and capacity conversion</t>
        </is>
      </c>
      <c r="C91" s="27" t="inlineStr">
        <is>
          <t>Signed backlog conversion</t>
        </is>
      </c>
      <c r="D91" s="27" t="inlineStr">
        <is>
          <t>Juniper Offices</t>
        </is>
      </c>
      <c r="E91" s="27" t="inlineStr">
        <is>
          <t>2026-06-30</t>
        </is>
      </c>
      <c r="F91" s="27" t="inlineStr">
        <is>
          <t>Approved case</t>
        </is>
      </c>
      <c r="G91" s="27" t="inlineStr">
        <is>
          <t>H2 burn percent</t>
        </is>
      </c>
      <c r="H91" s="46" t="n">
        <v>0.62</v>
      </c>
      <c r="I91" s="27" t="inlineStr"/>
      <c r="J91" s="27" t="inlineStr">
        <is>
          <t>decimal ratio</t>
        </is>
      </c>
      <c r="K91" s="27" t="inlineStr">
        <is>
          <t>Finance operating schedule</t>
        </is>
      </c>
      <c r="L91" s="47" t="inlineStr">
        <is>
          <t>2026-06-30</t>
        </is>
      </c>
      <c r="M91" s="27" t="inlineStr"/>
    </row>
    <row r="92">
      <c r="A92" s="36" t="inlineStr">
        <is>
          <t>PLN-00955</t>
        </is>
      </c>
      <c r="B92" s="27" t="inlineStr">
        <is>
          <t>Backlog, pipeline, and capacity conversion</t>
        </is>
      </c>
      <c r="C92" s="27" t="inlineStr">
        <is>
          <t>Signed backlog conversion</t>
        </is>
      </c>
      <c r="D92" s="27" t="inlineStr">
        <is>
          <t>Juniper Offices</t>
        </is>
      </c>
      <c r="E92" s="27" t="inlineStr">
        <is>
          <t>2026-06-30</t>
        </is>
      </c>
      <c r="F92" s="27" t="inlineStr">
        <is>
          <t>Approved case</t>
        </is>
      </c>
      <c r="G92" s="27" t="inlineStr">
        <is>
          <t>FY27 burn percent</t>
        </is>
      </c>
      <c r="H92" s="46" t="n">
        <v>0.28</v>
      </c>
      <c r="I92" s="27" t="inlineStr"/>
      <c r="J92" s="27" t="inlineStr">
        <is>
          <t>decimal ratio</t>
        </is>
      </c>
      <c r="K92" s="27" t="inlineStr">
        <is>
          <t>Finance operating schedule</t>
        </is>
      </c>
      <c r="L92" s="47" t="inlineStr">
        <is>
          <t>2026-06-30</t>
        </is>
      </c>
      <c r="M92" s="27" t="inlineStr"/>
    </row>
    <row r="93">
      <c r="A93" s="36" t="inlineStr">
        <is>
          <t>PLN-00956</t>
        </is>
      </c>
      <c r="B93" s="27" t="inlineStr">
        <is>
          <t>Backlog, pipeline, and capacity conversion</t>
        </is>
      </c>
      <c r="C93" s="27" t="inlineStr">
        <is>
          <t>Signed backlog conversion</t>
        </is>
      </c>
      <c r="D93" s="27" t="inlineStr">
        <is>
          <t>Juniper Offices</t>
        </is>
      </c>
      <c r="E93" s="27" t="inlineStr">
        <is>
          <t>2026-06-30</t>
        </is>
      </c>
      <c r="F93" s="27" t="inlineStr">
        <is>
          <t>Approved case</t>
        </is>
      </c>
      <c r="G93" s="27" t="inlineStr">
        <is>
          <t>Gross margin</t>
        </is>
      </c>
      <c r="H93" s="46" t="n">
        <v>0.236</v>
      </c>
      <c r="I93" s="27" t="inlineStr"/>
      <c r="J93" s="27" t="inlineStr">
        <is>
          <t>decimal ratio</t>
        </is>
      </c>
      <c r="K93" s="27" t="inlineStr">
        <is>
          <t>Finance operating schedule</t>
        </is>
      </c>
      <c r="L93" s="47" t="inlineStr">
        <is>
          <t>2026-06-30</t>
        </is>
      </c>
      <c r="M93" s="27" t="inlineStr"/>
    </row>
    <row r="94">
      <c r="A94" s="36" t="inlineStr">
        <is>
          <t>PLN-00957</t>
        </is>
      </c>
      <c r="B94" s="27" t="inlineStr">
        <is>
          <t>Backlog, pipeline, and capacity conversion</t>
        </is>
      </c>
      <c r="C94" s="27" t="inlineStr">
        <is>
          <t>Signed backlog conversion</t>
        </is>
      </c>
      <c r="D94" s="27" t="inlineStr">
        <is>
          <t>Cascade Retail</t>
        </is>
      </c>
      <c r="E94" s="27" t="inlineStr">
        <is>
          <t>2026-06-30</t>
        </is>
      </c>
      <c r="F94" s="27" t="inlineStr">
        <is>
          <t>Approved case</t>
        </is>
      </c>
      <c r="G94" s="27" t="inlineStr">
        <is>
          <t>Signed backlog</t>
        </is>
      </c>
      <c r="H94" s="46" t="n">
        <v>5600000</v>
      </c>
      <c r="I94" s="27" t="inlineStr"/>
      <c r="J94" s="27" t="inlineStr">
        <is>
          <t>USD</t>
        </is>
      </c>
      <c r="K94" s="27" t="inlineStr">
        <is>
          <t>Finance operating schedule</t>
        </is>
      </c>
      <c r="L94" s="47" t="inlineStr">
        <is>
          <t>2026-06-30</t>
        </is>
      </c>
      <c r="M94" s="27" t="inlineStr"/>
    </row>
    <row r="95">
      <c r="A95" s="36" t="inlineStr">
        <is>
          <t>PLN-00958</t>
        </is>
      </c>
      <c r="B95" s="27" t="inlineStr">
        <is>
          <t>Backlog, pipeline, and capacity conversion</t>
        </is>
      </c>
      <c r="C95" s="27" t="inlineStr">
        <is>
          <t>Signed backlog conversion</t>
        </is>
      </c>
      <c r="D95" s="27" t="inlineStr">
        <is>
          <t>Cascade Retail</t>
        </is>
      </c>
      <c r="E95" s="27" t="inlineStr">
        <is>
          <t>2026-06-30</t>
        </is>
      </c>
      <c r="F95" s="27" t="inlineStr">
        <is>
          <t>Approved case</t>
        </is>
      </c>
      <c r="G95" s="27" t="inlineStr">
        <is>
          <t>Cancellation probability</t>
        </is>
      </c>
      <c r="H95" s="46" t="n">
        <v>0.18</v>
      </c>
      <c r="I95" s="27" t="inlineStr"/>
      <c r="J95" s="27" t="inlineStr">
        <is>
          <t>decimal ratio</t>
        </is>
      </c>
      <c r="K95" s="27" t="inlineStr">
        <is>
          <t>Finance operating schedule</t>
        </is>
      </c>
      <c r="L95" s="47" t="inlineStr">
        <is>
          <t>2026-06-30</t>
        </is>
      </c>
      <c r="M95" s="27" t="inlineStr"/>
    </row>
    <row r="96">
      <c r="A96" s="36" t="inlineStr">
        <is>
          <t>PLN-00959</t>
        </is>
      </c>
      <c r="B96" s="27" t="inlineStr">
        <is>
          <t>Backlog, pipeline, and capacity conversion</t>
        </is>
      </c>
      <c r="C96" s="27" t="inlineStr">
        <is>
          <t>Signed backlog conversion</t>
        </is>
      </c>
      <c r="D96" s="27" t="inlineStr">
        <is>
          <t>Cascade Retail</t>
        </is>
      </c>
      <c r="E96" s="27" t="inlineStr">
        <is>
          <t>2026-06-30</t>
        </is>
      </c>
      <c r="F96" s="27" t="inlineStr">
        <is>
          <t>Approved case</t>
        </is>
      </c>
      <c r="G96" s="27" t="inlineStr">
        <is>
          <t>H2 burn percent</t>
        </is>
      </c>
      <c r="H96" s="46" t="n">
        <v>0.47</v>
      </c>
      <c r="I96" s="27" t="inlineStr"/>
      <c r="J96" s="27" t="inlineStr">
        <is>
          <t>decimal ratio</t>
        </is>
      </c>
      <c r="K96" s="27" t="inlineStr">
        <is>
          <t>Finance operating schedule</t>
        </is>
      </c>
      <c r="L96" s="47" t="inlineStr">
        <is>
          <t>2026-06-30</t>
        </is>
      </c>
      <c r="M96" s="27" t="inlineStr"/>
    </row>
    <row r="97">
      <c r="A97" s="36" t="inlineStr">
        <is>
          <t>PLN-00960</t>
        </is>
      </c>
      <c r="B97" s="27" t="inlineStr">
        <is>
          <t>Backlog, pipeline, and capacity conversion</t>
        </is>
      </c>
      <c r="C97" s="27" t="inlineStr">
        <is>
          <t>Signed backlog conversion</t>
        </is>
      </c>
      <c r="D97" s="27" t="inlineStr">
        <is>
          <t>Cascade Retail</t>
        </is>
      </c>
      <c r="E97" s="27" t="inlineStr">
        <is>
          <t>2026-06-30</t>
        </is>
      </c>
      <c r="F97" s="27" t="inlineStr">
        <is>
          <t>Approved case</t>
        </is>
      </c>
      <c r="G97" s="27" t="inlineStr">
        <is>
          <t>FY27 burn percent</t>
        </is>
      </c>
      <c r="H97" s="46" t="n">
        <v>0.35</v>
      </c>
      <c r="I97" s="27" t="inlineStr"/>
      <c r="J97" s="27" t="inlineStr">
        <is>
          <t>decimal ratio</t>
        </is>
      </c>
      <c r="K97" s="27" t="inlineStr">
        <is>
          <t>Finance operating schedule</t>
        </is>
      </c>
      <c r="L97" s="47" t="inlineStr">
        <is>
          <t>2026-06-30</t>
        </is>
      </c>
      <c r="M97" s="27" t="inlineStr"/>
    </row>
    <row r="98">
      <c r="A98" s="36" t="inlineStr">
        <is>
          <t>PLN-00961</t>
        </is>
      </c>
      <c r="B98" s="27" t="inlineStr">
        <is>
          <t>Backlog, pipeline, and capacity conversion</t>
        </is>
      </c>
      <c r="C98" s="27" t="inlineStr">
        <is>
          <t>Signed backlog conversion</t>
        </is>
      </c>
      <c r="D98" s="27" t="inlineStr">
        <is>
          <t>Cascade Retail</t>
        </is>
      </c>
      <c r="E98" s="27" t="inlineStr">
        <is>
          <t>2026-06-30</t>
        </is>
      </c>
      <c r="F98" s="27" t="inlineStr">
        <is>
          <t>Approved case</t>
        </is>
      </c>
      <c r="G98" s="27" t="inlineStr">
        <is>
          <t>Gross margin</t>
        </is>
      </c>
      <c r="H98" s="46" t="n">
        <v>0.205</v>
      </c>
      <c r="I98" s="27" t="inlineStr"/>
      <c r="J98" s="27" t="inlineStr">
        <is>
          <t>decimal ratio</t>
        </is>
      </c>
      <c r="K98" s="27" t="inlineStr">
        <is>
          <t>Finance operating schedule</t>
        </is>
      </c>
      <c r="L98" s="47" t="inlineStr">
        <is>
          <t>2026-06-30</t>
        </is>
      </c>
      <c r="M98" s="27" t="inlineStr"/>
    </row>
    <row r="99">
      <c r="A99" s="36" t="inlineStr">
        <is>
          <t>PLN-00962</t>
        </is>
      </c>
      <c r="B99" s="27" t="inlineStr">
        <is>
          <t>Backlog, pipeline, and capacity conversion</t>
        </is>
      </c>
      <c r="C99" s="27" t="inlineStr">
        <is>
          <t>Qualified award pipeline</t>
        </is>
      </c>
      <c r="D99" s="27" t="inlineStr">
        <is>
          <t>Riverfront Hospital</t>
        </is>
      </c>
      <c r="E99" s="27" t="inlineStr">
        <is>
          <t>FY27</t>
        </is>
      </c>
      <c r="F99" s="27" t="inlineStr">
        <is>
          <t>Approved case</t>
        </is>
      </c>
      <c r="G99" s="27" t="inlineStr">
        <is>
          <t>Potential award</t>
        </is>
      </c>
      <c r="H99" s="46" t="n">
        <v>7800000</v>
      </c>
      <c r="I99" s="27" t="inlineStr"/>
      <c r="J99" s="27" t="inlineStr">
        <is>
          <t>USD</t>
        </is>
      </c>
      <c r="K99" s="27" t="inlineStr">
        <is>
          <t>Finance operating schedule</t>
        </is>
      </c>
      <c r="L99" s="47" t="inlineStr">
        <is>
          <t>2026-06-30</t>
        </is>
      </c>
      <c r="M99" s="27" t="inlineStr"/>
    </row>
    <row r="100">
      <c r="A100" s="36" t="inlineStr">
        <is>
          <t>PLN-00963</t>
        </is>
      </c>
      <c r="B100" s="27" t="inlineStr">
        <is>
          <t>Backlog, pipeline, and capacity conversion</t>
        </is>
      </c>
      <c r="C100" s="27" t="inlineStr">
        <is>
          <t>Qualified award pipeline</t>
        </is>
      </c>
      <c r="D100" s="27" t="inlineStr">
        <is>
          <t>Riverfront Hospital</t>
        </is>
      </c>
      <c r="E100" s="27" t="inlineStr">
        <is>
          <t>FY27</t>
        </is>
      </c>
      <c r="F100" s="27" t="inlineStr">
        <is>
          <t>Approved case</t>
        </is>
      </c>
      <c r="G100" s="27" t="inlineStr">
        <is>
          <t>Award probability</t>
        </is>
      </c>
      <c r="H100" s="46" t="n">
        <v>0.7</v>
      </c>
      <c r="I100" s="27" t="inlineStr"/>
      <c r="J100" s="27" t="inlineStr">
        <is>
          <t>decimal ratio</t>
        </is>
      </c>
      <c r="K100" s="27" t="inlineStr">
        <is>
          <t>Finance operating schedule</t>
        </is>
      </c>
      <c r="L100" s="47" t="inlineStr">
        <is>
          <t>2026-06-30</t>
        </is>
      </c>
      <c r="M100" s="27" t="inlineStr"/>
    </row>
    <row r="101">
      <c r="A101" s="36" t="inlineStr">
        <is>
          <t>PLN-00964</t>
        </is>
      </c>
      <c r="B101" s="27" t="inlineStr">
        <is>
          <t>Backlog, pipeline, and capacity conversion</t>
        </is>
      </c>
      <c r="C101" s="27" t="inlineStr">
        <is>
          <t>Qualified award pipeline</t>
        </is>
      </c>
      <c r="D101" s="27" t="inlineStr">
        <is>
          <t>Riverfront Hospital</t>
        </is>
      </c>
      <c r="E101" s="27" t="inlineStr">
        <is>
          <t>FY27</t>
        </is>
      </c>
      <c r="F101" s="27" t="inlineStr">
        <is>
          <t>Approved case</t>
        </is>
      </c>
      <c r="G101" s="27" t="inlineStr">
        <is>
          <t>FY27 conversion percent</t>
        </is>
      </c>
      <c r="H101" s="46" t="n">
        <v>0.4</v>
      </c>
      <c r="I101" s="27" t="inlineStr"/>
      <c r="J101" s="27" t="inlineStr">
        <is>
          <t>decimal ratio</t>
        </is>
      </c>
      <c r="K101" s="27" t="inlineStr">
        <is>
          <t>Finance operating schedule</t>
        </is>
      </c>
      <c r="L101" s="47" t="inlineStr">
        <is>
          <t>2026-06-30</t>
        </is>
      </c>
      <c r="M101" s="27" t="inlineStr"/>
    </row>
    <row r="102">
      <c r="A102" s="36" t="inlineStr">
        <is>
          <t>PLN-00965</t>
        </is>
      </c>
      <c r="B102" s="27" t="inlineStr">
        <is>
          <t>Backlog, pipeline, and capacity conversion</t>
        </is>
      </c>
      <c r="C102" s="27" t="inlineStr">
        <is>
          <t>Qualified award pipeline</t>
        </is>
      </c>
      <c r="D102" s="27" t="inlineStr">
        <is>
          <t>Riverfront Hospital</t>
        </is>
      </c>
      <c r="E102" s="27" t="inlineStr">
        <is>
          <t>FY27</t>
        </is>
      </c>
      <c r="F102" s="27" t="inlineStr">
        <is>
          <t>Approved case</t>
        </is>
      </c>
      <c r="G102" s="27" t="inlineStr">
        <is>
          <t>Gross margin</t>
        </is>
      </c>
      <c r="H102" s="46" t="n">
        <v>0.252</v>
      </c>
      <c r="I102" s="27" t="inlineStr"/>
      <c r="J102" s="27" t="inlineStr">
        <is>
          <t>decimal ratio</t>
        </is>
      </c>
      <c r="K102" s="27" t="inlineStr">
        <is>
          <t>Finance operating schedule</t>
        </is>
      </c>
      <c r="L102" s="47" t="inlineStr">
        <is>
          <t>2026-06-30</t>
        </is>
      </c>
      <c r="M102" s="27" t="inlineStr"/>
    </row>
    <row r="103">
      <c r="A103" s="36" t="inlineStr">
        <is>
          <t>PLN-00966</t>
        </is>
      </c>
      <c r="B103" s="27" t="inlineStr">
        <is>
          <t>Backlog, pipeline, and capacity conversion</t>
        </is>
      </c>
      <c r="C103" s="27" t="inlineStr">
        <is>
          <t>Qualified award pipeline</t>
        </is>
      </c>
      <c r="D103" s="27" t="inlineStr">
        <is>
          <t>Orchard Labs</t>
        </is>
      </c>
      <c r="E103" s="27" t="inlineStr">
        <is>
          <t>FY27</t>
        </is>
      </c>
      <c r="F103" s="27" t="inlineStr">
        <is>
          <t>Approved case</t>
        </is>
      </c>
      <c r="G103" s="27" t="inlineStr">
        <is>
          <t>Potential award</t>
        </is>
      </c>
      <c r="H103" s="46" t="n">
        <v>4600000</v>
      </c>
      <c r="I103" s="27" t="inlineStr"/>
      <c r="J103" s="27" t="inlineStr">
        <is>
          <t>USD</t>
        </is>
      </c>
      <c r="K103" s="27" t="inlineStr">
        <is>
          <t>Finance operating schedule</t>
        </is>
      </c>
      <c r="L103" s="47" t="inlineStr">
        <is>
          <t>2026-06-30</t>
        </is>
      </c>
      <c r="M103" s="27" t="inlineStr"/>
    </row>
    <row r="104">
      <c r="A104" s="36" t="inlineStr">
        <is>
          <t>PLN-00967</t>
        </is>
      </c>
      <c r="B104" s="27" t="inlineStr">
        <is>
          <t>Backlog, pipeline, and capacity conversion</t>
        </is>
      </c>
      <c r="C104" s="27" t="inlineStr">
        <is>
          <t>Qualified award pipeline</t>
        </is>
      </c>
      <c r="D104" s="27" t="inlineStr">
        <is>
          <t>Orchard Labs</t>
        </is>
      </c>
      <c r="E104" s="27" t="inlineStr">
        <is>
          <t>FY27</t>
        </is>
      </c>
      <c r="F104" s="27" t="inlineStr">
        <is>
          <t>Approved case</t>
        </is>
      </c>
      <c r="G104" s="27" t="inlineStr">
        <is>
          <t>Award probability</t>
        </is>
      </c>
      <c r="H104" s="46" t="n">
        <v>0.55</v>
      </c>
      <c r="I104" s="27" t="inlineStr"/>
      <c r="J104" s="27" t="inlineStr">
        <is>
          <t>decimal ratio</t>
        </is>
      </c>
      <c r="K104" s="27" t="inlineStr">
        <is>
          <t>Finance operating schedule</t>
        </is>
      </c>
      <c r="L104" s="47" t="inlineStr">
        <is>
          <t>2026-06-30</t>
        </is>
      </c>
      <c r="M104" s="27" t="inlineStr"/>
    </row>
    <row r="105">
      <c r="A105" s="36" t="inlineStr">
        <is>
          <t>PLN-00968</t>
        </is>
      </c>
      <c r="B105" s="27" t="inlineStr">
        <is>
          <t>Backlog, pipeline, and capacity conversion</t>
        </is>
      </c>
      <c r="C105" s="27" t="inlineStr">
        <is>
          <t>Qualified award pipeline</t>
        </is>
      </c>
      <c r="D105" s="27" t="inlineStr">
        <is>
          <t>Orchard Labs</t>
        </is>
      </c>
      <c r="E105" s="27" t="inlineStr">
        <is>
          <t>FY27</t>
        </is>
      </c>
      <c r="F105" s="27" t="inlineStr">
        <is>
          <t>Approved case</t>
        </is>
      </c>
      <c r="G105" s="27" t="inlineStr">
        <is>
          <t>FY27 conversion percent</t>
        </is>
      </c>
      <c r="H105" s="46" t="n">
        <v>0.35</v>
      </c>
      <c r="I105" s="27" t="inlineStr"/>
      <c r="J105" s="27" t="inlineStr">
        <is>
          <t>decimal ratio</t>
        </is>
      </c>
      <c r="K105" s="27" t="inlineStr">
        <is>
          <t>Finance operating schedule</t>
        </is>
      </c>
      <c r="L105" s="47" t="inlineStr">
        <is>
          <t>2026-06-30</t>
        </is>
      </c>
      <c r="M105" s="27" t="inlineStr"/>
    </row>
    <row r="106">
      <c r="A106" s="36" t="inlineStr">
        <is>
          <t>PLN-00969</t>
        </is>
      </c>
      <c r="B106" s="27" t="inlineStr">
        <is>
          <t>Backlog, pipeline, and capacity conversion</t>
        </is>
      </c>
      <c r="C106" s="27" t="inlineStr">
        <is>
          <t>Qualified award pipeline</t>
        </is>
      </c>
      <c r="D106" s="27" t="inlineStr">
        <is>
          <t>Orchard Labs</t>
        </is>
      </c>
      <c r="E106" s="27" t="inlineStr">
        <is>
          <t>FY27</t>
        </is>
      </c>
      <c r="F106" s="27" t="inlineStr">
        <is>
          <t>Approved case</t>
        </is>
      </c>
      <c r="G106" s="27" t="inlineStr">
        <is>
          <t>Gross margin</t>
        </is>
      </c>
      <c r="H106" s="46" t="n">
        <v>0.278</v>
      </c>
      <c r="I106" s="27" t="inlineStr"/>
      <c r="J106" s="27" t="inlineStr">
        <is>
          <t>decimal ratio</t>
        </is>
      </c>
      <c r="K106" s="27" t="inlineStr">
        <is>
          <t>Finance operating schedule</t>
        </is>
      </c>
      <c r="L106" s="47" t="inlineStr">
        <is>
          <t>2026-06-30</t>
        </is>
      </c>
      <c r="M106" s="27" t="inlineStr"/>
    </row>
    <row r="107">
      <c r="A107" s="36" t="inlineStr">
        <is>
          <t>PLN-00970</t>
        </is>
      </c>
      <c r="B107" s="27" t="inlineStr">
        <is>
          <t>Backlog, pipeline, and capacity conversion</t>
        </is>
      </c>
      <c r="C107" s="27" t="inlineStr">
        <is>
          <t>Qualified award pipeline</t>
        </is>
      </c>
      <c r="D107" s="27" t="inlineStr">
        <is>
          <t>State Archive</t>
        </is>
      </c>
      <c r="E107" s="27" t="inlineStr">
        <is>
          <t>FY27</t>
        </is>
      </c>
      <c r="F107" s="27" t="inlineStr">
        <is>
          <t>Approved case</t>
        </is>
      </c>
      <c r="G107" s="27" t="inlineStr">
        <is>
          <t>Potential award</t>
        </is>
      </c>
      <c r="H107" s="46" t="n">
        <v>6200000</v>
      </c>
      <c r="I107" s="27" t="inlineStr"/>
      <c r="J107" s="27" t="inlineStr">
        <is>
          <t>USD</t>
        </is>
      </c>
      <c r="K107" s="27" t="inlineStr">
        <is>
          <t>Finance operating schedule</t>
        </is>
      </c>
      <c r="L107" s="47" t="inlineStr">
        <is>
          <t>2026-06-30</t>
        </is>
      </c>
      <c r="M107" s="27" t="inlineStr"/>
    </row>
    <row r="108">
      <c r="A108" s="36" t="inlineStr">
        <is>
          <t>PLN-00971</t>
        </is>
      </c>
      <c r="B108" s="27" t="inlineStr">
        <is>
          <t>Backlog, pipeline, and capacity conversion</t>
        </is>
      </c>
      <c r="C108" s="27" t="inlineStr">
        <is>
          <t>Qualified award pipeline</t>
        </is>
      </c>
      <c r="D108" s="27" t="inlineStr">
        <is>
          <t>State Archive</t>
        </is>
      </c>
      <c r="E108" s="27" t="inlineStr">
        <is>
          <t>FY27</t>
        </is>
      </c>
      <c r="F108" s="27" t="inlineStr">
        <is>
          <t>Approved case</t>
        </is>
      </c>
      <c r="G108" s="27" t="inlineStr">
        <is>
          <t>Award probability</t>
        </is>
      </c>
      <c r="H108" s="46" t="n">
        <v>0.25</v>
      </c>
      <c r="I108" s="27" t="inlineStr"/>
      <c r="J108" s="27" t="inlineStr">
        <is>
          <t>decimal ratio</t>
        </is>
      </c>
      <c r="K108" s="27" t="inlineStr">
        <is>
          <t>Finance operating schedule</t>
        </is>
      </c>
      <c r="L108" s="47" t="inlineStr">
        <is>
          <t>2026-06-30</t>
        </is>
      </c>
      <c r="M108" s="27" t="inlineStr"/>
    </row>
    <row r="109">
      <c r="A109" s="36" t="inlineStr">
        <is>
          <t>PLN-00972</t>
        </is>
      </c>
      <c r="B109" s="27" t="inlineStr">
        <is>
          <t>Backlog, pipeline, and capacity conversion</t>
        </is>
      </c>
      <c r="C109" s="27" t="inlineStr">
        <is>
          <t>Qualified award pipeline</t>
        </is>
      </c>
      <c r="D109" s="27" t="inlineStr">
        <is>
          <t>State Archive</t>
        </is>
      </c>
      <c r="E109" s="27" t="inlineStr">
        <is>
          <t>FY27</t>
        </is>
      </c>
      <c r="F109" s="27" t="inlineStr">
        <is>
          <t>Approved case</t>
        </is>
      </c>
      <c r="G109" s="27" t="inlineStr">
        <is>
          <t>FY27 conversion percent</t>
        </is>
      </c>
      <c r="H109" s="46" t="n">
        <v>0.45</v>
      </c>
      <c r="I109" s="27" t="inlineStr"/>
      <c r="J109" s="27" t="inlineStr">
        <is>
          <t>decimal ratio</t>
        </is>
      </c>
      <c r="K109" s="27" t="inlineStr">
        <is>
          <t>Finance operating schedule</t>
        </is>
      </c>
      <c r="L109" s="47" t="inlineStr">
        <is>
          <t>2026-06-30</t>
        </is>
      </c>
      <c r="M109" s="27" t="inlineStr"/>
    </row>
    <row r="110">
      <c r="A110" s="36" t="inlineStr">
        <is>
          <t>PLN-00973</t>
        </is>
      </c>
      <c r="B110" s="27" t="inlineStr">
        <is>
          <t>Backlog, pipeline, and capacity conversion</t>
        </is>
      </c>
      <c r="C110" s="27" t="inlineStr">
        <is>
          <t>Qualified award pipeline</t>
        </is>
      </c>
      <c r="D110" s="27" t="inlineStr">
        <is>
          <t>State Archive</t>
        </is>
      </c>
      <c r="E110" s="27" t="inlineStr">
        <is>
          <t>FY27</t>
        </is>
      </c>
      <c r="F110" s="27" t="inlineStr">
        <is>
          <t>Approved case</t>
        </is>
      </c>
      <c r="G110" s="27" t="inlineStr">
        <is>
          <t>Gross margin</t>
        </is>
      </c>
      <c r="H110" s="46" t="n">
        <v>0.221</v>
      </c>
      <c r="I110" s="27" t="inlineStr"/>
      <c r="J110" s="27" t="inlineStr">
        <is>
          <t>decimal ratio</t>
        </is>
      </c>
      <c r="K110" s="27" t="inlineStr">
        <is>
          <t>Finance operating schedule</t>
        </is>
      </c>
      <c r="L110" s="47" t="inlineStr">
        <is>
          <t>2026-06-30</t>
        </is>
      </c>
      <c r="M110" s="27" t="inlineStr"/>
    </row>
    <row r="111">
      <c r="A111" s="36" t="inlineStr">
        <is>
          <t>PLN-00974</t>
        </is>
      </c>
      <c r="B111" s="27" t="inlineStr">
        <is>
          <t>Backlog, pipeline, and capacity conversion</t>
        </is>
      </c>
      <c r="C111" s="27" t="inlineStr">
        <is>
          <t>Qualified award pipeline</t>
        </is>
      </c>
      <c r="D111" s="27" t="inlineStr">
        <is>
          <t>Summit Hotel</t>
        </is>
      </c>
      <c r="E111" s="27" t="inlineStr">
        <is>
          <t>FY27</t>
        </is>
      </c>
      <c r="F111" s="27" t="inlineStr">
        <is>
          <t>Approved case</t>
        </is>
      </c>
      <c r="G111" s="27" t="inlineStr">
        <is>
          <t>Potential award</t>
        </is>
      </c>
      <c r="H111" s="46" t="n">
        <v>3900000</v>
      </c>
      <c r="I111" s="27" t="inlineStr"/>
      <c r="J111" s="27" t="inlineStr">
        <is>
          <t>USD</t>
        </is>
      </c>
      <c r="K111" s="27" t="inlineStr">
        <is>
          <t>Finance operating schedule</t>
        </is>
      </c>
      <c r="L111" s="47" t="inlineStr">
        <is>
          <t>2026-06-30</t>
        </is>
      </c>
      <c r="M111" s="27" t="inlineStr"/>
    </row>
    <row r="112">
      <c r="A112" s="36" t="inlineStr">
        <is>
          <t>PLN-00975</t>
        </is>
      </c>
      <c r="B112" s="27" t="inlineStr">
        <is>
          <t>Backlog, pipeline, and capacity conversion</t>
        </is>
      </c>
      <c r="C112" s="27" t="inlineStr">
        <is>
          <t>Qualified award pipeline</t>
        </is>
      </c>
      <c r="D112" s="27" t="inlineStr">
        <is>
          <t>Summit Hotel</t>
        </is>
      </c>
      <c r="E112" s="27" t="inlineStr">
        <is>
          <t>FY27</t>
        </is>
      </c>
      <c r="F112" s="27" t="inlineStr">
        <is>
          <t>Approved case</t>
        </is>
      </c>
      <c r="G112" s="27" t="inlineStr">
        <is>
          <t>Award probability</t>
        </is>
      </c>
      <c r="H112" s="46" t="n">
        <v>0.8</v>
      </c>
      <c r="I112" s="27" t="inlineStr"/>
      <c r="J112" s="27" t="inlineStr">
        <is>
          <t>decimal ratio</t>
        </is>
      </c>
      <c r="K112" s="27" t="inlineStr">
        <is>
          <t>Finance operating schedule</t>
        </is>
      </c>
      <c r="L112" s="47" t="inlineStr">
        <is>
          <t>2026-06-30</t>
        </is>
      </c>
      <c r="M112" s="27" t="inlineStr"/>
    </row>
    <row r="113">
      <c r="A113" s="36" t="inlineStr">
        <is>
          <t>PLN-00976</t>
        </is>
      </c>
      <c r="B113" s="27" t="inlineStr">
        <is>
          <t>Backlog, pipeline, and capacity conversion</t>
        </is>
      </c>
      <c r="C113" s="27" t="inlineStr">
        <is>
          <t>Qualified award pipeline</t>
        </is>
      </c>
      <c r="D113" s="27" t="inlineStr">
        <is>
          <t>Summit Hotel</t>
        </is>
      </c>
      <c r="E113" s="27" t="inlineStr">
        <is>
          <t>FY27</t>
        </is>
      </c>
      <c r="F113" s="27" t="inlineStr">
        <is>
          <t>Approved case</t>
        </is>
      </c>
      <c r="G113" s="27" t="inlineStr">
        <is>
          <t>FY27 conversion percent</t>
        </is>
      </c>
      <c r="H113" s="46" t="n">
        <v>0.5</v>
      </c>
      <c r="I113" s="27" t="inlineStr"/>
      <c r="J113" s="27" t="inlineStr">
        <is>
          <t>decimal ratio</t>
        </is>
      </c>
      <c r="K113" s="27" t="inlineStr">
        <is>
          <t>Finance operating schedule</t>
        </is>
      </c>
      <c r="L113" s="47" t="inlineStr">
        <is>
          <t>2026-06-30</t>
        </is>
      </c>
      <c r="M113" s="27" t="inlineStr"/>
    </row>
    <row r="114">
      <c r="A114" s="36" t="inlineStr">
        <is>
          <t>PLN-00977</t>
        </is>
      </c>
      <c r="B114" s="27" t="inlineStr">
        <is>
          <t>Backlog, pipeline, and capacity conversion</t>
        </is>
      </c>
      <c r="C114" s="27" t="inlineStr">
        <is>
          <t>Qualified award pipeline</t>
        </is>
      </c>
      <c r="D114" s="27" t="inlineStr">
        <is>
          <t>Summit Hotel</t>
        </is>
      </c>
      <c r="E114" s="27" t="inlineStr">
        <is>
          <t>FY27</t>
        </is>
      </c>
      <c r="F114" s="27" t="inlineStr">
        <is>
          <t>Approved case</t>
        </is>
      </c>
      <c r="G114" s="27" t="inlineStr">
        <is>
          <t>Gross margin</t>
        </is>
      </c>
      <c r="H114" s="46" t="n">
        <v>0.264</v>
      </c>
      <c r="I114" s="27" t="inlineStr"/>
      <c r="J114" s="27" t="inlineStr">
        <is>
          <t>decimal ratio</t>
        </is>
      </c>
      <c r="K114" s="27" t="inlineStr">
        <is>
          <t>Finance operating schedule</t>
        </is>
      </c>
      <c r="L114" s="47" t="inlineStr">
        <is>
          <t>2026-06-30</t>
        </is>
      </c>
      <c r="M114" s="27" t="inlineStr"/>
    </row>
    <row r="115">
      <c r="A115" s="36" t="inlineStr">
        <is>
          <t>PLN-00978</t>
        </is>
      </c>
      <c r="B115" s="27" t="inlineStr">
        <is>
          <t>Backlog, pipeline, and capacity conversion</t>
        </is>
      </c>
      <c r="C115" s="27" t="inlineStr">
        <is>
          <t>Backlog coverage policy</t>
        </is>
      </c>
      <c r="D115" s="27" t="inlineStr">
        <is>
          <t>Construction</t>
        </is>
      </c>
      <c r="E115" s="27" t="inlineStr">
        <is>
          <t>Plan</t>
        </is>
      </c>
      <c r="F115" s="27" t="inlineStr">
        <is>
          <t>Approved case</t>
        </is>
      </c>
      <c r="G115" s="27" t="inlineStr">
        <is>
          <t>H2 revenue plan</t>
        </is>
      </c>
      <c r="H115" s="46" t="n">
        <v>15900000</v>
      </c>
      <c r="I115" s="27" t="inlineStr"/>
      <c r="J115" s="27" t="inlineStr">
        <is>
          <t>USD</t>
        </is>
      </c>
      <c r="K115" s="27" t="inlineStr">
        <is>
          <t>Finance operating schedule</t>
        </is>
      </c>
      <c r="L115" s="47" t="inlineStr">
        <is>
          <t>2026-06-30</t>
        </is>
      </c>
      <c r="M115" s="27" t="inlineStr"/>
    </row>
    <row r="116">
      <c r="A116" s="36" t="inlineStr">
        <is>
          <t>PLN-00979</t>
        </is>
      </c>
      <c r="B116" s="27" t="inlineStr">
        <is>
          <t>Backlog, pipeline, and capacity conversion</t>
        </is>
      </c>
      <c r="C116" s="27" t="inlineStr">
        <is>
          <t>Backlog coverage policy</t>
        </is>
      </c>
      <c r="D116" s="27" t="inlineStr">
        <is>
          <t>Construction</t>
        </is>
      </c>
      <c r="E116" s="27" t="inlineStr">
        <is>
          <t>Plan</t>
        </is>
      </c>
      <c r="F116" s="27" t="inlineStr">
        <is>
          <t>Approved case</t>
        </is>
      </c>
      <c r="G116" s="27" t="inlineStr">
        <is>
          <t>FY27 construction revenue plan</t>
        </is>
      </c>
      <c r="H116" s="46" t="n">
        <v>31100000</v>
      </c>
      <c r="I116" s="27" t="inlineStr"/>
      <c r="J116" s="27" t="inlineStr">
        <is>
          <t>USD</t>
        </is>
      </c>
      <c r="K116" s="27" t="inlineStr">
        <is>
          <t>Finance operating schedule</t>
        </is>
      </c>
      <c r="L116" s="47" t="inlineStr">
        <is>
          <t>2026-06-30</t>
        </is>
      </c>
      <c r="M116" s="27" t="inlineStr"/>
    </row>
    <row r="117">
      <c r="A117" s="36" t="inlineStr">
        <is>
          <t>PLN-00980</t>
        </is>
      </c>
      <c r="B117" s="27" t="inlineStr">
        <is>
          <t>Backlog, pipeline, and capacity conversion</t>
        </is>
      </c>
      <c r="C117" s="27" t="inlineStr">
        <is>
          <t>Backlog coverage policy</t>
        </is>
      </c>
      <c r="D117" s="27" t="inlineStr">
        <is>
          <t>Construction</t>
        </is>
      </c>
      <c r="E117" s="27" t="inlineStr">
        <is>
          <t>Plan</t>
        </is>
      </c>
      <c r="F117" s="27" t="inlineStr">
        <is>
          <t>Approved case</t>
        </is>
      </c>
      <c r="G117" s="27" t="inlineStr">
        <is>
          <t>Maximum internal delivery</t>
        </is>
      </c>
      <c r="H117" s="46" t="n">
        <v>18000</v>
      </c>
      <c r="I117" s="27" t="inlineStr"/>
      <c r="J117" s="27" t="inlineStr">
        <is>
          <t>USD thousands</t>
        </is>
      </c>
      <c r="K117" s="27" t="inlineStr">
        <is>
          <t>Finance operating schedule</t>
        </is>
      </c>
      <c r="L117" s="47" t="inlineStr">
        <is>
          <t>2026-06-30</t>
        </is>
      </c>
      <c r="M117" s="27" t="inlineStr"/>
    </row>
    <row r="118">
      <c r="A118" s="36" t="inlineStr">
        <is>
          <t>PLN-00995</t>
        </is>
      </c>
      <c r="B118" s="27" t="inlineStr">
        <is>
          <t>Backlog, pipeline, and capacity conversion</t>
        </is>
      </c>
      <c r="C118" s="27" t="inlineStr">
        <is>
          <t>FY27 delivery portfolio candidates</t>
        </is>
      </c>
      <c r="D118" s="27" t="inlineStr">
        <is>
          <t>Cedar Medical</t>
        </is>
      </c>
      <c r="E118" s="27" t="inlineStr">
        <is>
          <t>FY27</t>
        </is>
      </c>
      <c r="F118" s="27" t="inlineStr">
        <is>
          <t>Approved case</t>
        </is>
      </c>
      <c r="G118" s="27" t="inlineStr">
        <is>
          <t>Risk-adjusted revenue</t>
        </is>
      </c>
      <c r="H118" s="46" t="n">
        <v>3350000</v>
      </c>
      <c r="I118" s="27" t="inlineStr"/>
      <c r="J118" s="27" t="inlineStr">
        <is>
          <t>USD</t>
        </is>
      </c>
      <c r="K118" s="27" t="inlineStr">
        <is>
          <t>Finance operating schedule</t>
        </is>
      </c>
      <c r="L118" s="47" t="inlineStr">
        <is>
          <t>2026-06-30</t>
        </is>
      </c>
      <c r="M118" s="27" t="inlineStr"/>
    </row>
    <row r="119">
      <c r="A119" s="36" t="inlineStr">
        <is>
          <t>PLN-00996</t>
        </is>
      </c>
      <c r="B119" s="27" t="inlineStr">
        <is>
          <t>Backlog, pipeline, and capacity conversion</t>
        </is>
      </c>
      <c r="C119" s="27" t="inlineStr">
        <is>
          <t>FY27 delivery portfolio candidates</t>
        </is>
      </c>
      <c r="D119" s="27" t="inlineStr">
        <is>
          <t>Cedar Medical</t>
        </is>
      </c>
      <c r="E119" s="27" t="inlineStr">
        <is>
          <t>FY27</t>
        </is>
      </c>
      <c r="F119" s="27" t="inlineStr">
        <is>
          <t>Approved case</t>
        </is>
      </c>
      <c r="G119" s="27" t="inlineStr">
        <is>
          <t>Gross margin</t>
        </is>
      </c>
      <c r="H119" s="46" t="n">
        <v>0.245</v>
      </c>
      <c r="I119" s="27" t="inlineStr"/>
      <c r="J119" s="27" t="inlineStr">
        <is>
          <t>decimal ratio</t>
        </is>
      </c>
      <c r="K119" s="27" t="inlineStr">
        <is>
          <t>Finance operating schedule</t>
        </is>
      </c>
      <c r="L119" s="47" t="inlineStr">
        <is>
          <t>2026-06-30</t>
        </is>
      </c>
      <c r="M119" s="27" t="inlineStr"/>
    </row>
    <row r="120">
      <c r="A120" s="36" t="inlineStr">
        <is>
          <t>PLN-00997</t>
        </is>
      </c>
      <c r="B120" s="27" t="inlineStr">
        <is>
          <t>Backlog, pipeline, and capacity conversion</t>
        </is>
      </c>
      <c r="C120" s="27" t="inlineStr">
        <is>
          <t>FY27 delivery portfolio candidates</t>
        </is>
      </c>
      <c r="D120" s="27" t="inlineStr">
        <is>
          <t>Cedar Medical</t>
        </is>
      </c>
      <c r="E120" s="27" t="inlineStr">
        <is>
          <t>FY27</t>
        </is>
      </c>
      <c r="F120" s="27" t="inlineStr">
        <is>
          <t>Approved case</t>
        </is>
      </c>
      <c r="G120" s="27" t="inlineStr">
        <is>
          <t>Required labor hours</t>
        </is>
      </c>
      <c r="H120" s="46" t="n">
        <v>17500</v>
      </c>
      <c r="I120" s="27" t="inlineStr"/>
      <c r="J120" s="27" t="inlineStr">
        <is>
          <t>hours</t>
        </is>
      </c>
      <c r="K120" s="27" t="inlineStr">
        <is>
          <t>Finance operating schedule</t>
        </is>
      </c>
      <c r="L120" s="47" t="inlineStr">
        <is>
          <t>2026-06-30</t>
        </is>
      </c>
      <c r="M120" s="27" t="inlineStr"/>
    </row>
    <row r="121">
      <c r="A121" s="36" t="inlineStr">
        <is>
          <t>PLN-00998</t>
        </is>
      </c>
      <c r="B121" s="27" t="inlineStr">
        <is>
          <t>Backlog, pipeline, and capacity conversion</t>
        </is>
      </c>
      <c r="C121" s="27" t="inlineStr">
        <is>
          <t>FY27 delivery portfolio candidates</t>
        </is>
      </c>
      <c r="D121" s="27" t="inlineStr">
        <is>
          <t>Cedar Medical</t>
        </is>
      </c>
      <c r="E121" s="27" t="inlineStr">
        <is>
          <t>FY27</t>
        </is>
      </c>
      <c r="F121" s="27" t="inlineStr">
        <is>
          <t>Approved case</t>
        </is>
      </c>
      <c r="G121" s="27" t="inlineStr">
        <is>
          <t>Bonded revenue</t>
        </is>
      </c>
      <c r="H121" s="46" t="n">
        <v>3350</v>
      </c>
      <c r="I121" s="27" t="inlineStr"/>
      <c r="J121" s="27" t="inlineStr">
        <is>
          <t>USD thousands</t>
        </is>
      </c>
      <c r="K121" s="27" t="inlineStr">
        <is>
          <t>Finance operating schedule</t>
        </is>
      </c>
      <c r="L121" s="47" t="inlineStr">
        <is>
          <t>2026-06-30</t>
        </is>
      </c>
      <c r="M121" s="27" t="inlineStr"/>
    </row>
    <row r="122">
      <c r="A122" s="36" t="inlineStr">
        <is>
          <t>PLN-00999</t>
        </is>
      </c>
      <c r="B122" s="27" t="inlineStr">
        <is>
          <t>Backlog, pipeline, and capacity conversion</t>
        </is>
      </c>
      <c r="C122" s="27" t="inlineStr">
        <is>
          <t>FY27 delivery portfolio candidates</t>
        </is>
      </c>
      <c r="D122" s="27" t="inlineStr">
        <is>
          <t>Cedar Medical</t>
        </is>
      </c>
      <c r="E122" s="27" t="inlineStr">
        <is>
          <t>FY27</t>
        </is>
      </c>
      <c r="F122" s="27" t="inlineStr">
        <is>
          <t>Approved case</t>
        </is>
      </c>
      <c r="G122" s="27" t="inlineStr">
        <is>
          <t>Mandatory signed award</t>
        </is>
      </c>
      <c r="H122" s="46" t="n">
        <v>1</v>
      </c>
      <c r="I122" s="27" t="inlineStr"/>
      <c r="J122" s="27" t="inlineStr">
        <is>
          <t>boolean</t>
        </is>
      </c>
      <c r="K122" s="27" t="inlineStr">
        <is>
          <t>Finance operating schedule</t>
        </is>
      </c>
      <c r="L122" s="47" t="inlineStr">
        <is>
          <t>2026-06-30</t>
        </is>
      </c>
      <c r="M122" s="27" t="inlineStr"/>
    </row>
    <row r="123">
      <c r="A123" s="36" t="inlineStr">
        <is>
          <t>PLN-01000</t>
        </is>
      </c>
      <c r="B123" s="27" t="inlineStr">
        <is>
          <t>Backlog, pipeline, and capacity conversion</t>
        </is>
      </c>
      <c r="C123" s="27" t="inlineStr">
        <is>
          <t>FY27 delivery portfolio candidates</t>
        </is>
      </c>
      <c r="D123" s="27" t="inlineStr">
        <is>
          <t>Portland Schools</t>
        </is>
      </c>
      <c r="E123" s="27" t="inlineStr">
        <is>
          <t>FY27</t>
        </is>
      </c>
      <c r="F123" s="27" t="inlineStr">
        <is>
          <t>Approved case</t>
        </is>
      </c>
      <c r="G123" s="27" t="inlineStr">
        <is>
          <t>Risk-adjusted revenue</t>
        </is>
      </c>
      <c r="H123" s="46" t="n">
        <v>2565000</v>
      </c>
      <c r="I123" s="27" t="inlineStr"/>
      <c r="J123" s="27" t="inlineStr">
        <is>
          <t>USD</t>
        </is>
      </c>
      <c r="K123" s="27" t="inlineStr">
        <is>
          <t>Finance operating schedule</t>
        </is>
      </c>
      <c r="L123" s="47" t="inlineStr">
        <is>
          <t>2026-06-30</t>
        </is>
      </c>
      <c r="M123" s="27" t="inlineStr"/>
    </row>
    <row r="124">
      <c r="A124" s="36" t="inlineStr">
        <is>
          <t>PLN-01001</t>
        </is>
      </c>
      <c r="B124" s="27" t="inlineStr">
        <is>
          <t>Backlog, pipeline, and capacity conversion</t>
        </is>
      </c>
      <c r="C124" s="27" t="inlineStr">
        <is>
          <t>FY27 delivery portfolio candidates</t>
        </is>
      </c>
      <c r="D124" s="27" t="inlineStr">
        <is>
          <t>Portland Schools</t>
        </is>
      </c>
      <c r="E124" s="27" t="inlineStr">
        <is>
          <t>FY27</t>
        </is>
      </c>
      <c r="F124" s="27" t="inlineStr">
        <is>
          <t>Approved case</t>
        </is>
      </c>
      <c r="G124" s="27" t="inlineStr">
        <is>
          <t>Gross margin</t>
        </is>
      </c>
      <c r="H124" s="46" t="n">
        <v>0.218</v>
      </c>
      <c r="I124" s="27" t="inlineStr"/>
      <c r="J124" s="27" t="inlineStr">
        <is>
          <t>decimal ratio</t>
        </is>
      </c>
      <c r="K124" s="27" t="inlineStr">
        <is>
          <t>Finance operating schedule</t>
        </is>
      </c>
      <c r="L124" s="47" t="inlineStr">
        <is>
          <t>2026-06-30</t>
        </is>
      </c>
      <c r="M124" s="27" t="inlineStr"/>
    </row>
    <row r="125">
      <c r="A125" s="36" t="inlineStr">
        <is>
          <t>PLN-01002</t>
        </is>
      </c>
      <c r="B125" s="27" t="inlineStr">
        <is>
          <t>Backlog, pipeline, and capacity conversion</t>
        </is>
      </c>
      <c r="C125" s="27" t="inlineStr">
        <is>
          <t>FY27 delivery portfolio candidates</t>
        </is>
      </c>
      <c r="D125" s="27" t="inlineStr">
        <is>
          <t>Portland Schools</t>
        </is>
      </c>
      <c r="E125" s="27" t="inlineStr">
        <is>
          <t>FY27</t>
        </is>
      </c>
      <c r="F125" s="27" t="inlineStr">
        <is>
          <t>Approved case</t>
        </is>
      </c>
      <c r="G125" s="27" t="inlineStr">
        <is>
          <t>Required labor hours</t>
        </is>
      </c>
      <c r="H125" s="46" t="n">
        <v>15600</v>
      </c>
      <c r="I125" s="27" t="inlineStr"/>
      <c r="J125" s="27" t="inlineStr">
        <is>
          <t>hours</t>
        </is>
      </c>
      <c r="K125" s="27" t="inlineStr">
        <is>
          <t>Finance operating schedule</t>
        </is>
      </c>
      <c r="L125" s="47" t="inlineStr">
        <is>
          <t>2026-06-30</t>
        </is>
      </c>
      <c r="M125" s="27" t="inlineStr"/>
    </row>
    <row r="126">
      <c r="A126" s="36" t="inlineStr">
        <is>
          <t>PLN-01003</t>
        </is>
      </c>
      <c r="B126" s="27" t="inlineStr">
        <is>
          <t>Backlog, pipeline, and capacity conversion</t>
        </is>
      </c>
      <c r="C126" s="27" t="inlineStr">
        <is>
          <t>FY27 delivery portfolio candidates</t>
        </is>
      </c>
      <c r="D126" s="27" t="inlineStr">
        <is>
          <t>Portland Schools</t>
        </is>
      </c>
      <c r="E126" s="27" t="inlineStr">
        <is>
          <t>FY27</t>
        </is>
      </c>
      <c r="F126" s="27" t="inlineStr">
        <is>
          <t>Approved case</t>
        </is>
      </c>
      <c r="G126" s="27" t="inlineStr">
        <is>
          <t>Bonded revenue</t>
        </is>
      </c>
      <c r="H126" s="46" t="n">
        <v>2565000</v>
      </c>
      <c r="I126" s="27" t="inlineStr"/>
      <c r="J126" s="27" t="inlineStr">
        <is>
          <t>USD</t>
        </is>
      </c>
      <c r="K126" s="27" t="inlineStr">
        <is>
          <t>Finance operating schedule</t>
        </is>
      </c>
      <c r="L126" s="47" t="inlineStr">
        <is>
          <t>2026-06-30</t>
        </is>
      </c>
      <c r="M126" s="27" t="inlineStr"/>
    </row>
    <row r="127">
      <c r="A127" s="36" t="inlineStr">
        <is>
          <t>PLN-01004</t>
        </is>
      </c>
      <c r="B127" s="27" t="inlineStr">
        <is>
          <t>Backlog, pipeline, and capacity conversion</t>
        </is>
      </c>
      <c r="C127" s="27" t="inlineStr">
        <is>
          <t>FY27 delivery portfolio candidates</t>
        </is>
      </c>
      <c r="D127" s="27" t="inlineStr">
        <is>
          <t>Portland Schools</t>
        </is>
      </c>
      <c r="E127" s="27" t="inlineStr">
        <is>
          <t>FY27</t>
        </is>
      </c>
      <c r="F127" s="27" t="inlineStr">
        <is>
          <t>Approved case</t>
        </is>
      </c>
      <c r="G127" s="27" t="inlineStr">
        <is>
          <t>Mandatory signed award</t>
        </is>
      </c>
      <c r="H127" s="46" t="n">
        <v>1</v>
      </c>
      <c r="I127" s="27" t="inlineStr"/>
      <c r="J127" s="27" t="inlineStr">
        <is>
          <t>boolean</t>
        </is>
      </c>
      <c r="K127" s="27" t="inlineStr">
        <is>
          <t>Finance operating schedule</t>
        </is>
      </c>
      <c r="L127" s="47" t="inlineStr">
        <is>
          <t>2026-06-30</t>
        </is>
      </c>
      <c r="M127" s="27" t="inlineStr"/>
    </row>
    <row r="128">
      <c r="A128" s="36" t="inlineStr">
        <is>
          <t>PLN-01005</t>
        </is>
      </c>
      <c r="B128" s="27" t="inlineStr">
        <is>
          <t>Backlog, pipeline, and capacity conversion</t>
        </is>
      </c>
      <c r="C128" s="27" t="inlineStr">
        <is>
          <t>FY27 delivery portfolio candidates</t>
        </is>
      </c>
      <c r="D128" s="27" t="inlineStr">
        <is>
          <t>Helix Data Center</t>
        </is>
      </c>
      <c r="E128" s="27" t="inlineStr">
        <is>
          <t>FY27</t>
        </is>
      </c>
      <c r="F128" s="27" t="inlineStr">
        <is>
          <t>Approved case</t>
        </is>
      </c>
      <c r="G128" s="27" t="inlineStr">
        <is>
          <t>Risk-adjusted revenue</t>
        </is>
      </c>
      <c r="H128" s="46" t="n">
        <v>4488000</v>
      </c>
      <c r="I128" s="27" t="inlineStr"/>
      <c r="J128" s="27" t="inlineStr">
        <is>
          <t>USD</t>
        </is>
      </c>
      <c r="K128" s="27" t="inlineStr">
        <is>
          <t>Finance operating schedule</t>
        </is>
      </c>
      <c r="L128" s="47" t="inlineStr">
        <is>
          <t>2026-06-30</t>
        </is>
      </c>
      <c r="M128" s="27" t="inlineStr"/>
    </row>
    <row r="129">
      <c r="A129" s="36" t="inlineStr">
        <is>
          <t>PLN-01006</t>
        </is>
      </c>
      <c r="B129" s="27" t="inlineStr">
        <is>
          <t>Backlog, pipeline, and capacity conversion</t>
        </is>
      </c>
      <c r="C129" s="27" t="inlineStr">
        <is>
          <t>FY27 delivery portfolio candidates</t>
        </is>
      </c>
      <c r="D129" s="27" t="inlineStr">
        <is>
          <t>Helix Data Center</t>
        </is>
      </c>
      <c r="E129" s="27" t="inlineStr">
        <is>
          <t>FY27</t>
        </is>
      </c>
      <c r="F129" s="27" t="inlineStr">
        <is>
          <t>Approved case</t>
        </is>
      </c>
      <c r="G129" s="27" t="inlineStr">
        <is>
          <t>Gross margin</t>
        </is>
      </c>
      <c r="H129" s="46" t="n">
        <v>0.271</v>
      </c>
      <c r="I129" s="27" t="inlineStr"/>
      <c r="J129" s="27" t="inlineStr">
        <is>
          <t>decimal ratio</t>
        </is>
      </c>
      <c r="K129" s="27" t="inlineStr">
        <is>
          <t>Finance operating schedule</t>
        </is>
      </c>
      <c r="L129" s="47" t="inlineStr">
        <is>
          <t>2026-06-30</t>
        </is>
      </c>
      <c r="M129" s="27" t="inlineStr"/>
    </row>
    <row r="130">
      <c r="A130" s="36" t="inlineStr">
        <is>
          <t>PLN-01007</t>
        </is>
      </c>
      <c r="B130" s="27" t="inlineStr">
        <is>
          <t>Backlog, pipeline, and capacity conversion</t>
        </is>
      </c>
      <c r="C130" s="27" t="inlineStr">
        <is>
          <t>FY27 delivery portfolio candidates</t>
        </is>
      </c>
      <c r="D130" s="27" t="inlineStr">
        <is>
          <t>Helix Data Center</t>
        </is>
      </c>
      <c r="E130" s="27" t="inlineStr">
        <is>
          <t>FY27</t>
        </is>
      </c>
      <c r="F130" s="27" t="inlineStr">
        <is>
          <t>Approved case</t>
        </is>
      </c>
      <c r="G130" s="27" t="inlineStr">
        <is>
          <t>Required labor hours</t>
        </is>
      </c>
      <c r="H130" s="46" t="n">
        <v>25900</v>
      </c>
      <c r="I130" s="27" t="inlineStr"/>
      <c r="J130" s="27" t="inlineStr">
        <is>
          <t>hours</t>
        </is>
      </c>
      <c r="K130" s="27" t="inlineStr">
        <is>
          <t>Finance operating schedule</t>
        </is>
      </c>
      <c r="L130" s="47" t="inlineStr">
        <is>
          <t>2026-06-30</t>
        </is>
      </c>
      <c r="M130" s="27" t="inlineStr"/>
    </row>
    <row r="131">
      <c r="A131" s="36" t="inlineStr">
        <is>
          <t>PLN-01008</t>
        </is>
      </c>
      <c r="B131" s="27" t="inlineStr">
        <is>
          <t>Backlog, pipeline, and capacity conversion</t>
        </is>
      </c>
      <c r="C131" s="27" t="inlineStr">
        <is>
          <t>FY27 delivery portfolio candidates</t>
        </is>
      </c>
      <c r="D131" s="27" t="inlineStr">
        <is>
          <t>Helix Data Center</t>
        </is>
      </c>
      <c r="E131" s="27" t="inlineStr">
        <is>
          <t>FY27</t>
        </is>
      </c>
      <c r="F131" s="27" t="inlineStr">
        <is>
          <t>Approved case</t>
        </is>
      </c>
      <c r="G131" s="27" t="inlineStr">
        <is>
          <t>Bonded revenue</t>
        </is>
      </c>
      <c r="H131" s="46" t="n">
        <v>4488000</v>
      </c>
      <c r="I131" s="27" t="inlineStr"/>
      <c r="J131" s="27" t="inlineStr">
        <is>
          <t>USD</t>
        </is>
      </c>
      <c r="K131" s="27" t="inlineStr">
        <is>
          <t>Finance operating schedule</t>
        </is>
      </c>
      <c r="L131" s="47" t="inlineStr">
        <is>
          <t>2026-06-30</t>
        </is>
      </c>
      <c r="M131" s="27" t="inlineStr"/>
    </row>
    <row r="132">
      <c r="A132" s="36" t="inlineStr">
        <is>
          <t>PLN-01009</t>
        </is>
      </c>
      <c r="B132" s="27" t="inlineStr">
        <is>
          <t>Backlog, pipeline, and capacity conversion</t>
        </is>
      </c>
      <c r="C132" s="27" t="inlineStr">
        <is>
          <t>FY27 delivery portfolio candidates</t>
        </is>
      </c>
      <c r="D132" s="27" t="inlineStr">
        <is>
          <t>Helix Data Center</t>
        </is>
      </c>
      <c r="E132" s="27" t="inlineStr">
        <is>
          <t>FY27</t>
        </is>
      </c>
      <c r="F132" s="27" t="inlineStr">
        <is>
          <t>Approved case</t>
        </is>
      </c>
      <c r="G132" s="27" t="inlineStr">
        <is>
          <t>Mandatory signed award</t>
        </is>
      </c>
      <c r="H132" s="46" t="n">
        <v>1</v>
      </c>
      <c r="I132" s="27" t="inlineStr"/>
      <c r="J132" s="27" t="inlineStr">
        <is>
          <t>boolean</t>
        </is>
      </c>
      <c r="K132" s="27" t="inlineStr">
        <is>
          <t>Finance operating schedule</t>
        </is>
      </c>
      <c r="L132" s="47" t="inlineStr">
        <is>
          <t>2026-06-30</t>
        </is>
      </c>
      <c r="M132" s="27" t="inlineStr"/>
    </row>
    <row r="133">
      <c r="A133" s="36" t="inlineStr">
        <is>
          <t>PLN-01010</t>
        </is>
      </c>
      <c r="B133" s="27" t="inlineStr">
        <is>
          <t>Backlog, pipeline, and capacity conversion</t>
        </is>
      </c>
      <c r="C133" s="27" t="inlineStr">
        <is>
          <t>FY27 delivery portfolio candidates</t>
        </is>
      </c>
      <c r="D133" s="27" t="inlineStr">
        <is>
          <t>Juniper Offices</t>
        </is>
      </c>
      <c r="E133" s="27" t="inlineStr">
        <is>
          <t>FY27</t>
        </is>
      </c>
      <c r="F133" s="27" t="inlineStr">
        <is>
          <t>Approved case</t>
        </is>
      </c>
      <c r="G133" s="27" t="inlineStr">
        <is>
          <t>Risk-adjusted revenue</t>
        </is>
      </c>
      <c r="H133" s="46" t="n">
        <v>1275</v>
      </c>
      <c r="I133" s="27" t="inlineStr"/>
      <c r="J133" s="27" t="inlineStr">
        <is>
          <t>USD thousands</t>
        </is>
      </c>
      <c r="K133" s="27" t="inlineStr">
        <is>
          <t>Finance operating schedule</t>
        </is>
      </c>
      <c r="L133" s="47" t="inlineStr">
        <is>
          <t>2026-06-30</t>
        </is>
      </c>
      <c r="M133" s="27" t="inlineStr"/>
    </row>
    <row r="134">
      <c r="A134" s="36" t="inlineStr">
        <is>
          <t>PLN-01011</t>
        </is>
      </c>
      <c r="B134" s="27" t="inlineStr">
        <is>
          <t>Backlog, pipeline, and capacity conversion</t>
        </is>
      </c>
      <c r="C134" s="27" t="inlineStr">
        <is>
          <t>FY27 delivery portfolio candidates</t>
        </is>
      </c>
      <c r="D134" s="27" t="inlineStr">
        <is>
          <t>Juniper Offices</t>
        </is>
      </c>
      <c r="E134" s="27" t="inlineStr">
        <is>
          <t>FY27</t>
        </is>
      </c>
      <c r="F134" s="27" t="inlineStr">
        <is>
          <t>Approved case</t>
        </is>
      </c>
      <c r="G134" s="27" t="inlineStr">
        <is>
          <t>Gross margin</t>
        </is>
      </c>
      <c r="H134" s="46" t="n">
        <v>0.236</v>
      </c>
      <c r="I134" s="27" t="inlineStr"/>
      <c r="J134" s="27" t="inlineStr">
        <is>
          <t>decimal ratio</t>
        </is>
      </c>
      <c r="K134" s="27" t="inlineStr">
        <is>
          <t>Finance operating schedule</t>
        </is>
      </c>
      <c r="L134" s="47" t="inlineStr">
        <is>
          <t>2026-06-30</t>
        </is>
      </c>
      <c r="M134" s="27" t="inlineStr"/>
    </row>
    <row r="135">
      <c r="A135" s="36" t="inlineStr">
        <is>
          <t>PLN-01012</t>
        </is>
      </c>
      <c r="B135" s="27" t="inlineStr">
        <is>
          <t>Backlog, pipeline, and capacity conversion</t>
        </is>
      </c>
      <c r="C135" s="27" t="inlineStr">
        <is>
          <t>FY27 delivery portfolio candidates</t>
        </is>
      </c>
      <c r="D135" s="27" t="inlineStr">
        <is>
          <t>Juniper Offices</t>
        </is>
      </c>
      <c r="E135" s="27" t="inlineStr">
        <is>
          <t>FY27</t>
        </is>
      </c>
      <c r="F135" s="27" t="inlineStr">
        <is>
          <t>Approved case</t>
        </is>
      </c>
      <c r="G135" s="27" t="inlineStr">
        <is>
          <t>Required labor hours</t>
        </is>
      </c>
      <c r="H135" s="46" t="n">
        <v>7100</v>
      </c>
      <c r="I135" s="27" t="inlineStr"/>
      <c r="J135" s="27" t="inlineStr">
        <is>
          <t>hours</t>
        </is>
      </c>
      <c r="K135" s="27" t="inlineStr">
        <is>
          <t>Finance operating schedule</t>
        </is>
      </c>
      <c r="L135" s="47" t="inlineStr">
        <is>
          <t>2026-06-30</t>
        </is>
      </c>
      <c r="M135" s="27" t="inlineStr"/>
    </row>
    <row r="136">
      <c r="A136" s="36" t="inlineStr">
        <is>
          <t>PLN-01013</t>
        </is>
      </c>
      <c r="B136" s="27" t="inlineStr">
        <is>
          <t>Backlog, pipeline, and capacity conversion</t>
        </is>
      </c>
      <c r="C136" s="27" t="inlineStr">
        <is>
          <t>FY27 delivery portfolio candidates</t>
        </is>
      </c>
      <c r="D136" s="27" t="inlineStr">
        <is>
          <t>Juniper Offices</t>
        </is>
      </c>
      <c r="E136" s="27" t="inlineStr">
        <is>
          <t>FY27</t>
        </is>
      </c>
      <c r="F136" s="27" t="inlineStr">
        <is>
          <t>Approved case</t>
        </is>
      </c>
      <c r="G136" s="27" t="inlineStr">
        <is>
          <t>Bonded revenue</t>
        </is>
      </c>
      <c r="H136" s="46" t="n">
        <v>1275000</v>
      </c>
      <c r="I136" s="27" t="inlineStr"/>
      <c r="J136" s="27" t="inlineStr">
        <is>
          <t>USD</t>
        </is>
      </c>
      <c r="K136" s="27" t="inlineStr">
        <is>
          <t>Finance operating schedule</t>
        </is>
      </c>
      <c r="L136" s="47" t="inlineStr">
        <is>
          <t>2026-06-30</t>
        </is>
      </c>
      <c r="M136" s="27" t="inlineStr"/>
    </row>
    <row r="137">
      <c r="A137" s="36" t="inlineStr">
        <is>
          <t>PLN-01014</t>
        </is>
      </c>
      <c r="B137" s="27" t="inlineStr">
        <is>
          <t>Backlog, pipeline, and capacity conversion</t>
        </is>
      </c>
      <c r="C137" s="27" t="inlineStr">
        <is>
          <t>FY27 delivery portfolio candidates</t>
        </is>
      </c>
      <c r="D137" s="27" t="inlineStr">
        <is>
          <t>Juniper Offices</t>
        </is>
      </c>
      <c r="E137" s="27" t="inlineStr">
        <is>
          <t>FY27</t>
        </is>
      </c>
      <c r="F137" s="27" t="inlineStr">
        <is>
          <t>Approved case</t>
        </is>
      </c>
      <c r="G137" s="27" t="inlineStr">
        <is>
          <t>Mandatory signed award</t>
        </is>
      </c>
      <c r="H137" s="46" t="n">
        <v>1</v>
      </c>
      <c r="I137" s="27" t="inlineStr"/>
      <c r="J137" s="27" t="inlineStr">
        <is>
          <t>boolean</t>
        </is>
      </c>
      <c r="K137" s="27" t="inlineStr">
        <is>
          <t>Finance operating schedule</t>
        </is>
      </c>
      <c r="L137" s="47" t="inlineStr">
        <is>
          <t>2026-06-30</t>
        </is>
      </c>
      <c r="M137" s="27" t="inlineStr"/>
    </row>
    <row r="138">
      <c r="A138" s="36" t="inlineStr">
        <is>
          <t>PLN-01015</t>
        </is>
      </c>
      <c r="B138" s="27" t="inlineStr">
        <is>
          <t>Backlog, pipeline, and capacity conversion</t>
        </is>
      </c>
      <c r="C138" s="27" t="inlineStr">
        <is>
          <t>FY27 delivery portfolio candidates</t>
        </is>
      </c>
      <c r="D138" s="27" t="inlineStr">
        <is>
          <t>Cascade Retail</t>
        </is>
      </c>
      <c r="E138" s="27" t="inlineStr">
        <is>
          <t>FY27</t>
        </is>
      </c>
      <c r="F138" s="27" t="inlineStr">
        <is>
          <t>Approved case</t>
        </is>
      </c>
      <c r="G138" s="27" t="inlineStr">
        <is>
          <t>Risk-adjusted revenue</t>
        </is>
      </c>
      <c r="H138" s="46" t="n">
        <v>1928000</v>
      </c>
      <c r="I138" s="27" t="inlineStr"/>
      <c r="J138" s="27" t="inlineStr">
        <is>
          <t>USD</t>
        </is>
      </c>
      <c r="K138" s="27" t="inlineStr">
        <is>
          <t>Finance operating schedule</t>
        </is>
      </c>
      <c r="L138" s="47" t="inlineStr">
        <is>
          <t>2026-06-30</t>
        </is>
      </c>
      <c r="M138" s="27" t="inlineStr"/>
    </row>
    <row r="139">
      <c r="A139" s="36" t="inlineStr">
        <is>
          <t>PLN-01016</t>
        </is>
      </c>
      <c r="B139" s="27" t="inlineStr">
        <is>
          <t>Backlog, pipeline, and capacity conversion</t>
        </is>
      </c>
      <c r="C139" s="27" t="inlineStr">
        <is>
          <t>FY27 delivery portfolio candidates</t>
        </is>
      </c>
      <c r="D139" s="27" t="inlineStr">
        <is>
          <t>Cascade Retail</t>
        </is>
      </c>
      <c r="E139" s="27" t="inlineStr">
        <is>
          <t>FY27</t>
        </is>
      </c>
      <c r="F139" s="27" t="inlineStr">
        <is>
          <t>Approved case</t>
        </is>
      </c>
      <c r="G139" s="27" t="inlineStr">
        <is>
          <t>Gross margin</t>
        </is>
      </c>
      <c r="H139" s="46" t="n">
        <v>0.205</v>
      </c>
      <c r="I139" s="27" t="inlineStr"/>
      <c r="J139" s="27" t="inlineStr">
        <is>
          <t>decimal ratio</t>
        </is>
      </c>
      <c r="K139" s="27" t="inlineStr">
        <is>
          <t>Finance operating schedule</t>
        </is>
      </c>
      <c r="L139" s="47" t="inlineStr">
        <is>
          <t>2026-06-30</t>
        </is>
      </c>
      <c r="M139" s="27" t="inlineStr"/>
    </row>
    <row r="140">
      <c r="A140" s="36" t="inlineStr">
        <is>
          <t>PLN-01017</t>
        </is>
      </c>
      <c r="B140" s="27" t="inlineStr">
        <is>
          <t>Backlog, pipeline, and capacity conversion</t>
        </is>
      </c>
      <c r="C140" s="27" t="inlineStr">
        <is>
          <t>FY27 delivery portfolio candidates</t>
        </is>
      </c>
      <c r="D140" s="27" t="inlineStr">
        <is>
          <t>Cascade Retail</t>
        </is>
      </c>
      <c r="E140" s="27" t="inlineStr">
        <is>
          <t>FY27</t>
        </is>
      </c>
      <c r="F140" s="27" t="inlineStr">
        <is>
          <t>Approved case</t>
        </is>
      </c>
      <c r="G140" s="27" t="inlineStr">
        <is>
          <t>Required labor hours</t>
        </is>
      </c>
      <c r="H140" s="46" t="n">
        <v>13200</v>
      </c>
      <c r="I140" s="27" t="inlineStr"/>
      <c r="J140" s="27" t="inlineStr">
        <is>
          <t>hours</t>
        </is>
      </c>
      <c r="K140" s="27" t="inlineStr">
        <is>
          <t>Finance operating schedule</t>
        </is>
      </c>
      <c r="L140" s="47" t="inlineStr">
        <is>
          <t>2026-06-30</t>
        </is>
      </c>
      <c r="M140" s="27" t="inlineStr"/>
    </row>
    <row r="141">
      <c r="A141" s="36" t="inlineStr">
        <is>
          <t>PLN-01018</t>
        </is>
      </c>
      <c r="B141" s="27" t="inlineStr">
        <is>
          <t>Backlog, pipeline, and capacity conversion</t>
        </is>
      </c>
      <c r="C141" s="27" t="inlineStr">
        <is>
          <t>FY27 delivery portfolio candidates</t>
        </is>
      </c>
      <c r="D141" s="27" t="inlineStr">
        <is>
          <t>Cascade Retail</t>
        </is>
      </c>
      <c r="E141" s="27" t="inlineStr">
        <is>
          <t>FY27</t>
        </is>
      </c>
      <c r="F141" s="27" t="inlineStr">
        <is>
          <t>Approved case</t>
        </is>
      </c>
      <c r="G141" s="27" t="inlineStr">
        <is>
          <t>Bonded revenue</t>
        </is>
      </c>
      <c r="H141" s="46" t="n">
        <v>1928</v>
      </c>
      <c r="I141" s="27" t="inlineStr"/>
      <c r="J141" s="27" t="inlineStr">
        <is>
          <t>USD thousands</t>
        </is>
      </c>
      <c r="K141" s="27" t="inlineStr">
        <is>
          <t>Finance operating schedule</t>
        </is>
      </c>
      <c r="L141" s="47" t="inlineStr">
        <is>
          <t>2026-06-30</t>
        </is>
      </c>
      <c r="M141" s="27" t="inlineStr"/>
    </row>
    <row r="142">
      <c r="A142" s="36" t="inlineStr">
        <is>
          <t>PLN-01019</t>
        </is>
      </c>
      <c r="B142" s="27" t="inlineStr">
        <is>
          <t>Backlog, pipeline, and capacity conversion</t>
        </is>
      </c>
      <c r="C142" s="27" t="inlineStr">
        <is>
          <t>FY27 delivery portfolio candidates</t>
        </is>
      </c>
      <c r="D142" s="27" t="inlineStr">
        <is>
          <t>Cascade Retail</t>
        </is>
      </c>
      <c r="E142" s="27" t="inlineStr">
        <is>
          <t>FY27</t>
        </is>
      </c>
      <c r="F142" s="27" t="inlineStr">
        <is>
          <t>Approved case</t>
        </is>
      </c>
      <c r="G142" s="27" t="inlineStr">
        <is>
          <t>Mandatory signed award</t>
        </is>
      </c>
      <c r="H142" s="46" t="n">
        <v>0</v>
      </c>
      <c r="I142" s="27" t="inlineStr"/>
      <c r="J142" s="27" t="inlineStr">
        <is>
          <t>boolean</t>
        </is>
      </c>
      <c r="K142" s="27" t="inlineStr">
        <is>
          <t>Finance operating schedule</t>
        </is>
      </c>
      <c r="L142" s="47" t="inlineStr">
        <is>
          <t>2026-06-30</t>
        </is>
      </c>
      <c r="M142" s="27" t="inlineStr"/>
    </row>
    <row r="143">
      <c r="A143" s="36" t="inlineStr">
        <is>
          <t>PLN-01020</t>
        </is>
      </c>
      <c r="B143" s="27" t="inlineStr">
        <is>
          <t>Backlog, pipeline, and capacity conversion</t>
        </is>
      </c>
      <c r="C143" s="27" t="inlineStr">
        <is>
          <t>FY27 delivery portfolio candidates</t>
        </is>
      </c>
      <c r="D143" s="27" t="inlineStr">
        <is>
          <t>Riverfront Hospital</t>
        </is>
      </c>
      <c r="E143" s="27" t="inlineStr">
        <is>
          <t>FY27</t>
        </is>
      </c>
      <c r="F143" s="27" t="inlineStr">
        <is>
          <t>Approved case</t>
        </is>
      </c>
      <c r="G143" s="27" t="inlineStr">
        <is>
          <t>Risk-adjusted revenue</t>
        </is>
      </c>
      <c r="H143" s="46" t="n">
        <v>2184000</v>
      </c>
      <c r="I143" s="27" t="inlineStr"/>
      <c r="J143" s="27" t="inlineStr">
        <is>
          <t>USD</t>
        </is>
      </c>
      <c r="K143" s="27" t="inlineStr">
        <is>
          <t>Finance operating schedule</t>
        </is>
      </c>
      <c r="L143" s="47" t="inlineStr">
        <is>
          <t>2026-06-30</t>
        </is>
      </c>
      <c r="M143" s="27" t="inlineStr"/>
    </row>
    <row r="144">
      <c r="A144" s="36" t="inlineStr">
        <is>
          <t>PLN-01021</t>
        </is>
      </c>
      <c r="B144" s="27" t="inlineStr">
        <is>
          <t>Backlog, pipeline, and capacity conversion</t>
        </is>
      </c>
      <c r="C144" s="27" t="inlineStr">
        <is>
          <t>FY27 delivery portfolio candidates</t>
        </is>
      </c>
      <c r="D144" s="27" t="inlineStr">
        <is>
          <t>Riverfront Hospital</t>
        </is>
      </c>
      <c r="E144" s="27" t="inlineStr">
        <is>
          <t>FY27</t>
        </is>
      </c>
      <c r="F144" s="27" t="inlineStr">
        <is>
          <t>Approved case</t>
        </is>
      </c>
      <c r="G144" s="27" t="inlineStr">
        <is>
          <t>Gross margin</t>
        </is>
      </c>
      <c r="H144" s="46" t="n">
        <v>0.252</v>
      </c>
      <c r="I144" s="27" t="inlineStr"/>
      <c r="J144" s="27" t="inlineStr">
        <is>
          <t>decimal ratio</t>
        </is>
      </c>
      <c r="K144" s="27" t="inlineStr">
        <is>
          <t>Finance operating schedule</t>
        </is>
      </c>
      <c r="L144" s="47" t="inlineStr">
        <is>
          <t>2026-06-30</t>
        </is>
      </c>
      <c r="M144" s="27" t="inlineStr"/>
    </row>
    <row r="145">
      <c r="A145" s="36" t="inlineStr">
        <is>
          <t>PLN-01022</t>
        </is>
      </c>
      <c r="B145" s="27" t="inlineStr">
        <is>
          <t>Backlog, pipeline, and capacity conversion</t>
        </is>
      </c>
      <c r="C145" s="27" t="inlineStr">
        <is>
          <t>FY27 delivery portfolio candidates</t>
        </is>
      </c>
      <c r="D145" s="27" t="inlineStr">
        <is>
          <t>Riverfront Hospital</t>
        </is>
      </c>
      <c r="E145" s="27" t="inlineStr">
        <is>
          <t>FY27</t>
        </is>
      </c>
      <c r="F145" s="27" t="inlineStr">
        <is>
          <t>Approved case</t>
        </is>
      </c>
      <c r="G145" s="27" t="inlineStr">
        <is>
          <t>Required labor hours</t>
        </is>
      </c>
      <c r="H145" s="46" t="n">
        <v>12400</v>
      </c>
      <c r="I145" s="27" t="inlineStr"/>
      <c r="J145" s="27" t="inlineStr">
        <is>
          <t>hours</t>
        </is>
      </c>
      <c r="K145" s="27" t="inlineStr">
        <is>
          <t>Finance operating schedule</t>
        </is>
      </c>
      <c r="L145" s="47" t="inlineStr">
        <is>
          <t>2026-06-30</t>
        </is>
      </c>
      <c r="M145" s="27" t="inlineStr"/>
    </row>
    <row r="146">
      <c r="A146" s="36" t="inlineStr">
        <is>
          <t>PLN-01023</t>
        </is>
      </c>
      <c r="B146" s="27" t="inlineStr">
        <is>
          <t>Backlog, pipeline, and capacity conversion</t>
        </is>
      </c>
      <c r="C146" s="27" t="inlineStr">
        <is>
          <t>FY27 delivery portfolio candidates</t>
        </is>
      </c>
      <c r="D146" s="27" t="inlineStr">
        <is>
          <t>Riverfront Hospital</t>
        </is>
      </c>
      <c r="E146" s="27" t="inlineStr">
        <is>
          <t>FY27</t>
        </is>
      </c>
      <c r="F146" s="27" t="inlineStr">
        <is>
          <t>Approved case</t>
        </is>
      </c>
      <c r="G146" s="27" t="inlineStr">
        <is>
          <t>Bonded revenue</t>
        </is>
      </c>
      <c r="H146" s="46" t="n">
        <v>2184000</v>
      </c>
      <c r="I146" s="27" t="inlineStr"/>
      <c r="J146" s="27" t="inlineStr">
        <is>
          <t>USD</t>
        </is>
      </c>
      <c r="K146" s="27" t="inlineStr">
        <is>
          <t>Finance operating schedule</t>
        </is>
      </c>
      <c r="L146" s="47" t="inlineStr">
        <is>
          <t>2026-06-30</t>
        </is>
      </c>
      <c r="M146" s="27" t="inlineStr"/>
    </row>
    <row r="147">
      <c r="A147" s="36" t="inlineStr">
        <is>
          <t>PLN-01024</t>
        </is>
      </c>
      <c r="B147" s="27" t="inlineStr">
        <is>
          <t>Backlog, pipeline, and capacity conversion</t>
        </is>
      </c>
      <c r="C147" s="27" t="inlineStr">
        <is>
          <t>FY27 delivery portfolio candidates</t>
        </is>
      </c>
      <c r="D147" s="27" t="inlineStr">
        <is>
          <t>Riverfront Hospital</t>
        </is>
      </c>
      <c r="E147" s="27" t="inlineStr">
        <is>
          <t>FY27</t>
        </is>
      </c>
      <c r="F147" s="27" t="inlineStr">
        <is>
          <t>Approved case</t>
        </is>
      </c>
      <c r="G147" s="27" t="inlineStr">
        <is>
          <t>Mandatory signed award</t>
        </is>
      </c>
      <c r="H147" s="46" t="n">
        <v>0</v>
      </c>
      <c r="I147" s="27" t="inlineStr"/>
      <c r="J147" s="27" t="inlineStr">
        <is>
          <t>boolean</t>
        </is>
      </c>
      <c r="K147" s="27" t="inlineStr">
        <is>
          <t>Finance operating schedule</t>
        </is>
      </c>
      <c r="L147" s="47" t="inlineStr">
        <is>
          <t>2026-06-30</t>
        </is>
      </c>
      <c r="M147" s="27" t="inlineStr"/>
    </row>
    <row r="148">
      <c r="A148" s="36" t="inlineStr">
        <is>
          <t>PLN-01025</t>
        </is>
      </c>
      <c r="B148" s="27" t="inlineStr">
        <is>
          <t>Backlog, pipeline, and capacity conversion</t>
        </is>
      </c>
      <c r="C148" s="27" t="inlineStr">
        <is>
          <t>FY27 delivery portfolio candidates</t>
        </is>
      </c>
      <c r="D148" s="27" t="inlineStr">
        <is>
          <t>Orchard Labs</t>
        </is>
      </c>
      <c r="E148" s="27" t="inlineStr">
        <is>
          <t>FY27</t>
        </is>
      </c>
      <c r="F148" s="27" t="inlineStr">
        <is>
          <t>Approved case</t>
        </is>
      </c>
      <c r="G148" s="27" t="inlineStr">
        <is>
          <t>Risk-adjusted revenue</t>
        </is>
      </c>
      <c r="H148" s="46" t="n">
        <v>885500</v>
      </c>
      <c r="I148" s="27" t="inlineStr"/>
      <c r="J148" s="27" t="inlineStr">
        <is>
          <t>USD</t>
        </is>
      </c>
      <c r="K148" s="27" t="inlineStr">
        <is>
          <t>Finance operating schedule</t>
        </is>
      </c>
      <c r="L148" s="47" t="inlineStr">
        <is>
          <t>2026-06-30</t>
        </is>
      </c>
      <c r="M148" s="27" t="inlineStr"/>
    </row>
    <row r="149">
      <c r="A149" s="36" t="inlineStr">
        <is>
          <t>PLN-01026</t>
        </is>
      </c>
      <c r="B149" s="27" t="inlineStr">
        <is>
          <t>Backlog, pipeline, and capacity conversion</t>
        </is>
      </c>
      <c r="C149" s="27" t="inlineStr">
        <is>
          <t>FY27 delivery portfolio candidates</t>
        </is>
      </c>
      <c r="D149" s="27" t="inlineStr">
        <is>
          <t>Orchard Labs</t>
        </is>
      </c>
      <c r="E149" s="27" t="inlineStr">
        <is>
          <t>FY27</t>
        </is>
      </c>
      <c r="F149" s="27" t="inlineStr">
        <is>
          <t>Approved case</t>
        </is>
      </c>
      <c r="G149" s="27" t="inlineStr">
        <is>
          <t>Gross margin</t>
        </is>
      </c>
      <c r="H149" s="46" t="n">
        <v>0.278</v>
      </c>
      <c r="I149" s="27" t="inlineStr"/>
      <c r="J149" s="27" t="inlineStr">
        <is>
          <t>decimal ratio</t>
        </is>
      </c>
      <c r="K149" s="27" t="inlineStr">
        <is>
          <t>Finance operating schedule</t>
        </is>
      </c>
      <c r="L149" s="47" t="inlineStr">
        <is>
          <t>2026-06-30</t>
        </is>
      </c>
      <c r="M149" s="27" t="inlineStr"/>
    </row>
    <row r="150">
      <c r="A150" s="36" t="inlineStr">
        <is>
          <t>PLN-01027</t>
        </is>
      </c>
      <c r="B150" s="27" t="inlineStr">
        <is>
          <t>Backlog, pipeline, and capacity conversion</t>
        </is>
      </c>
      <c r="C150" s="27" t="inlineStr">
        <is>
          <t>FY27 delivery portfolio candidates</t>
        </is>
      </c>
      <c r="D150" s="27" t="inlineStr">
        <is>
          <t>Orchard Labs</t>
        </is>
      </c>
      <c r="E150" s="27" t="inlineStr">
        <is>
          <t>FY27</t>
        </is>
      </c>
      <c r="F150" s="27" t="inlineStr">
        <is>
          <t>Approved case</t>
        </is>
      </c>
      <c r="G150" s="27" t="inlineStr">
        <is>
          <t>Required labor hours</t>
        </is>
      </c>
      <c r="H150" s="46" t="n">
        <v>4700</v>
      </c>
      <c r="I150" s="27" t="inlineStr"/>
      <c r="J150" s="27" t="inlineStr">
        <is>
          <t>hours</t>
        </is>
      </c>
      <c r="K150" s="27" t="inlineStr">
        <is>
          <t>Finance operating schedule</t>
        </is>
      </c>
      <c r="L150" s="47" t="inlineStr">
        <is>
          <t>2026-06-30</t>
        </is>
      </c>
      <c r="M150" s="27" t="inlineStr"/>
    </row>
    <row r="151">
      <c r="A151" s="36" t="inlineStr">
        <is>
          <t>PLN-01028</t>
        </is>
      </c>
      <c r="B151" s="27" t="inlineStr">
        <is>
          <t>Backlog, pipeline, and capacity conversion</t>
        </is>
      </c>
      <c r="C151" s="27" t="inlineStr">
        <is>
          <t>FY27 delivery portfolio candidates</t>
        </is>
      </c>
      <c r="D151" s="27" t="inlineStr">
        <is>
          <t>Orchard Labs</t>
        </is>
      </c>
      <c r="E151" s="27" t="inlineStr">
        <is>
          <t>FY27</t>
        </is>
      </c>
      <c r="F151" s="27" t="inlineStr">
        <is>
          <t>Approved case</t>
        </is>
      </c>
      <c r="G151" s="27" t="inlineStr">
        <is>
          <t>Bonded revenue</t>
        </is>
      </c>
      <c r="H151" s="46" t="n">
        <v>885500</v>
      </c>
      <c r="I151" s="27" t="inlineStr"/>
      <c r="J151" s="27" t="inlineStr">
        <is>
          <t>USD</t>
        </is>
      </c>
      <c r="K151" s="27" t="inlineStr">
        <is>
          <t>Finance operating schedule</t>
        </is>
      </c>
      <c r="L151" s="47" t="inlineStr">
        <is>
          <t>2026-06-30</t>
        </is>
      </c>
      <c r="M151" s="27" t="inlineStr"/>
    </row>
    <row r="152">
      <c r="A152" s="36" t="inlineStr">
        <is>
          <t>PLN-01029</t>
        </is>
      </c>
      <c r="B152" s="27" t="inlineStr">
        <is>
          <t>Backlog, pipeline, and capacity conversion</t>
        </is>
      </c>
      <c r="C152" s="27" t="inlineStr">
        <is>
          <t>FY27 delivery portfolio candidates</t>
        </is>
      </c>
      <c r="D152" s="27" t="inlineStr">
        <is>
          <t>Orchard Labs</t>
        </is>
      </c>
      <c r="E152" s="27" t="inlineStr">
        <is>
          <t>FY27</t>
        </is>
      </c>
      <c r="F152" s="27" t="inlineStr">
        <is>
          <t>Approved case</t>
        </is>
      </c>
      <c r="G152" s="27" t="inlineStr">
        <is>
          <t>Mandatory signed award</t>
        </is>
      </c>
      <c r="H152" s="46" t="n">
        <v>0</v>
      </c>
      <c r="I152" s="27" t="inlineStr"/>
      <c r="J152" s="27" t="inlineStr">
        <is>
          <t>boolean</t>
        </is>
      </c>
      <c r="K152" s="27" t="inlineStr">
        <is>
          <t>Finance operating schedule</t>
        </is>
      </c>
      <c r="L152" s="47" t="inlineStr">
        <is>
          <t>2026-06-30</t>
        </is>
      </c>
      <c r="M152" s="27" t="inlineStr"/>
    </row>
    <row r="153">
      <c r="A153" s="36" t="inlineStr">
        <is>
          <t>PLN-01030</t>
        </is>
      </c>
      <c r="B153" s="27" t="inlineStr">
        <is>
          <t>Backlog, pipeline, and capacity conversion</t>
        </is>
      </c>
      <c r="C153" s="27" t="inlineStr">
        <is>
          <t>FY27 delivery portfolio candidates</t>
        </is>
      </c>
      <c r="D153" s="27" t="inlineStr">
        <is>
          <t>State Archive</t>
        </is>
      </c>
      <c r="E153" s="27" t="inlineStr">
        <is>
          <t>FY27</t>
        </is>
      </c>
      <c r="F153" s="27" t="inlineStr">
        <is>
          <t>Approved case</t>
        </is>
      </c>
      <c r="G153" s="27" t="inlineStr">
        <is>
          <t>Risk-adjusted revenue</t>
        </is>
      </c>
      <c r="H153" s="46" t="n">
        <v>697.5</v>
      </c>
      <c r="I153" s="27" t="inlineStr"/>
      <c r="J153" s="27" t="inlineStr">
        <is>
          <t>USD thousands</t>
        </is>
      </c>
      <c r="K153" s="27" t="inlineStr">
        <is>
          <t>Finance operating schedule</t>
        </is>
      </c>
      <c r="L153" s="47" t="inlineStr">
        <is>
          <t>2026-06-30</t>
        </is>
      </c>
      <c r="M153" s="27" t="inlineStr"/>
    </row>
    <row r="154">
      <c r="A154" s="36" t="inlineStr">
        <is>
          <t>PLN-01031</t>
        </is>
      </c>
      <c r="B154" s="27" t="inlineStr">
        <is>
          <t>Backlog, pipeline, and capacity conversion</t>
        </is>
      </c>
      <c r="C154" s="27" t="inlineStr">
        <is>
          <t>FY27 delivery portfolio candidates</t>
        </is>
      </c>
      <c r="D154" s="27" t="inlineStr">
        <is>
          <t>State Archive</t>
        </is>
      </c>
      <c r="E154" s="27" t="inlineStr">
        <is>
          <t>FY27</t>
        </is>
      </c>
      <c r="F154" s="27" t="inlineStr">
        <is>
          <t>Approved case</t>
        </is>
      </c>
      <c r="G154" s="27" t="inlineStr">
        <is>
          <t>Gross margin</t>
        </is>
      </c>
      <c r="H154" s="46" t="n">
        <v>0.221</v>
      </c>
      <c r="I154" s="27" t="inlineStr"/>
      <c r="J154" s="27" t="inlineStr">
        <is>
          <t>decimal ratio</t>
        </is>
      </c>
      <c r="K154" s="27" t="inlineStr">
        <is>
          <t>Finance operating schedule</t>
        </is>
      </c>
      <c r="L154" s="47" t="inlineStr">
        <is>
          <t>2026-06-30</t>
        </is>
      </c>
      <c r="M154" s="27" t="inlineStr"/>
    </row>
    <row r="155">
      <c r="A155" s="36" t="inlineStr">
        <is>
          <t>PLN-01032</t>
        </is>
      </c>
      <c r="B155" s="27" t="inlineStr">
        <is>
          <t>Backlog, pipeline, and capacity conversion</t>
        </is>
      </c>
      <c r="C155" s="27" t="inlineStr">
        <is>
          <t>FY27 delivery portfolio candidates</t>
        </is>
      </c>
      <c r="D155" s="27" t="inlineStr">
        <is>
          <t>State Archive</t>
        </is>
      </c>
      <c r="E155" s="27" t="inlineStr">
        <is>
          <t>FY27</t>
        </is>
      </c>
      <c r="F155" s="27" t="inlineStr">
        <is>
          <t>Approved case</t>
        </is>
      </c>
      <c r="G155" s="27" t="inlineStr">
        <is>
          <t>Required labor hours</t>
        </is>
      </c>
      <c r="H155" s="46" t="n">
        <v>4900</v>
      </c>
      <c r="I155" s="27" t="inlineStr"/>
      <c r="J155" s="27" t="inlineStr">
        <is>
          <t>hours</t>
        </is>
      </c>
      <c r="K155" s="27" t="inlineStr">
        <is>
          <t>Finance operating schedule</t>
        </is>
      </c>
      <c r="L155" s="47" t="inlineStr">
        <is>
          <t>2026-06-30</t>
        </is>
      </c>
      <c r="M155" s="27" t="inlineStr"/>
    </row>
    <row r="156">
      <c r="A156" s="36" t="inlineStr">
        <is>
          <t>PLN-01033</t>
        </is>
      </c>
      <c r="B156" s="27" t="inlineStr">
        <is>
          <t>Backlog, pipeline, and capacity conversion</t>
        </is>
      </c>
      <c r="C156" s="27" t="inlineStr">
        <is>
          <t>FY27 delivery portfolio candidates</t>
        </is>
      </c>
      <c r="D156" s="27" t="inlineStr">
        <is>
          <t>State Archive</t>
        </is>
      </c>
      <c r="E156" s="27" t="inlineStr">
        <is>
          <t>FY27</t>
        </is>
      </c>
      <c r="F156" s="27" t="inlineStr">
        <is>
          <t>Approved case</t>
        </is>
      </c>
      <c r="G156" s="27" t="inlineStr">
        <is>
          <t>Bonded revenue</t>
        </is>
      </c>
      <c r="H156" s="46" t="n">
        <v>697500</v>
      </c>
      <c r="I156" s="27" t="inlineStr"/>
      <c r="J156" s="27" t="inlineStr">
        <is>
          <t>USD</t>
        </is>
      </c>
      <c r="K156" s="27" t="inlineStr">
        <is>
          <t>Finance operating schedule</t>
        </is>
      </c>
      <c r="L156" s="47" t="inlineStr">
        <is>
          <t>2026-06-30</t>
        </is>
      </c>
      <c r="M156" s="27" t="inlineStr"/>
    </row>
    <row r="157">
      <c r="A157" s="36" t="inlineStr">
        <is>
          <t>PLN-01034</t>
        </is>
      </c>
      <c r="B157" s="27" t="inlineStr">
        <is>
          <t>Backlog, pipeline, and capacity conversion</t>
        </is>
      </c>
      <c r="C157" s="27" t="inlineStr">
        <is>
          <t>FY27 delivery portfolio candidates</t>
        </is>
      </c>
      <c r="D157" s="27" t="inlineStr">
        <is>
          <t>State Archive</t>
        </is>
      </c>
      <c r="E157" s="27" t="inlineStr">
        <is>
          <t>FY27</t>
        </is>
      </c>
      <c r="F157" s="27" t="inlineStr">
        <is>
          <t>Approved case</t>
        </is>
      </c>
      <c r="G157" s="27" t="inlineStr">
        <is>
          <t>Mandatory signed award</t>
        </is>
      </c>
      <c r="H157" s="46" t="n">
        <v>0</v>
      </c>
      <c r="I157" s="27" t="inlineStr"/>
      <c r="J157" s="27" t="inlineStr">
        <is>
          <t>boolean</t>
        </is>
      </c>
      <c r="K157" s="27" t="inlineStr">
        <is>
          <t>Finance operating schedule</t>
        </is>
      </c>
      <c r="L157" s="47" t="inlineStr">
        <is>
          <t>2026-06-30</t>
        </is>
      </c>
      <c r="M157" s="27" t="inlineStr"/>
    </row>
    <row r="158">
      <c r="A158" s="36" t="inlineStr">
        <is>
          <t>PLN-01035</t>
        </is>
      </c>
      <c r="B158" s="27" t="inlineStr">
        <is>
          <t>Backlog, pipeline, and capacity conversion</t>
        </is>
      </c>
      <c r="C158" s="27" t="inlineStr">
        <is>
          <t>FY27 delivery portfolio candidates</t>
        </is>
      </c>
      <c r="D158" s="27" t="inlineStr">
        <is>
          <t>Summit Hotel</t>
        </is>
      </c>
      <c r="E158" s="27" t="inlineStr">
        <is>
          <t>FY27</t>
        </is>
      </c>
      <c r="F158" s="27" t="inlineStr">
        <is>
          <t>Approved case</t>
        </is>
      </c>
      <c r="G158" s="27" t="inlineStr">
        <is>
          <t>Risk-adjusted revenue</t>
        </is>
      </c>
      <c r="H158" s="46" t="n">
        <v>1560000</v>
      </c>
      <c r="I158" s="27" t="inlineStr"/>
      <c r="J158" s="27" t="inlineStr">
        <is>
          <t>USD</t>
        </is>
      </c>
      <c r="K158" s="27" t="inlineStr">
        <is>
          <t>Finance operating schedule</t>
        </is>
      </c>
      <c r="L158" s="47" t="inlineStr">
        <is>
          <t>2026-06-30</t>
        </is>
      </c>
      <c r="M158" s="27" t="inlineStr"/>
    </row>
    <row r="159">
      <c r="A159" s="36" t="inlineStr">
        <is>
          <t>PLN-01036</t>
        </is>
      </c>
      <c r="B159" s="27" t="inlineStr">
        <is>
          <t>Backlog, pipeline, and capacity conversion</t>
        </is>
      </c>
      <c r="C159" s="27" t="inlineStr">
        <is>
          <t>FY27 delivery portfolio candidates</t>
        </is>
      </c>
      <c r="D159" s="27" t="inlineStr">
        <is>
          <t>Summit Hotel</t>
        </is>
      </c>
      <c r="E159" s="27" t="inlineStr">
        <is>
          <t>FY27</t>
        </is>
      </c>
      <c r="F159" s="27" t="inlineStr">
        <is>
          <t>Approved case</t>
        </is>
      </c>
      <c r="G159" s="27" t="inlineStr">
        <is>
          <t>Gross margin</t>
        </is>
      </c>
      <c r="H159" s="46" t="n">
        <v>0.264</v>
      </c>
      <c r="I159" s="27" t="inlineStr"/>
      <c r="J159" s="27" t="inlineStr">
        <is>
          <t>decimal ratio</t>
        </is>
      </c>
      <c r="K159" s="27" t="inlineStr">
        <is>
          <t>Finance operating schedule</t>
        </is>
      </c>
      <c r="L159" s="47" t="inlineStr">
        <is>
          <t>2026-06-30</t>
        </is>
      </c>
      <c r="M159" s="27" t="inlineStr"/>
    </row>
    <row r="160">
      <c r="A160" s="36" t="inlineStr">
        <is>
          <t>PLN-01037</t>
        </is>
      </c>
      <c r="B160" s="27" t="inlineStr">
        <is>
          <t>Backlog, pipeline, and capacity conversion</t>
        </is>
      </c>
      <c r="C160" s="27" t="inlineStr">
        <is>
          <t>FY27 delivery portfolio candidates</t>
        </is>
      </c>
      <c r="D160" s="27" t="inlineStr">
        <is>
          <t>Summit Hotel</t>
        </is>
      </c>
      <c r="E160" s="27" t="inlineStr">
        <is>
          <t>FY27</t>
        </is>
      </c>
      <c r="F160" s="27" t="inlineStr">
        <is>
          <t>Approved case</t>
        </is>
      </c>
      <c r="G160" s="27" t="inlineStr">
        <is>
          <t>Required labor hours</t>
        </is>
      </c>
      <c r="H160" s="46" t="n">
        <v>8000</v>
      </c>
      <c r="I160" s="27" t="inlineStr"/>
      <c r="J160" s="27" t="inlineStr">
        <is>
          <t>hours</t>
        </is>
      </c>
      <c r="K160" s="27" t="inlineStr">
        <is>
          <t>Finance operating schedule</t>
        </is>
      </c>
      <c r="L160" s="47" t="inlineStr">
        <is>
          <t>2026-06-30</t>
        </is>
      </c>
      <c r="M160" s="27" t="inlineStr"/>
    </row>
    <row r="161">
      <c r="A161" s="36" t="inlineStr">
        <is>
          <t>PLN-01038</t>
        </is>
      </c>
      <c r="B161" s="27" t="inlineStr">
        <is>
          <t>Backlog, pipeline, and capacity conversion</t>
        </is>
      </c>
      <c r="C161" s="27" t="inlineStr">
        <is>
          <t>FY27 delivery portfolio candidates</t>
        </is>
      </c>
      <c r="D161" s="27" t="inlineStr">
        <is>
          <t>Summit Hotel</t>
        </is>
      </c>
      <c r="E161" s="27" t="inlineStr">
        <is>
          <t>FY27</t>
        </is>
      </c>
      <c r="F161" s="27" t="inlineStr">
        <is>
          <t>Approved case</t>
        </is>
      </c>
      <c r="G161" s="27" t="inlineStr">
        <is>
          <t>Bonded revenue</t>
        </is>
      </c>
      <c r="H161" s="46" t="n">
        <v>1560</v>
      </c>
      <c r="I161" s="27" t="inlineStr"/>
      <c r="J161" s="27" t="inlineStr">
        <is>
          <t>USD thousands</t>
        </is>
      </c>
      <c r="K161" s="27" t="inlineStr">
        <is>
          <t>Finance operating schedule</t>
        </is>
      </c>
      <c r="L161" s="47" t="inlineStr">
        <is>
          <t>2026-06-30</t>
        </is>
      </c>
      <c r="M161" s="27" t="inlineStr"/>
    </row>
    <row r="162">
      <c r="A162" s="36" t="inlineStr">
        <is>
          <t>PLN-01039</t>
        </is>
      </c>
      <c r="B162" s="27" t="inlineStr">
        <is>
          <t>Backlog, pipeline, and capacity conversion</t>
        </is>
      </c>
      <c r="C162" s="27" t="inlineStr">
        <is>
          <t>FY27 delivery portfolio candidates</t>
        </is>
      </c>
      <c r="D162" s="27" t="inlineStr">
        <is>
          <t>Summit Hotel</t>
        </is>
      </c>
      <c r="E162" s="27" t="inlineStr">
        <is>
          <t>FY27</t>
        </is>
      </c>
      <c r="F162" s="27" t="inlineStr">
        <is>
          <t>Approved case</t>
        </is>
      </c>
      <c r="G162" s="27" t="inlineStr">
        <is>
          <t>Mandatory signed award</t>
        </is>
      </c>
      <c r="H162" s="46" t="n">
        <v>0</v>
      </c>
      <c r="I162" s="27" t="inlineStr"/>
      <c r="J162" s="27" t="inlineStr">
        <is>
          <t>boolean</t>
        </is>
      </c>
      <c r="K162" s="27" t="inlineStr">
        <is>
          <t>Finance operating schedule</t>
        </is>
      </c>
      <c r="L162" s="47" t="inlineStr">
        <is>
          <t>2026-06-30</t>
        </is>
      </c>
      <c r="M162" s="27" t="inlineStr"/>
    </row>
    <row r="163">
      <c r="A163" s="36" t="inlineStr">
        <is>
          <t>PLN-01040</t>
        </is>
      </c>
      <c r="B163" s="27" t="inlineStr">
        <is>
          <t>Backlog, pipeline, and capacity conversion</t>
        </is>
      </c>
      <c r="C163" s="27" t="inlineStr">
        <is>
          <t>FY27 delivery portfolio constraints</t>
        </is>
      </c>
      <c r="D163" s="27" t="inlineStr">
        <is>
          <t>Construction</t>
        </is>
      </c>
      <c r="E163" s="27" t="inlineStr">
        <is>
          <t>FY27</t>
        </is>
      </c>
      <c r="F163" s="27" t="inlineStr">
        <is>
          <t>Approved case</t>
        </is>
      </c>
      <c r="G163" s="27" t="inlineStr">
        <is>
          <t>Available labor hours</t>
        </is>
      </c>
      <c r="H163" s="46" t="n">
        <v>78000</v>
      </c>
      <c r="I163" s="27" t="inlineStr"/>
      <c r="J163" s="27" t="inlineStr">
        <is>
          <t>hours</t>
        </is>
      </c>
      <c r="K163" s="27" t="inlineStr">
        <is>
          <t>Finance operating schedule</t>
        </is>
      </c>
      <c r="L163" s="47" t="inlineStr">
        <is>
          <t>2026-06-30</t>
        </is>
      </c>
      <c r="M163" s="27" t="inlineStr"/>
    </row>
    <row r="164">
      <c r="A164" s="36" t="inlineStr">
        <is>
          <t>PLN-01041</t>
        </is>
      </c>
      <c r="B164" s="27" t="inlineStr">
        <is>
          <t>Backlog, pipeline, and capacity conversion</t>
        </is>
      </c>
      <c r="C164" s="27" t="inlineStr">
        <is>
          <t>FY27 delivery portfolio constraints</t>
        </is>
      </c>
      <c r="D164" s="27" t="inlineStr">
        <is>
          <t>Construction</t>
        </is>
      </c>
      <c r="E164" s="27" t="inlineStr">
        <is>
          <t>FY27</t>
        </is>
      </c>
      <c r="F164" s="27" t="inlineStr">
        <is>
          <t>Approved case</t>
        </is>
      </c>
      <c r="G164" s="27" t="inlineStr">
        <is>
          <t>Bonded revenue limit</t>
        </is>
      </c>
      <c r="H164" s="46" t="n">
        <v>15750000</v>
      </c>
      <c r="I164" s="27" t="inlineStr"/>
      <c r="J164" s="27" t="inlineStr">
        <is>
          <t>USD</t>
        </is>
      </c>
      <c r="K164" s="27" t="inlineStr">
        <is>
          <t>Finance operating schedule</t>
        </is>
      </c>
      <c r="L164" s="47" t="inlineStr">
        <is>
          <t>2026-06-30</t>
        </is>
      </c>
      <c r="M164" s="27" t="inlineStr"/>
    </row>
    <row r="165">
      <c r="A165" s="36" t="inlineStr">
        <is>
          <t>PLN-01042</t>
        </is>
      </c>
      <c r="B165" s="27" t="inlineStr">
        <is>
          <t>Backlog, pipeline, and capacity conversion</t>
        </is>
      </c>
      <c r="C165" s="27" t="inlineStr">
        <is>
          <t>FY27 delivery portfolio constraints</t>
        </is>
      </c>
      <c r="D165" s="27" t="inlineStr">
        <is>
          <t>Construction</t>
        </is>
      </c>
      <c r="E165" s="27" t="inlineStr">
        <is>
          <t>FY27</t>
        </is>
      </c>
      <c r="F165" s="27" t="inlineStr">
        <is>
          <t>Approved case</t>
        </is>
      </c>
      <c r="G165" s="27" t="inlineStr">
        <is>
          <t>Maximum active projects</t>
        </is>
      </c>
      <c r="H165" s="46" t="n">
        <v>6</v>
      </c>
      <c r="I165" s="27" t="inlineStr"/>
      <c r="J165" s="27" t="inlineStr">
        <is>
          <t>count</t>
        </is>
      </c>
      <c r="K165" s="27" t="inlineStr">
        <is>
          <t>Finance operating schedule</t>
        </is>
      </c>
      <c r="L165" s="47" t="inlineStr">
        <is>
          <t>2026-06-30</t>
        </is>
      </c>
      <c r="M165" s="27" t="inlineStr"/>
    </row>
    <row r="166">
      <c r="A166" s="36" t="inlineStr">
        <is>
          <t>PLN-01052</t>
        </is>
      </c>
      <c r="B166" s="27" t="inlineStr">
        <is>
          <t>Customer profitability and economic profit</t>
        </is>
      </c>
      <c r="C166" s="27" t="inlineStr">
        <is>
          <t>Customer profitability detail</t>
        </is>
      </c>
      <c r="D166" s="27" t="inlineStr">
        <is>
          <t>Cedar Medical</t>
        </is>
      </c>
      <c r="E166" s="27" t="inlineStr">
        <is>
          <t>LTM 2026-06-30</t>
        </is>
      </c>
      <c r="F166" s="27" t="inlineStr">
        <is>
          <t>Approved case</t>
        </is>
      </c>
      <c r="G166" s="27" t="inlineStr">
        <is>
          <t>Revenue</t>
        </is>
      </c>
      <c r="H166" s="46" t="n">
        <v>7850000</v>
      </c>
      <c r="I166" s="27" t="inlineStr"/>
      <c r="J166" s="27" t="inlineStr">
        <is>
          <t>USD</t>
        </is>
      </c>
      <c r="K166" s="27" t="inlineStr">
        <is>
          <t>Finance operating schedule</t>
        </is>
      </c>
      <c r="L166" s="47" t="inlineStr">
        <is>
          <t>2026-06-30</t>
        </is>
      </c>
      <c r="M166" s="27" t="inlineStr"/>
    </row>
    <row r="167">
      <c r="A167" s="36" t="inlineStr">
        <is>
          <t>PLN-01053</t>
        </is>
      </c>
      <c r="B167" s="27" t="inlineStr">
        <is>
          <t>Customer profitability and economic profit</t>
        </is>
      </c>
      <c r="C167" s="27" t="inlineStr">
        <is>
          <t>Customer profitability detail</t>
        </is>
      </c>
      <c r="D167" s="27" t="inlineStr">
        <is>
          <t>Cedar Medical</t>
        </is>
      </c>
      <c r="E167" s="27" t="inlineStr">
        <is>
          <t>LTM 2026-06-30</t>
        </is>
      </c>
      <c r="F167" s="27" t="inlineStr">
        <is>
          <t>Approved case</t>
        </is>
      </c>
      <c r="G167" s="27" t="inlineStr">
        <is>
          <t>Direct labor</t>
        </is>
      </c>
      <c r="H167" s="46" t="n">
        <v>2150000</v>
      </c>
      <c r="I167" s="27" t="inlineStr"/>
      <c r="J167" s="27" t="inlineStr">
        <is>
          <t>USD</t>
        </is>
      </c>
      <c r="K167" s="27" t="inlineStr">
        <is>
          <t>Finance operating schedule</t>
        </is>
      </c>
      <c r="L167" s="47" t="inlineStr">
        <is>
          <t>2026-06-30</t>
        </is>
      </c>
      <c r="M167" s="27" t="inlineStr"/>
    </row>
    <row r="168">
      <c r="A168" s="36" t="inlineStr">
        <is>
          <t>PLN-01054</t>
        </is>
      </c>
      <c r="B168" s="27" t="inlineStr">
        <is>
          <t>Customer profitability and economic profit</t>
        </is>
      </c>
      <c r="C168" s="27" t="inlineStr">
        <is>
          <t>Customer profitability detail</t>
        </is>
      </c>
      <c r="D168" s="27" t="inlineStr">
        <is>
          <t>Cedar Medical</t>
        </is>
      </c>
      <c r="E168" s="27" t="inlineStr">
        <is>
          <t>LTM 2026-06-30</t>
        </is>
      </c>
      <c r="F168" s="27" t="inlineStr">
        <is>
          <t>Approved case</t>
        </is>
      </c>
      <c r="G168" s="27" t="inlineStr">
        <is>
          <t>Material</t>
        </is>
      </c>
      <c r="H168" s="46" t="n">
        <v>2420000</v>
      </c>
      <c r="I168" s="27" t="inlineStr"/>
      <c r="J168" s="27" t="inlineStr">
        <is>
          <t>USD</t>
        </is>
      </c>
      <c r="K168" s="27" t="inlineStr">
        <is>
          <t>Finance operating schedule</t>
        </is>
      </c>
      <c r="L168" s="47" t="inlineStr">
        <is>
          <t>2026-06-30</t>
        </is>
      </c>
      <c r="M168" s="27" t="inlineStr"/>
    </row>
    <row r="169">
      <c r="A169" s="36" t="inlineStr">
        <is>
          <t>PLN-01055</t>
        </is>
      </c>
      <c r="B169" s="27" t="inlineStr">
        <is>
          <t>Customer profitability and economic profit</t>
        </is>
      </c>
      <c r="C169" s="27" t="inlineStr">
        <is>
          <t>Customer profitability detail</t>
        </is>
      </c>
      <c r="D169" s="27" t="inlineStr">
        <is>
          <t>Cedar Medical</t>
        </is>
      </c>
      <c r="E169" s="27" t="inlineStr">
        <is>
          <t>LTM 2026-06-30</t>
        </is>
      </c>
      <c r="F169" s="27" t="inlineStr">
        <is>
          <t>Approved case</t>
        </is>
      </c>
      <c r="G169" s="27" t="inlineStr">
        <is>
          <t>Subcontract</t>
        </is>
      </c>
      <c r="H169" s="46" t="n">
        <v>980</v>
      </c>
      <c r="I169" s="27" t="inlineStr"/>
      <c r="J169" s="27" t="inlineStr">
        <is>
          <t>USD thousands</t>
        </is>
      </c>
      <c r="K169" s="27" t="inlineStr">
        <is>
          <t>Finance operating schedule</t>
        </is>
      </c>
      <c r="L169" s="47" t="inlineStr">
        <is>
          <t>2026-06-30</t>
        </is>
      </c>
      <c r="M169" s="27" t="inlineStr"/>
    </row>
    <row r="170">
      <c r="A170" s="36" t="inlineStr">
        <is>
          <t>PLN-01056</t>
        </is>
      </c>
      <c r="B170" s="27" t="inlineStr">
        <is>
          <t>Customer profitability and economic profit</t>
        </is>
      </c>
      <c r="C170" s="27" t="inlineStr">
        <is>
          <t>Customer profitability detail</t>
        </is>
      </c>
      <c r="D170" s="27" t="inlineStr">
        <is>
          <t>Cedar Medical</t>
        </is>
      </c>
      <c r="E170" s="27" t="inlineStr">
        <is>
          <t>LTM 2026-06-30</t>
        </is>
      </c>
      <c r="F170" s="27" t="inlineStr">
        <is>
          <t>Approved case</t>
        </is>
      </c>
      <c r="G170" s="27" t="inlineStr">
        <is>
          <t>Warranty and callbacks</t>
        </is>
      </c>
      <c r="H170" s="46" t="n">
        <v>310000</v>
      </c>
      <c r="I170" s="27" t="inlineStr"/>
      <c r="J170" s="27" t="inlineStr">
        <is>
          <t>USD</t>
        </is>
      </c>
      <c r="K170" s="27" t="inlineStr">
        <is>
          <t>Finance operating schedule</t>
        </is>
      </c>
      <c r="L170" s="47" t="inlineStr">
        <is>
          <t>2026-06-30</t>
        </is>
      </c>
      <c r="M170" s="27" t="inlineStr"/>
    </row>
    <row r="171">
      <c r="A171" s="36" t="inlineStr">
        <is>
          <t>PLN-01057</t>
        </is>
      </c>
      <c r="B171" s="27" t="inlineStr">
        <is>
          <t>Customer profitability and economic profit</t>
        </is>
      </c>
      <c r="C171" s="27" t="inlineStr">
        <is>
          <t>Customer profitability detail</t>
        </is>
      </c>
      <c r="D171" s="27" t="inlineStr">
        <is>
          <t>Cedar Medical</t>
        </is>
      </c>
      <c r="E171" s="27" t="inlineStr">
        <is>
          <t>LTM 2026-06-30</t>
        </is>
      </c>
      <c r="F171" s="27" t="inlineStr">
        <is>
          <t>Approved case</t>
        </is>
      </c>
      <c r="G171" s="27" t="inlineStr">
        <is>
          <t>DSO</t>
        </is>
      </c>
      <c r="H171" s="46" t="n">
        <v>58</v>
      </c>
      <c r="I171" s="27" t="inlineStr"/>
      <c r="J171" s="27" t="inlineStr">
        <is>
          <t>days</t>
        </is>
      </c>
      <c r="K171" s="27" t="inlineStr">
        <is>
          <t>Finance operating schedule</t>
        </is>
      </c>
      <c r="L171" s="47" t="inlineStr">
        <is>
          <t>2026-06-30</t>
        </is>
      </c>
      <c r="M171" s="27" t="inlineStr"/>
    </row>
    <row r="172">
      <c r="A172" s="36" t="inlineStr">
        <is>
          <t>PLN-01058</t>
        </is>
      </c>
      <c r="B172" s="27" t="inlineStr">
        <is>
          <t>Customer profitability and economic profit</t>
        </is>
      </c>
      <c r="C172" s="27" t="inlineStr">
        <is>
          <t>Customer profitability detail</t>
        </is>
      </c>
      <c r="D172" s="27" t="inlineStr">
        <is>
          <t>Cedar Medical</t>
        </is>
      </c>
      <c r="E172" s="27" t="inlineStr">
        <is>
          <t>LTM 2026-06-30</t>
        </is>
      </c>
      <c r="F172" s="27" t="inlineStr">
        <is>
          <t>Approved case</t>
        </is>
      </c>
      <c r="G172" s="27" t="inlineStr">
        <is>
          <t>Average invested capital</t>
        </is>
      </c>
      <c r="H172" s="46" t="n">
        <v>3400000</v>
      </c>
      <c r="I172" s="27" t="inlineStr"/>
      <c r="J172" s="27" t="inlineStr">
        <is>
          <t>USD</t>
        </is>
      </c>
      <c r="K172" s="27" t="inlineStr">
        <is>
          <t>Finance operating schedule</t>
        </is>
      </c>
      <c r="L172" s="47" t="inlineStr">
        <is>
          <t>2026-06-30</t>
        </is>
      </c>
      <c r="M172" s="27" t="inlineStr"/>
    </row>
    <row r="173">
      <c r="A173" s="36" t="inlineStr">
        <is>
          <t>PLN-01059</t>
        </is>
      </c>
      <c r="B173" s="27" t="inlineStr">
        <is>
          <t>Customer profitability and economic profit</t>
        </is>
      </c>
      <c r="C173" s="27" t="inlineStr">
        <is>
          <t>Customer profitability detail</t>
        </is>
      </c>
      <c r="D173" s="27" t="inlineStr">
        <is>
          <t>Helix Data Center</t>
        </is>
      </c>
      <c r="E173" s="27" t="inlineStr">
        <is>
          <t>LTM 2026-06-30</t>
        </is>
      </c>
      <c r="F173" s="27" t="inlineStr">
        <is>
          <t>Approved case</t>
        </is>
      </c>
      <c r="G173" s="27" t="inlineStr">
        <is>
          <t>Revenue</t>
        </is>
      </c>
      <c r="H173" s="46" t="n">
        <v>9200</v>
      </c>
      <c r="I173" s="27" t="inlineStr"/>
      <c r="J173" s="27" t="inlineStr">
        <is>
          <t>USD thousands</t>
        </is>
      </c>
      <c r="K173" s="27" t="inlineStr">
        <is>
          <t>Finance operating schedule</t>
        </is>
      </c>
      <c r="L173" s="47" t="inlineStr">
        <is>
          <t>2026-06-30</t>
        </is>
      </c>
      <c r="M173" s="27" t="inlineStr"/>
    </row>
    <row r="174">
      <c r="A174" s="36" t="inlineStr">
        <is>
          <t>PLN-01060</t>
        </is>
      </c>
      <c r="B174" s="27" t="inlineStr">
        <is>
          <t>Customer profitability and economic profit</t>
        </is>
      </c>
      <c r="C174" s="27" t="inlineStr">
        <is>
          <t>Customer profitability detail</t>
        </is>
      </c>
      <c r="D174" s="27" t="inlineStr">
        <is>
          <t>Helix Data Center</t>
        </is>
      </c>
      <c r="E174" s="27" t="inlineStr">
        <is>
          <t>LTM 2026-06-30</t>
        </is>
      </c>
      <c r="F174" s="27" t="inlineStr">
        <is>
          <t>Approved case</t>
        </is>
      </c>
      <c r="G174" s="27" t="inlineStr">
        <is>
          <t>Direct labor</t>
        </is>
      </c>
      <c r="H174" s="46" t="n">
        <v>2980000</v>
      </c>
      <c r="I174" s="27" t="inlineStr"/>
      <c r="J174" s="27" t="inlineStr">
        <is>
          <t>USD</t>
        </is>
      </c>
      <c r="K174" s="27" t="inlineStr">
        <is>
          <t>Finance operating schedule</t>
        </is>
      </c>
      <c r="L174" s="47" t="inlineStr">
        <is>
          <t>2026-06-30</t>
        </is>
      </c>
      <c r="M174" s="27" t="inlineStr"/>
    </row>
    <row r="175">
      <c r="A175" s="36" t="inlineStr">
        <is>
          <t>PLN-01061</t>
        </is>
      </c>
      <c r="B175" s="27" t="inlineStr">
        <is>
          <t>Customer profitability and economic profit</t>
        </is>
      </c>
      <c r="C175" s="27" t="inlineStr">
        <is>
          <t>Customer profitability detail</t>
        </is>
      </c>
      <c r="D175" s="27" t="inlineStr">
        <is>
          <t>Helix Data Center</t>
        </is>
      </c>
      <c r="E175" s="27" t="inlineStr">
        <is>
          <t>LTM 2026-06-30</t>
        </is>
      </c>
      <c r="F175" s="27" t="inlineStr">
        <is>
          <t>Approved case</t>
        </is>
      </c>
      <c r="G175" s="27" t="inlineStr">
        <is>
          <t>Material</t>
        </is>
      </c>
      <c r="H175" s="46" t="n">
        <v>2640000</v>
      </c>
      <c r="I175" s="27" t="inlineStr"/>
      <c r="J175" s="27" t="inlineStr">
        <is>
          <t>USD</t>
        </is>
      </c>
      <c r="K175" s="27" t="inlineStr">
        <is>
          <t>Finance operating schedule</t>
        </is>
      </c>
      <c r="L175" s="47" t="inlineStr">
        <is>
          <t>2026-06-30</t>
        </is>
      </c>
      <c r="M175" s="27" t="inlineStr"/>
    </row>
    <row r="176">
      <c r="A176" s="36" t="inlineStr">
        <is>
          <t>PLN-01062</t>
        </is>
      </c>
      <c r="B176" s="27" t="inlineStr">
        <is>
          <t>Customer profitability and economic profit</t>
        </is>
      </c>
      <c r="C176" s="27" t="inlineStr">
        <is>
          <t>Customer profitability detail</t>
        </is>
      </c>
      <c r="D176" s="27" t="inlineStr">
        <is>
          <t>Helix Data Center</t>
        </is>
      </c>
      <c r="E176" s="27" t="inlineStr">
        <is>
          <t>LTM 2026-06-30</t>
        </is>
      </c>
      <c r="F176" s="27" t="inlineStr">
        <is>
          <t>Approved case</t>
        </is>
      </c>
      <c r="G176" s="27" t="inlineStr">
        <is>
          <t>Subcontract</t>
        </is>
      </c>
      <c r="H176" s="46" t="n">
        <v>1320000</v>
      </c>
      <c r="I176" s="27" t="inlineStr"/>
      <c r="J176" s="27" t="inlineStr">
        <is>
          <t>USD</t>
        </is>
      </c>
      <c r="K176" s="27" t="inlineStr">
        <is>
          <t>Finance operating schedule</t>
        </is>
      </c>
      <c r="L176" s="47" t="inlineStr">
        <is>
          <t>2026-06-30</t>
        </is>
      </c>
      <c r="M176" s="27" t="inlineStr"/>
    </row>
    <row r="177">
      <c r="A177" s="36" t="inlineStr">
        <is>
          <t>PLN-01063</t>
        </is>
      </c>
      <c r="B177" s="27" t="inlineStr">
        <is>
          <t>Customer profitability and economic profit</t>
        </is>
      </c>
      <c r="C177" s="27" t="inlineStr">
        <is>
          <t>Customer profitability detail</t>
        </is>
      </c>
      <c r="D177" s="27" t="inlineStr">
        <is>
          <t>Helix Data Center</t>
        </is>
      </c>
      <c r="E177" s="27" t="inlineStr">
        <is>
          <t>LTM 2026-06-30</t>
        </is>
      </c>
      <c r="F177" s="27" t="inlineStr">
        <is>
          <t>Approved case</t>
        </is>
      </c>
      <c r="G177" s="27" t="inlineStr">
        <is>
          <t>Warranty and callbacks</t>
        </is>
      </c>
      <c r="H177" s="46" t="n">
        <v>690</v>
      </c>
      <c r="I177" s="27" t="inlineStr"/>
      <c r="J177" s="27" t="inlineStr">
        <is>
          <t>USD thousands</t>
        </is>
      </c>
      <c r="K177" s="27" t="inlineStr">
        <is>
          <t>Finance operating schedule</t>
        </is>
      </c>
      <c r="L177" s="47" t="inlineStr">
        <is>
          <t>2026-06-30</t>
        </is>
      </c>
      <c r="M177" s="27" t="inlineStr"/>
    </row>
    <row r="178">
      <c r="A178" s="36" t="inlineStr">
        <is>
          <t>PLN-01064</t>
        </is>
      </c>
      <c r="B178" s="27" t="inlineStr">
        <is>
          <t>Customer profitability and economic profit</t>
        </is>
      </c>
      <c r="C178" s="27" t="inlineStr">
        <is>
          <t>Customer profitability detail</t>
        </is>
      </c>
      <c r="D178" s="27" t="inlineStr">
        <is>
          <t>Helix Data Center</t>
        </is>
      </c>
      <c r="E178" s="27" t="inlineStr">
        <is>
          <t>LTM 2026-06-30</t>
        </is>
      </c>
      <c r="F178" s="27" t="inlineStr">
        <is>
          <t>Approved case</t>
        </is>
      </c>
      <c r="G178" s="27" t="inlineStr">
        <is>
          <t>DSO</t>
        </is>
      </c>
      <c r="H178" s="46" t="n">
        <v>82</v>
      </c>
      <c r="I178" s="27" t="inlineStr"/>
      <c r="J178" s="27" t="inlineStr">
        <is>
          <t>days</t>
        </is>
      </c>
      <c r="K178" s="27" t="inlineStr">
        <is>
          <t>Finance operating schedule</t>
        </is>
      </c>
      <c r="L178" s="47" t="inlineStr">
        <is>
          <t>2026-06-30</t>
        </is>
      </c>
      <c r="M178" s="27" t="inlineStr"/>
    </row>
    <row r="179">
      <c r="A179" s="36" t="inlineStr">
        <is>
          <t>PLN-01065</t>
        </is>
      </c>
      <c r="B179" s="27" t="inlineStr">
        <is>
          <t>Customer profitability and economic profit</t>
        </is>
      </c>
      <c r="C179" s="27" t="inlineStr">
        <is>
          <t>Customer profitability detail</t>
        </is>
      </c>
      <c r="D179" s="27" t="inlineStr">
        <is>
          <t>Helix Data Center</t>
        </is>
      </c>
      <c r="E179" s="27" t="inlineStr">
        <is>
          <t>LTM 2026-06-30</t>
        </is>
      </c>
      <c r="F179" s="27" t="inlineStr">
        <is>
          <t>Approved case</t>
        </is>
      </c>
      <c r="G179" s="27" t="inlineStr">
        <is>
          <t>Average invested capital</t>
        </is>
      </c>
      <c r="H179" s="46" t="n">
        <v>5200000</v>
      </c>
      <c r="I179" s="27" t="inlineStr"/>
      <c r="J179" s="27" t="inlineStr">
        <is>
          <t>USD</t>
        </is>
      </c>
      <c r="K179" s="27" t="inlineStr">
        <is>
          <t>Finance operating schedule</t>
        </is>
      </c>
      <c r="L179" s="47" t="inlineStr">
        <is>
          <t>2026-06-30</t>
        </is>
      </c>
      <c r="M179" s="27" t="inlineStr"/>
    </row>
    <row r="180">
      <c r="A180" s="36" t="inlineStr">
        <is>
          <t>PLN-01066</t>
        </is>
      </c>
      <c r="B180" s="27" t="inlineStr">
        <is>
          <t>Customer profitability and economic profit</t>
        </is>
      </c>
      <c r="C180" s="27" t="inlineStr">
        <is>
          <t>Customer profitability detail</t>
        </is>
      </c>
      <c r="D180" s="27" t="inlineStr">
        <is>
          <t>Juniper Offices</t>
        </is>
      </c>
      <c r="E180" s="27" t="inlineStr">
        <is>
          <t>LTM 2026-06-30</t>
        </is>
      </c>
      <c r="F180" s="27" t="inlineStr">
        <is>
          <t>Approved case</t>
        </is>
      </c>
      <c r="G180" s="27" t="inlineStr">
        <is>
          <t>Revenue</t>
        </is>
      </c>
      <c r="H180" s="46" t="n">
        <v>5650000</v>
      </c>
      <c r="I180" s="27" t="inlineStr"/>
      <c r="J180" s="27" t="inlineStr">
        <is>
          <t>USD</t>
        </is>
      </c>
      <c r="K180" s="27" t="inlineStr">
        <is>
          <t>Finance operating schedule</t>
        </is>
      </c>
      <c r="L180" s="47" t="inlineStr">
        <is>
          <t>2026-06-30</t>
        </is>
      </c>
      <c r="M180" s="27" t="inlineStr"/>
    </row>
    <row r="181">
      <c r="A181" s="36" t="inlineStr">
        <is>
          <t>PLN-01067</t>
        </is>
      </c>
      <c r="B181" s="27" t="inlineStr">
        <is>
          <t>Customer profitability and economic profit</t>
        </is>
      </c>
      <c r="C181" s="27" t="inlineStr">
        <is>
          <t>Customer profitability detail</t>
        </is>
      </c>
      <c r="D181" s="27" t="inlineStr">
        <is>
          <t>Juniper Offices</t>
        </is>
      </c>
      <c r="E181" s="27" t="inlineStr">
        <is>
          <t>LTM 2026-06-30</t>
        </is>
      </c>
      <c r="F181" s="27" t="inlineStr">
        <is>
          <t>Approved case</t>
        </is>
      </c>
      <c r="G181" s="27" t="inlineStr">
        <is>
          <t>Direct labor</t>
        </is>
      </c>
      <c r="H181" s="46" t="n">
        <v>1440</v>
      </c>
      <c r="I181" s="27" t="inlineStr"/>
      <c r="J181" s="27" t="inlineStr">
        <is>
          <t>USD thousands</t>
        </is>
      </c>
      <c r="K181" s="27" t="inlineStr">
        <is>
          <t>Finance operating schedule</t>
        </is>
      </c>
      <c r="L181" s="47" t="inlineStr">
        <is>
          <t>2026-06-30</t>
        </is>
      </c>
      <c r="M181" s="27" t="inlineStr"/>
    </row>
    <row r="182">
      <c r="A182" s="36" t="inlineStr">
        <is>
          <t>PLN-01068</t>
        </is>
      </c>
      <c r="B182" s="27" t="inlineStr">
        <is>
          <t>Customer profitability and economic profit</t>
        </is>
      </c>
      <c r="C182" s="27" t="inlineStr">
        <is>
          <t>Customer profitability detail</t>
        </is>
      </c>
      <c r="D182" s="27" t="inlineStr">
        <is>
          <t>Juniper Offices</t>
        </is>
      </c>
      <c r="E182" s="27" t="inlineStr">
        <is>
          <t>LTM 2026-06-30</t>
        </is>
      </c>
      <c r="F182" s="27" t="inlineStr">
        <is>
          <t>Approved case</t>
        </is>
      </c>
      <c r="G182" s="27" t="inlineStr">
        <is>
          <t>Material</t>
        </is>
      </c>
      <c r="H182" s="46" t="n">
        <v>1790000</v>
      </c>
      <c r="I182" s="27" t="inlineStr"/>
      <c r="J182" s="27" t="inlineStr">
        <is>
          <t>USD</t>
        </is>
      </c>
      <c r="K182" s="27" t="inlineStr">
        <is>
          <t>Finance operating schedule</t>
        </is>
      </c>
      <c r="L182" s="47" t="inlineStr">
        <is>
          <t>2026-06-30</t>
        </is>
      </c>
      <c r="M182" s="27" t="inlineStr"/>
    </row>
    <row r="183">
      <c r="A183" s="36" t="inlineStr">
        <is>
          <t>PLN-01069</t>
        </is>
      </c>
      <c r="B183" s="27" t="inlineStr">
        <is>
          <t>Customer profitability and economic profit</t>
        </is>
      </c>
      <c r="C183" s="27" t="inlineStr">
        <is>
          <t>Customer profitability detail</t>
        </is>
      </c>
      <c r="D183" s="27" t="inlineStr">
        <is>
          <t>Juniper Offices</t>
        </is>
      </c>
      <c r="E183" s="27" t="inlineStr">
        <is>
          <t>LTM 2026-06-30</t>
        </is>
      </c>
      <c r="F183" s="27" t="inlineStr">
        <is>
          <t>Approved case</t>
        </is>
      </c>
      <c r="G183" s="27" t="inlineStr">
        <is>
          <t>Subcontract</t>
        </is>
      </c>
      <c r="H183" s="46" t="n">
        <v>620000</v>
      </c>
      <c r="I183" s="27" t="inlineStr"/>
      <c r="J183" s="27" t="inlineStr">
        <is>
          <t>USD</t>
        </is>
      </c>
      <c r="K183" s="27" t="inlineStr">
        <is>
          <t>Finance operating schedule</t>
        </is>
      </c>
      <c r="L183" s="47" t="inlineStr">
        <is>
          <t>2026-06-30</t>
        </is>
      </c>
      <c r="M183" s="27" t="inlineStr"/>
    </row>
    <row r="184">
      <c r="A184" s="36" t="inlineStr">
        <is>
          <t>PLN-01070</t>
        </is>
      </c>
      <c r="B184" s="27" t="inlineStr">
        <is>
          <t>Customer profitability and economic profit</t>
        </is>
      </c>
      <c r="C184" s="27" t="inlineStr">
        <is>
          <t>Customer profitability detail</t>
        </is>
      </c>
      <c r="D184" s="27" t="inlineStr">
        <is>
          <t>Juniper Offices</t>
        </is>
      </c>
      <c r="E184" s="27" t="inlineStr">
        <is>
          <t>LTM 2026-06-30</t>
        </is>
      </c>
      <c r="F184" s="27" t="inlineStr">
        <is>
          <t>Approved case</t>
        </is>
      </c>
      <c r="G184" s="27" t="inlineStr">
        <is>
          <t>Warranty and callbacks</t>
        </is>
      </c>
      <c r="H184" s="46" t="n">
        <v>190000</v>
      </c>
      <c r="I184" s="27" t="inlineStr"/>
      <c r="J184" s="27" t="inlineStr">
        <is>
          <t>USD</t>
        </is>
      </c>
      <c r="K184" s="27" t="inlineStr">
        <is>
          <t>Finance operating schedule</t>
        </is>
      </c>
      <c r="L184" s="47" t="inlineStr">
        <is>
          <t>2026-06-30</t>
        </is>
      </c>
      <c r="M184" s="27" t="inlineStr"/>
    </row>
    <row r="185">
      <c r="A185" s="36" t="inlineStr">
        <is>
          <t>PLN-01071</t>
        </is>
      </c>
      <c r="B185" s="27" t="inlineStr">
        <is>
          <t>Customer profitability and economic profit</t>
        </is>
      </c>
      <c r="C185" s="27" t="inlineStr">
        <is>
          <t>Customer profitability detail</t>
        </is>
      </c>
      <c r="D185" s="27" t="inlineStr">
        <is>
          <t>Juniper Offices</t>
        </is>
      </c>
      <c r="E185" s="27" t="inlineStr">
        <is>
          <t>LTM 2026-06-30</t>
        </is>
      </c>
      <c r="F185" s="27" t="inlineStr">
        <is>
          <t>Approved case</t>
        </is>
      </c>
      <c r="G185" s="27" t="inlineStr">
        <is>
          <t>DSO</t>
        </is>
      </c>
      <c r="H185" s="46" t="n">
        <v>46</v>
      </c>
      <c r="I185" s="27" t="inlineStr"/>
      <c r="J185" s="27" t="inlineStr">
        <is>
          <t>days</t>
        </is>
      </c>
      <c r="K185" s="27" t="inlineStr">
        <is>
          <t>Finance operating schedule</t>
        </is>
      </c>
      <c r="L185" s="47" t="inlineStr">
        <is>
          <t>2026-06-30</t>
        </is>
      </c>
      <c r="M185" s="27" t="inlineStr"/>
    </row>
    <row r="186">
      <c r="A186" s="36" t="inlineStr">
        <is>
          <t>PLN-01072</t>
        </is>
      </c>
      <c r="B186" s="27" t="inlineStr">
        <is>
          <t>Customer profitability and economic profit</t>
        </is>
      </c>
      <c r="C186" s="27" t="inlineStr">
        <is>
          <t>Customer profitability detail</t>
        </is>
      </c>
      <c r="D186" s="27" t="inlineStr">
        <is>
          <t>Juniper Offices</t>
        </is>
      </c>
      <c r="E186" s="27" t="inlineStr">
        <is>
          <t>LTM 2026-06-30</t>
        </is>
      </c>
      <c r="F186" s="27" t="inlineStr">
        <is>
          <t>Approved case</t>
        </is>
      </c>
      <c r="G186" s="27" t="inlineStr">
        <is>
          <t>Average invested capital</t>
        </is>
      </c>
      <c r="H186" s="46" t="n">
        <v>2150000</v>
      </c>
      <c r="I186" s="27" t="inlineStr"/>
      <c r="J186" s="27" t="inlineStr">
        <is>
          <t>USD</t>
        </is>
      </c>
      <c r="K186" s="27" t="inlineStr">
        <is>
          <t>Finance operating schedule</t>
        </is>
      </c>
      <c r="L186" s="47" t="inlineStr">
        <is>
          <t>2026-06-30</t>
        </is>
      </c>
      <c r="M186" s="27" t="inlineStr"/>
    </row>
    <row r="187">
      <c r="A187" s="36" t="inlineStr">
        <is>
          <t>PLN-01073</t>
        </is>
      </c>
      <c r="B187" s="27" t="inlineStr">
        <is>
          <t>Customer profitability and economic profit</t>
        </is>
      </c>
      <c r="C187" s="27" t="inlineStr">
        <is>
          <t>Customer profitability detail</t>
        </is>
      </c>
      <c r="D187" s="27" t="inlineStr">
        <is>
          <t>Portland Schools</t>
        </is>
      </c>
      <c r="E187" s="27" t="inlineStr">
        <is>
          <t>LTM 2026-06-30</t>
        </is>
      </c>
      <c r="F187" s="27" t="inlineStr">
        <is>
          <t>Approved case</t>
        </is>
      </c>
      <c r="G187" s="27" t="inlineStr">
        <is>
          <t>Revenue</t>
        </is>
      </c>
      <c r="H187" s="46" t="n">
        <v>6900000</v>
      </c>
      <c r="I187" s="27" t="inlineStr"/>
      <c r="J187" s="27" t="inlineStr">
        <is>
          <t>USD</t>
        </is>
      </c>
      <c r="K187" s="27" t="inlineStr">
        <is>
          <t>Finance operating schedule</t>
        </is>
      </c>
      <c r="L187" s="47" t="inlineStr">
        <is>
          <t>2026-06-30</t>
        </is>
      </c>
      <c r="M187" s="27" t="inlineStr"/>
    </row>
    <row r="188">
      <c r="A188" s="36" t="inlineStr">
        <is>
          <t>PLN-01074</t>
        </is>
      </c>
      <c r="B188" s="27" t="inlineStr">
        <is>
          <t>Customer profitability and economic profit</t>
        </is>
      </c>
      <c r="C188" s="27" t="inlineStr">
        <is>
          <t>Customer profitability detail</t>
        </is>
      </c>
      <c r="D188" s="27" t="inlineStr">
        <is>
          <t>Portland Schools</t>
        </is>
      </c>
      <c r="E188" s="27" t="inlineStr">
        <is>
          <t>LTM 2026-06-30</t>
        </is>
      </c>
      <c r="F188" s="27" t="inlineStr">
        <is>
          <t>Approved case</t>
        </is>
      </c>
      <c r="G188" s="27" t="inlineStr">
        <is>
          <t>Direct labor</t>
        </is>
      </c>
      <c r="H188" s="46" t="n">
        <v>2080000</v>
      </c>
      <c r="I188" s="27" t="inlineStr"/>
      <c r="J188" s="27" t="inlineStr">
        <is>
          <t>USD</t>
        </is>
      </c>
      <c r="K188" s="27" t="inlineStr">
        <is>
          <t>Finance operating schedule</t>
        </is>
      </c>
      <c r="L188" s="47" t="inlineStr">
        <is>
          <t>2026-06-30</t>
        </is>
      </c>
      <c r="M188" s="27" t="inlineStr"/>
    </row>
    <row r="189">
      <c r="A189" s="36" t="inlineStr">
        <is>
          <t>PLN-01075</t>
        </is>
      </c>
      <c r="B189" s="27" t="inlineStr">
        <is>
          <t>Customer profitability and economic profit</t>
        </is>
      </c>
      <c r="C189" s="27" t="inlineStr">
        <is>
          <t>Customer profitability detail</t>
        </is>
      </c>
      <c r="D189" s="27" t="inlineStr">
        <is>
          <t>Portland Schools</t>
        </is>
      </c>
      <c r="E189" s="27" t="inlineStr">
        <is>
          <t>LTM 2026-06-30</t>
        </is>
      </c>
      <c r="F189" s="27" t="inlineStr">
        <is>
          <t>Approved case</t>
        </is>
      </c>
      <c r="G189" s="27" t="inlineStr">
        <is>
          <t>Material</t>
        </is>
      </c>
      <c r="H189" s="46" t="n">
        <v>2180</v>
      </c>
      <c r="I189" s="27" t="inlineStr"/>
      <c r="J189" s="27" t="inlineStr">
        <is>
          <t>USD thousands</t>
        </is>
      </c>
      <c r="K189" s="27" t="inlineStr">
        <is>
          <t>Finance operating schedule</t>
        </is>
      </c>
      <c r="L189" s="47" t="inlineStr">
        <is>
          <t>2026-06-30</t>
        </is>
      </c>
      <c r="M189" s="27" t="inlineStr"/>
    </row>
    <row r="190">
      <c r="A190" s="36" t="inlineStr">
        <is>
          <t>PLN-01076</t>
        </is>
      </c>
      <c r="B190" s="27" t="inlineStr">
        <is>
          <t>Customer profitability and economic profit</t>
        </is>
      </c>
      <c r="C190" s="27" t="inlineStr">
        <is>
          <t>Customer profitability detail</t>
        </is>
      </c>
      <c r="D190" s="27" t="inlineStr">
        <is>
          <t>Portland Schools</t>
        </is>
      </c>
      <c r="E190" s="27" t="inlineStr">
        <is>
          <t>LTM 2026-06-30</t>
        </is>
      </c>
      <c r="F190" s="27" t="inlineStr">
        <is>
          <t>Approved case</t>
        </is>
      </c>
      <c r="G190" s="27" t="inlineStr">
        <is>
          <t>Subcontract</t>
        </is>
      </c>
      <c r="H190" s="46" t="n">
        <v>1050000</v>
      </c>
      <c r="I190" s="27" t="inlineStr"/>
      <c r="J190" s="27" t="inlineStr">
        <is>
          <t>USD</t>
        </is>
      </c>
      <c r="K190" s="27" t="inlineStr">
        <is>
          <t>Finance operating schedule</t>
        </is>
      </c>
      <c r="L190" s="47" t="inlineStr">
        <is>
          <t>2026-06-30</t>
        </is>
      </c>
      <c r="M190" s="27" t="inlineStr"/>
    </row>
    <row r="191">
      <c r="A191" s="36" t="inlineStr">
        <is>
          <t>PLN-01077</t>
        </is>
      </c>
      <c r="B191" s="27" t="inlineStr">
        <is>
          <t>Customer profitability and economic profit</t>
        </is>
      </c>
      <c r="C191" s="27" t="inlineStr">
        <is>
          <t>Customer profitability detail</t>
        </is>
      </c>
      <c r="D191" s="27" t="inlineStr">
        <is>
          <t>Portland Schools</t>
        </is>
      </c>
      <c r="E191" s="27" t="inlineStr">
        <is>
          <t>LTM 2026-06-30</t>
        </is>
      </c>
      <c r="F191" s="27" t="inlineStr">
        <is>
          <t>Approved case</t>
        </is>
      </c>
      <c r="G191" s="27" t="inlineStr">
        <is>
          <t>Warranty and callbacks</t>
        </is>
      </c>
      <c r="H191" s="46" t="n">
        <v>450000</v>
      </c>
      <c r="I191" s="27" t="inlineStr"/>
      <c r="J191" s="27" t="inlineStr">
        <is>
          <t>USD</t>
        </is>
      </c>
      <c r="K191" s="27" t="inlineStr">
        <is>
          <t>Finance operating schedule</t>
        </is>
      </c>
      <c r="L191" s="47" t="inlineStr">
        <is>
          <t>2026-06-30</t>
        </is>
      </c>
      <c r="M191" s="27" t="inlineStr"/>
    </row>
    <row r="192">
      <c r="A192" s="36" t="inlineStr">
        <is>
          <t>PLN-01078</t>
        </is>
      </c>
      <c r="B192" s="27" t="inlineStr">
        <is>
          <t>Customer profitability and economic profit</t>
        </is>
      </c>
      <c r="C192" s="27" t="inlineStr">
        <is>
          <t>Customer profitability detail</t>
        </is>
      </c>
      <c r="D192" s="27" t="inlineStr">
        <is>
          <t>Portland Schools</t>
        </is>
      </c>
      <c r="E192" s="27" t="inlineStr">
        <is>
          <t>LTM 2026-06-30</t>
        </is>
      </c>
      <c r="F192" s="27" t="inlineStr">
        <is>
          <t>Approved case</t>
        </is>
      </c>
      <c r="G192" s="27" t="inlineStr">
        <is>
          <t>DSO</t>
        </is>
      </c>
      <c r="H192" s="46" t="n">
        <v>96</v>
      </c>
      <c r="I192" s="27" t="inlineStr"/>
      <c r="J192" s="27" t="inlineStr">
        <is>
          <t>days</t>
        </is>
      </c>
      <c r="K192" s="27" t="inlineStr">
        <is>
          <t>Finance operating schedule</t>
        </is>
      </c>
      <c r="L192" s="47" t="inlineStr">
        <is>
          <t>2026-06-30</t>
        </is>
      </c>
      <c r="M192" s="27" t="inlineStr"/>
    </row>
    <row r="193">
      <c r="A193" s="36" t="inlineStr">
        <is>
          <t>PLN-01079</t>
        </is>
      </c>
      <c r="B193" s="27" t="inlineStr">
        <is>
          <t>Customer profitability and economic profit</t>
        </is>
      </c>
      <c r="C193" s="27" t="inlineStr">
        <is>
          <t>Customer profitability detail</t>
        </is>
      </c>
      <c r="D193" s="27" t="inlineStr">
        <is>
          <t>Portland Schools</t>
        </is>
      </c>
      <c r="E193" s="27" t="inlineStr">
        <is>
          <t>LTM 2026-06-30</t>
        </is>
      </c>
      <c r="F193" s="27" t="inlineStr">
        <is>
          <t>Approved case</t>
        </is>
      </c>
      <c r="G193" s="27" t="inlineStr">
        <is>
          <t>Average invested capital</t>
        </is>
      </c>
      <c r="H193" s="46" t="n">
        <v>5200</v>
      </c>
      <c r="I193" s="27" t="inlineStr"/>
      <c r="J193" s="27" t="inlineStr">
        <is>
          <t>USD thousands</t>
        </is>
      </c>
      <c r="K193" s="27" t="inlineStr">
        <is>
          <t>Finance operating schedule</t>
        </is>
      </c>
      <c r="L193" s="47" t="inlineStr">
        <is>
          <t>2026-06-30</t>
        </is>
      </c>
      <c r="M193" s="27" t="inlineStr"/>
    </row>
    <row r="194">
      <c r="A194" s="36" t="inlineStr">
        <is>
          <t>PLN-01080</t>
        </is>
      </c>
      <c r="B194" s="27" t="inlineStr">
        <is>
          <t>Customer profitability and economic profit</t>
        </is>
      </c>
      <c r="C194" s="27" t="inlineStr">
        <is>
          <t>Shared cost pools</t>
        </is>
      </c>
      <c r="D194" s="27" t="inlineStr">
        <is>
          <t>Project management</t>
        </is>
      </c>
      <c r="E194" s="27" t="inlineStr">
        <is>
          <t>LTM 2026-06-30</t>
        </is>
      </c>
      <c r="F194" s="27" t="inlineStr">
        <is>
          <t>Approved case</t>
        </is>
      </c>
      <c r="G194" s="27" t="inlineStr">
        <is>
          <t>Pool cost</t>
        </is>
      </c>
      <c r="H194" s="46" t="n">
        <v>1250000</v>
      </c>
      <c r="I194" s="27" t="inlineStr"/>
      <c r="J194" s="27" t="inlineStr">
        <is>
          <t>USD</t>
        </is>
      </c>
      <c r="K194" s="27" t="inlineStr">
        <is>
          <t>Finance operating schedule</t>
        </is>
      </c>
      <c r="L194" s="47" t="inlineStr">
        <is>
          <t>2026-06-30</t>
        </is>
      </c>
      <c r="M194" s="27" t="inlineStr"/>
    </row>
    <row r="195">
      <c r="A195" s="36" t="inlineStr">
        <is>
          <t>PLN-01081</t>
        </is>
      </c>
      <c r="B195" s="27" t="inlineStr">
        <is>
          <t>Customer profitability and economic profit</t>
        </is>
      </c>
      <c r="C195" s="27" t="inlineStr">
        <is>
          <t>Shared cost pools</t>
        </is>
      </c>
      <c r="D195" s="27" t="inlineStr">
        <is>
          <t>Project management</t>
        </is>
      </c>
      <c r="E195" s="27" t="inlineStr">
        <is>
          <t>LTM 2026-06-30</t>
        </is>
      </c>
      <c r="F195" s="27" t="inlineStr">
        <is>
          <t>Approved case</t>
        </is>
      </c>
      <c r="G195" s="27" t="inlineStr">
        <is>
          <t>Allocation driver</t>
        </is>
      </c>
      <c r="H195" s="46" t="inlineStr"/>
      <c r="I195" s="27" t="inlineStr">
        <is>
          <t>Revenue</t>
        </is>
      </c>
      <c r="J195" s="27" t="inlineStr">
        <is>
          <t>classification</t>
        </is>
      </c>
      <c r="K195" s="27" t="inlineStr">
        <is>
          <t>Finance operating schedule</t>
        </is>
      </c>
      <c r="L195" s="47" t="inlineStr">
        <is>
          <t>2026-06-30</t>
        </is>
      </c>
      <c r="M195" s="27" t="inlineStr"/>
    </row>
    <row r="196">
      <c r="A196" s="36" t="inlineStr">
        <is>
          <t>PLN-01082</t>
        </is>
      </c>
      <c r="B196" s="27" t="inlineStr">
        <is>
          <t>Customer profitability and economic profit</t>
        </is>
      </c>
      <c r="C196" s="27" t="inlineStr">
        <is>
          <t>Shared cost pools</t>
        </is>
      </c>
      <c r="D196" s="27" t="inlineStr">
        <is>
          <t>Service dispatch</t>
        </is>
      </c>
      <c r="E196" s="27" t="inlineStr">
        <is>
          <t>LTM 2026-06-30</t>
        </is>
      </c>
      <c r="F196" s="27" t="inlineStr">
        <is>
          <t>Approved case</t>
        </is>
      </c>
      <c r="G196" s="27" t="inlineStr">
        <is>
          <t>Pool cost</t>
        </is>
      </c>
      <c r="H196" s="46" t="n">
        <v>620000</v>
      </c>
      <c r="I196" s="27" t="inlineStr"/>
      <c r="J196" s="27" t="inlineStr">
        <is>
          <t>USD</t>
        </is>
      </c>
      <c r="K196" s="27" t="inlineStr">
        <is>
          <t>Finance operating schedule</t>
        </is>
      </c>
      <c r="L196" s="47" t="inlineStr">
        <is>
          <t>2026-06-30</t>
        </is>
      </c>
      <c r="M196" s="27" t="inlineStr"/>
    </row>
    <row r="197">
      <c r="A197" s="36" t="inlineStr">
        <is>
          <t>PLN-01083</t>
        </is>
      </c>
      <c r="B197" s="27" t="inlineStr">
        <is>
          <t>Customer profitability and economic profit</t>
        </is>
      </c>
      <c r="C197" s="27" t="inlineStr">
        <is>
          <t>Shared cost pools</t>
        </is>
      </c>
      <c r="D197" s="27" t="inlineStr">
        <is>
          <t>Service dispatch</t>
        </is>
      </c>
      <c r="E197" s="27" t="inlineStr">
        <is>
          <t>LTM 2026-06-30</t>
        </is>
      </c>
      <c r="F197" s="27" t="inlineStr">
        <is>
          <t>Approved case</t>
        </is>
      </c>
      <c r="G197" s="27" t="inlineStr">
        <is>
          <t>Allocation driver</t>
        </is>
      </c>
      <c r="H197" s="46" t="inlineStr"/>
      <c r="I197" s="27" t="inlineStr">
        <is>
          <t>Warranty and callbacks</t>
        </is>
      </c>
      <c r="J197" s="27" t="inlineStr">
        <is>
          <t>classification</t>
        </is>
      </c>
      <c r="K197" s="27" t="inlineStr">
        <is>
          <t>Finance operating schedule</t>
        </is>
      </c>
      <c r="L197" s="47" t="inlineStr">
        <is>
          <t>2026-06-30</t>
        </is>
      </c>
      <c r="M197" s="27" t="inlineStr"/>
    </row>
    <row r="198">
      <c r="A198" s="36" t="inlineStr">
        <is>
          <t>PLN-01084</t>
        </is>
      </c>
      <c r="B198" s="27" t="inlineStr">
        <is>
          <t>Customer profitability and economic profit</t>
        </is>
      </c>
      <c r="C198" s="27" t="inlineStr">
        <is>
          <t>Shared cost pools</t>
        </is>
      </c>
      <c r="D198" s="27" t="inlineStr">
        <is>
          <t>Credit administration</t>
        </is>
      </c>
      <c r="E198" s="27" t="inlineStr">
        <is>
          <t>LTM 2026-06-30</t>
        </is>
      </c>
      <c r="F198" s="27" t="inlineStr">
        <is>
          <t>Approved case</t>
        </is>
      </c>
      <c r="G198" s="27" t="inlineStr">
        <is>
          <t>Pool cost</t>
        </is>
      </c>
      <c r="H198" s="46" t="n">
        <v>330000</v>
      </c>
      <c r="I198" s="27" t="inlineStr"/>
      <c r="J198" s="27" t="inlineStr">
        <is>
          <t>USD</t>
        </is>
      </c>
      <c r="K198" s="27" t="inlineStr">
        <is>
          <t>Finance operating schedule</t>
        </is>
      </c>
      <c r="L198" s="47" t="inlineStr">
        <is>
          <t>2026-06-30</t>
        </is>
      </c>
      <c r="M198" s="27" t="inlineStr"/>
    </row>
    <row r="199">
      <c r="A199" s="36" t="inlineStr">
        <is>
          <t>PLN-01085</t>
        </is>
      </c>
      <c r="B199" s="27" t="inlineStr">
        <is>
          <t>Customer profitability and economic profit</t>
        </is>
      </c>
      <c r="C199" s="27" t="inlineStr">
        <is>
          <t>Shared cost pools</t>
        </is>
      </c>
      <c r="D199" s="27" t="inlineStr">
        <is>
          <t>Credit administration</t>
        </is>
      </c>
      <c r="E199" s="27" t="inlineStr">
        <is>
          <t>LTM 2026-06-30</t>
        </is>
      </c>
      <c r="F199" s="27" t="inlineStr">
        <is>
          <t>Approved case</t>
        </is>
      </c>
      <c r="G199" s="27" t="inlineStr">
        <is>
          <t>Allocation driver</t>
        </is>
      </c>
      <c r="H199" s="46" t="inlineStr"/>
      <c r="I199" s="27" t="inlineStr">
        <is>
          <t>DSO</t>
        </is>
      </c>
      <c r="J199" s="27" t="inlineStr">
        <is>
          <t>classification</t>
        </is>
      </c>
      <c r="K199" s="27" t="inlineStr">
        <is>
          <t>Finance operating schedule</t>
        </is>
      </c>
      <c r="L199" s="47" t="inlineStr">
        <is>
          <t>2026-06-30</t>
        </is>
      </c>
      <c r="M199" s="27" t="inlineStr"/>
    </row>
    <row r="200">
      <c r="A200" s="36" t="inlineStr">
        <is>
          <t>PLN-01086</t>
        </is>
      </c>
      <c r="B200" s="27" t="inlineStr">
        <is>
          <t>Customer profitability and economic profit</t>
        </is>
      </c>
      <c r="C200" s="27" t="inlineStr">
        <is>
          <t>Economic profit policy</t>
        </is>
      </c>
      <c r="D200" s="27" t="inlineStr">
        <is>
          <t>Alder Ridge</t>
        </is>
      </c>
      <c r="E200" s="27" t="inlineStr">
        <is>
          <t>LTM 2026-06-30</t>
        </is>
      </c>
      <c r="F200" s="27" t="inlineStr">
        <is>
          <t>Approved case</t>
        </is>
      </c>
      <c r="G200" s="27" t="inlineStr">
        <is>
          <t>Capital charge</t>
        </is>
      </c>
      <c r="H200" s="46" t="n">
        <v>0.115</v>
      </c>
      <c r="I200" s="27" t="inlineStr"/>
      <c r="J200" s="27" t="inlineStr">
        <is>
          <t>decimal ratio</t>
        </is>
      </c>
      <c r="K200" s="27" t="inlineStr">
        <is>
          <t>Finance operating schedule</t>
        </is>
      </c>
      <c r="L200" s="47" t="inlineStr">
        <is>
          <t>2026-06-30</t>
        </is>
      </c>
      <c r="M200" s="27" t="inlineStr"/>
    </row>
    <row r="201">
      <c r="A201" s="36" t="inlineStr">
        <is>
          <t>PLN-01101</t>
        </is>
      </c>
      <c r="B201" s="27" t="inlineStr">
        <is>
          <t>Customer profitability and economic profit</t>
        </is>
      </c>
      <c r="C201" s="27" t="inlineStr">
        <is>
          <t>Customer renewal decision</t>
        </is>
      </c>
      <c r="D201" s="27" t="inlineStr">
        <is>
          <t>Cedar Medical</t>
        </is>
      </c>
      <c r="E201" s="27" t="inlineStr">
        <is>
          <t>FY27</t>
        </is>
      </c>
      <c r="F201" s="27" t="inlineStr">
        <is>
          <t>Approved case</t>
        </is>
      </c>
      <c r="G201" s="27" t="inlineStr">
        <is>
          <t>Renewal probability</t>
        </is>
      </c>
      <c r="H201" s="46" t="n">
        <v>0.91</v>
      </c>
      <c r="I201" s="27" t="inlineStr"/>
      <c r="J201" s="27" t="inlineStr">
        <is>
          <t>decimal ratio</t>
        </is>
      </c>
      <c r="K201" s="27" t="inlineStr">
        <is>
          <t>Finance operating schedule</t>
        </is>
      </c>
      <c r="L201" s="47" t="inlineStr">
        <is>
          <t>2026-06-30</t>
        </is>
      </c>
      <c r="M201" s="27" t="inlineStr"/>
    </row>
    <row r="202">
      <c r="A202" s="36" t="inlineStr">
        <is>
          <t>PLN-01102</t>
        </is>
      </c>
      <c r="B202" s="27" t="inlineStr">
        <is>
          <t>Customer profitability and economic profit</t>
        </is>
      </c>
      <c r="C202" s="27" t="inlineStr">
        <is>
          <t>Customer renewal decision</t>
        </is>
      </c>
      <c r="D202" s="27" t="inlineStr">
        <is>
          <t>Cedar Medical</t>
        </is>
      </c>
      <c r="E202" s="27" t="inlineStr">
        <is>
          <t>FY27</t>
        </is>
      </c>
      <c r="F202" s="27" t="inlineStr">
        <is>
          <t>Approved case</t>
        </is>
      </c>
      <c r="G202" s="27" t="inlineStr">
        <is>
          <t>Proposed price increase</t>
        </is>
      </c>
      <c r="H202" s="46" t="n">
        <v>0.035</v>
      </c>
      <c r="I202" s="27" t="inlineStr"/>
      <c r="J202" s="27" t="inlineStr">
        <is>
          <t>decimal ratio</t>
        </is>
      </c>
      <c r="K202" s="27" t="inlineStr">
        <is>
          <t>Finance operating schedule</t>
        </is>
      </c>
      <c r="L202" s="47" t="inlineStr">
        <is>
          <t>2026-06-30</t>
        </is>
      </c>
      <c r="M202" s="27" t="inlineStr"/>
    </row>
    <row r="203">
      <c r="A203" s="36" t="inlineStr">
        <is>
          <t>PLN-01103</t>
        </is>
      </c>
      <c r="B203" s="27" t="inlineStr">
        <is>
          <t>Customer profitability and economic profit</t>
        </is>
      </c>
      <c r="C203" s="27" t="inlineStr">
        <is>
          <t>Customer renewal decision</t>
        </is>
      </c>
      <c r="D203" s="27" t="inlineStr">
        <is>
          <t>Cedar Medical</t>
        </is>
      </c>
      <c r="E203" s="27" t="inlineStr">
        <is>
          <t>FY27</t>
        </is>
      </c>
      <c r="F203" s="27" t="inlineStr">
        <is>
          <t>Approved case</t>
        </is>
      </c>
      <c r="G203" s="27" t="inlineStr">
        <is>
          <t>Volume elasticity</t>
        </is>
      </c>
      <c r="H203" s="46" t="n">
        <v>0.18</v>
      </c>
      <c r="I203" s="27" t="inlineStr"/>
      <c r="J203" s="27" t="inlineStr">
        <is>
          <t>decimal ratio</t>
        </is>
      </c>
      <c r="K203" s="27" t="inlineStr">
        <is>
          <t>Finance operating schedule</t>
        </is>
      </c>
      <c r="L203" s="47" t="inlineStr">
        <is>
          <t>2026-06-30</t>
        </is>
      </c>
      <c r="M203" s="27" t="inlineStr"/>
    </row>
    <row r="204">
      <c r="A204" s="36" t="inlineStr">
        <is>
          <t>PLN-01104</t>
        </is>
      </c>
      <c r="B204" s="27" t="inlineStr">
        <is>
          <t>Customer profitability and economic profit</t>
        </is>
      </c>
      <c r="C204" s="27" t="inlineStr">
        <is>
          <t>Customer renewal decision</t>
        </is>
      </c>
      <c r="D204" s="27" t="inlineStr">
        <is>
          <t>Cedar Medical</t>
        </is>
      </c>
      <c r="E204" s="27" t="inlineStr">
        <is>
          <t>FY27</t>
        </is>
      </c>
      <c r="F204" s="27" t="inlineStr">
        <is>
          <t>Approved case</t>
        </is>
      </c>
      <c r="G204" s="27" t="inlineStr">
        <is>
          <t>Expected credit loss percent</t>
        </is>
      </c>
      <c r="H204" s="46" t="n">
        <v>0.006</v>
      </c>
      <c r="I204" s="27" t="inlineStr"/>
      <c r="J204" s="27" t="inlineStr">
        <is>
          <t>decimal ratio</t>
        </is>
      </c>
      <c r="K204" s="27" t="inlineStr">
        <is>
          <t>Finance operating schedule</t>
        </is>
      </c>
      <c r="L204" s="47" t="inlineStr">
        <is>
          <t>2026-06-30</t>
        </is>
      </c>
      <c r="M204" s="27" t="inlineStr"/>
    </row>
    <row r="205">
      <c r="A205" s="36" t="inlineStr">
        <is>
          <t>PLN-01105</t>
        </is>
      </c>
      <c r="B205" s="27" t="inlineStr">
        <is>
          <t>Customer profitability and economic profit</t>
        </is>
      </c>
      <c r="C205" s="27" t="inlineStr">
        <is>
          <t>Customer renewal decision</t>
        </is>
      </c>
      <c r="D205" s="27" t="inlineStr">
        <is>
          <t>Cedar Medical</t>
        </is>
      </c>
      <c r="E205" s="27" t="inlineStr">
        <is>
          <t>FY27</t>
        </is>
      </c>
      <c r="F205" s="27" t="inlineStr">
        <is>
          <t>Approved case</t>
        </is>
      </c>
      <c r="G205" s="27" t="inlineStr">
        <is>
          <t>Retention investment</t>
        </is>
      </c>
      <c r="H205" s="46" t="n">
        <v>85000</v>
      </c>
      <c r="I205" s="27" t="inlineStr"/>
      <c r="J205" s="27" t="inlineStr">
        <is>
          <t>USD</t>
        </is>
      </c>
      <c r="K205" s="27" t="inlineStr">
        <is>
          <t>Finance operating schedule</t>
        </is>
      </c>
      <c r="L205" s="47" t="inlineStr">
        <is>
          <t>2026-06-30</t>
        </is>
      </c>
      <c r="M205" s="27" t="inlineStr"/>
    </row>
    <row r="206">
      <c r="A206" s="36" t="inlineStr">
        <is>
          <t>PLN-01106</t>
        </is>
      </c>
      <c r="B206" s="27" t="inlineStr">
        <is>
          <t>Customer profitability and economic profit</t>
        </is>
      </c>
      <c r="C206" s="27" t="inlineStr">
        <is>
          <t>Customer renewal decision</t>
        </is>
      </c>
      <c r="D206" s="27" t="inlineStr">
        <is>
          <t>Cedar Medical</t>
        </is>
      </c>
      <c r="E206" s="27" t="inlineStr">
        <is>
          <t>FY27</t>
        </is>
      </c>
      <c r="F206" s="27" t="inlineStr">
        <is>
          <t>Approved case</t>
        </is>
      </c>
      <c r="G206" s="27" t="inlineStr">
        <is>
          <t>Capital released on exit</t>
        </is>
      </c>
      <c r="H206" s="46" t="n">
        <v>420000</v>
      </c>
      <c r="I206" s="27" t="inlineStr"/>
      <c r="J206" s="27" t="inlineStr">
        <is>
          <t>USD</t>
        </is>
      </c>
      <c r="K206" s="27" t="inlineStr">
        <is>
          <t>Finance operating schedule</t>
        </is>
      </c>
      <c r="L206" s="47" t="inlineStr">
        <is>
          <t>2026-06-30</t>
        </is>
      </c>
      <c r="M206" s="27" t="inlineStr"/>
    </row>
    <row r="207">
      <c r="A207" s="36" t="inlineStr">
        <is>
          <t>PLN-01107</t>
        </is>
      </c>
      <c r="B207" s="27" t="inlineStr">
        <is>
          <t>Customer profitability and economic profit</t>
        </is>
      </c>
      <c r="C207" s="27" t="inlineStr">
        <is>
          <t>Customer renewal decision</t>
        </is>
      </c>
      <c r="D207" s="27" t="inlineStr">
        <is>
          <t>Helix Data Center</t>
        </is>
      </c>
      <c r="E207" s="27" t="inlineStr">
        <is>
          <t>FY27</t>
        </is>
      </c>
      <c r="F207" s="27" t="inlineStr">
        <is>
          <t>Approved case</t>
        </is>
      </c>
      <c r="G207" s="27" t="inlineStr">
        <is>
          <t>Renewal probability</t>
        </is>
      </c>
      <c r="H207" s="46" t="n">
        <v>0.76</v>
      </c>
      <c r="I207" s="27" t="inlineStr"/>
      <c r="J207" s="27" t="inlineStr">
        <is>
          <t>decimal ratio</t>
        </is>
      </c>
      <c r="K207" s="27" t="inlineStr">
        <is>
          <t>Finance operating schedule</t>
        </is>
      </c>
      <c r="L207" s="47" t="inlineStr">
        <is>
          <t>2026-06-30</t>
        </is>
      </c>
      <c r="M207" s="27" t="inlineStr"/>
    </row>
    <row r="208">
      <c r="A208" s="36" t="inlineStr">
        <is>
          <t>PLN-01108</t>
        </is>
      </c>
      <c r="B208" s="27" t="inlineStr">
        <is>
          <t>Customer profitability and economic profit</t>
        </is>
      </c>
      <c r="C208" s="27" t="inlineStr">
        <is>
          <t>Customer renewal decision</t>
        </is>
      </c>
      <c r="D208" s="27" t="inlineStr">
        <is>
          <t>Helix Data Center</t>
        </is>
      </c>
      <c r="E208" s="27" t="inlineStr">
        <is>
          <t>FY27</t>
        </is>
      </c>
      <c r="F208" s="27" t="inlineStr">
        <is>
          <t>Approved case</t>
        </is>
      </c>
      <c r="G208" s="27" t="inlineStr">
        <is>
          <t>Proposed price increase</t>
        </is>
      </c>
      <c r="H208" s="46" t="n">
        <v>0.055</v>
      </c>
      <c r="I208" s="27" t="inlineStr"/>
      <c r="J208" s="27" t="inlineStr">
        <is>
          <t>decimal ratio</t>
        </is>
      </c>
      <c r="K208" s="27" t="inlineStr">
        <is>
          <t>Finance operating schedule</t>
        </is>
      </c>
      <c r="L208" s="47" t="inlineStr">
        <is>
          <t>2026-06-30</t>
        </is>
      </c>
      <c r="M208" s="27" t="inlineStr"/>
    </row>
    <row r="209">
      <c r="A209" s="36" t="inlineStr">
        <is>
          <t>PLN-01109</t>
        </is>
      </c>
      <c r="B209" s="27" t="inlineStr">
        <is>
          <t>Customer profitability and economic profit</t>
        </is>
      </c>
      <c r="C209" s="27" t="inlineStr">
        <is>
          <t>Customer renewal decision</t>
        </is>
      </c>
      <c r="D209" s="27" t="inlineStr">
        <is>
          <t>Helix Data Center</t>
        </is>
      </c>
      <c r="E209" s="27" t="inlineStr">
        <is>
          <t>FY27</t>
        </is>
      </c>
      <c r="F209" s="27" t="inlineStr">
        <is>
          <t>Approved case</t>
        </is>
      </c>
      <c r="G209" s="27" t="inlineStr">
        <is>
          <t>Volume elasticity</t>
        </is>
      </c>
      <c r="H209" s="46" t="n">
        <v>0.42</v>
      </c>
      <c r="I209" s="27" t="inlineStr"/>
      <c r="J209" s="27" t="inlineStr">
        <is>
          <t>decimal ratio</t>
        </is>
      </c>
      <c r="K209" s="27" t="inlineStr">
        <is>
          <t>Finance operating schedule</t>
        </is>
      </c>
      <c r="L209" s="47" t="inlineStr">
        <is>
          <t>2026-06-30</t>
        </is>
      </c>
      <c r="M209" s="27" t="inlineStr"/>
    </row>
    <row r="210">
      <c r="A210" s="36" t="inlineStr">
        <is>
          <t>PLN-01110</t>
        </is>
      </c>
      <c r="B210" s="27" t="inlineStr">
        <is>
          <t>Customer profitability and economic profit</t>
        </is>
      </c>
      <c r="C210" s="27" t="inlineStr">
        <is>
          <t>Customer renewal decision</t>
        </is>
      </c>
      <c r="D210" s="27" t="inlineStr">
        <is>
          <t>Helix Data Center</t>
        </is>
      </c>
      <c r="E210" s="27" t="inlineStr">
        <is>
          <t>FY27</t>
        </is>
      </c>
      <c r="F210" s="27" t="inlineStr">
        <is>
          <t>Approved case</t>
        </is>
      </c>
      <c r="G210" s="27" t="inlineStr">
        <is>
          <t>Expected credit loss percent</t>
        </is>
      </c>
      <c r="H210" s="46" t="n">
        <v>0.018</v>
      </c>
      <c r="I210" s="27" t="inlineStr"/>
      <c r="J210" s="27" t="inlineStr">
        <is>
          <t>decimal ratio</t>
        </is>
      </c>
      <c r="K210" s="27" t="inlineStr">
        <is>
          <t>Finance operating schedule</t>
        </is>
      </c>
      <c r="L210" s="47" t="inlineStr">
        <is>
          <t>2026-06-30</t>
        </is>
      </c>
      <c r="M210" s="27" t="inlineStr"/>
    </row>
    <row r="211">
      <c r="A211" s="36" t="inlineStr">
        <is>
          <t>PLN-01111</t>
        </is>
      </c>
      <c r="B211" s="27" t="inlineStr">
        <is>
          <t>Customer profitability and economic profit</t>
        </is>
      </c>
      <c r="C211" s="27" t="inlineStr">
        <is>
          <t>Customer renewal decision</t>
        </is>
      </c>
      <c r="D211" s="27" t="inlineStr">
        <is>
          <t>Helix Data Center</t>
        </is>
      </c>
      <c r="E211" s="27" t="inlineStr">
        <is>
          <t>FY27</t>
        </is>
      </c>
      <c r="F211" s="27" t="inlineStr">
        <is>
          <t>Approved case</t>
        </is>
      </c>
      <c r="G211" s="27" t="inlineStr">
        <is>
          <t>Retention investment</t>
        </is>
      </c>
      <c r="H211" s="46" t="n">
        <v>210000</v>
      </c>
      <c r="I211" s="27" t="inlineStr"/>
      <c r="J211" s="27" t="inlineStr">
        <is>
          <t>USD</t>
        </is>
      </c>
      <c r="K211" s="27" t="inlineStr">
        <is>
          <t>Finance operating schedule</t>
        </is>
      </c>
      <c r="L211" s="47" t="inlineStr">
        <is>
          <t>2026-06-30</t>
        </is>
      </c>
      <c r="M211" s="27" t="inlineStr"/>
    </row>
    <row r="212">
      <c r="A212" s="36" t="inlineStr">
        <is>
          <t>PLN-01112</t>
        </is>
      </c>
      <c r="B212" s="27" t="inlineStr">
        <is>
          <t>Customer profitability and economic profit</t>
        </is>
      </c>
      <c r="C212" s="27" t="inlineStr">
        <is>
          <t>Customer renewal decision</t>
        </is>
      </c>
      <c r="D212" s="27" t="inlineStr">
        <is>
          <t>Helix Data Center</t>
        </is>
      </c>
      <c r="E212" s="27" t="inlineStr">
        <is>
          <t>FY27</t>
        </is>
      </c>
      <c r="F212" s="27" t="inlineStr">
        <is>
          <t>Approved case</t>
        </is>
      </c>
      <c r="G212" s="27" t="inlineStr">
        <is>
          <t>Capital released on exit</t>
        </is>
      </c>
      <c r="H212" s="46" t="n">
        <v>1050</v>
      </c>
      <c r="I212" s="27" t="inlineStr"/>
      <c r="J212" s="27" t="inlineStr">
        <is>
          <t>USD thousands</t>
        </is>
      </c>
      <c r="K212" s="27" t="inlineStr">
        <is>
          <t>Finance operating schedule</t>
        </is>
      </c>
      <c r="L212" s="47" t="inlineStr">
        <is>
          <t>2026-06-30</t>
        </is>
      </c>
      <c r="M212" s="27" t="inlineStr"/>
    </row>
    <row r="213">
      <c r="A213" s="36" t="inlineStr">
        <is>
          <t>PLN-01113</t>
        </is>
      </c>
      <c r="B213" s="27" t="inlineStr">
        <is>
          <t>Customer profitability and economic profit</t>
        </is>
      </c>
      <c r="C213" s="27" t="inlineStr">
        <is>
          <t>Customer renewal decision</t>
        </is>
      </c>
      <c r="D213" s="27" t="inlineStr">
        <is>
          <t>Juniper Offices</t>
        </is>
      </c>
      <c r="E213" s="27" t="inlineStr">
        <is>
          <t>FY27</t>
        </is>
      </c>
      <c r="F213" s="27" t="inlineStr">
        <is>
          <t>Approved case</t>
        </is>
      </c>
      <c r="G213" s="27" t="inlineStr">
        <is>
          <t>Renewal probability</t>
        </is>
      </c>
      <c r="H213" s="46" t="n">
        <v>0.88</v>
      </c>
      <c r="I213" s="27" t="inlineStr"/>
      <c r="J213" s="27" t="inlineStr">
        <is>
          <t>decimal ratio</t>
        </is>
      </c>
      <c r="K213" s="27" t="inlineStr">
        <is>
          <t>Finance operating schedule</t>
        </is>
      </c>
      <c r="L213" s="47" t="inlineStr">
        <is>
          <t>2026-06-30</t>
        </is>
      </c>
      <c r="M213" s="27" t="inlineStr"/>
    </row>
    <row r="214">
      <c r="A214" s="36" t="inlineStr">
        <is>
          <t>PLN-01114</t>
        </is>
      </c>
      <c r="B214" s="27" t="inlineStr">
        <is>
          <t>Customer profitability and economic profit</t>
        </is>
      </c>
      <c r="C214" s="27" t="inlineStr">
        <is>
          <t>Customer renewal decision</t>
        </is>
      </c>
      <c r="D214" s="27" t="inlineStr">
        <is>
          <t>Juniper Offices</t>
        </is>
      </c>
      <c r="E214" s="27" t="inlineStr">
        <is>
          <t>FY27</t>
        </is>
      </c>
      <c r="F214" s="27" t="inlineStr">
        <is>
          <t>Approved case</t>
        </is>
      </c>
      <c r="G214" s="27" t="inlineStr">
        <is>
          <t>Proposed price increase</t>
        </is>
      </c>
      <c r="H214" s="46" t="n">
        <v>0.045</v>
      </c>
      <c r="I214" s="27" t="inlineStr"/>
      <c r="J214" s="27" t="inlineStr">
        <is>
          <t>decimal ratio</t>
        </is>
      </c>
      <c r="K214" s="27" t="inlineStr">
        <is>
          <t>Finance operating schedule</t>
        </is>
      </c>
      <c r="L214" s="47" t="inlineStr">
        <is>
          <t>2026-06-30</t>
        </is>
      </c>
      <c r="M214" s="27" t="inlineStr"/>
    </row>
    <row r="215">
      <c r="A215" s="36" t="inlineStr">
        <is>
          <t>PLN-01115</t>
        </is>
      </c>
      <c r="B215" s="27" t="inlineStr">
        <is>
          <t>Customer profitability and economic profit</t>
        </is>
      </c>
      <c r="C215" s="27" t="inlineStr">
        <is>
          <t>Customer renewal decision</t>
        </is>
      </c>
      <c r="D215" s="27" t="inlineStr">
        <is>
          <t>Juniper Offices</t>
        </is>
      </c>
      <c r="E215" s="27" t="inlineStr">
        <is>
          <t>FY27</t>
        </is>
      </c>
      <c r="F215" s="27" t="inlineStr">
        <is>
          <t>Approved case</t>
        </is>
      </c>
      <c r="G215" s="27" t="inlineStr">
        <is>
          <t>Volume elasticity</t>
        </is>
      </c>
      <c r="H215" s="46" t="n">
        <v>0.25</v>
      </c>
      <c r="I215" s="27" t="inlineStr"/>
      <c r="J215" s="27" t="inlineStr">
        <is>
          <t>decimal ratio</t>
        </is>
      </c>
      <c r="K215" s="27" t="inlineStr">
        <is>
          <t>Finance operating schedule</t>
        </is>
      </c>
      <c r="L215" s="47" t="inlineStr">
        <is>
          <t>2026-06-30</t>
        </is>
      </c>
      <c r="M215" s="27" t="inlineStr"/>
    </row>
    <row r="216">
      <c r="A216" s="36" t="inlineStr">
        <is>
          <t>PLN-01116</t>
        </is>
      </c>
      <c r="B216" s="27" t="inlineStr">
        <is>
          <t>Customer profitability and economic profit</t>
        </is>
      </c>
      <c r="C216" s="27" t="inlineStr">
        <is>
          <t>Customer renewal decision</t>
        </is>
      </c>
      <c r="D216" s="27" t="inlineStr">
        <is>
          <t>Juniper Offices</t>
        </is>
      </c>
      <c r="E216" s="27" t="inlineStr">
        <is>
          <t>FY27</t>
        </is>
      </c>
      <c r="F216" s="27" t="inlineStr">
        <is>
          <t>Approved case</t>
        </is>
      </c>
      <c r="G216" s="27" t="inlineStr">
        <is>
          <t>Expected credit loss percent</t>
        </is>
      </c>
      <c r="H216" s="46" t="n">
        <v>0.008999999999999999</v>
      </c>
      <c r="I216" s="27" t="inlineStr"/>
      <c r="J216" s="27" t="inlineStr">
        <is>
          <t>decimal ratio</t>
        </is>
      </c>
      <c r="K216" s="27" t="inlineStr">
        <is>
          <t>Finance operating schedule</t>
        </is>
      </c>
      <c r="L216" s="47" t="inlineStr">
        <is>
          <t>2026-06-30</t>
        </is>
      </c>
      <c r="M216" s="27" t="inlineStr"/>
    </row>
    <row r="217">
      <c r="A217" s="36" t="inlineStr">
        <is>
          <t>PLN-01117</t>
        </is>
      </c>
      <c r="B217" s="27" t="inlineStr">
        <is>
          <t>Customer profitability and economic profit</t>
        </is>
      </c>
      <c r="C217" s="27" t="inlineStr">
        <is>
          <t>Customer renewal decision</t>
        </is>
      </c>
      <c r="D217" s="27" t="inlineStr">
        <is>
          <t>Juniper Offices</t>
        </is>
      </c>
      <c r="E217" s="27" t="inlineStr">
        <is>
          <t>FY27</t>
        </is>
      </c>
      <c r="F217" s="27" t="inlineStr">
        <is>
          <t>Approved case</t>
        </is>
      </c>
      <c r="G217" s="27" t="inlineStr">
        <is>
          <t>Retention investment</t>
        </is>
      </c>
      <c r="H217" s="46" t="n">
        <v>70000</v>
      </c>
      <c r="I217" s="27" t="inlineStr"/>
      <c r="J217" s="27" t="inlineStr">
        <is>
          <t>USD</t>
        </is>
      </c>
      <c r="K217" s="27" t="inlineStr">
        <is>
          <t>Finance operating schedule</t>
        </is>
      </c>
      <c r="L217" s="47" t="inlineStr">
        <is>
          <t>2026-06-30</t>
        </is>
      </c>
      <c r="M217" s="27" t="inlineStr"/>
    </row>
    <row r="218">
      <c r="A218" s="36" t="inlineStr">
        <is>
          <t>PLN-01118</t>
        </is>
      </c>
      <c r="B218" s="27" t="inlineStr">
        <is>
          <t>Customer profitability and economic profit</t>
        </is>
      </c>
      <c r="C218" s="27" t="inlineStr">
        <is>
          <t>Customer renewal decision</t>
        </is>
      </c>
      <c r="D218" s="27" t="inlineStr">
        <is>
          <t>Juniper Offices</t>
        </is>
      </c>
      <c r="E218" s="27" t="inlineStr">
        <is>
          <t>FY27</t>
        </is>
      </c>
      <c r="F218" s="27" t="inlineStr">
        <is>
          <t>Approved case</t>
        </is>
      </c>
      <c r="G218" s="27" t="inlineStr">
        <is>
          <t>Capital released on exit</t>
        </is>
      </c>
      <c r="H218" s="46" t="n">
        <v>330000</v>
      </c>
      <c r="I218" s="27" t="inlineStr"/>
      <c r="J218" s="27" t="inlineStr">
        <is>
          <t>USD</t>
        </is>
      </c>
      <c r="K218" s="27" t="inlineStr">
        <is>
          <t>Finance operating schedule</t>
        </is>
      </c>
      <c r="L218" s="47" t="inlineStr">
        <is>
          <t>2026-06-30</t>
        </is>
      </c>
      <c r="M218" s="27" t="inlineStr"/>
    </row>
    <row r="219">
      <c r="A219" s="36" t="inlineStr">
        <is>
          <t>PLN-01119</t>
        </is>
      </c>
      <c r="B219" s="27" t="inlineStr">
        <is>
          <t>Customer profitability and economic profit</t>
        </is>
      </c>
      <c r="C219" s="27" t="inlineStr">
        <is>
          <t>Customer renewal decision</t>
        </is>
      </c>
      <c r="D219" s="27" t="inlineStr">
        <is>
          <t>Portland Schools</t>
        </is>
      </c>
      <c r="E219" s="27" t="inlineStr">
        <is>
          <t>FY27</t>
        </is>
      </c>
      <c r="F219" s="27" t="inlineStr">
        <is>
          <t>Approved case</t>
        </is>
      </c>
      <c r="G219" s="27" t="inlineStr">
        <is>
          <t>Renewal probability</t>
        </is>
      </c>
      <c r="H219" s="46" t="n">
        <v>0.9399999999999999</v>
      </c>
      <c r="I219" s="27" t="inlineStr"/>
      <c r="J219" s="27" t="inlineStr">
        <is>
          <t>decimal ratio</t>
        </is>
      </c>
      <c r="K219" s="27" t="inlineStr">
        <is>
          <t>Finance operating schedule</t>
        </is>
      </c>
      <c r="L219" s="47" t="inlineStr">
        <is>
          <t>2026-06-30</t>
        </is>
      </c>
      <c r="M219" s="27" t="inlineStr"/>
    </row>
    <row r="220">
      <c r="A220" s="36" t="inlineStr">
        <is>
          <t>PLN-01120</t>
        </is>
      </c>
      <c r="B220" s="27" t="inlineStr">
        <is>
          <t>Customer profitability and economic profit</t>
        </is>
      </c>
      <c r="C220" s="27" t="inlineStr">
        <is>
          <t>Customer renewal decision</t>
        </is>
      </c>
      <c r="D220" s="27" t="inlineStr">
        <is>
          <t>Portland Schools</t>
        </is>
      </c>
      <c r="E220" s="27" t="inlineStr">
        <is>
          <t>FY27</t>
        </is>
      </c>
      <c r="F220" s="27" t="inlineStr">
        <is>
          <t>Approved case</t>
        </is>
      </c>
      <c r="G220" s="27" t="inlineStr">
        <is>
          <t>Proposed price increase</t>
        </is>
      </c>
      <c r="H220" s="46" t="n">
        <v>0.025</v>
      </c>
      <c r="I220" s="27" t="inlineStr"/>
      <c r="J220" s="27" t="inlineStr">
        <is>
          <t>decimal ratio</t>
        </is>
      </c>
      <c r="K220" s="27" t="inlineStr">
        <is>
          <t>Finance operating schedule</t>
        </is>
      </c>
      <c r="L220" s="47" t="inlineStr">
        <is>
          <t>2026-06-30</t>
        </is>
      </c>
      <c r="M220" s="27" t="inlineStr"/>
    </row>
    <row r="221">
      <c r="A221" s="36" t="inlineStr">
        <is>
          <t>PLN-01121</t>
        </is>
      </c>
      <c r="B221" s="27" t="inlineStr">
        <is>
          <t>Customer profitability and economic profit</t>
        </is>
      </c>
      <c r="C221" s="27" t="inlineStr">
        <is>
          <t>Customer renewal decision</t>
        </is>
      </c>
      <c r="D221" s="27" t="inlineStr">
        <is>
          <t>Portland Schools</t>
        </is>
      </c>
      <c r="E221" s="27" t="inlineStr">
        <is>
          <t>FY27</t>
        </is>
      </c>
      <c r="F221" s="27" t="inlineStr">
        <is>
          <t>Approved case</t>
        </is>
      </c>
      <c r="G221" s="27" t="inlineStr">
        <is>
          <t>Volume elasticity</t>
        </is>
      </c>
      <c r="H221" s="46" t="n">
        <v>0.12</v>
      </c>
      <c r="I221" s="27" t="inlineStr"/>
      <c r="J221" s="27" t="inlineStr">
        <is>
          <t>decimal ratio</t>
        </is>
      </c>
      <c r="K221" s="27" t="inlineStr">
        <is>
          <t>Finance operating schedule</t>
        </is>
      </c>
      <c r="L221" s="47" t="inlineStr">
        <is>
          <t>2026-06-30</t>
        </is>
      </c>
      <c r="M221" s="27" t="inlineStr"/>
    </row>
    <row r="222">
      <c r="A222" s="36" t="inlineStr">
        <is>
          <t>PLN-01122</t>
        </is>
      </c>
      <c r="B222" s="27" t="inlineStr">
        <is>
          <t>Customer profitability and economic profit</t>
        </is>
      </c>
      <c r="C222" s="27" t="inlineStr">
        <is>
          <t>Customer renewal decision</t>
        </is>
      </c>
      <c r="D222" s="27" t="inlineStr">
        <is>
          <t>Portland Schools</t>
        </is>
      </c>
      <c r="E222" s="27" t="inlineStr">
        <is>
          <t>FY27</t>
        </is>
      </c>
      <c r="F222" s="27" t="inlineStr">
        <is>
          <t>Approved case</t>
        </is>
      </c>
      <c r="G222" s="27" t="inlineStr">
        <is>
          <t>Expected credit loss percent</t>
        </is>
      </c>
      <c r="H222" s="46" t="n">
        <v>0.004</v>
      </c>
      <c r="I222" s="27" t="inlineStr"/>
      <c r="J222" s="27" t="inlineStr">
        <is>
          <t>decimal ratio</t>
        </is>
      </c>
      <c r="K222" s="27" t="inlineStr">
        <is>
          <t>Finance operating schedule</t>
        </is>
      </c>
      <c r="L222" s="47" t="inlineStr">
        <is>
          <t>2026-06-30</t>
        </is>
      </c>
      <c r="M222" s="27" t="inlineStr"/>
    </row>
    <row r="223">
      <c r="A223" s="36" t="inlineStr">
        <is>
          <t>PLN-01123</t>
        </is>
      </c>
      <c r="B223" s="27" t="inlineStr">
        <is>
          <t>Customer profitability and economic profit</t>
        </is>
      </c>
      <c r="C223" s="27" t="inlineStr">
        <is>
          <t>Customer renewal decision</t>
        </is>
      </c>
      <c r="D223" s="27" t="inlineStr">
        <is>
          <t>Portland Schools</t>
        </is>
      </c>
      <c r="E223" s="27" t="inlineStr">
        <is>
          <t>FY27</t>
        </is>
      </c>
      <c r="F223" s="27" t="inlineStr">
        <is>
          <t>Approved case</t>
        </is>
      </c>
      <c r="G223" s="27" t="inlineStr">
        <is>
          <t>Retention investment</t>
        </is>
      </c>
      <c r="H223" s="46" t="n">
        <v>115000</v>
      </c>
      <c r="I223" s="27" t="inlineStr"/>
      <c r="J223" s="27" t="inlineStr">
        <is>
          <t>USD</t>
        </is>
      </c>
      <c r="K223" s="27" t="inlineStr">
        <is>
          <t>Finance operating schedule</t>
        </is>
      </c>
      <c r="L223" s="47" t="inlineStr">
        <is>
          <t>2026-06-30</t>
        </is>
      </c>
      <c r="M223" s="27" t="inlineStr"/>
    </row>
    <row r="224">
      <c r="A224" s="36" t="inlineStr">
        <is>
          <t>PLN-01124</t>
        </is>
      </c>
      <c r="B224" s="27" t="inlineStr">
        <is>
          <t>Customer profitability and economic profit</t>
        </is>
      </c>
      <c r="C224" s="27" t="inlineStr">
        <is>
          <t>Customer renewal decision</t>
        </is>
      </c>
      <c r="D224" s="27" t="inlineStr">
        <is>
          <t>Portland Schools</t>
        </is>
      </c>
      <c r="E224" s="27" t="inlineStr">
        <is>
          <t>FY27</t>
        </is>
      </c>
      <c r="F224" s="27" t="inlineStr">
        <is>
          <t>Approved case</t>
        </is>
      </c>
      <c r="G224" s="27" t="inlineStr">
        <is>
          <t>Capital released on exit</t>
        </is>
      </c>
      <c r="H224" s="46" t="n">
        <v>760</v>
      </c>
      <c r="I224" s="27" t="inlineStr"/>
      <c r="J224" s="27" t="inlineStr">
        <is>
          <t>USD thousands</t>
        </is>
      </c>
      <c r="K224" s="27" t="inlineStr">
        <is>
          <t>Finance operating schedule</t>
        </is>
      </c>
      <c r="L224" s="47" t="inlineStr">
        <is>
          <t>2026-06-30</t>
        </is>
      </c>
      <c r="M224" s="27" t="inlineStr"/>
    </row>
    <row r="225">
      <c r="A225" s="36" t="inlineStr">
        <is>
          <t>PLN-01125</t>
        </is>
      </c>
      <c r="B225" s="27" t="inlineStr">
        <is>
          <t>Customer profitability and economic profit</t>
        </is>
      </c>
      <c r="C225" s="27" t="inlineStr">
        <is>
          <t>Economic profit policy</t>
        </is>
      </c>
      <c r="D225" s="27" t="inlineStr">
        <is>
          <t>Alder Ridge</t>
        </is>
      </c>
      <c r="E225" s="27" t="inlineStr">
        <is>
          <t>FY27</t>
        </is>
      </c>
      <c r="F225" s="27" t="inlineStr">
        <is>
          <t>Approved case</t>
        </is>
      </c>
      <c r="G225" s="27" t="inlineStr">
        <is>
          <t>Minimum expected economic margin</t>
        </is>
      </c>
      <c r="H225" s="46" t="n">
        <v>0.045</v>
      </c>
      <c r="I225" s="27" t="inlineStr"/>
      <c r="J225" s="27" t="inlineStr">
        <is>
          <t>decimal ratio</t>
        </is>
      </c>
      <c r="K225" s="27" t="inlineStr">
        <is>
          <t>Finance operating schedule</t>
        </is>
      </c>
      <c r="L225" s="47" t="inlineStr">
        <is>
          <t>2026-06-30</t>
        </is>
      </c>
      <c r="M225" s="27" t="inlineStr"/>
    </row>
  </sheetData>
  <autoFilter ref="A4:M225"/>
  <mergeCells count="2">
    <mergeCell ref="A2:M2"/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FY27 operating plan | Working Capital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PLN-00754</t>
        </is>
      </c>
      <c r="B5" s="27" t="inlineStr">
        <is>
          <t>Cash-conversion and working-capital forecast</t>
        </is>
      </c>
      <c r="C5" s="27" t="inlineStr">
        <is>
          <t>Operating plan</t>
        </is>
      </c>
      <c r="D5" s="27" t="inlineStr">
        <is>
          <t>Construction</t>
        </is>
      </c>
      <c r="E5" s="27" t="inlineStr">
        <is>
          <t>LTM 2026-06-30</t>
        </is>
      </c>
      <c r="F5" s="27" t="inlineStr">
        <is>
          <t>Approved case</t>
        </is>
      </c>
      <c r="G5" s="27" t="inlineStr">
        <is>
          <t>Revenue base allocation</t>
        </is>
      </c>
      <c r="H5" s="46" t="n">
        <v>0.58</v>
      </c>
      <c r="I5" s="27" t="inlineStr"/>
      <c r="J5" s="27" t="inlineStr">
        <is>
          <t>ledger allocation factor</t>
        </is>
      </c>
      <c r="K5" s="27" t="inlineStr">
        <is>
          <t>Finance operating schedule</t>
        </is>
      </c>
      <c r="L5" s="47" t="inlineStr">
        <is>
          <t>2026-06-30</t>
        </is>
      </c>
      <c r="M5" s="27" t="inlineStr">
        <is>
          <t>Vista ERP P&amp;L, 2025-07-01 through 2026-06-30; Revenue total</t>
        </is>
      </c>
    </row>
    <row r="6">
      <c r="A6" s="36" t="inlineStr">
        <is>
          <t>PLN-00755</t>
        </is>
      </c>
      <c r="B6" s="27" t="inlineStr">
        <is>
          <t>Cash-conversion and working-capital forecast</t>
        </is>
      </c>
      <c r="C6" s="27" t="inlineStr">
        <is>
          <t>Working-capital drivers</t>
        </is>
      </c>
      <c r="D6" s="27" t="inlineStr">
        <is>
          <t>Construction</t>
        </is>
      </c>
      <c r="E6" s="27" t="inlineStr">
        <is>
          <t>FY27</t>
        </is>
      </c>
      <c r="F6" s="27" t="inlineStr">
        <is>
          <t>Approved case</t>
        </is>
      </c>
      <c r="G6" s="27" t="inlineStr">
        <is>
          <t>FY27 revenue growth</t>
        </is>
      </c>
      <c r="H6" s="46" t="n">
        <v>0.07000000000000001</v>
      </c>
      <c r="I6" s="27" t="inlineStr"/>
      <c r="J6" s="27" t="inlineStr">
        <is>
          <t>decimal ratio</t>
        </is>
      </c>
      <c r="K6" s="27" t="inlineStr">
        <is>
          <t>Finance operating schedule</t>
        </is>
      </c>
      <c r="L6" s="47" t="inlineStr">
        <is>
          <t>2026-06-30</t>
        </is>
      </c>
      <c r="M6" s="27" t="inlineStr"/>
    </row>
    <row r="7">
      <c r="A7" s="36" t="inlineStr">
        <is>
          <t>PLN-00756</t>
        </is>
      </c>
      <c r="B7" s="27" t="inlineStr">
        <is>
          <t>Cash-conversion and working-capital forecast</t>
        </is>
      </c>
      <c r="C7" s="27" t="inlineStr">
        <is>
          <t>Working-capital drivers</t>
        </is>
      </c>
      <c r="D7" s="27" t="inlineStr">
        <is>
          <t>Construction</t>
        </is>
      </c>
      <c r="E7" s="27" t="inlineStr">
        <is>
          <t>FY27</t>
        </is>
      </c>
      <c r="F7" s="27" t="inlineStr">
        <is>
          <t>Approved case</t>
        </is>
      </c>
      <c r="G7" s="27" t="inlineStr">
        <is>
          <t>Cost of revenue rate</t>
        </is>
      </c>
      <c r="H7" s="46" t="n">
        <v>0.76</v>
      </c>
      <c r="I7" s="27" t="inlineStr"/>
      <c r="J7" s="27" t="inlineStr">
        <is>
          <t>decimal ratio</t>
        </is>
      </c>
      <c r="K7" s="27" t="inlineStr">
        <is>
          <t>Finance operating schedule</t>
        </is>
      </c>
      <c r="L7" s="47" t="inlineStr">
        <is>
          <t>2026-06-30</t>
        </is>
      </c>
      <c r="M7" s="27" t="inlineStr"/>
    </row>
    <row r="8">
      <c r="A8" s="36" t="inlineStr">
        <is>
          <t>PLN-00757</t>
        </is>
      </c>
      <c r="B8" s="27" t="inlineStr">
        <is>
          <t>Cash-conversion and working-capital forecast</t>
        </is>
      </c>
      <c r="C8" s="27" t="inlineStr">
        <is>
          <t>Working-capital drivers</t>
        </is>
      </c>
      <c r="D8" s="27" t="inlineStr">
        <is>
          <t>Construction</t>
        </is>
      </c>
      <c r="E8" s="27" t="inlineStr">
        <is>
          <t>FY27</t>
        </is>
      </c>
      <c r="F8" s="27" t="inlineStr">
        <is>
          <t>Approved case</t>
        </is>
      </c>
      <c r="G8" s="27" t="inlineStr">
        <is>
          <t>Ordinary receivable days</t>
        </is>
      </c>
      <c r="H8" s="46" t="n">
        <v>61</v>
      </c>
      <c r="I8" s="27" t="inlineStr"/>
      <c r="J8" s="27" t="inlineStr">
        <is>
          <t>days</t>
        </is>
      </c>
      <c r="K8" s="27" t="inlineStr">
        <is>
          <t>Finance operating schedule</t>
        </is>
      </c>
      <c r="L8" s="47" t="inlineStr">
        <is>
          <t>2026-06-30</t>
        </is>
      </c>
      <c r="M8" s="27" t="inlineStr"/>
    </row>
    <row r="9">
      <c r="A9" s="36" t="inlineStr">
        <is>
          <t>PLN-00758</t>
        </is>
      </c>
      <c r="B9" s="27" t="inlineStr">
        <is>
          <t>Cash-conversion and working-capital forecast</t>
        </is>
      </c>
      <c r="C9" s="27" t="inlineStr">
        <is>
          <t>Working-capital drivers</t>
        </is>
      </c>
      <c r="D9" s="27" t="inlineStr">
        <is>
          <t>Construction</t>
        </is>
      </c>
      <c r="E9" s="27" t="inlineStr">
        <is>
          <t>FY27</t>
        </is>
      </c>
      <c r="F9" s="27" t="inlineStr">
        <is>
          <t>Approved case</t>
        </is>
      </c>
      <c r="G9" s="27" t="inlineStr">
        <is>
          <t>Inventory days on cost</t>
        </is>
      </c>
      <c r="H9" s="46" t="n">
        <v>4</v>
      </c>
      <c r="I9" s="27" t="inlineStr"/>
      <c r="J9" s="27" t="inlineStr">
        <is>
          <t>days</t>
        </is>
      </c>
      <c r="K9" s="27" t="inlineStr">
        <is>
          <t>Finance operating schedule</t>
        </is>
      </c>
      <c r="L9" s="47" t="inlineStr">
        <is>
          <t>2026-06-30</t>
        </is>
      </c>
      <c r="M9" s="27" t="inlineStr"/>
    </row>
    <row r="10">
      <c r="A10" s="36" t="inlineStr">
        <is>
          <t>PLN-00759</t>
        </is>
      </c>
      <c r="B10" s="27" t="inlineStr">
        <is>
          <t>Cash-conversion and working-capital forecast</t>
        </is>
      </c>
      <c r="C10" s="27" t="inlineStr">
        <is>
          <t>Working-capital drivers</t>
        </is>
      </c>
      <c r="D10" s="27" t="inlineStr">
        <is>
          <t>Construction</t>
        </is>
      </c>
      <c r="E10" s="27" t="inlineStr">
        <is>
          <t>FY27</t>
        </is>
      </c>
      <c r="F10" s="27" t="inlineStr">
        <is>
          <t>Approved case</t>
        </is>
      </c>
      <c r="G10" s="27" t="inlineStr">
        <is>
          <t>Payable days on cost</t>
        </is>
      </c>
      <c r="H10" s="46" t="n">
        <v>42</v>
      </c>
      <c r="I10" s="27" t="inlineStr"/>
      <c r="J10" s="27" t="inlineStr">
        <is>
          <t>days</t>
        </is>
      </c>
      <c r="K10" s="27" t="inlineStr">
        <is>
          <t>Finance operating schedule</t>
        </is>
      </c>
      <c r="L10" s="47" t="inlineStr">
        <is>
          <t>2026-06-30</t>
        </is>
      </c>
      <c r="M10" s="27" t="inlineStr"/>
    </row>
    <row r="11">
      <c r="A11" s="36" t="inlineStr">
        <is>
          <t>PLN-00760</t>
        </is>
      </c>
      <c r="B11" s="27" t="inlineStr">
        <is>
          <t>Cash-conversion and working-capital forecast</t>
        </is>
      </c>
      <c r="C11" s="27" t="inlineStr">
        <is>
          <t>Working-capital drivers</t>
        </is>
      </c>
      <c r="D11" s="27" t="inlineStr">
        <is>
          <t>Construction</t>
        </is>
      </c>
      <c r="E11" s="27" t="inlineStr">
        <is>
          <t>FY27</t>
        </is>
      </c>
      <c r="F11" s="27" t="inlineStr">
        <is>
          <t>Approved case</t>
        </is>
      </c>
      <c r="G11" s="27" t="inlineStr">
        <is>
          <t>Retainage percent of revenue</t>
        </is>
      </c>
      <c r="H11" s="46" t="n">
        <v>0.055</v>
      </c>
      <c r="I11" s="27" t="inlineStr"/>
      <c r="J11" s="27" t="inlineStr">
        <is>
          <t>decimal ratio</t>
        </is>
      </c>
      <c r="K11" s="27" t="inlineStr">
        <is>
          <t>Finance operating schedule</t>
        </is>
      </c>
      <c r="L11" s="47" t="inlineStr">
        <is>
          <t>2026-06-30</t>
        </is>
      </c>
      <c r="M11" s="27" t="inlineStr"/>
    </row>
    <row r="12">
      <c r="A12" s="36" t="inlineStr">
        <is>
          <t>PLN-00761</t>
        </is>
      </c>
      <c r="B12" s="27" t="inlineStr">
        <is>
          <t>Cash-conversion and working-capital forecast</t>
        </is>
      </c>
      <c r="C12" s="27" t="inlineStr">
        <is>
          <t>Working-capital drivers</t>
        </is>
      </c>
      <c r="D12" s="27" t="inlineStr">
        <is>
          <t>Construction</t>
        </is>
      </c>
      <c r="E12" s="27" t="inlineStr">
        <is>
          <t>FY27</t>
        </is>
      </c>
      <c r="F12" s="27" t="inlineStr">
        <is>
          <t>Approved case</t>
        </is>
      </c>
      <c r="G12" s="27" t="inlineStr">
        <is>
          <t>Customer deposits percent of revenue</t>
        </is>
      </c>
      <c r="H12" s="46" t="n">
        <v>0.012</v>
      </c>
      <c r="I12" s="27" t="inlineStr"/>
      <c r="J12" s="27" t="inlineStr">
        <is>
          <t>decimal ratio</t>
        </is>
      </c>
      <c r="K12" s="27" t="inlineStr">
        <is>
          <t>Finance operating schedule</t>
        </is>
      </c>
      <c r="L12" s="47" t="inlineStr">
        <is>
          <t>2026-06-30</t>
        </is>
      </c>
      <c r="M12" s="27" t="inlineStr"/>
    </row>
    <row r="13">
      <c r="A13" s="36" t="inlineStr">
        <is>
          <t>PLN-00762</t>
        </is>
      </c>
      <c r="B13" s="27" t="inlineStr">
        <is>
          <t>Cash-conversion and working-capital forecast</t>
        </is>
      </c>
      <c r="C13" s="27" t="inlineStr">
        <is>
          <t>Operating plan</t>
        </is>
      </c>
      <c r="D13" s="27" t="inlineStr">
        <is>
          <t>Service</t>
        </is>
      </c>
      <c r="E13" s="27" t="inlineStr">
        <is>
          <t>LTM 2026-06-30</t>
        </is>
      </c>
      <c r="F13" s="27" t="inlineStr">
        <is>
          <t>Approved case</t>
        </is>
      </c>
      <c r="G13" s="27" t="inlineStr">
        <is>
          <t>Revenue base allocation</t>
        </is>
      </c>
      <c r="H13" s="46" t="n">
        <v>0.27</v>
      </c>
      <c r="I13" s="27" t="inlineStr"/>
      <c r="J13" s="27" t="inlineStr">
        <is>
          <t>ledger allocation factor</t>
        </is>
      </c>
      <c r="K13" s="27" t="inlineStr">
        <is>
          <t>Finance operating schedule</t>
        </is>
      </c>
      <c r="L13" s="47" t="inlineStr">
        <is>
          <t>2026-06-30</t>
        </is>
      </c>
      <c r="M13" s="27" t="inlineStr">
        <is>
          <t>Vista ERP P&amp;L, 2025-07-01 through 2026-06-30; Revenue total</t>
        </is>
      </c>
    </row>
    <row r="14">
      <c r="A14" s="36" t="inlineStr">
        <is>
          <t>PLN-00763</t>
        </is>
      </c>
      <c r="B14" s="27" t="inlineStr">
        <is>
          <t>Cash-conversion and working-capital forecast</t>
        </is>
      </c>
      <c r="C14" s="27" t="inlineStr">
        <is>
          <t>Working-capital drivers</t>
        </is>
      </c>
      <c r="D14" s="27" t="inlineStr">
        <is>
          <t>Service</t>
        </is>
      </c>
      <c r="E14" s="27" t="inlineStr">
        <is>
          <t>FY27</t>
        </is>
      </c>
      <c r="F14" s="27" t="inlineStr">
        <is>
          <t>Approved case</t>
        </is>
      </c>
      <c r="G14" s="27" t="inlineStr">
        <is>
          <t>FY27 revenue growth</t>
        </is>
      </c>
      <c r="H14" s="46" t="n">
        <v>0.095</v>
      </c>
      <c r="I14" s="27" t="inlineStr"/>
      <c r="J14" s="27" t="inlineStr">
        <is>
          <t>decimal ratio</t>
        </is>
      </c>
      <c r="K14" s="27" t="inlineStr">
        <is>
          <t>Finance operating schedule</t>
        </is>
      </c>
      <c r="L14" s="47" t="inlineStr">
        <is>
          <t>2026-06-30</t>
        </is>
      </c>
      <c r="M14" s="27" t="inlineStr"/>
    </row>
    <row r="15">
      <c r="A15" s="36" t="inlineStr">
        <is>
          <t>PLN-00764</t>
        </is>
      </c>
      <c r="B15" s="27" t="inlineStr">
        <is>
          <t>Cash-conversion and working-capital forecast</t>
        </is>
      </c>
      <c r="C15" s="27" t="inlineStr">
        <is>
          <t>Working-capital drivers</t>
        </is>
      </c>
      <c r="D15" s="27" t="inlineStr">
        <is>
          <t>Service</t>
        </is>
      </c>
      <c r="E15" s="27" t="inlineStr">
        <is>
          <t>FY27</t>
        </is>
      </c>
      <c r="F15" s="27" t="inlineStr">
        <is>
          <t>Approved case</t>
        </is>
      </c>
      <c r="G15" s="27" t="inlineStr">
        <is>
          <t>Cost of revenue rate</t>
        </is>
      </c>
      <c r="H15" s="46" t="n">
        <v>0.55</v>
      </c>
      <c r="I15" s="27" t="inlineStr"/>
      <c r="J15" s="27" t="inlineStr">
        <is>
          <t>decimal ratio</t>
        </is>
      </c>
      <c r="K15" s="27" t="inlineStr">
        <is>
          <t>Finance operating schedule</t>
        </is>
      </c>
      <c r="L15" s="47" t="inlineStr">
        <is>
          <t>2026-06-30</t>
        </is>
      </c>
      <c r="M15" s="27" t="inlineStr"/>
    </row>
    <row r="16">
      <c r="A16" s="36" t="inlineStr">
        <is>
          <t>PLN-00765</t>
        </is>
      </c>
      <c r="B16" s="27" t="inlineStr">
        <is>
          <t>Cash-conversion and working-capital forecast</t>
        </is>
      </c>
      <c r="C16" s="27" t="inlineStr">
        <is>
          <t>Working-capital drivers</t>
        </is>
      </c>
      <c r="D16" s="27" t="inlineStr">
        <is>
          <t>Service</t>
        </is>
      </c>
      <c r="E16" s="27" t="inlineStr">
        <is>
          <t>FY27</t>
        </is>
      </c>
      <c r="F16" s="27" t="inlineStr">
        <is>
          <t>Approved case</t>
        </is>
      </c>
      <c r="G16" s="27" t="inlineStr">
        <is>
          <t>Ordinary receivable days</t>
        </is>
      </c>
      <c r="H16" s="46" t="n">
        <v>42</v>
      </c>
      <c r="I16" s="27" t="inlineStr"/>
      <c r="J16" s="27" t="inlineStr">
        <is>
          <t>days</t>
        </is>
      </c>
      <c r="K16" s="27" t="inlineStr">
        <is>
          <t>Finance operating schedule</t>
        </is>
      </c>
      <c r="L16" s="47" t="inlineStr">
        <is>
          <t>2026-06-30</t>
        </is>
      </c>
      <c r="M16" s="27" t="inlineStr"/>
    </row>
    <row r="17">
      <c r="A17" s="36" t="inlineStr">
        <is>
          <t>PLN-00766</t>
        </is>
      </c>
      <c r="B17" s="27" t="inlineStr">
        <is>
          <t>Cash-conversion and working-capital forecast</t>
        </is>
      </c>
      <c r="C17" s="27" t="inlineStr">
        <is>
          <t>Working-capital drivers</t>
        </is>
      </c>
      <c r="D17" s="27" t="inlineStr">
        <is>
          <t>Service</t>
        </is>
      </c>
      <c r="E17" s="27" t="inlineStr">
        <is>
          <t>FY27</t>
        </is>
      </c>
      <c r="F17" s="27" t="inlineStr">
        <is>
          <t>Approved case</t>
        </is>
      </c>
      <c r="G17" s="27" t="inlineStr">
        <is>
          <t>Inventory days on cost</t>
        </is>
      </c>
      <c r="H17" s="46" t="n">
        <v>12</v>
      </c>
      <c r="I17" s="27" t="inlineStr"/>
      <c r="J17" s="27" t="inlineStr">
        <is>
          <t>days</t>
        </is>
      </c>
      <c r="K17" s="27" t="inlineStr">
        <is>
          <t>Finance operating schedule</t>
        </is>
      </c>
      <c r="L17" s="47" t="inlineStr">
        <is>
          <t>2026-06-30</t>
        </is>
      </c>
      <c r="M17" s="27" t="inlineStr"/>
    </row>
    <row r="18">
      <c r="A18" s="36" t="inlineStr">
        <is>
          <t>PLN-00767</t>
        </is>
      </c>
      <c r="B18" s="27" t="inlineStr">
        <is>
          <t>Cash-conversion and working-capital forecast</t>
        </is>
      </c>
      <c r="C18" s="27" t="inlineStr">
        <is>
          <t>Working-capital drivers</t>
        </is>
      </c>
      <c r="D18" s="27" t="inlineStr">
        <is>
          <t>Service</t>
        </is>
      </c>
      <c r="E18" s="27" t="inlineStr">
        <is>
          <t>FY27</t>
        </is>
      </c>
      <c r="F18" s="27" t="inlineStr">
        <is>
          <t>Approved case</t>
        </is>
      </c>
      <c r="G18" s="27" t="inlineStr">
        <is>
          <t>Payable days on cost</t>
        </is>
      </c>
      <c r="H18" s="46" t="n">
        <v>31</v>
      </c>
      <c r="I18" s="27" t="inlineStr"/>
      <c r="J18" s="27" t="inlineStr">
        <is>
          <t>days</t>
        </is>
      </c>
      <c r="K18" s="27" t="inlineStr">
        <is>
          <t>Finance operating schedule</t>
        </is>
      </c>
      <c r="L18" s="47" t="inlineStr">
        <is>
          <t>2026-06-30</t>
        </is>
      </c>
      <c r="M18" s="27" t="inlineStr"/>
    </row>
    <row r="19">
      <c r="A19" s="36" t="inlineStr">
        <is>
          <t>PLN-00768</t>
        </is>
      </c>
      <c r="B19" s="27" t="inlineStr">
        <is>
          <t>Cash-conversion and working-capital forecast</t>
        </is>
      </c>
      <c r="C19" s="27" t="inlineStr">
        <is>
          <t>Working-capital drivers</t>
        </is>
      </c>
      <c r="D19" s="27" t="inlineStr">
        <is>
          <t>Service</t>
        </is>
      </c>
      <c r="E19" s="27" t="inlineStr">
        <is>
          <t>FY27</t>
        </is>
      </c>
      <c r="F19" s="27" t="inlineStr">
        <is>
          <t>Approved case</t>
        </is>
      </c>
      <c r="G19" s="27" t="inlineStr">
        <is>
          <t>Retainage percent of revenue</t>
        </is>
      </c>
      <c r="H19" s="46" t="n">
        <v>0.01</v>
      </c>
      <c r="I19" s="27" t="inlineStr"/>
      <c r="J19" s="27" t="inlineStr">
        <is>
          <t>decimal ratio</t>
        </is>
      </c>
      <c r="K19" s="27" t="inlineStr">
        <is>
          <t>Finance operating schedule</t>
        </is>
      </c>
      <c r="L19" s="47" t="inlineStr">
        <is>
          <t>2026-06-30</t>
        </is>
      </c>
      <c r="M19" s="27" t="inlineStr"/>
    </row>
    <row r="20">
      <c r="A20" s="36" t="inlineStr">
        <is>
          <t>PLN-00769</t>
        </is>
      </c>
      <c r="B20" s="27" t="inlineStr">
        <is>
          <t>Cash-conversion and working-capital forecast</t>
        </is>
      </c>
      <c r="C20" s="27" t="inlineStr">
        <is>
          <t>Working-capital drivers</t>
        </is>
      </c>
      <c r="D20" s="27" t="inlineStr">
        <is>
          <t>Service</t>
        </is>
      </c>
      <c r="E20" s="27" t="inlineStr">
        <is>
          <t>FY27</t>
        </is>
      </c>
      <c r="F20" s="27" t="inlineStr">
        <is>
          <t>Approved case</t>
        </is>
      </c>
      <c r="G20" s="27" t="inlineStr">
        <is>
          <t>Customer deposits percent of revenue</t>
        </is>
      </c>
      <c r="H20" s="46" t="n">
        <v>0.038</v>
      </c>
      <c r="I20" s="27" t="inlineStr"/>
      <c r="J20" s="27" t="inlineStr">
        <is>
          <t>decimal ratio</t>
        </is>
      </c>
      <c r="K20" s="27" t="inlineStr">
        <is>
          <t>Finance operating schedule</t>
        </is>
      </c>
      <c r="L20" s="47" t="inlineStr">
        <is>
          <t>2026-06-30</t>
        </is>
      </c>
      <c r="M20" s="27" t="inlineStr"/>
    </row>
    <row r="21">
      <c r="A21" s="36" t="inlineStr">
        <is>
          <t>PLN-00770</t>
        </is>
      </c>
      <c r="B21" s="27" t="inlineStr">
        <is>
          <t>Cash-conversion and working-capital forecast</t>
        </is>
      </c>
      <c r="C21" s="27" t="inlineStr">
        <is>
          <t>Operating plan</t>
        </is>
      </c>
      <c r="D21" s="27" t="inlineStr">
        <is>
          <t>Controls</t>
        </is>
      </c>
      <c r="E21" s="27" t="inlineStr">
        <is>
          <t>LTM 2026-06-30</t>
        </is>
      </c>
      <c r="F21" s="27" t="inlineStr">
        <is>
          <t>Approved case</t>
        </is>
      </c>
      <c r="G21" s="27" t="inlineStr">
        <is>
          <t>Revenue base allocation</t>
        </is>
      </c>
      <c r="H21" s="46" t="n">
        <v>0.15</v>
      </c>
      <c r="I21" s="27" t="inlineStr"/>
      <c r="J21" s="27" t="inlineStr">
        <is>
          <t>ledger allocation factor</t>
        </is>
      </c>
      <c r="K21" s="27" t="inlineStr">
        <is>
          <t>Finance operating schedule</t>
        </is>
      </c>
      <c r="L21" s="47" t="inlineStr">
        <is>
          <t>2026-06-30</t>
        </is>
      </c>
      <c r="M21" s="27" t="inlineStr">
        <is>
          <t>Vista ERP P&amp;L, 2025-07-01 through 2026-06-30; Revenue total</t>
        </is>
      </c>
    </row>
    <row r="22">
      <c r="A22" s="36" t="inlineStr">
        <is>
          <t>PLN-00771</t>
        </is>
      </c>
      <c r="B22" s="27" t="inlineStr">
        <is>
          <t>Cash-conversion and working-capital forecast</t>
        </is>
      </c>
      <c r="C22" s="27" t="inlineStr">
        <is>
          <t>Working-capital drivers</t>
        </is>
      </c>
      <c r="D22" s="27" t="inlineStr">
        <is>
          <t>Controls</t>
        </is>
      </c>
      <c r="E22" s="27" t="inlineStr">
        <is>
          <t>FY27</t>
        </is>
      </c>
      <c r="F22" s="27" t="inlineStr">
        <is>
          <t>Approved case</t>
        </is>
      </c>
      <c r="G22" s="27" t="inlineStr">
        <is>
          <t>FY27 revenue growth</t>
        </is>
      </c>
      <c r="H22" s="46" t="n">
        <v>0.125</v>
      </c>
      <c r="I22" s="27" t="inlineStr"/>
      <c r="J22" s="27" t="inlineStr">
        <is>
          <t>decimal ratio</t>
        </is>
      </c>
      <c r="K22" s="27" t="inlineStr">
        <is>
          <t>Finance operating schedule</t>
        </is>
      </c>
      <c r="L22" s="47" t="inlineStr">
        <is>
          <t>2026-06-30</t>
        </is>
      </c>
      <c r="M22" s="27" t="inlineStr"/>
    </row>
    <row r="23">
      <c r="A23" s="36" t="inlineStr">
        <is>
          <t>PLN-00772</t>
        </is>
      </c>
      <c r="B23" s="27" t="inlineStr">
        <is>
          <t>Cash-conversion and working-capital forecast</t>
        </is>
      </c>
      <c r="C23" s="27" t="inlineStr">
        <is>
          <t>Working-capital drivers</t>
        </is>
      </c>
      <c r="D23" s="27" t="inlineStr">
        <is>
          <t>Controls</t>
        </is>
      </c>
      <c r="E23" s="27" t="inlineStr">
        <is>
          <t>FY27</t>
        </is>
      </c>
      <c r="F23" s="27" t="inlineStr">
        <is>
          <t>Approved case</t>
        </is>
      </c>
      <c r="G23" s="27" t="inlineStr">
        <is>
          <t>Cost of revenue rate</t>
        </is>
      </c>
      <c r="H23" s="46" t="n">
        <v>0.63</v>
      </c>
      <c r="I23" s="27" t="inlineStr"/>
      <c r="J23" s="27" t="inlineStr">
        <is>
          <t>decimal ratio</t>
        </is>
      </c>
      <c r="K23" s="27" t="inlineStr">
        <is>
          <t>Finance operating schedule</t>
        </is>
      </c>
      <c r="L23" s="47" t="inlineStr">
        <is>
          <t>2026-06-30</t>
        </is>
      </c>
      <c r="M23" s="27" t="inlineStr"/>
    </row>
    <row r="24">
      <c r="A24" s="36" t="inlineStr">
        <is>
          <t>PLN-00773</t>
        </is>
      </c>
      <c r="B24" s="27" t="inlineStr">
        <is>
          <t>Cash-conversion and working-capital forecast</t>
        </is>
      </c>
      <c r="C24" s="27" t="inlineStr">
        <is>
          <t>Working-capital drivers</t>
        </is>
      </c>
      <c r="D24" s="27" t="inlineStr">
        <is>
          <t>Controls</t>
        </is>
      </c>
      <c r="E24" s="27" t="inlineStr">
        <is>
          <t>FY27</t>
        </is>
      </c>
      <c r="F24" s="27" t="inlineStr">
        <is>
          <t>Approved case</t>
        </is>
      </c>
      <c r="G24" s="27" t="inlineStr">
        <is>
          <t>Ordinary receivable days</t>
        </is>
      </c>
      <c r="H24" s="46" t="n">
        <v>49</v>
      </c>
      <c r="I24" s="27" t="inlineStr"/>
      <c r="J24" s="27" t="inlineStr">
        <is>
          <t>days</t>
        </is>
      </c>
      <c r="K24" s="27" t="inlineStr">
        <is>
          <t>Finance operating schedule</t>
        </is>
      </c>
      <c r="L24" s="47" t="inlineStr">
        <is>
          <t>2026-06-30</t>
        </is>
      </c>
      <c r="M24" s="27" t="inlineStr"/>
    </row>
    <row r="25">
      <c r="A25" s="36" t="inlineStr">
        <is>
          <t>PLN-00774</t>
        </is>
      </c>
      <c r="B25" s="27" t="inlineStr">
        <is>
          <t>Cash-conversion and working-capital forecast</t>
        </is>
      </c>
      <c r="C25" s="27" t="inlineStr">
        <is>
          <t>Working-capital drivers</t>
        </is>
      </c>
      <c r="D25" s="27" t="inlineStr">
        <is>
          <t>Controls</t>
        </is>
      </c>
      <c r="E25" s="27" t="inlineStr">
        <is>
          <t>FY27</t>
        </is>
      </c>
      <c r="F25" s="27" t="inlineStr">
        <is>
          <t>Approved case</t>
        </is>
      </c>
      <c r="G25" s="27" t="inlineStr">
        <is>
          <t>Inventory days on cost</t>
        </is>
      </c>
      <c r="H25" s="46" t="n">
        <v>7</v>
      </c>
      <c r="I25" s="27" t="inlineStr"/>
      <c r="J25" s="27" t="inlineStr">
        <is>
          <t>days</t>
        </is>
      </c>
      <c r="K25" s="27" t="inlineStr">
        <is>
          <t>Finance operating schedule</t>
        </is>
      </c>
      <c r="L25" s="47" t="inlineStr">
        <is>
          <t>2026-06-30</t>
        </is>
      </c>
      <c r="M25" s="27" t="inlineStr"/>
    </row>
    <row r="26">
      <c r="A26" s="36" t="inlineStr">
        <is>
          <t>PLN-00775</t>
        </is>
      </c>
      <c r="B26" s="27" t="inlineStr">
        <is>
          <t>Cash-conversion and working-capital forecast</t>
        </is>
      </c>
      <c r="C26" s="27" t="inlineStr">
        <is>
          <t>Working-capital drivers</t>
        </is>
      </c>
      <c r="D26" s="27" t="inlineStr">
        <is>
          <t>Controls</t>
        </is>
      </c>
      <c r="E26" s="27" t="inlineStr">
        <is>
          <t>FY27</t>
        </is>
      </c>
      <c r="F26" s="27" t="inlineStr">
        <is>
          <t>Approved case</t>
        </is>
      </c>
      <c r="G26" s="27" t="inlineStr">
        <is>
          <t>Payable days on cost</t>
        </is>
      </c>
      <c r="H26" s="46" t="n">
        <v>36</v>
      </c>
      <c r="I26" s="27" t="inlineStr"/>
      <c r="J26" s="27" t="inlineStr">
        <is>
          <t>days</t>
        </is>
      </c>
      <c r="K26" s="27" t="inlineStr">
        <is>
          <t>Finance operating schedule</t>
        </is>
      </c>
      <c r="L26" s="47" t="inlineStr">
        <is>
          <t>2026-06-30</t>
        </is>
      </c>
      <c r="M26" s="27" t="inlineStr"/>
    </row>
    <row r="27">
      <c r="A27" s="36" t="inlineStr">
        <is>
          <t>PLN-00776</t>
        </is>
      </c>
      <c r="B27" s="27" t="inlineStr">
        <is>
          <t>Cash-conversion and working-capital forecast</t>
        </is>
      </c>
      <c r="C27" s="27" t="inlineStr">
        <is>
          <t>Working-capital drivers</t>
        </is>
      </c>
      <c r="D27" s="27" t="inlineStr">
        <is>
          <t>Controls</t>
        </is>
      </c>
      <c r="E27" s="27" t="inlineStr">
        <is>
          <t>FY27</t>
        </is>
      </c>
      <c r="F27" s="27" t="inlineStr">
        <is>
          <t>Approved case</t>
        </is>
      </c>
      <c r="G27" s="27" t="inlineStr">
        <is>
          <t>Retainage percent of revenue</t>
        </is>
      </c>
      <c r="H27" s="46" t="n">
        <v>0.025</v>
      </c>
      <c r="I27" s="27" t="inlineStr"/>
      <c r="J27" s="27" t="inlineStr">
        <is>
          <t>decimal ratio</t>
        </is>
      </c>
      <c r="K27" s="27" t="inlineStr">
        <is>
          <t>Finance operating schedule</t>
        </is>
      </c>
      <c r="L27" s="47" t="inlineStr">
        <is>
          <t>2026-06-30</t>
        </is>
      </c>
      <c r="M27" s="27" t="inlineStr"/>
    </row>
    <row r="28">
      <c r="A28" s="36" t="inlineStr">
        <is>
          <t>PLN-00777</t>
        </is>
      </c>
      <c r="B28" s="27" t="inlineStr">
        <is>
          <t>Cash-conversion and working-capital forecast</t>
        </is>
      </c>
      <c r="C28" s="27" t="inlineStr">
        <is>
          <t>Working-capital drivers</t>
        </is>
      </c>
      <c r="D28" s="27" t="inlineStr">
        <is>
          <t>Controls</t>
        </is>
      </c>
      <c r="E28" s="27" t="inlineStr">
        <is>
          <t>FY27</t>
        </is>
      </c>
      <c r="F28" s="27" t="inlineStr">
        <is>
          <t>Approved case</t>
        </is>
      </c>
      <c r="G28" s="27" t="inlineStr">
        <is>
          <t>Customer deposits percent of revenue</t>
        </is>
      </c>
      <c r="H28" s="46" t="n">
        <v>0.02</v>
      </c>
      <c r="I28" s="27" t="inlineStr"/>
      <c r="J28" s="27" t="inlineStr">
        <is>
          <t>decimal ratio</t>
        </is>
      </c>
      <c r="K28" s="27" t="inlineStr">
        <is>
          <t>Finance operating schedule</t>
        </is>
      </c>
      <c r="L28" s="47" t="inlineStr">
        <is>
          <t>2026-06-30</t>
        </is>
      </c>
      <c r="M28" s="27" t="inlineStr"/>
    </row>
    <row r="29">
      <c r="A29" s="36" t="inlineStr">
        <is>
          <t>PLN-00778</t>
        </is>
      </c>
      <c r="B29" s="27" t="inlineStr">
        <is>
          <t>Cash-conversion and working-capital forecast</t>
        </is>
      </c>
      <c r="C29" s="27" t="inlineStr">
        <is>
          <t>Opening working capital</t>
        </is>
      </c>
      <c r="D29" s="27" t="inlineStr">
        <is>
          <t>Ordinary AR</t>
        </is>
      </c>
      <c r="E29" s="27" t="inlineStr">
        <is>
          <t>2026-06-30</t>
        </is>
      </c>
      <c r="F29" s="27" t="inlineStr">
        <is>
          <t>Approved case</t>
        </is>
      </c>
      <c r="G29" s="27" t="inlineStr">
        <is>
          <t>Posted open balance</t>
        </is>
      </c>
      <c r="H29" s="46" t="n">
        <v>0.83</v>
      </c>
      <c r="I29" s="27" t="inlineStr"/>
      <c r="J29" s="27" t="inlineStr">
        <is>
          <t>ledger allocation factor</t>
        </is>
      </c>
      <c r="K29" s="27" t="inlineStr">
        <is>
          <t>Finance operating schedule</t>
        </is>
      </c>
      <c r="L29" s="47" t="inlineStr">
        <is>
          <t>2026-06-30</t>
        </is>
      </c>
      <c r="M29" s="27" t="inlineStr">
        <is>
          <t>Vista ERP AR aging as of 2026-06-30; open balances before forecast assumptions</t>
        </is>
      </c>
    </row>
    <row r="30">
      <c r="A30" s="36" t="inlineStr">
        <is>
          <t>PLN-00779</t>
        </is>
      </c>
      <c r="B30" s="27" t="inlineStr">
        <is>
          <t>Cash-conversion and working-capital forecast</t>
        </is>
      </c>
      <c r="C30" s="27" t="inlineStr">
        <is>
          <t>Opening working capital</t>
        </is>
      </c>
      <c r="D30" s="27" t="inlineStr">
        <is>
          <t>Retainage</t>
        </is>
      </c>
      <c r="E30" s="27" t="inlineStr">
        <is>
          <t>2026-06-30</t>
        </is>
      </c>
      <c r="F30" s="27" t="inlineStr">
        <is>
          <t>Approved case</t>
        </is>
      </c>
      <c r="G30" s="27" t="inlineStr">
        <is>
          <t>Posted open balance</t>
        </is>
      </c>
      <c r="H30" s="46" t="n">
        <v>0.17</v>
      </c>
      <c r="I30" s="27" t="inlineStr"/>
      <c r="J30" s="27" t="inlineStr">
        <is>
          <t>ledger allocation factor</t>
        </is>
      </c>
      <c r="K30" s="27" t="inlineStr">
        <is>
          <t>Finance operating schedule</t>
        </is>
      </c>
      <c r="L30" s="47" t="inlineStr">
        <is>
          <t>2026-06-30</t>
        </is>
      </c>
      <c r="M30" s="27" t="inlineStr">
        <is>
          <t>Vista ERP AR aging as of 2026-06-30; open balances before forecast assumptions</t>
        </is>
      </c>
    </row>
    <row r="31">
      <c r="A31" s="36" t="inlineStr">
        <is>
          <t>PLN-00780</t>
        </is>
      </c>
      <c r="B31" s="27" t="inlineStr">
        <is>
          <t>Cash-conversion and working-capital forecast</t>
        </is>
      </c>
      <c r="C31" s="27" t="inlineStr">
        <is>
          <t>Opening working capital</t>
        </is>
      </c>
      <c r="D31" s="27" t="inlineStr">
        <is>
          <t>Inventory</t>
        </is>
      </c>
      <c r="E31" s="27" t="inlineStr">
        <is>
          <t>2026-06-30</t>
        </is>
      </c>
      <c r="F31" s="27" t="inlineStr">
        <is>
          <t>Approved case</t>
        </is>
      </c>
      <c r="G31" s="27" t="inlineStr">
        <is>
          <t>Posted open balance</t>
        </is>
      </c>
      <c r="H31" s="46" t="n">
        <v>1180000</v>
      </c>
      <c r="I31" s="27" t="inlineStr"/>
      <c r="J31" s="27" t="inlineStr">
        <is>
          <t>USD</t>
        </is>
      </c>
      <c r="K31" s="27" t="inlineStr">
        <is>
          <t>Finance operating schedule</t>
        </is>
      </c>
      <c r="L31" s="47" t="inlineStr">
        <is>
          <t>2026-06-30</t>
        </is>
      </c>
      <c r="M31" s="27" t="inlineStr"/>
    </row>
    <row r="32">
      <c r="A32" s="36" t="inlineStr">
        <is>
          <t>PLN-00781</t>
        </is>
      </c>
      <c r="B32" s="27" t="inlineStr">
        <is>
          <t>Cash-conversion and working-capital forecast</t>
        </is>
      </c>
      <c r="C32" s="27" t="inlineStr">
        <is>
          <t>Opening working capital</t>
        </is>
      </c>
      <c r="D32" s="27" t="inlineStr">
        <is>
          <t>AP</t>
        </is>
      </c>
      <c r="E32" s="27" t="inlineStr">
        <is>
          <t>2026-06-30</t>
        </is>
      </c>
      <c r="F32" s="27" t="inlineStr">
        <is>
          <t>Approved case</t>
        </is>
      </c>
      <c r="G32" s="27" t="inlineStr">
        <is>
          <t>Posted open balance</t>
        </is>
      </c>
      <c r="H32" s="46" t="n">
        <v>1</v>
      </c>
      <c r="I32" s="27" t="inlineStr"/>
      <c r="J32" s="27" t="inlineStr">
        <is>
          <t>ledger allocation factor</t>
        </is>
      </c>
      <c r="K32" s="27" t="inlineStr">
        <is>
          <t>Finance operating schedule</t>
        </is>
      </c>
      <c r="L32" s="47" t="inlineStr">
        <is>
          <t>2026-06-30</t>
        </is>
      </c>
      <c r="M32" s="27" t="inlineStr">
        <is>
          <t>Vista ERP AP aging as of 2026-06-30; open balances before forecast assumptions</t>
        </is>
      </c>
    </row>
    <row r="33">
      <c r="A33" s="36" t="inlineStr">
        <is>
          <t>PLN-00782</t>
        </is>
      </c>
      <c r="B33" s="27" t="inlineStr">
        <is>
          <t>Cash-conversion and working-capital forecast</t>
        </is>
      </c>
      <c r="C33" s="27" t="inlineStr">
        <is>
          <t>Opening working capital</t>
        </is>
      </c>
      <c r="D33" s="27" t="inlineStr">
        <is>
          <t>Customer deposits</t>
        </is>
      </c>
      <c r="E33" s="27" t="inlineStr">
        <is>
          <t>2026-06-30</t>
        </is>
      </c>
      <c r="F33" s="27" t="inlineStr">
        <is>
          <t>Approved case</t>
        </is>
      </c>
      <c r="G33" s="27" t="inlineStr">
        <is>
          <t>Posted open balance</t>
        </is>
      </c>
      <c r="H33" s="46" t="n">
        <v>1240000</v>
      </c>
      <c r="I33" s="27" t="inlineStr"/>
      <c r="J33" s="27" t="inlineStr">
        <is>
          <t>USD</t>
        </is>
      </c>
      <c r="K33" s="27" t="inlineStr">
        <is>
          <t>Finance operating schedule</t>
        </is>
      </c>
      <c r="L33" s="47" t="inlineStr">
        <is>
          <t>2026-06-30</t>
        </is>
      </c>
      <c r="M33" s="27" t="inlineStr"/>
    </row>
    <row r="34">
      <c r="A34" s="36" t="inlineStr">
        <is>
          <t>PLN-00783</t>
        </is>
      </c>
      <c r="B34" s="27" t="inlineStr">
        <is>
          <t>Cash-conversion and working-capital forecast</t>
        </is>
      </c>
      <c r="C34" s="27" t="inlineStr">
        <is>
          <t>Cash conversion</t>
        </is>
      </c>
      <c r="D34" s="27" t="inlineStr">
        <is>
          <t>Consolidated</t>
        </is>
      </c>
      <c r="E34" s="27" t="inlineStr">
        <is>
          <t>FY27</t>
        </is>
      </c>
      <c r="F34" s="27" t="inlineStr">
        <is>
          <t>Approved case</t>
        </is>
      </c>
      <c r="G34" s="27" t="inlineStr">
        <is>
          <t>Plan EBITDA margin</t>
        </is>
      </c>
      <c r="H34" s="46" t="n">
        <v>0.142</v>
      </c>
      <c r="I34" s="27" t="inlineStr"/>
      <c r="J34" s="27" t="inlineStr">
        <is>
          <t>decimal ratio</t>
        </is>
      </c>
      <c r="K34" s="27" t="inlineStr">
        <is>
          <t>Finance operating schedule</t>
        </is>
      </c>
      <c r="L34" s="47" t="inlineStr">
        <is>
          <t>2026-06-30</t>
        </is>
      </c>
      <c r="M34" s="27" t="inlineStr"/>
    </row>
    <row r="35">
      <c r="A35" s="36" t="inlineStr">
        <is>
          <t>PLN-00784</t>
        </is>
      </c>
      <c r="B35" s="27" t="inlineStr">
        <is>
          <t>Cash-conversion and working-capital forecast</t>
        </is>
      </c>
      <c r="C35" s="27" t="inlineStr">
        <is>
          <t>Cash conversion</t>
        </is>
      </c>
      <c r="D35" s="27" t="inlineStr">
        <is>
          <t>Consolidated</t>
        </is>
      </c>
      <c r="E35" s="27" t="inlineStr">
        <is>
          <t>FY27</t>
        </is>
      </c>
      <c r="F35" s="27" t="inlineStr">
        <is>
          <t>Approved case</t>
        </is>
      </c>
      <c r="G35" s="27" t="inlineStr">
        <is>
          <t>Cash tax rate on EBITDA</t>
        </is>
      </c>
      <c r="H35" s="46" t="n">
        <v>0.17</v>
      </c>
      <c r="I35" s="27" t="inlineStr"/>
      <c r="J35" s="27" t="inlineStr">
        <is>
          <t>decimal ratio</t>
        </is>
      </c>
      <c r="K35" s="27" t="inlineStr">
        <is>
          <t>Finance operating schedule</t>
        </is>
      </c>
      <c r="L35" s="47" t="inlineStr">
        <is>
          <t>2026-06-30</t>
        </is>
      </c>
      <c r="M35" s="27" t="inlineStr"/>
    </row>
  </sheetData>
  <autoFilter ref="A4:M35"/>
  <mergeCells count="2">
    <mergeCell ref="A2:M2"/>
    <mergeCell ref="A1:M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4" customWidth="1" min="6" max="6"/>
  </cols>
  <sheetData>
    <row r="1" ht="25" customHeight="1">
      <c r="A1" s="9" t="inlineStr">
        <is>
          <t>FY27 operating plan | data checks</t>
        </is>
      </c>
    </row>
    <row r="2" ht="25" customHeight="1">
      <c r="A2" s="11" t="inlineStr">
        <is>
          <t>Row-count and version checks; investigate any unexpected change before using the book</t>
        </is>
      </c>
    </row>
    <row r="4" ht="30" customHeight="1">
      <c r="A4" s="20" t="inlineStr">
        <is>
          <t>Data sheet</t>
        </is>
      </c>
      <c r="B4" s="21" t="inlineStr">
        <is>
          <t>Expected rows</t>
        </is>
      </c>
      <c r="C4" s="21" t="inlineStr">
        <is>
          <t>Workbook rows</t>
        </is>
      </c>
      <c r="D4" s="21" t="inlineStr">
        <is>
          <t>Difference</t>
        </is>
      </c>
      <c r="E4" s="21" t="inlineStr">
        <is>
          <t>Status</t>
        </is>
      </c>
      <c r="F4" s="22" t="inlineStr">
        <is>
          <t>Version note</t>
        </is>
      </c>
    </row>
    <row r="5">
      <c r="A5" s="40" t="inlineStr">
        <is>
          <t>Revenue and Service</t>
        </is>
      </c>
      <c r="B5" s="40" t="n">
        <v>158</v>
      </c>
      <c r="C5" s="40">
        <f>COUNTA('Revenue and Service'!$A$5:$A$162)</f>
        <v/>
      </c>
      <c r="D5" s="40">
        <f>C5-B5</f>
        <v/>
      </c>
      <c r="E5" s="43">
        <f>IF(D5=0,"OK","CHECK")</f>
        <v/>
      </c>
      <c r="F5" s="40" t="inlineStr">
        <is>
          <t>CURRENT • CONTROLLER REVIEW COMPLETE</t>
        </is>
      </c>
    </row>
    <row r="6">
      <c r="A6" s="41" t="inlineStr">
        <is>
          <t>Margin and Accuracy</t>
        </is>
      </c>
      <c r="B6" s="41" t="n">
        <v>135</v>
      </c>
      <c r="C6" s="41">
        <f>COUNTA('Margin and Accuracy'!$A$5:$A$139)</f>
        <v/>
      </c>
      <c r="D6" s="41">
        <f>C6-B6</f>
        <v/>
      </c>
      <c r="E6" s="44">
        <f>IF(D6=0,"OK","CHECK")</f>
        <v/>
      </c>
      <c r="F6" s="41" t="inlineStr">
        <is>
          <t>CURRENT • CONTROLLER REVIEW COMPLETE</t>
        </is>
      </c>
    </row>
    <row r="7">
      <c r="A7" s="41" t="inlineStr">
        <is>
          <t>Opex and Workforce</t>
        </is>
      </c>
      <c r="B7" s="41" t="n">
        <v>318</v>
      </c>
      <c r="C7" s="41">
        <f>COUNTA('Opex and Workforce'!$A$5:$A$322)</f>
        <v/>
      </c>
      <c r="D7" s="41">
        <f>C7-B7</f>
        <v/>
      </c>
      <c r="E7" s="44">
        <f>IF(D7=0,"OK","CHECK")</f>
        <v/>
      </c>
      <c r="F7" s="41" t="inlineStr">
        <is>
          <t>CURRENT • CONTROLLER REVIEW COMPLETE</t>
        </is>
      </c>
    </row>
    <row r="8">
      <c r="A8" s="41" t="inlineStr">
        <is>
          <t>Branches and Backlog</t>
        </is>
      </c>
      <c r="B8" s="41" t="n">
        <v>221</v>
      </c>
      <c r="C8" s="41">
        <f>COUNTA('Branches and Backlog'!$A$5:$A$225)</f>
        <v/>
      </c>
      <c r="D8" s="41">
        <f>C8-B8</f>
        <v/>
      </c>
      <c r="E8" s="44">
        <f>IF(D8=0,"OK","CHECK")</f>
        <v/>
      </c>
      <c r="F8" s="41" t="inlineStr">
        <is>
          <t>CURRENT • CONTROLLER REVIEW COMPLETE</t>
        </is>
      </c>
    </row>
    <row r="9">
      <c r="A9" s="42" t="inlineStr">
        <is>
          <t>Working Capital</t>
        </is>
      </c>
      <c r="B9" s="42" t="n">
        <v>31</v>
      </c>
      <c r="C9" s="42">
        <f>COUNTA('Working Capital'!$A$5:$A$35)</f>
        <v/>
      </c>
      <c r="D9" s="42">
        <f>C9-B9</f>
        <v/>
      </c>
      <c r="E9" s="45">
        <f>IF(D9=0,"OK","CHECK")</f>
        <v/>
      </c>
      <c r="F9" s="42" t="inlineStr">
        <is>
          <t>CURRENT • CONTROLLER REVIEW COMPLETE</t>
        </is>
      </c>
    </row>
  </sheetData>
  <mergeCells count="2">
    <mergeCell ref="A2:F2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2026-08-01T05:21:42Z</dcterms:created>
  <dcterms:modified xmlns:dcterms="http://purl.org/dc/terms/" xmlns:xsi="http://www.w3.org/2001/XMLSchema-instance" xsi:type="dcterms:W3CDTF">2026-08-01T05:21:42Z</dcterms:modified>
</cp:coreProperties>
</file>