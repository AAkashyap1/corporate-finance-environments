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Cover" sheetId="1" state="visible" r:id="rId1"/>
    <sheet xmlns:r="http://schemas.openxmlformats.org/officeDocument/2006/relationships" name="Revenue and Service" sheetId="2" state="visible" r:id="rId2"/>
    <sheet xmlns:r="http://schemas.openxmlformats.org/officeDocument/2006/relationships" name="Margin and Accuracy" sheetId="3" state="visible" r:id="rId3"/>
    <sheet xmlns:r="http://schemas.openxmlformats.org/officeDocument/2006/relationships" name="Opex and Workforce" sheetId="4" state="visible" r:id="rId4"/>
    <sheet xmlns:r="http://schemas.openxmlformats.org/officeDocument/2006/relationships" name="Branches and Backlog" sheetId="5" state="visible" r:id="rId5"/>
    <sheet xmlns:r="http://schemas.openxmlformats.org/officeDocument/2006/relationships" name="Working Capital" sheetId="6" state="visible" r:id="rId6"/>
    <sheet xmlns:r="http://schemas.openxmlformats.org/officeDocument/2006/relationships" name="Data Checks" sheetId="7" state="visible" r:id="rId7"/>
  </sheets>
  <definedNames>
    <definedName name="_xlnm._FilterDatabase" localSheetId="1" hidden="1">'Revenue and Service'!$A$4:$M$74</definedName>
    <definedName name="_xlnm._FilterDatabase" localSheetId="2" hidden="1">'Margin and Accuracy'!$A$4:$M$51</definedName>
    <definedName name="_xlnm._FilterDatabase" localSheetId="3" hidden="1">'Opex and Workforce'!$A$4:$M$66</definedName>
    <definedName name="_xlnm._FilterDatabase" localSheetId="4" hidden="1">'Branches and Backlog'!$A$4:$M$75</definedName>
    <definedName name="_xlnm._FilterDatabase" localSheetId="5" hidden="1">'Working Capital'!$A$4:$M$16</definedName>
  </definedNames>
</workbook>
</file>

<file path=xl/styles.xml><?xml version="1.0" encoding="utf-8"?>
<styleSheet xmlns="http://schemas.openxmlformats.org/spreadsheetml/2006/main">
  <numFmts count="2">
    <numFmt numFmtId="164" formatCode="#,##0.0000;[Red](#,##0.0000);-"/>
    <numFmt numFmtId="165" formatCode="yyyy-mm-dd"/>
  </numFmts>
  <fonts count="9">
    <font>
      <name val="Carlito"/>
      <sz val="11"/>
    </font>
    <font>
      <name val="Aptos"/>
      <b val="1"/>
      <color rgb="FF252321"/>
      <sz val="10"/>
    </font>
    <font>
      <name val="Aptos"/>
      <color rgb="FF8B3A3A"/>
      <sz val="10"/>
    </font>
    <font>
      <name val="Aptos"/>
      <color rgb="FF252321"/>
      <sz val="10"/>
    </font>
    <font>
      <name val="Aptos"/>
      <b val="1"/>
      <color rgb="FFFFFFFF"/>
      <sz val="15"/>
    </font>
    <font>
      <name val="Aptos"/>
      <i val="1"/>
      <color rgb="FF252321"/>
      <sz val="9"/>
    </font>
    <font>
      <name val="Aptos"/>
      <b val="1"/>
      <color rgb="FFFFFFFF"/>
      <sz val="9"/>
    </font>
    <font>
      <name val="Aptos"/>
      <color rgb="FF252321"/>
      <sz val="8"/>
    </font>
    <font>
      <name val="Aptos"/>
      <color rgb="FF252321"/>
      <sz val="9"/>
    </font>
  </fonts>
  <fills count="7">
    <fill>
      <patternFill/>
    </fill>
    <fill>
      <patternFill patternType="gray125"/>
    </fill>
    <fill>
      <patternFill patternType="solid">
        <fgColor rgb="FFE4ECE7"/>
      </patternFill>
    </fill>
    <fill>
      <patternFill patternType="solid">
        <fgColor rgb="FFF3E6D5"/>
      </patternFill>
    </fill>
    <fill>
      <patternFill patternType="solid">
        <fgColor rgb="FF8B5E3C"/>
      </patternFill>
    </fill>
    <fill>
      <patternFill patternType="solid">
        <fgColor rgb="FF5A7669"/>
      </patternFill>
    </fill>
    <fill>
      <patternFill patternType="solid">
        <fgColor rgb="FFFFF8E1"/>
      </patternFill>
    </fill>
  </fills>
  <borders count="10">
    <border/>
    <border>
      <left style="thin">
        <color rgb="FF2A4337"/>
      </left>
      <top style="thin">
        <color rgb="FF2A4337"/>
      </top>
      <bottom style="thin">
        <color rgb="FF2A4337"/>
      </bottom>
    </border>
    <border>
      <top style="thin">
        <color rgb="FF2A4337"/>
      </top>
      <bottom style="thin">
        <color rgb="FF2A4337"/>
      </bottom>
    </border>
    <border>
      <right style="thin">
        <color rgb="FF2A4337"/>
      </right>
      <top style="thin">
        <color rgb="FF2A4337"/>
      </top>
      <bottom style="thin">
        <color rgb="FF2A4337"/>
      </bottom>
    </border>
    <border>
      <bottom style="hair">
        <color rgb="FFD8D0C6"/>
      </bottom>
    </border>
    <border>
      <top style="hair">
        <color rgb="FFD8D0C6"/>
      </top>
      <bottom style="hair">
        <color rgb="FFD8D0C6"/>
      </bottom>
    </border>
    <border>
      <top style="hair">
        <color rgb="FFD8D0C6"/>
      </top>
    </border>
    <border>
      <bottom style="thin">
        <color rgb="FFD8D0C6"/>
      </bottom>
    </border>
    <border>
      <top style="thin">
        <color rgb="FFD8D0C6"/>
      </top>
      <bottom style="thin">
        <color rgb="FFD8D0C6"/>
      </bottom>
    </border>
    <border>
      <top style="thin">
        <color rgb="FFD8D0C6"/>
      </top>
    </border>
  </borders>
  <cellStyleXfs count="1">
    <xf numFmtId="0" fontId="0" fillId="0" borderId="0"/>
  </cellStyleXfs>
  <cellXfs count="48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0"/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3" fillId="0" borderId="0" pivotButton="0" quotePrefix="0" xfId="0"/>
    <xf numFmtId="0" fontId="0" fillId="4" borderId="0" pivotButton="0" quotePrefix="0" xfId="0"/>
    <xf numFmtId="0" fontId="4" fillId="4" borderId="0" pivotButton="0" quotePrefix="0" xfId="0"/>
    <xf numFmtId="0" fontId="4" fillId="4" borderId="0" applyAlignment="1" pivotButton="0" quotePrefix="0" xfId="0">
      <alignment vertical="center"/>
    </xf>
    <xf numFmtId="0" fontId="5" fillId="3" borderId="0" pivotButton="0" quotePrefix="0" xfId="0"/>
    <xf numFmtId="0" fontId="5" fillId="3" borderId="0" applyAlignment="1" pivotButton="0" quotePrefix="0" xfId="0">
      <alignment wrapText="1"/>
    </xf>
    <xf numFmtId="0" fontId="0" fillId="5" borderId="0" pivotButton="0" quotePrefix="0" xfId="0"/>
    <xf numFmtId="0" fontId="6" fillId="5" borderId="0" pivotButton="0" quotePrefix="0" xfId="0"/>
    <xf numFmtId="0" fontId="6" fillId="5" borderId="1" pivotButton="0" quotePrefix="0" xfId="0"/>
    <xf numFmtId="0" fontId="6" fillId="5" borderId="2" pivotButton="0" quotePrefix="0" xfId="0"/>
    <xf numFmtId="0" fontId="6" fillId="5" borderId="3" pivotButton="0" quotePrefix="0" xfId="0"/>
    <xf numFmtId="0" fontId="6" fillId="5" borderId="1" applyAlignment="1" pivotButton="0" quotePrefix="0" xfId="0">
      <alignment wrapText="1"/>
    </xf>
    <xf numFmtId="0" fontId="6" fillId="5" borderId="2" applyAlignment="1" pivotButton="0" quotePrefix="0" xfId="0">
      <alignment wrapText="1"/>
    </xf>
    <xf numFmtId="0" fontId="6" fillId="5" borderId="3" applyAlignment="1" pivotButton="0" quotePrefix="0" xfId="0">
      <alignment wrapText="1"/>
    </xf>
    <xf numFmtId="0" fontId="6" fillId="5" borderId="1" applyAlignment="1" pivotButton="0" quotePrefix="0" xfId="0">
      <alignment vertical="center" wrapText="1"/>
    </xf>
    <xf numFmtId="0" fontId="6" fillId="5" borderId="2" applyAlignment="1" pivotButton="0" quotePrefix="0" xfId="0">
      <alignment vertical="center" wrapText="1"/>
    </xf>
    <xf numFmtId="0" fontId="6" fillId="5" borderId="3" applyAlignment="1" pivotButton="0" quotePrefix="0" xfId="0">
      <alignment vertical="center" wrapText="1"/>
    </xf>
    <xf numFmtId="0" fontId="7" fillId="0" borderId="0" pivotButton="0" quotePrefix="0" xfId="0"/>
    <xf numFmtId="0" fontId="7" fillId="0" borderId="4" pivotButton="0" quotePrefix="0" xfId="0"/>
    <xf numFmtId="0" fontId="7" fillId="0" borderId="5" pivotButton="0" quotePrefix="0" xfId="0"/>
    <xf numFmtId="0" fontId="7" fillId="0" borderId="6" pivotButton="0" quotePrefix="0" xfId="0"/>
    <xf numFmtId="0" fontId="7" fillId="0" borderId="4" applyAlignment="1" pivotButton="0" quotePrefix="0" xfId="0">
      <alignment vertical="center"/>
    </xf>
    <xf numFmtId="0" fontId="7" fillId="0" borderId="5" applyAlignment="1" pivotButton="0" quotePrefix="0" xfId="0">
      <alignment vertical="center"/>
    </xf>
    <xf numFmtId="0" fontId="7" fillId="0" borderId="6" applyAlignment="1" pivotButton="0" quotePrefix="0" xfId="0">
      <alignment vertical="center"/>
    </xf>
    <xf numFmtId="164" fontId="7" fillId="0" borderId="4" applyAlignment="1" pivotButton="0" quotePrefix="0" xfId="0">
      <alignment vertical="center"/>
    </xf>
    <xf numFmtId="164" fontId="7" fillId="0" borderId="5" applyAlignment="1" pivotButton="0" quotePrefix="0" xfId="0">
      <alignment vertical="center"/>
    </xf>
    <xf numFmtId="164" fontId="7" fillId="0" borderId="6" applyAlignment="1" pivotButton="0" quotePrefix="0" xfId="0">
      <alignment vertical="center"/>
    </xf>
    <xf numFmtId="165" fontId="7" fillId="0" borderId="4" applyAlignment="1" pivotButton="0" quotePrefix="0" xfId="0">
      <alignment vertical="center"/>
    </xf>
    <xf numFmtId="165" fontId="7" fillId="0" borderId="5" applyAlignment="1" pivotButton="0" quotePrefix="0" xfId="0">
      <alignment vertical="center"/>
    </xf>
    <xf numFmtId="165" fontId="7" fillId="0" borderId="6" applyAlignment="1" pivotButton="0" quotePrefix="0" xfId="0">
      <alignment vertical="center"/>
    </xf>
    <xf numFmtId="0" fontId="7" fillId="6" borderId="4" applyAlignment="1" pivotButton="0" quotePrefix="0" xfId="0">
      <alignment vertical="center"/>
    </xf>
    <xf numFmtId="0" fontId="7" fillId="6" borderId="5" applyAlignment="1" pivotButton="0" quotePrefix="0" xfId="0">
      <alignment vertical="center"/>
    </xf>
    <xf numFmtId="0" fontId="7" fillId="6" borderId="6" applyAlignment="1" pivotButton="0" quotePrefix="0" xfId="0">
      <alignment vertical="center"/>
    </xf>
    <xf numFmtId="0" fontId="8" fillId="0" borderId="0" pivotButton="0" quotePrefix="0" xfId="0"/>
    <xf numFmtId="0" fontId="8" fillId="0" borderId="7" pivotButton="0" quotePrefix="0" xfId="0"/>
    <xf numFmtId="0" fontId="8" fillId="0" borderId="8" pivotButton="0" quotePrefix="0" xfId="0"/>
    <xf numFmtId="0" fontId="8" fillId="0" borderId="9" pivotButton="0" quotePrefix="0" xfId="0"/>
    <xf numFmtId="0" fontId="8" fillId="3" borderId="7" pivotButton="0" quotePrefix="0" xfId="0"/>
    <xf numFmtId="0" fontId="8" fillId="3" borderId="8" pivotButton="0" quotePrefix="0" xfId="0"/>
    <xf numFmtId="0" fontId="8" fillId="3" borderId="9" pivotButton="0" quotePrefix="0" xfId="0"/>
    <xf numFmtId="164" fontId="7" fillId="0" borderId="4" applyAlignment="1" pivotButton="0" quotePrefix="0" xfId="0">
      <alignment vertical="center"/>
    </xf>
    <xf numFmtId="165" fontId="7" fillId="0" borderId="4" applyAlignment="1" pivotButton="0" quotePrefix="0" xfId="0">
      <alignment vertical="center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72" customWidth="1" min="2" max="2"/>
  </cols>
  <sheetData>
    <row r="1" ht="25" customHeight="1">
      <c r="A1" s="6" t="n"/>
    </row>
    <row r="2" ht="25" customHeight="1"/>
    <row r="4">
      <c r="A4" s="2" t="inlineStr">
        <is>
          <t>Company</t>
        </is>
      </c>
      <c r="B4" s="5" t="inlineStr">
        <is>
          <t>Alder Ridge Mechanical</t>
        </is>
      </c>
    </row>
    <row r="5">
      <c r="A5" s="2" t="inlineStr">
        <is>
          <t>Reporting cutoff</t>
        </is>
      </c>
      <c r="B5" s="5" t="inlineStr">
        <is>
          <t>2026-06-30</t>
        </is>
      </c>
    </row>
    <row r="6">
      <c r="A6" s="2" t="inlineStr">
        <is>
          <t>Review date</t>
        </is>
      </c>
      <c r="B6" s="5" t="inlineStr">
        <is>
          <t>2026-07-05</t>
        </is>
      </c>
    </row>
    <row r="7">
      <c r="A7" s="2" t="inlineStr">
        <is>
          <t>Version</t>
        </is>
      </c>
      <c r="B7" s="5" t="inlineStr">
        <is>
          <t>Prior working version</t>
        </is>
      </c>
    </row>
    <row r="8">
      <c r="A8" s="2" t="inlineStr">
        <is>
          <t>Workbook status</t>
        </is>
      </c>
      <c r="B8" s="5" t="inlineStr">
        <is>
          <t>PRIOR REVIEW COPY • NOT CURRENT</t>
        </is>
      </c>
    </row>
    <row r="9">
      <c r="A9" s="2" t="inlineStr">
        <is>
          <t>Purpose</t>
        </is>
      </c>
      <c r="B9" s="5" t="inlineStr">
        <is>
          <t>Management assumptions and supporting schedules used across the finance review</t>
        </is>
      </c>
    </row>
    <row r="10">
      <c r="A10" s="2" t="inlineStr">
        <is>
          <t>Authority</t>
        </is>
      </c>
      <c r="B10" s="5" t="inlineStr">
        <is>
          <t>Change history only; resolve current decisions from controller-reviewed sources and correspondence</t>
        </is>
      </c>
    </row>
    <row r="12" ht="42" customHeight="1">
      <c r="B12" s="6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FY27 operating plan | Revenue and Service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PLN-00021</t>
        </is>
      </c>
      <c r="B5" s="27" t="inlineStr">
        <is>
          <t>FY27 branch revenue driver forecast</t>
        </is>
      </c>
      <c r="C5" s="27" t="inlineStr">
        <is>
          <t>FY27 approved branch drivers</t>
        </is>
      </c>
      <c r="D5" s="27" t="inlineStr">
        <is>
          <t>Construction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Core volume growth</t>
        </is>
      </c>
      <c r="H5" s="46" t="n">
        <v>-0.0206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PLN-00022</t>
        </is>
      </c>
      <c r="B6" s="27" t="inlineStr">
        <is>
          <t>FY27 branch revenue driver forecast</t>
        </is>
      </c>
      <c r="C6" s="27" t="inlineStr">
        <is>
          <t>FY27 approved branch drivers</t>
        </is>
      </c>
      <c r="D6" s="27" t="inlineStr">
        <is>
          <t>Service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Expansion ARR</t>
        </is>
      </c>
      <c r="H6" s="46" t="n">
        <v>790400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PLN-00023</t>
        </is>
      </c>
      <c r="B7" s="27" t="inlineStr">
        <is>
          <t>FY27 branch revenue driver forecast</t>
        </is>
      </c>
      <c r="C7" s="27" t="inlineStr">
        <is>
          <t>FY27 approved branch drivers</t>
        </is>
      </c>
      <c r="D7" s="27" t="inlineStr">
        <is>
          <t>Controls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Monitoring share</t>
        </is>
      </c>
      <c r="H7" s="46" t="n">
        <v>0.231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PLN-00024</t>
        </is>
      </c>
      <c r="B8" s="27" t="inlineStr">
        <is>
          <t>FY27 branch revenue driver forecast</t>
        </is>
      </c>
      <c r="C8" s="27" t="inlineStr">
        <is>
          <t>FY27 approved branch drivers</t>
        </is>
      </c>
      <c r="D8" s="27" t="inlineStr">
        <is>
          <t>Service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Recurring share</t>
        </is>
      </c>
      <c r="H8" s="46" t="n">
        <v>0.4944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PLN-00025</t>
        </is>
      </c>
      <c r="B9" s="27" t="inlineStr">
        <is>
          <t>FY27 branch revenue driver forecast</t>
        </is>
      </c>
      <c r="C9" s="27" t="inlineStr">
        <is>
          <t>FY27 approved branch drivers</t>
        </is>
      </c>
      <c r="D9" s="27" t="inlineStr">
        <is>
          <t>Controls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Project volume growth</t>
        </is>
      </c>
      <c r="H9" s="46" t="n">
        <v>0.0728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PLN-00026</t>
        </is>
      </c>
      <c r="B10" s="27" t="inlineStr">
        <is>
          <t>FY27 branch revenue driver forecast</t>
        </is>
      </c>
      <c r="C10" s="27" t="inlineStr">
        <is>
          <t>FY27 approved branch drivers</t>
        </is>
      </c>
      <c r="D10" s="27" t="inlineStr">
        <is>
          <t>Construction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Core price growth</t>
        </is>
      </c>
      <c r="H10" s="46" t="n">
        <v>0.0336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PLN-00027</t>
        </is>
      </c>
      <c r="B11" s="27" t="inlineStr">
        <is>
          <t>FY27 branch revenue driver forecast</t>
        </is>
      </c>
      <c r="C11" s="27" t="inlineStr">
        <is>
          <t>FY27 approved branch drivers</t>
        </is>
      </c>
      <c r="D11" s="27" t="inlineStr">
        <is>
          <t>Service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Demand-work volume growth</t>
        </is>
      </c>
      <c r="H11" s="46" t="n">
        <v>0.05665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PLN-00028</t>
        </is>
      </c>
      <c r="B12" s="27" t="inlineStr">
        <is>
          <t>FY27 branch revenue driver forecast</t>
        </is>
      </c>
      <c r="C12" s="27" t="inlineStr">
        <is>
          <t>FY27 approved branch drivers</t>
        </is>
      </c>
      <c r="D12" s="27" t="inlineStr">
        <is>
          <t>Controls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Signed backlog incremental revenue</t>
        </is>
      </c>
      <c r="H12" s="46" t="n">
        <v>665.6</v>
      </c>
      <c r="I12" s="27" t="inlineStr"/>
      <c r="J12" s="27" t="inlineStr">
        <is>
          <t>USD thousands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PLN-00029</t>
        </is>
      </c>
      <c r="B13" s="27" t="inlineStr">
        <is>
          <t>FY27 branch revenue driver forecast</t>
        </is>
      </c>
      <c r="C13" s="27" t="inlineStr">
        <is>
          <t>FY27 approved branch drivers</t>
        </is>
      </c>
      <c r="D13" s="27" t="inlineStr">
        <is>
          <t>Service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Gross renewal rate</t>
        </is>
      </c>
      <c r="H13" s="46" t="n">
        <v>0.9712500000000001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PLN-00030</t>
        </is>
      </c>
      <c r="B14" s="27" t="inlineStr">
        <is>
          <t>FY27 branch revenue driver forecast</t>
        </is>
      </c>
      <c r="C14" s="27" t="inlineStr">
        <is>
          <t>FY27 approved branch drivers</t>
        </is>
      </c>
      <c r="D14" s="27" t="inlineStr">
        <is>
          <t>Controls</t>
        </is>
      </c>
      <c r="E14" s="27" t="inlineStr">
        <is>
          <t>FY27</t>
        </is>
      </c>
      <c r="F14" s="27" t="inlineStr">
        <is>
          <t>Management stretch</t>
        </is>
      </c>
      <c r="G14" s="27" t="inlineStr">
        <is>
          <t>Project price growth</t>
        </is>
      </c>
      <c r="H14" s="46" t="n">
        <v>0.02884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PLN-00262</t>
        </is>
      </c>
      <c r="B15" s="27" t="inlineStr">
        <is>
          <t>Service revenue price-volume-mix variance</t>
        </is>
      </c>
      <c r="C15" s="27" t="inlineStr">
        <is>
          <t>Q2 service product detail</t>
        </is>
      </c>
      <c r="D15" s="27" t="inlineStr">
        <is>
          <t>Preventive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Budget units</t>
        </is>
      </c>
      <c r="H15" s="46" t="n">
        <v>49440</v>
      </c>
      <c r="I15" s="27" t="inlineStr"/>
      <c r="J15" s="27" t="inlineStr">
        <is>
          <t>count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PLN-00263</t>
        </is>
      </c>
      <c r="B16" s="27" t="inlineStr">
        <is>
          <t>Service revenue price-volume-mix variance</t>
        </is>
      </c>
      <c r="C16" s="27" t="inlineStr">
        <is>
          <t>Q2 service product detail</t>
        </is>
      </c>
      <c r="D16" s="27" t="inlineStr">
        <is>
          <t>Predictive</t>
        </is>
      </c>
      <c r="E16" s="27" t="inlineStr">
        <is>
          <t>2026-Q2</t>
        </is>
      </c>
      <c r="F16" s="27" t="inlineStr">
        <is>
          <t>Management stretch</t>
        </is>
      </c>
      <c r="G16" s="27" t="inlineStr">
        <is>
          <t>Actual units</t>
        </is>
      </c>
      <c r="H16" s="46" t="n">
        <v>26208</v>
      </c>
      <c r="I16" s="27" t="inlineStr"/>
      <c r="J16" s="27" t="inlineStr">
        <is>
          <t>count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PLN-00264</t>
        </is>
      </c>
      <c r="B17" s="27" t="inlineStr">
        <is>
          <t>Service revenue price-volume-mix variance</t>
        </is>
      </c>
      <c r="C17" s="27" t="inlineStr">
        <is>
          <t>Q2 service product detail</t>
        </is>
      </c>
      <c r="D17" s="27" t="inlineStr">
        <is>
          <t>Emergency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Executed SLA credits</t>
        </is>
      </c>
      <c r="H17" s="46" t="n">
        <v>-44.1</v>
      </c>
      <c r="I17" s="27" t="inlineStr"/>
      <c r="J17" s="27" t="inlineStr">
        <is>
          <t>USD thousands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PLN-00265</t>
        </is>
      </c>
      <c r="B18" s="27" t="inlineStr">
        <is>
          <t>Service revenue price-volume-mix variance</t>
        </is>
      </c>
      <c r="C18" s="27" t="inlineStr">
        <is>
          <t>Q2 service product detail</t>
        </is>
      </c>
      <c r="D18" s="27" t="inlineStr">
        <is>
          <t>Preventive</t>
        </is>
      </c>
      <c r="E18" s="27" t="inlineStr">
        <is>
          <t>2026-Q2</t>
        </is>
      </c>
      <c r="F18" s="27" t="inlineStr">
        <is>
          <t>Management stretch</t>
        </is>
      </c>
      <c r="G18" s="27" t="inlineStr">
        <is>
          <t>Budget unit price</t>
        </is>
      </c>
      <c r="H18" s="46" t="n">
        <v>98.88</v>
      </c>
      <c r="I18" s="27" t="inlineStr"/>
      <c r="J18" s="27" t="inlineStr">
        <is>
          <t>USD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PLN-00266</t>
        </is>
      </c>
      <c r="B19" s="27" t="inlineStr">
        <is>
          <t>Service revenue price-volume-mix variance</t>
        </is>
      </c>
      <c r="C19" s="27" t="inlineStr">
        <is>
          <t>Q2 service product detail</t>
        </is>
      </c>
      <c r="D19" s="27" t="inlineStr">
        <is>
          <t>Predictive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Actual unit price</t>
        </is>
      </c>
      <c r="H19" s="46" t="n">
        <v>148.2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PLN-00267</t>
        </is>
      </c>
      <c r="B20" s="27" t="inlineStr">
        <is>
          <t>Service revenue price-volume-mix variance</t>
        </is>
      </c>
      <c r="C20" s="27" t="inlineStr">
        <is>
          <t>Q2 service product detail</t>
        </is>
      </c>
      <c r="D20" s="27" t="inlineStr">
        <is>
          <t>Remote monitoring</t>
        </is>
      </c>
      <c r="E20" s="27" t="inlineStr">
        <is>
          <t>2026-Q2</t>
        </is>
      </c>
      <c r="F20" s="27" t="inlineStr">
        <is>
          <t>Management stretch</t>
        </is>
      </c>
      <c r="G20" s="27" t="inlineStr">
        <is>
          <t>Budget units</t>
        </is>
      </c>
      <c r="H20" s="46" t="n">
        <v>10500</v>
      </c>
      <c r="I20" s="27" t="inlineStr"/>
      <c r="J20" s="27" t="inlineStr">
        <is>
          <t>count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PLN-00268</t>
        </is>
      </c>
      <c r="B21" s="27" t="inlineStr">
        <is>
          <t>Service revenue price-volume-mix variance</t>
        </is>
      </c>
      <c r="C21" s="27" t="inlineStr">
        <is>
          <t>Q2 service product detail</t>
        </is>
      </c>
      <c r="D21" s="27" t="inlineStr">
        <is>
          <t>Preventive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Actual units</t>
        </is>
      </c>
      <c r="H21" s="46" t="n">
        <v>53148</v>
      </c>
      <c r="I21" s="27" t="inlineStr"/>
      <c r="J21" s="27" t="inlineStr">
        <is>
          <t>count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PLN-00269</t>
        </is>
      </c>
      <c r="B22" s="27" t="inlineStr">
        <is>
          <t>Service revenue price-volume-mix variance</t>
        </is>
      </c>
      <c r="C22" s="27" t="inlineStr">
        <is>
          <t>Q2 service product detail</t>
        </is>
      </c>
      <c r="D22" s="27" t="inlineStr">
        <is>
          <t>Predictive</t>
        </is>
      </c>
      <c r="E22" s="27" t="inlineStr">
        <is>
          <t>2026-Q2</t>
        </is>
      </c>
      <c r="F22" s="27" t="inlineStr">
        <is>
          <t>Management stretch</t>
        </is>
      </c>
      <c r="G22" s="27" t="inlineStr">
        <is>
          <t>Executed SLA credits</t>
        </is>
      </c>
      <c r="H22" s="46" t="n">
        <v>-24960</v>
      </c>
      <c r="I22" s="27" t="inlineStr"/>
      <c r="J22" s="27" t="inlineStr">
        <is>
          <t>USD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PLN-00270</t>
        </is>
      </c>
      <c r="B23" s="27" t="inlineStr">
        <is>
          <t>Service revenue price-volume-mix variance</t>
        </is>
      </c>
      <c r="C23" s="27" t="inlineStr">
        <is>
          <t>Q2 service product detail</t>
        </is>
      </c>
      <c r="D23" s="27" t="inlineStr">
        <is>
          <t>Remote monitoring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Budget unit price</t>
        </is>
      </c>
      <c r="H23" s="46" t="n">
        <v>80.01000000000001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PLN-00271</t>
        </is>
      </c>
      <c r="B24" s="27" t="inlineStr">
        <is>
          <t>Service revenue price-volume-mix variance</t>
        </is>
      </c>
      <c r="C24" s="27" t="inlineStr">
        <is>
          <t>Q2 service product detail</t>
        </is>
      </c>
      <c r="D24" s="27" t="inlineStr">
        <is>
          <t>Preventive</t>
        </is>
      </c>
      <c r="E24" s="27" t="inlineStr">
        <is>
          <t>2026-Q2</t>
        </is>
      </c>
      <c r="F24" s="27" t="inlineStr">
        <is>
          <t>Management stretch</t>
        </is>
      </c>
      <c r="G24" s="27" t="inlineStr">
        <is>
          <t>Actual unit price</t>
        </is>
      </c>
      <c r="H24" s="46" t="n">
        <v>101.352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PLN-00601</t>
        </is>
      </c>
      <c r="B25" s="27" t="inlineStr">
        <is>
          <t>Service-contract cohort renewal forecast</t>
        </is>
      </c>
      <c r="C25" s="27" t="inlineStr">
        <is>
          <t>FY27 renewal assumptions</t>
        </is>
      </c>
      <c r="D25" s="27" t="inlineStr">
        <is>
          <t>C-2019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Gross renewal probability</t>
        </is>
      </c>
      <c r="H25" s="46" t="n">
        <v>0.927</v>
      </c>
      <c r="I25" s="27" t="inlineStr"/>
      <c r="J25" s="27" t="inlineStr">
        <is>
          <t>decimal ratio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PLN-00602</t>
        </is>
      </c>
      <c r="B26" s="27" t="inlineStr">
        <is>
          <t>Service-contract cohort renewal forecast</t>
        </is>
      </c>
      <c r="C26" s="27" t="inlineStr">
        <is>
          <t>FY27 renewal assumptions</t>
        </is>
      </c>
      <c r="D26" s="27" t="inlineStr">
        <is>
          <t>C-2020</t>
        </is>
      </c>
      <c r="E26" s="27" t="inlineStr">
        <is>
          <t>FY27</t>
        </is>
      </c>
      <c r="F26" s="27" t="inlineStr">
        <is>
          <t>Management stretch</t>
        </is>
      </c>
      <c r="G26" s="27" t="inlineStr">
        <is>
          <t>Signed expansion ARR</t>
        </is>
      </c>
      <c r="H26" s="46" t="n">
        <v>187200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PLN-00603</t>
        </is>
      </c>
      <c r="B27" s="27" t="inlineStr">
        <is>
          <t>Service-contract cohort renewal forecast</t>
        </is>
      </c>
      <c r="C27" s="27" t="inlineStr">
        <is>
          <t>FY27 renewal assumptions</t>
        </is>
      </c>
      <c r="D27" s="27" t="inlineStr">
        <is>
          <t>C-2022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Expected downsell after renewal</t>
        </is>
      </c>
      <c r="H27" s="46" t="n">
        <v>0</v>
      </c>
      <c r="I27" s="27" t="inlineStr"/>
      <c r="J27" s="27" t="inlineStr">
        <is>
          <t>decimal ratio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PLN-00604</t>
        </is>
      </c>
      <c r="B28" s="27" t="inlineStr">
        <is>
          <t>Service-contract cohort renewal forecast</t>
        </is>
      </c>
      <c r="C28" s="27" t="inlineStr">
        <is>
          <t>FY27 renewal assumptions</t>
        </is>
      </c>
      <c r="D28" s="27" t="inlineStr">
        <is>
          <t>C-2024</t>
        </is>
      </c>
      <c r="E28" s="27" t="inlineStr">
        <is>
          <t>FY27</t>
        </is>
      </c>
      <c r="F28" s="27" t="inlineStr">
        <is>
          <t>Management stretch</t>
        </is>
      </c>
      <c r="G28" s="27" t="inlineStr">
        <is>
          <t>Contractual price escalation</t>
        </is>
      </c>
      <c r="H28" s="46" t="n">
        <v>0.03605000000000001</v>
      </c>
      <c r="I28" s="27" t="inlineStr"/>
      <c r="J28" s="27" t="inlineStr">
        <is>
          <t>decimal ratio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PLN-00605</t>
        </is>
      </c>
      <c r="B29" s="27" t="inlineStr">
        <is>
          <t>Service-contract cohort renewal forecast</t>
        </is>
      </c>
      <c r="C29" s="27" t="inlineStr">
        <is>
          <t>FY27 renewal assumptions</t>
        </is>
      </c>
      <c r="D29" s="27" t="inlineStr">
        <is>
          <t>C-2019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Gross renewal probability</t>
        </is>
      </c>
      <c r="H29" s="46" t="n">
        <v>0.9360000000000001</v>
      </c>
      <c r="I29" s="27" t="inlineStr"/>
      <c r="J29" s="27" t="inlineStr">
        <is>
          <t>decimal ratio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PLN-00606</t>
        </is>
      </c>
      <c r="B30" s="27" t="inlineStr">
        <is>
          <t>Service-contract cohort renewal forecast</t>
        </is>
      </c>
      <c r="C30" s="27" t="inlineStr">
        <is>
          <t>FY27 renewal assumptions</t>
        </is>
      </c>
      <c r="D30" s="27" t="inlineStr">
        <is>
          <t>C-2020</t>
        </is>
      </c>
      <c r="E30" s="27" t="inlineStr">
        <is>
          <t>FY27</t>
        </is>
      </c>
      <c r="F30" s="27" t="inlineStr">
        <is>
          <t>Management stretch</t>
        </is>
      </c>
      <c r="G30" s="27" t="inlineStr">
        <is>
          <t>Signed expansion ARR</t>
        </is>
      </c>
      <c r="H30" s="46" t="n">
        <v>189000</v>
      </c>
      <c r="I30" s="27" t="inlineStr"/>
      <c r="J30" s="27" t="inlineStr">
        <is>
          <t>USD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PLN-00607</t>
        </is>
      </c>
      <c r="B31" s="27" t="inlineStr">
        <is>
          <t>Service-contract cohort renewal forecast</t>
        </is>
      </c>
      <c r="C31" s="27" t="inlineStr">
        <is>
          <t>FY27 renewal assumptions</t>
        </is>
      </c>
      <c r="D31" s="27" t="inlineStr">
        <is>
          <t>C-2022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Expected downsell after renewal</t>
        </is>
      </c>
      <c r="H31" s="46" t="n">
        <v>0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PLN-00608</t>
        </is>
      </c>
      <c r="B32" s="27" t="inlineStr">
        <is>
          <t>Service-contract cohort renewal forecast</t>
        </is>
      </c>
      <c r="C32" s="27" t="inlineStr">
        <is>
          <t>FY27 renewal assumptions</t>
        </is>
      </c>
      <c r="D32" s="27" t="inlineStr">
        <is>
          <t>C-2024</t>
        </is>
      </c>
      <c r="E32" s="27" t="inlineStr">
        <is>
          <t>FY27</t>
        </is>
      </c>
      <c r="F32" s="27" t="inlineStr">
        <is>
          <t>Management stretch</t>
        </is>
      </c>
      <c r="G32" s="27" t="inlineStr">
        <is>
          <t>Contractual price escalation</t>
        </is>
      </c>
      <c r="H32" s="46" t="n">
        <v>0.0364</v>
      </c>
      <c r="I32" s="27" t="inlineStr"/>
      <c r="J32" s="27" t="inlineStr">
        <is>
          <t>decimal ratio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PLN-00609</t>
        </is>
      </c>
      <c r="B33" s="27" t="inlineStr">
        <is>
          <t>Service-contract cohort renewal forecast</t>
        </is>
      </c>
      <c r="C33" s="27" t="inlineStr">
        <is>
          <t>FY27 renewal assumptions</t>
        </is>
      </c>
      <c r="D33" s="27" t="inlineStr">
        <is>
          <t>C-2019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Gross renewal probability</t>
        </is>
      </c>
      <c r="H33" s="46" t="n">
        <v>0.9450000000000001</v>
      </c>
      <c r="I33" s="27" t="inlineStr"/>
      <c r="J33" s="27" t="inlineStr">
        <is>
          <t>decimal ratio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PLN-00610</t>
        </is>
      </c>
      <c r="B34" s="27" t="inlineStr">
        <is>
          <t>Service-contract cohort renewal forecast</t>
        </is>
      </c>
      <c r="C34" s="27" t="inlineStr">
        <is>
          <t>FY27 renewal assumptions</t>
        </is>
      </c>
      <c r="D34" s="27" t="inlineStr">
        <is>
          <t>C-2020</t>
        </is>
      </c>
      <c r="E34" s="27" t="inlineStr">
        <is>
          <t>FY27</t>
        </is>
      </c>
      <c r="F34" s="27" t="inlineStr">
        <is>
          <t>Management stretch</t>
        </is>
      </c>
      <c r="G34" s="27" t="inlineStr">
        <is>
          <t>Signed expansion ARR</t>
        </is>
      </c>
      <c r="H34" s="46" t="n">
        <v>185400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PLN-00611</t>
        </is>
      </c>
      <c r="B35" s="27" t="inlineStr">
        <is>
          <t>Service-contract cohort renewal forecast</t>
        </is>
      </c>
      <c r="C35" s="27" t="inlineStr">
        <is>
          <t>FY27 renewal assumptions</t>
        </is>
      </c>
      <c r="D35" s="27" t="inlineStr">
        <is>
          <t>C-2022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Expected downsell after renewal</t>
        </is>
      </c>
      <c r="H35" s="46" t="n">
        <v>0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PLN-00612</t>
        </is>
      </c>
      <c r="B36" s="27" t="inlineStr">
        <is>
          <t>Service-contract cohort renewal forecast</t>
        </is>
      </c>
      <c r="C36" s="27" t="inlineStr">
        <is>
          <t>FY27 renewal assumptions</t>
        </is>
      </c>
      <c r="D36" s="27" t="inlineStr">
        <is>
          <t>C-2024</t>
        </is>
      </c>
      <c r="E36" s="27" t="inlineStr">
        <is>
          <t>FY27</t>
        </is>
      </c>
      <c r="F36" s="27" t="inlineStr">
        <is>
          <t>Management stretch</t>
        </is>
      </c>
      <c r="G36" s="27" t="inlineStr">
        <is>
          <t>Contractual price escalation</t>
        </is>
      </c>
      <c r="H36" s="46" t="n">
        <v>0.03675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PLN-00822</t>
        </is>
      </c>
      <c r="B37" s="27" t="inlineStr">
        <is>
          <t>Create the integrated FY27 operating plan</t>
        </is>
      </c>
      <c r="C37" s="27" t="inlineStr">
        <is>
          <t>Branch operating plan</t>
        </is>
      </c>
      <c r="D37" s="27" t="inlineStr">
        <is>
          <t>Construction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FY26 revenue share</t>
        </is>
      </c>
      <c r="H37" s="46" t="n">
        <v>0.5973999999999999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PLN-00823</t>
        </is>
      </c>
      <c r="B38" s="27" t="inlineStr">
        <is>
          <t>Create the integrated FY27 operating plan</t>
        </is>
      </c>
      <c r="C38" s="27" t="inlineStr">
        <is>
          <t>Branch operating plan</t>
        </is>
      </c>
      <c r="D38" s="27" t="inlineStr">
        <is>
          <t>Service</t>
        </is>
      </c>
      <c r="E38" s="27" t="inlineStr">
        <is>
          <t>FY27</t>
        </is>
      </c>
      <c r="F38" s="27" t="inlineStr">
        <is>
          <t>Management stretch</t>
        </is>
      </c>
      <c r="G38" s="27" t="inlineStr">
        <is>
          <t>FY27 gross margin</t>
        </is>
      </c>
      <c r="H38" s="46" t="n">
        <v>0.4524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PLN-00824</t>
        </is>
      </c>
      <c r="B39" s="27" t="inlineStr">
        <is>
          <t>Create the integrated FY27 operating plan</t>
        </is>
      </c>
      <c r="C39" s="27" t="inlineStr">
        <is>
          <t>Branch operating plan</t>
        </is>
      </c>
      <c r="D39" s="27" t="inlineStr">
        <is>
          <t>Controls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Variable opex percent</t>
        </is>
      </c>
      <c r="H39" s="46" t="n">
        <v>0.0462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PLN-00825</t>
        </is>
      </c>
      <c r="B40" s="27" t="inlineStr">
        <is>
          <t>Create the integrated FY27 operating plan</t>
        </is>
      </c>
      <c r="C40" s="27" t="inlineStr">
        <is>
          <t>Integrated plan assumptions</t>
        </is>
      </c>
      <c r="D40" s="27" t="inlineStr">
        <is>
          <t>Alder Ridge</t>
        </is>
      </c>
      <c r="E40" s="27" t="inlineStr">
        <is>
          <t>FY27</t>
        </is>
      </c>
      <c r="F40" s="27" t="inlineStr">
        <is>
          <t>Management stretch</t>
        </is>
      </c>
      <c r="G40" s="27" t="inlineStr">
        <is>
          <t>Downside gross margin compression</t>
        </is>
      </c>
      <c r="H40" s="46" t="n">
        <v>0.023175</v>
      </c>
      <c r="I40" s="27" t="inlineStr"/>
      <c r="J40" s="27" t="inlineStr">
        <is>
          <t>decimal ratio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PLN-00826</t>
        </is>
      </c>
      <c r="B41" s="27" t="inlineStr">
        <is>
          <t>Create the integrated FY27 operating plan</t>
        </is>
      </c>
      <c r="C41" s="27" t="inlineStr">
        <is>
          <t>Branch operating plan</t>
        </is>
      </c>
      <c r="D41" s="27" t="inlineStr">
        <is>
          <t>Service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FY26 revenue share</t>
        </is>
      </c>
      <c r="H41" s="46" t="n">
        <v>0.2808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PLN-00827</t>
        </is>
      </c>
      <c r="B42" s="27" t="inlineStr">
        <is>
          <t>Create the integrated FY27 operating plan</t>
        </is>
      </c>
      <c r="C42" s="27" t="inlineStr">
        <is>
          <t>Branch operating plan</t>
        </is>
      </c>
      <c r="D42" s="27" t="inlineStr">
        <is>
          <t>Controls</t>
        </is>
      </c>
      <c r="E42" s="27" t="inlineStr">
        <is>
          <t>FY27</t>
        </is>
      </c>
      <c r="F42" s="27" t="inlineStr">
        <is>
          <t>Management stretch</t>
        </is>
      </c>
      <c r="G42" s="27" t="inlineStr">
        <is>
          <t>FY27 gross margin</t>
        </is>
      </c>
      <c r="H42" s="46" t="n">
        <v>0.3339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PLN-00828</t>
        </is>
      </c>
      <c r="B43" s="27" t="inlineStr">
        <is>
          <t>Create the integrated FY27 operating plan</t>
        </is>
      </c>
      <c r="C43" s="27" t="inlineStr">
        <is>
          <t>Integrated plan assumptions</t>
        </is>
      </c>
      <c r="D43" s="27" t="inlineStr">
        <is>
          <t>Alder Ridge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Working capital percent of incremental revenue</t>
        </is>
      </c>
      <c r="H43" s="46" t="n">
        <v>0.08497500000000001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PLN-00829</t>
        </is>
      </c>
      <c r="B44" s="27" t="inlineStr">
        <is>
          <t>Create the integrated FY27 operating plan</t>
        </is>
      </c>
      <c r="C44" s="27" t="inlineStr">
        <is>
          <t>Branch operating plan</t>
        </is>
      </c>
      <c r="D44" s="27" t="inlineStr">
        <is>
          <t>Construction</t>
        </is>
      </c>
      <c r="E44" s="27" t="inlineStr">
        <is>
          <t>FY27</t>
        </is>
      </c>
      <c r="F44" s="27" t="inlineStr">
        <is>
          <t>Management stretch</t>
        </is>
      </c>
      <c r="G44" s="27" t="inlineStr">
        <is>
          <t>FY27 fixed opex</t>
        </is>
      </c>
      <c r="H44" s="46" t="n">
        <v>3276000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PLN-00830</t>
        </is>
      </c>
      <c r="B45" s="27" t="inlineStr">
        <is>
          <t>Create the integrated FY27 operating plan</t>
        </is>
      </c>
      <c r="C45" s="27" t="inlineStr">
        <is>
          <t>Branch operating plan</t>
        </is>
      </c>
      <c r="D45" s="27" t="inlineStr">
        <is>
          <t>Controls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FY26 revenue share</t>
        </is>
      </c>
      <c r="H45" s="46" t="n">
        <v>0.1575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PLN-00831</t>
        </is>
      </c>
      <c r="B46" s="27" t="inlineStr">
        <is>
          <t>Create the integrated FY27 operating plan</t>
        </is>
      </c>
      <c r="C46" s="27" t="inlineStr">
        <is>
          <t>Integrated plan assumptions</t>
        </is>
      </c>
      <c r="D46" s="27" t="inlineStr">
        <is>
          <t>Alder Ridge</t>
        </is>
      </c>
      <c r="E46" s="27" t="inlineStr">
        <is>
          <t>FY27</t>
        </is>
      </c>
      <c r="F46" s="27" t="inlineStr">
        <is>
          <t>Management stretch</t>
        </is>
      </c>
      <c r="G46" s="27" t="inlineStr">
        <is>
          <t>Maintenance capex</t>
        </is>
      </c>
      <c r="H46" s="46" t="n">
        <v>1184500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PLN-00832</t>
        </is>
      </c>
      <c r="B47" s="27" t="inlineStr">
        <is>
          <t>Create the integrated FY27 operating plan</t>
        </is>
      </c>
      <c r="C47" s="27" t="inlineStr">
        <is>
          <t>Branch operating plan</t>
        </is>
      </c>
      <c r="D47" s="27" t="inlineStr">
        <is>
          <t>Construction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FY27 approved growth</t>
        </is>
      </c>
      <c r="H47" s="46" t="n">
        <v>0.078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PLN-00833</t>
        </is>
      </c>
      <c r="B48" s="27" t="inlineStr">
        <is>
          <t>Create the integrated FY27 operating plan</t>
        </is>
      </c>
      <c r="C48" s="27" t="inlineStr">
        <is>
          <t>Branch operating plan</t>
        </is>
      </c>
      <c r="D48" s="27" t="inlineStr">
        <is>
          <t>Service</t>
        </is>
      </c>
      <c r="E48" s="27" t="inlineStr">
        <is>
          <t>FY27</t>
        </is>
      </c>
      <c r="F48" s="27" t="inlineStr">
        <is>
          <t>Management stretch</t>
        </is>
      </c>
      <c r="G48" s="27" t="inlineStr">
        <is>
          <t>FY27 fixed opex</t>
        </is>
      </c>
      <c r="H48" s="46" t="n">
        <v>2226000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PLN-00834</t>
        </is>
      </c>
      <c r="B49" s="27" t="inlineStr">
        <is>
          <t>Create the integrated FY27 operating plan</t>
        </is>
      </c>
      <c r="C49" s="27" t="inlineStr">
        <is>
          <t>Integrated plan assumptions</t>
        </is>
      </c>
      <c r="D49" s="27" t="inlineStr">
        <is>
          <t>Alder Ridge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Corporate opex</t>
        </is>
      </c>
      <c r="H49" s="46" t="n">
        <v>1081500</v>
      </c>
      <c r="I49" s="27" t="inlineStr"/>
      <c r="J49" s="27" t="inlineStr">
        <is>
          <t>USD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PLN-00835</t>
        </is>
      </c>
      <c r="B50" s="27" t="inlineStr">
        <is>
          <t>Create the integrated FY27 operating plan</t>
        </is>
      </c>
      <c r="C50" s="27" t="inlineStr">
        <is>
          <t>Integrated plan assumptions</t>
        </is>
      </c>
      <c r="D50" s="27" t="inlineStr">
        <is>
          <t>Alder Ridge</t>
        </is>
      </c>
      <c r="E50" s="27" t="inlineStr">
        <is>
          <t>FY27</t>
        </is>
      </c>
      <c r="F50" s="27" t="inlineStr">
        <is>
          <t>Management stretch</t>
        </is>
      </c>
      <c r="G50" s="27" t="inlineStr">
        <is>
          <t>Downside opex mitigation</t>
        </is>
      </c>
      <c r="H50" s="46" t="n">
        <v>790400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PLN-00863</t>
        </is>
      </c>
      <c r="B51" s="27" t="inlineStr">
        <is>
          <t>Create the integrated FY27 operating plan</t>
        </is>
      </c>
      <c r="C51" s="27" t="inlineStr">
        <is>
          <t>Quarterly integrated plan</t>
        </is>
      </c>
      <c r="D51" s="27" t="inlineStr">
        <is>
          <t>Alder Ridge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Revenue phase</t>
        </is>
      </c>
      <c r="H51" s="46" t="n">
        <v>0.2163</v>
      </c>
      <c r="I51" s="27" t="inlineStr"/>
      <c r="J51" s="27" t="inlineStr">
        <is>
          <t>decimal ratio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PLN-00864</t>
        </is>
      </c>
      <c r="B52" s="27" t="inlineStr">
        <is>
          <t>Create the integrated FY27 operating plan</t>
        </is>
      </c>
      <c r="C52" s="27" t="inlineStr">
        <is>
          <t>Quarterly integrated plan</t>
        </is>
      </c>
      <c r="D52" s="27" t="inlineStr">
        <is>
          <t>Alder Ridge</t>
        </is>
      </c>
      <c r="E52" s="27" t="inlineStr">
        <is>
          <t>Q2 FY27</t>
        </is>
      </c>
      <c r="F52" s="27" t="inlineStr">
        <is>
          <t>Management stretch</t>
        </is>
      </c>
      <c r="G52" s="27" t="inlineStr">
        <is>
          <t>Cash taxes</t>
        </is>
      </c>
      <c r="H52" s="46" t="n">
        <v>124800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PLN-00865</t>
        </is>
      </c>
      <c r="B53" s="27" t="inlineStr">
        <is>
          <t>Create the integrated FY27 operating plan</t>
        </is>
      </c>
      <c r="C53" s="27" t="inlineStr">
        <is>
          <t>Quarterly integrated plan</t>
        </is>
      </c>
      <c r="D53" s="27" t="inlineStr">
        <is>
          <t>Alder Ridge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Ending NWC balance</t>
        </is>
      </c>
      <c r="H53" s="46" t="n">
        <v>5670000</v>
      </c>
      <c r="I53" s="27" t="inlineStr"/>
      <c r="J53" s="27" t="inlineStr">
        <is>
          <t>USD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PLN-00866</t>
        </is>
      </c>
      <c r="B54" s="27" t="inlineStr">
        <is>
          <t>Create the integrated FY27 operating plan</t>
        </is>
      </c>
      <c r="C54" s="27" t="inlineStr">
        <is>
          <t>Quarterly funding policy</t>
        </is>
      </c>
      <c r="D54" s="27" t="inlineStr">
        <is>
          <t>Alder Ridge</t>
        </is>
      </c>
      <c r="E54" s="27" t="inlineStr">
        <is>
          <t>FY27</t>
        </is>
      </c>
      <c r="F54" s="27" t="inlineStr">
        <is>
          <t>Management stretch</t>
        </is>
      </c>
      <c r="G54" s="27" t="inlineStr">
        <is>
          <t>Opening term debt</t>
        </is>
      </c>
      <c r="H54" s="46" t="n">
        <v>5768000</v>
      </c>
      <c r="I54" s="27" t="inlineStr"/>
      <c r="J54" s="27" t="inlineStr">
        <is>
          <t>USD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PLN-00867</t>
        </is>
      </c>
      <c r="B55" s="27" t="inlineStr">
        <is>
          <t>Create the integrated FY27 operating plan</t>
        </is>
      </c>
      <c r="C55" s="27" t="inlineStr">
        <is>
          <t>Quarterly integrated plan</t>
        </is>
      </c>
      <c r="D55" s="27" t="inlineStr">
        <is>
          <t>Alder Ridge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EBITDA phase</t>
        </is>
      </c>
      <c r="H55" s="46" t="n">
        <v>0.1768</v>
      </c>
      <c r="I55" s="27" t="inlineStr"/>
      <c r="J55" s="27" t="inlineStr">
        <is>
          <t>decimal ratio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PLN-00868</t>
        </is>
      </c>
      <c r="B56" s="27" t="inlineStr">
        <is>
          <t>Create the integrated FY27 operating plan</t>
        </is>
      </c>
      <c r="C56" s="27" t="inlineStr">
        <is>
          <t>Quarterly integrated plan</t>
        </is>
      </c>
      <c r="D56" s="27" t="inlineStr">
        <is>
          <t>Alder Ridge</t>
        </is>
      </c>
      <c r="E56" s="27" t="inlineStr">
        <is>
          <t>Q2 FY27</t>
        </is>
      </c>
      <c r="F56" s="27" t="inlineStr">
        <is>
          <t>Management stretch</t>
        </is>
      </c>
      <c r="G56" s="27" t="inlineStr">
        <is>
          <t>Capex</t>
        </is>
      </c>
      <c r="H56" s="46" t="n">
        <v>771750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PLN-00906</t>
        </is>
      </c>
      <c r="B57" s="27" t="inlineStr">
        <is>
          <t>Rolling forecast variance and corrective actions</t>
        </is>
      </c>
      <c r="C57" s="27" t="inlineStr">
        <is>
          <t>Rolling forecast by business unit</t>
        </is>
      </c>
      <c r="D57" s="27" t="inlineStr">
        <is>
          <t>Construction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YTD actual revenue</t>
        </is>
      </c>
      <c r="H57" s="46" t="n">
        <v>16428500</v>
      </c>
      <c r="I57" s="27" t="inlineStr"/>
      <c r="J57" s="27" t="inlineStr">
        <is>
          <t>USD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PLN-00907</t>
        </is>
      </c>
      <c r="B58" s="27" t="inlineStr">
        <is>
          <t>Rolling forecast variance and corrective actions</t>
        </is>
      </c>
      <c r="C58" s="27" t="inlineStr">
        <is>
          <t>Rolling forecast by business unit</t>
        </is>
      </c>
      <c r="D58" s="27" t="inlineStr">
        <is>
          <t>Construction</t>
        </is>
      </c>
      <c r="E58" s="27" t="inlineStr">
        <is>
          <t>FY26</t>
        </is>
      </c>
      <c r="F58" s="27" t="inlineStr">
        <is>
          <t>Management stretch</t>
        </is>
      </c>
      <c r="G58" s="27" t="inlineStr">
        <is>
          <t>Full year plan opex</t>
        </is>
      </c>
      <c r="H58" s="46" t="n">
        <v>6292000</v>
      </c>
      <c r="I58" s="27" t="inlineStr"/>
      <c r="J58" s="27" t="inlineStr">
        <is>
          <t>USD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PLN-00908</t>
        </is>
      </c>
      <c r="B59" s="27" t="inlineStr">
        <is>
          <t>Rolling forecast variance and corrective actions</t>
        </is>
      </c>
      <c r="C59" s="27" t="inlineStr">
        <is>
          <t>Rolling forecast by business unit</t>
        </is>
      </c>
      <c r="D59" s="27" t="inlineStr">
        <is>
          <t>Service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YTD plus H2 forecast opex</t>
        </is>
      </c>
      <c r="H59" s="46" t="n">
        <v>4147.5</v>
      </c>
      <c r="I59" s="27" t="inlineStr"/>
      <c r="J59" s="27" t="inlineStr">
        <is>
          <t>USD thousands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PLN-00909</t>
        </is>
      </c>
      <c r="B60" s="27" t="inlineStr">
        <is>
          <t>Rolling forecast variance and corrective actions</t>
        </is>
      </c>
      <c r="C60" s="27" t="inlineStr">
        <is>
          <t>Rolling forecast by business unit</t>
        </is>
      </c>
      <c r="D60" s="27" t="inlineStr">
        <is>
          <t>Controls</t>
        </is>
      </c>
      <c r="E60" s="27" t="inlineStr">
        <is>
          <t>FY26</t>
        </is>
      </c>
      <c r="F60" s="27" t="inlineStr">
        <is>
          <t>Management stretch</t>
        </is>
      </c>
      <c r="G60" s="27" t="inlineStr">
        <is>
          <t>Plan gross margin</t>
        </is>
      </c>
      <c r="H60" s="46" t="n">
        <v>0.33166</v>
      </c>
      <c r="I60" s="27" t="inlineStr"/>
      <c r="J60" s="27" t="inlineStr">
        <is>
          <t>decimal ratio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PLN-00910</t>
        </is>
      </c>
      <c r="B61" s="27" t="inlineStr">
        <is>
          <t>Rolling forecast variance and corrective actions</t>
        </is>
      </c>
      <c r="C61" s="27" t="inlineStr">
        <is>
          <t>Forecast corrective actions</t>
        </is>
      </c>
      <c r="D61" s="27" t="inlineStr">
        <is>
          <t>Controls commissioning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Gross EBITDA benefit</t>
        </is>
      </c>
      <c r="H61" s="46" t="n">
        <v>197600</v>
      </c>
      <c r="I61" s="27" t="inlineStr"/>
      <c r="J61" s="27" t="inlineStr">
        <is>
          <t>USD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PLN-00911</t>
        </is>
      </c>
      <c r="B62" s="27" t="inlineStr">
        <is>
          <t>Rolling forecast variance and corrective actions</t>
        </is>
      </c>
      <c r="C62" s="27" t="inlineStr">
        <is>
          <t>Rolling forecast by business unit</t>
        </is>
      </c>
      <c r="D62" s="27" t="inlineStr">
        <is>
          <t>Construction</t>
        </is>
      </c>
      <c r="E62" s="27" t="inlineStr">
        <is>
          <t>FY26</t>
        </is>
      </c>
      <c r="F62" s="27" t="inlineStr">
        <is>
          <t>Management stretch</t>
        </is>
      </c>
      <c r="G62" s="27" t="inlineStr">
        <is>
          <t>H2 latest forecast revenue</t>
        </is>
      </c>
      <c r="H62" s="46" t="n">
        <v>18774000</v>
      </c>
      <c r="I62" s="27" t="inlineStr"/>
      <c r="J62" s="27" t="inlineStr">
        <is>
          <t>USD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PLN-00912</t>
        </is>
      </c>
      <c r="B63" s="27" t="inlineStr">
        <is>
          <t>Rolling forecast variance and corrective actions</t>
        </is>
      </c>
      <c r="C63" s="27" t="inlineStr">
        <is>
          <t>Rolling forecast by business unit</t>
        </is>
      </c>
      <c r="D63" s="27" t="inlineStr">
        <is>
          <t>Service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YTD plan revenue</t>
        </is>
      </c>
      <c r="H63" s="46" t="n">
        <v>7395.4</v>
      </c>
      <c r="I63" s="27" t="inlineStr"/>
      <c r="J63" s="27" t="inlineStr">
        <is>
          <t>USD thousands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PLN-00913</t>
        </is>
      </c>
      <c r="B64" s="27" t="inlineStr">
        <is>
          <t>Rolling forecast variance and corrective actions</t>
        </is>
      </c>
      <c r="C64" s="27" t="inlineStr">
        <is>
          <t>Rolling forecast by business unit</t>
        </is>
      </c>
      <c r="D64" s="27" t="inlineStr">
        <is>
          <t>Controls</t>
        </is>
      </c>
      <c r="E64" s="27" t="inlineStr">
        <is>
          <t>FY26</t>
        </is>
      </c>
      <c r="F64" s="27" t="inlineStr">
        <is>
          <t>Management stretch</t>
        </is>
      </c>
      <c r="G64" s="27" t="inlineStr">
        <is>
          <t>YTD actual revenue</t>
        </is>
      </c>
      <c r="H64" s="46" t="n">
        <v>4191200</v>
      </c>
      <c r="I64" s="27" t="inlineStr"/>
      <c r="J64" s="27" t="inlineStr">
        <is>
          <t>USD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PLN-00914</t>
        </is>
      </c>
      <c r="B65" s="27" t="inlineStr">
        <is>
          <t>Rolling forecast variance and corrective actions</t>
        </is>
      </c>
      <c r="C65" s="27" t="inlineStr">
        <is>
          <t>Rolling forecast by business unit</t>
        </is>
      </c>
      <c r="D65" s="27" t="inlineStr">
        <is>
          <t>Controls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Full year plan opex</t>
        </is>
      </c>
      <c r="H65" s="46" t="n">
        <v>2404500</v>
      </c>
      <c r="I65" s="27" t="inlineStr"/>
      <c r="J65" s="27" t="inlineStr">
        <is>
          <t>USD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PLN-00915</t>
        </is>
      </c>
      <c r="B66" s="27" t="inlineStr">
        <is>
          <t>Rolling forecast variance and corrective actions</t>
        </is>
      </c>
      <c r="C66" s="27" t="inlineStr">
        <is>
          <t>Forecast corrective actions</t>
        </is>
      </c>
      <c r="D66" s="27" t="inlineStr">
        <is>
          <t>Discretionary freeze</t>
        </is>
      </c>
      <c r="E66" s="27" t="inlineStr">
        <is>
          <t>FY26 H2</t>
        </is>
      </c>
      <c r="F66" s="27" t="inlineStr">
        <is>
          <t>Management stretch</t>
        </is>
      </c>
      <c r="G66" s="27" t="inlineStr">
        <is>
          <t>Gross EBITDA benefit</t>
        </is>
      </c>
      <c r="H66" s="46" t="n">
        <v>231750</v>
      </c>
      <c r="I66" s="27" t="inlineStr"/>
      <c r="J66" s="27" t="inlineStr">
        <is>
          <t>USD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PLN-00916</t>
        </is>
      </c>
      <c r="B67" s="27" t="inlineStr">
        <is>
          <t>Rolling forecast variance and corrective actions</t>
        </is>
      </c>
      <c r="C67" s="27" t="inlineStr">
        <is>
          <t>Rolling forecast by business unit</t>
        </is>
      </c>
      <c r="D67" s="27" t="inlineStr">
        <is>
          <t>Construction</t>
        </is>
      </c>
      <c r="E67" s="27" t="inlineStr">
        <is>
          <t>2026-05 working copy</t>
        </is>
      </c>
      <c r="F67" s="27" t="inlineStr">
        <is>
          <t>Approved case</t>
        </is>
      </c>
      <c r="G67" s="27" t="inlineStr">
        <is>
          <t>Actual gross margin</t>
        </is>
      </c>
      <c r="H67" s="46" t="n">
        <v>0.23504</v>
      </c>
      <c r="I67" s="27" t="inlineStr"/>
      <c r="J67" s="27" t="inlineStr">
        <is>
          <t>decimal ratio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PLN-00917</t>
        </is>
      </c>
      <c r="B68" s="27" t="inlineStr">
        <is>
          <t>Rolling forecast variance and corrective actions</t>
        </is>
      </c>
      <c r="C68" s="27" t="inlineStr">
        <is>
          <t>Rolling forecast by business unit</t>
        </is>
      </c>
      <c r="D68" s="27" t="inlineStr">
        <is>
          <t>Service</t>
        </is>
      </c>
      <c r="E68" s="27" t="inlineStr">
        <is>
          <t>FY26</t>
        </is>
      </c>
      <c r="F68" s="27" t="inlineStr">
        <is>
          <t>Management stretch</t>
        </is>
      </c>
      <c r="G68" s="27" t="inlineStr">
        <is>
          <t>H2 plan revenue</t>
        </is>
      </c>
      <c r="H68" s="46" t="n">
        <v>8253000</v>
      </c>
      <c r="I68" s="27" t="inlineStr"/>
      <c r="J68" s="27" t="inlineStr">
        <is>
          <t>USD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PLN-00931</t>
        </is>
      </c>
      <c r="B69" s="27" t="inlineStr">
        <is>
          <t>Rolling forecast variance and corrective actions</t>
        </is>
      </c>
      <c r="C69" s="27" t="inlineStr">
        <is>
          <t>Corrective action phasing</t>
        </is>
      </c>
      <c r="D69" s="27" t="inlineStr">
        <is>
          <t>Procurement reset</t>
        </is>
      </c>
      <c r="E69" s="27" t="inlineStr">
        <is>
          <t>2026-05 working copy</t>
        </is>
      </c>
      <c r="F69" s="27" t="inlineStr">
        <is>
          <t>Approved case</t>
        </is>
      </c>
      <c r="G69" s="27" t="inlineStr">
        <is>
          <t>Q3 realization phase</t>
        </is>
      </c>
      <c r="H69" s="46" t="n">
        <v>0.3605</v>
      </c>
      <c r="I69" s="27" t="inlineStr"/>
      <c r="J69" s="27" t="inlineStr">
        <is>
          <t>decimal ratio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PLN-00932</t>
        </is>
      </c>
      <c r="B70" s="27" t="inlineStr">
        <is>
          <t>Rolling forecast variance and corrective actions</t>
        </is>
      </c>
      <c r="C70" s="27" t="inlineStr">
        <is>
          <t>Corrective action phasing</t>
        </is>
      </c>
      <c r="D70" s="27" t="inlineStr">
        <is>
          <t>Controls commissioning</t>
        </is>
      </c>
      <c r="E70" s="27" t="inlineStr">
        <is>
          <t>FY26 H2</t>
        </is>
      </c>
      <c r="F70" s="27" t="inlineStr">
        <is>
          <t>Management stretch</t>
        </is>
      </c>
      <c r="G70" s="27" t="inlineStr">
        <is>
          <t>Q4 realization phase</t>
        </is>
      </c>
      <c r="H70" s="46" t="n">
        <v>0.8320000000000001</v>
      </c>
      <c r="I70" s="27" t="inlineStr"/>
      <c r="J70" s="27" t="inlineStr">
        <is>
          <t>decimal ratio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PLN-00933</t>
        </is>
      </c>
      <c r="B71" s="27" t="inlineStr">
        <is>
          <t>Rolling forecast variance and corrective actions</t>
        </is>
      </c>
      <c r="C71" s="27" t="inlineStr">
        <is>
          <t>Corrective action phasing</t>
        </is>
      </c>
      <c r="D71" s="27" t="inlineStr">
        <is>
          <t>Procurement reset</t>
        </is>
      </c>
      <c r="E71" s="27" t="inlineStr">
        <is>
          <t>2026-05 working copy</t>
        </is>
      </c>
      <c r="F71" s="27" t="inlineStr">
        <is>
          <t>Approved case</t>
        </is>
      </c>
      <c r="G71" s="27" t="inlineStr">
        <is>
          <t>Q4 realization phase</t>
        </is>
      </c>
      <c r="H71" s="46" t="n">
        <v>0.6825000000000001</v>
      </c>
      <c r="I71" s="27" t="inlineStr"/>
      <c r="J71" s="27" t="inlineStr">
        <is>
          <t>decimal ratio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PLN-00934</t>
        </is>
      </c>
      <c r="B72" s="27" t="inlineStr">
        <is>
          <t>Rolling forecast variance and corrective actions</t>
        </is>
      </c>
      <c r="C72" s="27" t="inlineStr">
        <is>
          <t>Corrective action phasing</t>
        </is>
      </c>
      <c r="D72" s="27" t="inlineStr">
        <is>
          <t>Controls commissioning</t>
        </is>
      </c>
      <c r="E72" s="27" t="inlineStr">
        <is>
          <t>FY26 H2</t>
        </is>
      </c>
      <c r="F72" s="27" t="inlineStr">
        <is>
          <t>Management stretch</t>
        </is>
      </c>
      <c r="G72" s="27" t="inlineStr">
        <is>
          <t>Implementation cash cost</t>
        </is>
      </c>
      <c r="H72" s="46" t="n">
        <v>72100</v>
      </c>
      <c r="I72" s="27" t="inlineStr"/>
      <c r="J72" s="27" t="inlineStr">
        <is>
          <t>USD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PLN-00935</t>
        </is>
      </c>
      <c r="B73" s="27" t="inlineStr">
        <is>
          <t>Rolling forecast variance and corrective actions</t>
        </is>
      </c>
      <c r="C73" s="27" t="inlineStr">
        <is>
          <t>Corrective action phasing</t>
        </is>
      </c>
      <c r="D73" s="27" t="inlineStr">
        <is>
          <t>Procurement reset</t>
        </is>
      </c>
      <c r="E73" s="27" t="inlineStr">
        <is>
          <t>2026-05 working copy</t>
        </is>
      </c>
      <c r="F73" s="27" t="inlineStr">
        <is>
          <t>Approved case</t>
        </is>
      </c>
      <c r="G73" s="27" t="inlineStr">
        <is>
          <t>Implementation cash cost</t>
        </is>
      </c>
      <c r="H73" s="46" t="n">
        <v>130000</v>
      </c>
      <c r="I73" s="27" t="inlineStr"/>
      <c r="J73" s="27" t="inlineStr">
        <is>
          <t>USD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PLN-00936</t>
        </is>
      </c>
      <c r="B74" s="27" t="inlineStr">
        <is>
          <t>Rolling forecast variance and corrective actions</t>
        </is>
      </c>
      <c r="C74" s="27" t="inlineStr">
        <is>
          <t>Corrective action phasing</t>
        </is>
      </c>
      <c r="D74" s="27" t="inlineStr">
        <is>
          <t>Discretionary freeze</t>
        </is>
      </c>
      <c r="E74" s="27" t="inlineStr">
        <is>
          <t>FY26 H2</t>
        </is>
      </c>
      <c r="F74" s="27" t="inlineStr">
        <is>
          <t>Management stretch</t>
        </is>
      </c>
      <c r="G74" s="27" t="inlineStr">
        <is>
          <t>Q3 realization phase</t>
        </is>
      </c>
      <c r="H74" s="46" t="n">
        <v>0.63</v>
      </c>
      <c r="I74" s="27" t="inlineStr"/>
      <c r="J74" s="27" t="inlineStr">
        <is>
          <t>decimal ratio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</sheetData>
  <autoFilter ref="A4:M74"/>
  <mergeCells count="2">
    <mergeCell ref="A2:M2"/>
    <mergeCell ref="A1:M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5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FY27 operating plan | Margin and Accuracy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PLN-00304</t>
        </is>
      </c>
      <c r="B5" s="27" t="inlineStr">
        <is>
          <t>Construction gross-margin driver bridge</t>
        </is>
      </c>
      <c r="C5" s="27" t="inlineStr">
        <is>
          <t>Construction worktype bridge</t>
        </is>
      </c>
      <c r="D5" s="27" t="inlineStr">
        <is>
          <t>Large project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Budget revenue</t>
        </is>
      </c>
      <c r="H5" s="46" t="n">
        <v>12360000</v>
      </c>
      <c r="I5" s="27" t="inlineStr"/>
      <c r="J5" s="27" t="inlineStr">
        <is>
          <t>USD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PLN-00305</t>
        </is>
      </c>
      <c r="B6" s="27" t="inlineStr">
        <is>
          <t>Construction gross-margin driver bridge</t>
        </is>
      </c>
      <c r="C6" s="27" t="inlineStr">
        <is>
          <t>Construction worktype bridge</t>
        </is>
      </c>
      <c r="D6" s="27" t="inlineStr">
        <is>
          <t>Large project</t>
        </is>
      </c>
      <c r="E6" s="27" t="inlineStr">
        <is>
          <t>2026-Q2</t>
        </is>
      </c>
      <c r="F6" s="27" t="inlineStr">
        <is>
          <t>Management stretch</t>
        </is>
      </c>
      <c r="G6" s="27" t="inlineStr">
        <is>
          <t>Subcontractor effect as percent of actual revenue</t>
        </is>
      </c>
      <c r="H6" s="46" t="n">
        <v>-0.006240000000000001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PLN-00306</t>
        </is>
      </c>
      <c r="B7" s="27" t="inlineStr">
        <is>
          <t>Construction gross-margin driver bridge</t>
        </is>
      </c>
      <c r="C7" s="27" t="inlineStr">
        <is>
          <t>Construction worktype bridge</t>
        </is>
      </c>
      <c r="D7" s="27" t="inlineStr">
        <is>
          <t>Tenant improvement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Material price effect as percent of actual revenue</t>
        </is>
      </c>
      <c r="H7" s="46" t="n">
        <v>-0.008400000000000001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PLN-00307</t>
        </is>
      </c>
      <c r="B8" s="27" t="inlineStr">
        <is>
          <t>Construction gross-margin driver bridge</t>
        </is>
      </c>
      <c r="C8" s="27" t="inlineStr">
        <is>
          <t>Construction worktype bridge</t>
        </is>
      </c>
      <c r="D8" s="27" t="inlineStr">
        <is>
          <t>Retrofit</t>
        </is>
      </c>
      <c r="E8" s="27" t="inlineStr">
        <is>
          <t>2026-Q2</t>
        </is>
      </c>
      <c r="F8" s="27" t="inlineStr">
        <is>
          <t>Management stretch</t>
        </is>
      </c>
      <c r="G8" s="27" t="inlineStr">
        <is>
          <t>Labor productivity effect as percent of actual revenue</t>
        </is>
      </c>
      <c r="H8" s="46" t="n">
        <v>-0.0103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PLN-00308</t>
        </is>
      </c>
      <c r="B9" s="27" t="inlineStr">
        <is>
          <t>Construction gross-margin driver bridge</t>
        </is>
      </c>
      <c r="C9" s="27" t="inlineStr">
        <is>
          <t>Construction worktype bridge</t>
        </is>
      </c>
      <c r="D9" s="27" t="inlineStr">
        <is>
          <t>Special projects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Labor rate effect as percent of actual revenue</t>
        </is>
      </c>
      <c r="H9" s="46" t="n">
        <v>-0.0104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PLN-00309</t>
        </is>
      </c>
      <c r="B10" s="27" t="inlineStr">
        <is>
          <t>Construction gross-margin driver bridge</t>
        </is>
      </c>
      <c r="C10" s="27" t="inlineStr">
        <is>
          <t>Construction worktype bridge</t>
        </is>
      </c>
      <c r="D10" s="27" t="inlineStr">
        <is>
          <t>Large project</t>
        </is>
      </c>
      <c r="E10" s="27" t="inlineStr">
        <is>
          <t>2026-Q2</t>
        </is>
      </c>
      <c r="F10" s="27" t="inlineStr">
        <is>
          <t>Management stretch</t>
        </is>
      </c>
      <c r="G10" s="27" t="inlineStr">
        <is>
          <t>Contract price change</t>
        </is>
      </c>
      <c r="H10" s="46" t="n">
        <v>0.0189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PLN-00310</t>
        </is>
      </c>
      <c r="B11" s="27" t="inlineStr">
        <is>
          <t>Construction gross-margin driver bridge</t>
        </is>
      </c>
      <c r="C11" s="27" t="inlineStr">
        <is>
          <t>Construction worktype bridge</t>
        </is>
      </c>
      <c r="D11" s="27" t="inlineStr">
        <is>
          <t>Tenant improvement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Revenue volume change</t>
        </is>
      </c>
      <c r="H11" s="46" t="n">
        <v>0.0824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PLN-00311</t>
        </is>
      </c>
      <c r="B12" s="27" t="inlineStr">
        <is>
          <t>Construction gross-margin driver bridge</t>
        </is>
      </c>
      <c r="C12" s="27" t="inlineStr">
        <is>
          <t>Construction worktype bridge</t>
        </is>
      </c>
      <c r="D12" s="27" t="inlineStr">
        <is>
          <t>Retrofit</t>
        </is>
      </c>
      <c r="E12" s="27" t="inlineStr">
        <is>
          <t>2026-Q2</t>
        </is>
      </c>
      <c r="F12" s="27" t="inlineStr">
        <is>
          <t>Management stretch</t>
        </is>
      </c>
      <c r="G12" s="27" t="inlineStr">
        <is>
          <t>Budget gross margin</t>
        </is>
      </c>
      <c r="H12" s="46" t="n">
        <v>0.3952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PLN-00312</t>
        </is>
      </c>
      <c r="B13" s="27" t="inlineStr">
        <is>
          <t>Construction gross-margin driver bridge</t>
        </is>
      </c>
      <c r="C13" s="27" t="inlineStr">
        <is>
          <t>Construction worktype bridge</t>
        </is>
      </c>
      <c r="D13" s="27" t="inlineStr">
        <is>
          <t>Special projects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Budget revenue</t>
        </is>
      </c>
      <c r="H13" s="46" t="n">
        <v>2415000</v>
      </c>
      <c r="I13" s="27" t="inlineStr"/>
      <c r="J13" s="27" t="inlineStr">
        <is>
          <t>USD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PLN-00313</t>
        </is>
      </c>
      <c r="B14" s="27" t="inlineStr">
        <is>
          <t>Construction gross-margin driver bridge</t>
        </is>
      </c>
      <c r="C14" s="27" t="inlineStr">
        <is>
          <t>Construction worktype bridge</t>
        </is>
      </c>
      <c r="D14" s="27" t="inlineStr">
        <is>
          <t>Special projects</t>
        </is>
      </c>
      <c r="E14" s="27" t="inlineStr">
        <is>
          <t>2026-Q2</t>
        </is>
      </c>
      <c r="F14" s="27" t="inlineStr">
        <is>
          <t>Management stretch</t>
        </is>
      </c>
      <c r="G14" s="27" t="inlineStr">
        <is>
          <t>Subcontractor effect as percent of actual revenue</t>
        </is>
      </c>
      <c r="H14" s="46" t="n">
        <v>-0.00515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PLN-00314</t>
        </is>
      </c>
      <c r="B15" s="27" t="inlineStr">
        <is>
          <t>Construction gross-margin driver bridge</t>
        </is>
      </c>
      <c r="C15" s="27" t="inlineStr">
        <is>
          <t>Construction worktype bridge</t>
        </is>
      </c>
      <c r="D15" s="27" t="inlineStr">
        <is>
          <t>Large project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Material price effect as percent of actual revenue</t>
        </is>
      </c>
      <c r="H15" s="46" t="n">
        <v>-0.01144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PLN-00315</t>
        </is>
      </c>
      <c r="B16" s="27" t="inlineStr">
        <is>
          <t>Construction gross-margin driver bridge</t>
        </is>
      </c>
      <c r="C16" s="27" t="inlineStr">
        <is>
          <t>Construction worktype bridge</t>
        </is>
      </c>
      <c r="D16" s="27" t="inlineStr">
        <is>
          <t>Tenant improvement</t>
        </is>
      </c>
      <c r="E16" s="27" t="inlineStr">
        <is>
          <t>2026-Q2</t>
        </is>
      </c>
      <c r="F16" s="27" t="inlineStr">
        <is>
          <t>Management stretch</t>
        </is>
      </c>
      <c r="G16" s="27" t="inlineStr">
        <is>
          <t>Labor productivity effect as percent of actual revenue</t>
        </is>
      </c>
      <c r="H16" s="46" t="n">
        <v>-0.0147</v>
      </c>
      <c r="I16" s="27" t="inlineStr"/>
      <c r="J16" s="27" t="inlineStr">
        <is>
          <t>decimal ratio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PLN-00492</t>
        </is>
      </c>
      <c r="B17" s="27" t="inlineStr">
        <is>
          <t>Forecast accuracy and bias backtest</t>
        </is>
      </c>
      <c r="C17" s="27" t="inlineStr">
        <is>
          <t>Monthly locked forecast</t>
        </is>
      </c>
      <c r="D17" s="27" t="inlineStr">
        <is>
          <t>Construction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Forecast error rate versus posted actual</t>
        </is>
      </c>
      <c r="H17" s="46" t="n">
        <v>0.03605000000000001</v>
      </c>
      <c r="I17" s="27" t="inlineStr"/>
      <c r="J17" s="27" t="inlineStr">
        <is>
          <t>decimal ratio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PLN-00493</t>
        </is>
      </c>
      <c r="B18" s="27" t="inlineStr">
        <is>
          <t>Forecast accuracy and bias backtest</t>
        </is>
      </c>
      <c r="C18" s="27" t="inlineStr">
        <is>
          <t>Forecast policy flags</t>
        </is>
      </c>
      <c r="D18" s="27" t="inlineStr">
        <is>
          <t>Construction</t>
        </is>
      </c>
      <c r="E18" s="27" t="inlineStr">
        <is>
          <t>2025-08</t>
        </is>
      </c>
      <c r="F18" s="27" t="inlineStr">
        <is>
          <t>Management stretch</t>
        </is>
      </c>
      <c r="G18" s="27" t="inlineStr">
        <is>
          <t>Acquisition month flag</t>
        </is>
      </c>
      <c r="H18" s="46" t="n">
        <v>0</v>
      </c>
      <c r="I18" s="27" t="inlineStr"/>
      <c r="J18" s="27" t="inlineStr">
        <is>
          <t>boolean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PLN-00494</t>
        </is>
      </c>
      <c r="B19" s="27" t="inlineStr">
        <is>
          <t>Forecast accuracy and bias backtest</t>
        </is>
      </c>
      <c r="C19" s="27" t="inlineStr">
        <is>
          <t>Monthly locked forecast</t>
        </is>
      </c>
      <c r="D19" s="27" t="inlineStr">
        <is>
          <t>Service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Forecast error rate versus posted actual</t>
        </is>
      </c>
      <c r="H19" s="46" t="n">
        <v>-0.0231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PLN-00495</t>
        </is>
      </c>
      <c r="B20" s="27" t="inlineStr">
        <is>
          <t>Forecast accuracy and bias backtest</t>
        </is>
      </c>
      <c r="C20" s="27" t="inlineStr">
        <is>
          <t>Forecast policy flags</t>
        </is>
      </c>
      <c r="D20" s="27" t="inlineStr">
        <is>
          <t>Service</t>
        </is>
      </c>
      <c r="E20" s="27" t="inlineStr">
        <is>
          <t>2025-10</t>
        </is>
      </c>
      <c r="F20" s="27" t="inlineStr">
        <is>
          <t>Management stretch</t>
        </is>
      </c>
      <c r="G20" s="27" t="inlineStr">
        <is>
          <t>Acquisition month flag</t>
        </is>
      </c>
      <c r="H20" s="46" t="n">
        <v>0</v>
      </c>
      <c r="I20" s="27" t="inlineStr"/>
      <c r="J20" s="27" t="inlineStr">
        <is>
          <t>boolean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PLN-00496</t>
        </is>
      </c>
      <c r="B21" s="27" t="inlineStr">
        <is>
          <t>Forecast accuracy and bias backtest</t>
        </is>
      </c>
      <c r="C21" s="27" t="inlineStr">
        <is>
          <t>Monthly locked forecast</t>
        </is>
      </c>
      <c r="D21" s="27" t="inlineStr">
        <is>
          <t>Building Controls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Forecast error rate versus posted actual</t>
        </is>
      </c>
      <c r="H21" s="46" t="n">
        <v>-0.078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PLN-00497</t>
        </is>
      </c>
      <c r="B22" s="27" t="inlineStr">
        <is>
          <t>Forecast accuracy and bias backtest</t>
        </is>
      </c>
      <c r="C22" s="27" t="inlineStr">
        <is>
          <t>Forecast policy flags</t>
        </is>
      </c>
      <c r="D22" s="27" t="inlineStr">
        <is>
          <t>Building Controls</t>
        </is>
      </c>
      <c r="E22" s="27" t="inlineStr">
        <is>
          <t>2025-12</t>
        </is>
      </c>
      <c r="F22" s="27" t="inlineStr">
        <is>
          <t>Management stretch</t>
        </is>
      </c>
      <c r="G22" s="27" t="inlineStr">
        <is>
          <t>Acquisition month flag</t>
        </is>
      </c>
      <c r="H22" s="46" t="n">
        <v>0</v>
      </c>
      <c r="I22" s="27" t="inlineStr"/>
      <c r="J22" s="27" t="inlineStr">
        <is>
          <t>boolean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PLN-00498</t>
        </is>
      </c>
      <c r="B23" s="27" t="inlineStr">
        <is>
          <t>Forecast accuracy and bias backtest</t>
        </is>
      </c>
      <c r="C23" s="27" t="inlineStr">
        <is>
          <t>Monthly locked forecast</t>
        </is>
      </c>
      <c r="D23" s="27" t="inlineStr">
        <is>
          <t>Construction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Forecast error rate versus posted actual</t>
        </is>
      </c>
      <c r="H23" s="46" t="n">
        <v>0.07725000000000001</v>
      </c>
      <c r="I23" s="27" t="inlineStr"/>
      <c r="J23" s="27" t="inlineStr">
        <is>
          <t>decimal ratio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PLN-00499</t>
        </is>
      </c>
      <c r="B24" s="27" t="inlineStr">
        <is>
          <t>Forecast accuracy and bias backtest</t>
        </is>
      </c>
      <c r="C24" s="27" t="inlineStr">
        <is>
          <t>Forecast policy flags</t>
        </is>
      </c>
      <c r="D24" s="27" t="inlineStr">
        <is>
          <t>Construction</t>
        </is>
      </c>
      <c r="E24" s="27" t="inlineStr">
        <is>
          <t>2026-03</t>
        </is>
      </c>
      <c r="F24" s="27" t="inlineStr">
        <is>
          <t>Management stretch</t>
        </is>
      </c>
      <c r="G24" s="27" t="inlineStr">
        <is>
          <t>Acquisition month flag</t>
        </is>
      </c>
      <c r="H24" s="46" t="n">
        <v>0</v>
      </c>
      <c r="I24" s="27" t="inlineStr"/>
      <c r="J24" s="27" t="inlineStr">
        <is>
          <t>boolean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PLN-00500</t>
        </is>
      </c>
      <c r="B25" s="27" t="inlineStr">
        <is>
          <t>Forecast accuracy and bias backtest</t>
        </is>
      </c>
      <c r="C25" s="27" t="inlineStr">
        <is>
          <t>Monthly locked forecast</t>
        </is>
      </c>
      <c r="D25" s="27" t="inlineStr">
        <is>
          <t>Service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Forecast error rate versus posted actual</t>
        </is>
      </c>
      <c r="H25" s="46" t="n">
        <v>-0.0231</v>
      </c>
      <c r="I25" s="27" t="inlineStr"/>
      <c r="J25" s="27" t="inlineStr">
        <is>
          <t>decimal ratio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PLN-00501</t>
        </is>
      </c>
      <c r="B26" s="27" t="inlineStr">
        <is>
          <t>Forecast accuracy and bias backtest</t>
        </is>
      </c>
      <c r="C26" s="27" t="inlineStr">
        <is>
          <t>Forecast policy flags</t>
        </is>
      </c>
      <c r="D26" s="27" t="inlineStr">
        <is>
          <t>Service</t>
        </is>
      </c>
      <c r="E26" s="27" t="inlineStr">
        <is>
          <t>2026-05</t>
        </is>
      </c>
      <c r="F26" s="27" t="inlineStr">
        <is>
          <t>Management stretch</t>
        </is>
      </c>
      <c r="G26" s="27" t="inlineStr">
        <is>
          <t>Acquisition month flag</t>
        </is>
      </c>
      <c r="H26" s="46" t="n">
        <v>0</v>
      </c>
      <c r="I26" s="27" t="inlineStr"/>
      <c r="J26" s="27" t="inlineStr">
        <is>
          <t>boolean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PLN-00502</t>
        </is>
      </c>
      <c r="B27" s="27" t="inlineStr">
        <is>
          <t>Forecast accuracy and bias backtest</t>
        </is>
      </c>
      <c r="C27" s="27" t="inlineStr">
        <is>
          <t>Monthly locked forecast</t>
        </is>
      </c>
      <c r="D27" s="27" t="inlineStr">
        <is>
          <t>Building Controls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Forecast error rate versus posted actual</t>
        </is>
      </c>
      <c r="H27" s="46" t="n">
        <v>-0.078</v>
      </c>
      <c r="I27" s="27" t="inlineStr"/>
      <c r="J27" s="27" t="inlineStr">
        <is>
          <t>decimal ratio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PLN-00503</t>
        </is>
      </c>
      <c r="B28" s="27" t="inlineStr">
        <is>
          <t>Forecast accuracy and bias backtest</t>
        </is>
      </c>
      <c r="C28" s="27" t="inlineStr">
        <is>
          <t>Forecast policy flags</t>
        </is>
      </c>
      <c r="D28" s="27" t="inlineStr">
        <is>
          <t>Building Controls</t>
        </is>
      </c>
      <c r="E28" s="27" t="inlineStr">
        <is>
          <t>2025-07</t>
        </is>
      </c>
      <c r="F28" s="27" t="inlineStr">
        <is>
          <t>Management stretch</t>
        </is>
      </c>
      <c r="G28" s="27" t="inlineStr">
        <is>
          <t>Acquisition month flag</t>
        </is>
      </c>
      <c r="H28" s="46" t="n">
        <v>0</v>
      </c>
      <c r="I28" s="27" t="inlineStr"/>
      <c r="J28" s="27" t="inlineStr">
        <is>
          <t>boolean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PLN-00504</t>
        </is>
      </c>
      <c r="B29" s="27" t="inlineStr">
        <is>
          <t>Forecast accuracy and bias backtest</t>
        </is>
      </c>
      <c r="C29" s="27" t="inlineStr">
        <is>
          <t>Monthly locked forecast</t>
        </is>
      </c>
      <c r="D29" s="27" t="inlineStr">
        <is>
          <t>Construction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Forecast error rate versus posted actual</t>
        </is>
      </c>
      <c r="H29" s="46" t="n">
        <v>0.03605000000000001</v>
      </c>
      <c r="I29" s="27" t="inlineStr"/>
      <c r="J29" s="27" t="inlineStr">
        <is>
          <t>decimal ratio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PLN-00505</t>
        </is>
      </c>
      <c r="B30" s="27" t="inlineStr">
        <is>
          <t>Forecast accuracy and bias backtest</t>
        </is>
      </c>
      <c r="C30" s="27" t="inlineStr">
        <is>
          <t>Forecast policy flags</t>
        </is>
      </c>
      <c r="D30" s="27" t="inlineStr">
        <is>
          <t>Construction</t>
        </is>
      </c>
      <c r="E30" s="27" t="inlineStr">
        <is>
          <t>2025-10</t>
        </is>
      </c>
      <c r="F30" s="27" t="inlineStr">
        <is>
          <t>Management stretch</t>
        </is>
      </c>
      <c r="G30" s="27" t="inlineStr">
        <is>
          <t>Acquisition month flag</t>
        </is>
      </c>
      <c r="H30" s="46" t="n">
        <v>0</v>
      </c>
      <c r="I30" s="27" t="inlineStr"/>
      <c r="J30" s="27" t="inlineStr">
        <is>
          <t>boolean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PLN-00506</t>
        </is>
      </c>
      <c r="B31" s="27" t="inlineStr">
        <is>
          <t>Forecast accuracy and bias backtest</t>
        </is>
      </c>
      <c r="C31" s="27" t="inlineStr">
        <is>
          <t>Monthly locked forecast</t>
        </is>
      </c>
      <c r="D31" s="27" t="inlineStr">
        <is>
          <t>Service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Forecast error rate versus posted actual</t>
        </is>
      </c>
      <c r="H31" s="46" t="n">
        <v>-0.0231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PLN-01165</t>
        </is>
      </c>
      <c r="B32" s="27" t="inlineStr">
        <is>
          <t>Scenario-weighted earnings and liquidity at risk</t>
        </is>
      </c>
      <c r="C32" s="27" t="inlineStr">
        <is>
          <t>Scenario baseline</t>
        </is>
      </c>
      <c r="D32" s="27" t="inlineStr">
        <is>
          <t>Alder Ridge</t>
        </is>
      </c>
      <c r="E32" s="27" t="inlineStr">
        <is>
          <t>2026-05 working copy</t>
        </is>
      </c>
      <c r="F32" s="27" t="inlineStr">
        <is>
          <t>Approved case</t>
        </is>
      </c>
      <c r="G32" s="27" t="inlineStr">
        <is>
          <t>Revenue</t>
        </is>
      </c>
      <c r="H32" s="46" t="n">
        <v>55568500</v>
      </c>
      <c r="I32" s="27" t="inlineStr"/>
      <c r="J32" s="27" t="inlineStr">
        <is>
          <t>USD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PLN-01166</t>
        </is>
      </c>
      <c r="B33" s="27" t="inlineStr">
        <is>
          <t>Scenario-weighted earnings and liquidity at risk</t>
        </is>
      </c>
      <c r="C33" s="27" t="inlineStr">
        <is>
          <t>Integrated risk scenarios</t>
        </is>
      </c>
      <c r="D33" s="27" t="inlineStr">
        <is>
          <t>Alder Ridge</t>
        </is>
      </c>
      <c r="E33" s="27" t="inlineStr">
        <is>
          <t>Upside</t>
        </is>
      </c>
      <c r="F33" s="27" t="inlineStr">
        <is>
          <t>Management stretch</t>
        </is>
      </c>
      <c r="G33" s="27" t="inlineStr">
        <is>
          <t>Capex deferral</t>
        </is>
      </c>
      <c r="H33" s="46" t="n">
        <v>156000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PLN-01167</t>
        </is>
      </c>
      <c r="B34" s="27" t="inlineStr">
        <is>
          <t>Scenario-weighted earnings and liquidity at risk</t>
        </is>
      </c>
      <c r="C34" s="27" t="inlineStr">
        <is>
          <t>Integrated risk scenarios</t>
        </is>
      </c>
      <c r="D34" s="27" t="inlineStr">
        <is>
          <t>Alder Ridge</t>
        </is>
      </c>
      <c r="E34" s="27" t="inlineStr">
        <is>
          <t>2026-05 working copy</t>
        </is>
      </c>
      <c r="F34" s="27" t="inlineStr">
        <is>
          <t>Approved case</t>
        </is>
      </c>
      <c r="G34" s="27" t="inlineStr">
        <is>
          <t>One-time mitigation cost</t>
        </is>
      </c>
      <c r="H34" s="46" t="n">
        <v>0</v>
      </c>
      <c r="I34" s="27" t="inlineStr"/>
      <c r="J34" s="27" t="inlineStr">
        <is>
          <t>USD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PLN-01168</t>
        </is>
      </c>
      <c r="B35" s="27" t="inlineStr">
        <is>
          <t>Scenario-weighted earnings and liquidity at risk</t>
        </is>
      </c>
      <c r="C35" s="27" t="inlineStr">
        <is>
          <t>Integrated risk scenarios</t>
        </is>
      </c>
      <c r="D35" s="27" t="inlineStr">
        <is>
          <t>Alder Ridge</t>
        </is>
      </c>
      <c r="E35" s="27" t="inlineStr">
        <is>
          <t>Severe</t>
        </is>
      </c>
      <c r="F35" s="27" t="inlineStr">
        <is>
          <t>Management stretch</t>
        </is>
      </c>
      <c r="G35" s="27" t="inlineStr">
        <is>
          <t>Probability</t>
        </is>
      </c>
      <c r="H35" s="46" t="n">
        <v>0.1545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PLN-01169</t>
        </is>
      </c>
      <c r="B36" s="27" t="inlineStr">
        <is>
          <t>Scenario-weighted earnings and liquidity at risk</t>
        </is>
      </c>
      <c r="C36" s="27" t="inlineStr">
        <is>
          <t>Scenario cash assumptions</t>
        </is>
      </c>
      <c r="D36" s="27" t="inlineStr">
        <is>
          <t>Alder Ridge</t>
        </is>
      </c>
      <c r="E36" s="27" t="inlineStr">
        <is>
          <t>2026-05 working copy</t>
        </is>
      </c>
      <c r="F36" s="27" t="inlineStr">
        <is>
          <t>Approved case</t>
        </is>
      </c>
      <c r="G36" s="27" t="inlineStr">
        <is>
          <t>Base capex</t>
        </is>
      </c>
      <c r="H36" s="46" t="n">
        <v>2990000</v>
      </c>
      <c r="I36" s="27" t="inlineStr"/>
      <c r="J36" s="27" t="inlineStr">
        <is>
          <t>USD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PLN-01170</t>
        </is>
      </c>
      <c r="B37" s="27" t="inlineStr">
        <is>
          <t>Scenario-weighted earnings and liquidity at risk</t>
        </is>
      </c>
      <c r="C37" s="27" t="inlineStr">
        <is>
          <t>Integrated risk scenarios</t>
        </is>
      </c>
      <c r="D37" s="27" t="inlineStr">
        <is>
          <t>Alder Ridge</t>
        </is>
      </c>
      <c r="E37" s="27" t="inlineStr">
        <is>
          <t>Upside</t>
        </is>
      </c>
      <c r="F37" s="27" t="inlineStr">
        <is>
          <t>Management stretch</t>
        </is>
      </c>
      <c r="G37" s="27" t="inlineStr">
        <is>
          <t>Probability</t>
        </is>
      </c>
      <c r="H37" s="46" t="n">
        <v>0.1575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PLN-01171</t>
        </is>
      </c>
      <c r="B38" s="27" t="inlineStr">
        <is>
          <t>Scenario-weighted earnings and liquidity at risk</t>
        </is>
      </c>
      <c r="C38" s="27" t="inlineStr">
        <is>
          <t>Integrated risk scenarios</t>
        </is>
      </c>
      <c r="D38" s="27" t="inlineStr">
        <is>
          <t>Alder Ridge</t>
        </is>
      </c>
      <c r="E38" s="27" t="inlineStr">
        <is>
          <t>2026-05 working copy</t>
        </is>
      </c>
      <c r="F38" s="27" t="inlineStr">
        <is>
          <t>Approved case</t>
        </is>
      </c>
      <c r="G38" s="27" t="inlineStr">
        <is>
          <t>Revenue change</t>
        </is>
      </c>
      <c r="H38" s="46" t="n">
        <v>0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PLN-01172</t>
        </is>
      </c>
      <c r="B39" s="27" t="inlineStr">
        <is>
          <t>Scenario-weighted earnings and liquidity at risk</t>
        </is>
      </c>
      <c r="C39" s="27" t="inlineStr">
        <is>
          <t>Integrated risk scenarios</t>
        </is>
      </c>
      <c r="D39" s="27" t="inlineStr">
        <is>
          <t>Alder Ridge</t>
        </is>
      </c>
      <c r="E39" s="27" t="inlineStr">
        <is>
          <t>Soft landing</t>
        </is>
      </c>
      <c r="F39" s="27" t="inlineStr">
        <is>
          <t>Management stretch</t>
        </is>
      </c>
      <c r="G39" s="27" t="inlineStr">
        <is>
          <t>Gross margin change</t>
        </is>
      </c>
      <c r="H39" s="46" t="n">
        <v>-0.013</v>
      </c>
      <c r="I39" s="27" t="inlineStr"/>
      <c r="J39" s="27" t="inlineStr">
        <is>
          <t>decimal ratio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PLN-01173</t>
        </is>
      </c>
      <c r="B40" s="27" t="inlineStr">
        <is>
          <t>Scenario-weighted earnings and liquidity at risk</t>
        </is>
      </c>
      <c r="C40" s="27" t="inlineStr">
        <is>
          <t>Integrated risk scenarios</t>
        </is>
      </c>
      <c r="D40" s="27" t="inlineStr">
        <is>
          <t>Alder Ridge</t>
        </is>
      </c>
      <c r="E40" s="27" t="inlineStr">
        <is>
          <t>2026-05 working copy</t>
        </is>
      </c>
      <c r="F40" s="27" t="inlineStr">
        <is>
          <t>Approved case</t>
        </is>
      </c>
      <c r="G40" s="27" t="inlineStr">
        <is>
          <t>DSO change</t>
        </is>
      </c>
      <c r="H40" s="46" t="n">
        <v>18.9</v>
      </c>
      <c r="I40" s="27" t="inlineStr"/>
      <c r="J40" s="27" t="inlineStr">
        <is>
          <t>days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PLN-01174</t>
        </is>
      </c>
      <c r="B41" s="27" t="inlineStr">
        <is>
          <t>Scenario-weighted earnings and liquidity at risk</t>
        </is>
      </c>
      <c r="C41" s="27" t="inlineStr">
        <is>
          <t>Scenario cash assumptions</t>
        </is>
      </c>
      <c r="D41" s="27" t="inlineStr">
        <is>
          <t>Alder Ridge</t>
        </is>
      </c>
      <c r="E41" s="27" t="inlineStr">
        <is>
          <t>FY27</t>
        </is>
      </c>
      <c r="F41" s="27" t="inlineStr">
        <is>
          <t>Management stretch</t>
        </is>
      </c>
      <c r="G41" s="27" t="inlineStr">
        <is>
          <t>Revolver capacity</t>
        </is>
      </c>
      <c r="H41" s="46" t="n">
        <v>8240000</v>
      </c>
      <c r="I41" s="27" t="inlineStr"/>
      <c r="J41" s="27" t="inlineStr">
        <is>
          <t>USD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PLN-01175</t>
        </is>
      </c>
      <c r="B42" s="27" t="inlineStr">
        <is>
          <t>Scenario-weighted earnings and liquidity at risk</t>
        </is>
      </c>
      <c r="C42" s="27" t="inlineStr">
        <is>
          <t>Integrated risk scenarios</t>
        </is>
      </c>
      <c r="D42" s="27" t="inlineStr">
        <is>
          <t>Alder Ridge</t>
        </is>
      </c>
      <c r="E42" s="27" t="inlineStr">
        <is>
          <t>2026-05 working copy</t>
        </is>
      </c>
      <c r="F42" s="27" t="inlineStr">
        <is>
          <t>Approved case</t>
        </is>
      </c>
      <c r="G42" s="27" t="inlineStr">
        <is>
          <t>DSO change</t>
        </is>
      </c>
      <c r="H42" s="46" t="n">
        <v>-3.12</v>
      </c>
      <c r="I42" s="27" t="inlineStr"/>
      <c r="J42" s="27" t="inlineStr">
        <is>
          <t>days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PLN-01176</t>
        </is>
      </c>
      <c r="B43" s="27" t="inlineStr">
        <is>
          <t>Scenario-weighted earnings and liquidity at risk</t>
        </is>
      </c>
      <c r="C43" s="27" t="inlineStr">
        <is>
          <t>Integrated risk scenarios</t>
        </is>
      </c>
      <c r="D43" s="27" t="inlineStr">
        <is>
          <t>Alder Ridge</t>
        </is>
      </c>
      <c r="E43" s="27" t="inlineStr">
        <is>
          <t>Base</t>
        </is>
      </c>
      <c r="F43" s="27" t="inlineStr">
        <is>
          <t>Management stretch</t>
        </is>
      </c>
      <c r="G43" s="27" t="inlineStr">
        <is>
          <t>Capex deferral</t>
        </is>
      </c>
      <c r="H43" s="46" t="n">
        <v>0</v>
      </c>
      <c r="I43" s="27" t="inlineStr"/>
      <c r="J43" s="27" t="inlineStr">
        <is>
          <t>USD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PLN-01177</t>
        </is>
      </c>
      <c r="B44" s="27" t="inlineStr">
        <is>
          <t>Scenario-weighted earnings and liquidity at risk</t>
        </is>
      </c>
      <c r="C44" s="27" t="inlineStr">
        <is>
          <t>Integrated risk scenarios</t>
        </is>
      </c>
      <c r="D44" s="27" t="inlineStr">
        <is>
          <t>Alder Ridge</t>
        </is>
      </c>
      <c r="E44" s="27" t="inlineStr">
        <is>
          <t>2026-05 working copy</t>
        </is>
      </c>
      <c r="F44" s="27" t="inlineStr">
        <is>
          <t>Approved case</t>
        </is>
      </c>
      <c r="G44" s="27" t="inlineStr">
        <is>
          <t>One-time mitigation cost</t>
        </is>
      </c>
      <c r="H44" s="46" t="n">
        <v>226600</v>
      </c>
      <c r="I44" s="27" t="inlineStr"/>
      <c r="J44" s="27" t="inlineStr">
        <is>
          <t>USD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PLN-01178</t>
        </is>
      </c>
      <c r="B45" s="27" t="inlineStr">
        <is>
          <t>Scenario-weighted earnings and liquidity at risk</t>
        </is>
      </c>
      <c r="C45" s="27" t="inlineStr">
        <is>
          <t>Scenario cash assumptions</t>
        </is>
      </c>
      <c r="D45" s="27" t="inlineStr">
        <is>
          <t>Alder Ridge</t>
        </is>
      </c>
      <c r="E45" s="27" t="inlineStr">
        <is>
          <t>FY27</t>
        </is>
      </c>
      <c r="F45" s="27" t="inlineStr">
        <is>
          <t>Management stretch</t>
        </is>
      </c>
      <c r="G45" s="27" t="inlineStr">
        <is>
          <t>Cash taxes</t>
        </is>
      </c>
      <c r="H45" s="46" t="n">
        <v>535600</v>
      </c>
      <c r="I45" s="27" t="inlineStr"/>
      <c r="J45" s="27" t="inlineStr">
        <is>
          <t>USD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PLN-01213</t>
        </is>
      </c>
      <c r="B46" s="27" t="inlineStr">
        <is>
          <t>Scenario-weighted earnings and liquidity at risk</t>
        </is>
      </c>
      <c r="C46" s="27" t="inlineStr">
        <is>
          <t>Scenario mitigation actions</t>
        </is>
      </c>
      <c r="D46" s="27" t="inlineStr">
        <is>
          <t>Procurement lock</t>
        </is>
      </c>
      <c r="E46" s="27" t="inlineStr">
        <is>
          <t>2026-05 working copy</t>
        </is>
      </c>
      <c r="F46" s="27" t="inlineStr">
        <is>
          <t>Approved case</t>
        </is>
      </c>
      <c r="G46" s="27" t="inlineStr">
        <is>
          <t>Full EBITDA benefit</t>
        </is>
      </c>
      <c r="H46" s="46" t="n">
        <v>762200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PLN-01214</t>
        </is>
      </c>
      <c r="B47" s="27" t="inlineStr">
        <is>
          <t>Scenario-weighted earnings and liquidity at risk</t>
        </is>
      </c>
      <c r="C47" s="27" t="inlineStr">
        <is>
          <t>Scenario mitigation actions</t>
        </is>
      </c>
      <c r="D47" s="27" t="inlineStr">
        <is>
          <t>Overtime freeze</t>
        </is>
      </c>
      <c r="E47" s="27" t="inlineStr">
        <is>
          <t>FY27</t>
        </is>
      </c>
      <c r="F47" s="27" t="inlineStr">
        <is>
          <t>Management stretch</t>
        </is>
      </c>
      <c r="G47" s="27" t="inlineStr">
        <is>
          <t>Full cash release</t>
        </is>
      </c>
      <c r="H47" s="46" t="n">
        <v>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PLN-01215</t>
        </is>
      </c>
      <c r="B48" s="27" t="inlineStr">
        <is>
          <t>Scenario-weighted earnings and liquidity at risk</t>
        </is>
      </c>
      <c r="C48" s="27" t="inlineStr">
        <is>
          <t>Scenario mitigation actions</t>
        </is>
      </c>
      <c r="D48" s="27" t="inlineStr">
        <is>
          <t>Working capital war room</t>
        </is>
      </c>
      <c r="E48" s="27" t="inlineStr">
        <is>
          <t>2026-05 working copy</t>
        </is>
      </c>
      <c r="F48" s="27" t="inlineStr">
        <is>
          <t>Approved case</t>
        </is>
      </c>
      <c r="G48" s="27" t="inlineStr">
        <is>
          <t>Cash implementation cost</t>
        </is>
      </c>
      <c r="H48" s="46" t="n">
        <v>152250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PLN-01216</t>
        </is>
      </c>
      <c r="B49" s="27" t="inlineStr">
        <is>
          <t>Scenario-weighted earnings and liquidity at risk</t>
        </is>
      </c>
      <c r="C49" s="27" t="inlineStr">
        <is>
          <t>Scenario mitigation actions</t>
        </is>
      </c>
      <c r="D49" s="27" t="inlineStr">
        <is>
          <t>Capex gate</t>
        </is>
      </c>
      <c r="E49" s="27" t="inlineStr">
        <is>
          <t>FY27</t>
        </is>
      </c>
      <c r="F49" s="27" t="inlineStr">
        <is>
          <t>Management stretch</t>
        </is>
      </c>
      <c r="G49" s="27" t="inlineStr">
        <is>
          <t>Soft landing factor</t>
        </is>
      </c>
      <c r="H49" s="46" t="n">
        <v>0.515</v>
      </c>
      <c r="I49" s="27" t="inlineStr"/>
      <c r="J49" s="27" t="inlineStr">
        <is>
          <t>decimal ratio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PLN-01217</t>
        </is>
      </c>
      <c r="B50" s="27" t="inlineStr">
        <is>
          <t>Scenario-weighted earnings and liquidity at risk</t>
        </is>
      </c>
      <c r="C50" s="27" t="inlineStr">
        <is>
          <t>Scenario mitigation actions</t>
        </is>
      </c>
      <c r="D50" s="27" t="inlineStr">
        <is>
          <t>Vendor term extension</t>
        </is>
      </c>
      <c r="E50" s="27" t="inlineStr">
        <is>
          <t>2026-05 working copy</t>
        </is>
      </c>
      <c r="F50" s="27" t="inlineStr">
        <is>
          <t>Approved case</t>
        </is>
      </c>
      <c r="G50" s="27" t="inlineStr">
        <is>
          <t>Severe factor</t>
        </is>
      </c>
      <c r="H50" s="46" t="n">
        <v>0.9360000000000001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PLN-01218</t>
        </is>
      </c>
      <c r="B51" s="27" t="inlineStr">
        <is>
          <t>Scenario-weighted earnings and liquidity at risk</t>
        </is>
      </c>
      <c r="C51" s="27" t="inlineStr">
        <is>
          <t>Scenario mitigation actions</t>
        </is>
      </c>
      <c r="D51" s="27" t="inlineStr">
        <is>
          <t>Procurement lock</t>
        </is>
      </c>
      <c r="E51" s="27" t="inlineStr">
        <is>
          <t>FY27</t>
        </is>
      </c>
      <c r="F51" s="27" t="inlineStr">
        <is>
          <t>Management stretch</t>
        </is>
      </c>
      <c r="G51" s="27" t="inlineStr">
        <is>
          <t>Full cash release</t>
        </is>
      </c>
      <c r="H51" s="46" t="n">
        <v>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</sheetData>
  <autoFilter ref="A4:M51"/>
  <mergeCells count="2">
    <mergeCell ref="A2:M2"/>
    <mergeCell ref="A1:M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6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FY27 operating plan | Opex and Workforce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PLN-00069</t>
        </is>
      </c>
      <c r="B5" s="27" t="inlineStr">
        <is>
          <t>Complete the FY27 EBITDA scenario model</t>
        </is>
      </c>
      <c r="C5" s="27" t="inlineStr">
        <is>
          <t>Driver Inputs</t>
        </is>
      </c>
      <c r="D5" s="27" t="inlineStr">
        <is>
          <t>Construction</t>
        </is>
      </c>
      <c r="E5" s="27" t="inlineStr">
        <is>
          <t>2026-05 working copy</t>
        </is>
      </c>
      <c r="F5" s="27" t="inlineStr">
        <is>
          <t>Base</t>
        </is>
      </c>
      <c r="G5" s="27" t="inlineStr">
        <is>
          <t>Revenue growth</t>
        </is>
      </c>
      <c r="H5" s="46" t="n">
        <v>0.05665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PLN-00070</t>
        </is>
      </c>
      <c r="B6" s="27" t="inlineStr">
        <is>
          <t>Complete the FY27 EBITDA scenario model</t>
        </is>
      </c>
      <c r="C6" s="27" t="inlineStr">
        <is>
          <t>Driver Inputs</t>
        </is>
      </c>
      <c r="D6" s="27" t="inlineStr">
        <is>
          <t>Consolidated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Variable Opex Rate</t>
        </is>
      </c>
      <c r="H6" s="46" t="n">
        <v>0.03224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PLN-00071</t>
        </is>
      </c>
      <c r="B7" s="27" t="inlineStr">
        <is>
          <t>Complete the FY27 EBITDA scenario model</t>
        </is>
      </c>
      <c r="C7" s="27" t="inlineStr">
        <is>
          <t>Driver Inputs</t>
        </is>
      </c>
      <c r="D7" s="27" t="inlineStr">
        <is>
          <t>Service</t>
        </is>
      </c>
      <c r="E7" s="27" t="inlineStr">
        <is>
          <t>2026-05 working copy</t>
        </is>
      </c>
      <c r="F7" s="27" t="inlineStr">
        <is>
          <t>Downside</t>
        </is>
      </c>
      <c r="G7" s="27" t="inlineStr">
        <is>
          <t>Gross margin</t>
        </is>
      </c>
      <c r="H7" s="46" t="n">
        <v>0.38325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PLN-00072</t>
        </is>
      </c>
      <c r="B8" s="27" t="inlineStr">
        <is>
          <t>Complete the FY27 EBITDA scenario model</t>
        </is>
      </c>
      <c r="C8" s="27" t="inlineStr">
        <is>
          <t>Driver Inputs</t>
        </is>
      </c>
      <c r="D8" s="27" t="inlineStr">
        <is>
          <t>Consolidated</t>
        </is>
      </c>
      <c r="E8" s="27" t="inlineStr">
        <is>
          <t>FY27</t>
        </is>
      </c>
      <c r="F8" s="27" t="inlineStr">
        <is>
          <t>Management stretch</t>
        </is>
      </c>
      <c r="G8" s="27" t="inlineStr">
        <is>
          <t>Nwc Rate</t>
        </is>
      </c>
      <c r="H8" s="46" t="n">
        <v>0.0103</v>
      </c>
      <c r="I8" s="27" t="inlineStr"/>
      <c r="J8" s="27" t="inlineStr">
        <is>
          <t>decimal ratio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PLN-00073</t>
        </is>
      </c>
      <c r="B9" s="27" t="inlineStr">
        <is>
          <t>Complete the FY27 EBITDA scenario model</t>
        </is>
      </c>
      <c r="C9" s="27" t="inlineStr">
        <is>
          <t>Driver Inputs</t>
        </is>
      </c>
      <c r="D9" s="27" t="inlineStr">
        <is>
          <t>Consolidated</t>
        </is>
      </c>
      <c r="E9" s="27" t="inlineStr">
        <is>
          <t>2026-05 working copy</t>
        </is>
      </c>
      <c r="F9" s="27" t="inlineStr">
        <is>
          <t>Upside</t>
        </is>
      </c>
      <c r="G9" s="27" t="inlineStr">
        <is>
          <t>Fixed Opex Growth</t>
        </is>
      </c>
      <c r="H9" s="46" t="n">
        <v>0.078</v>
      </c>
      <c r="I9" s="27" t="inlineStr"/>
      <c r="J9" s="27" t="inlineStr">
        <is>
          <t>decimal ratio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PLN-00074</t>
        </is>
      </c>
      <c r="B10" s="27" t="inlineStr">
        <is>
          <t>Complete the FY27 EBITDA scenario model</t>
        </is>
      </c>
      <c r="C10" s="27" t="inlineStr">
        <is>
          <t>Driver Inputs</t>
        </is>
      </c>
      <c r="D10" s="27" t="inlineStr">
        <is>
          <t>Construction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Gross margin</t>
        </is>
      </c>
      <c r="H10" s="46" t="n">
        <v>0.29925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PLN-00075</t>
        </is>
      </c>
      <c r="B11" s="27" t="inlineStr">
        <is>
          <t>Complete the FY27 EBITDA scenario model</t>
        </is>
      </c>
      <c r="C11" s="27" t="inlineStr">
        <is>
          <t>Driver Inputs</t>
        </is>
      </c>
      <c r="D11" s="27" t="inlineStr">
        <is>
          <t>Consolidated</t>
        </is>
      </c>
      <c r="E11" s="27" t="inlineStr">
        <is>
          <t>2026-05 working copy</t>
        </is>
      </c>
      <c r="F11" s="27" t="inlineStr">
        <is>
          <t>Base</t>
        </is>
      </c>
      <c r="G11" s="27" t="inlineStr">
        <is>
          <t>Cash Tax Rate</t>
        </is>
      </c>
      <c r="H11" s="46" t="n">
        <v>0.24205</v>
      </c>
      <c r="I11" s="27" t="inlineStr"/>
      <c r="J11" s="27" t="inlineStr">
        <is>
          <t>decimal ratio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PLN-00076</t>
        </is>
      </c>
      <c r="B12" s="27" t="inlineStr">
        <is>
          <t>Complete the FY27 EBITDA scenario model</t>
        </is>
      </c>
      <c r="C12" s="27" t="inlineStr">
        <is>
          <t>Driver Inputs</t>
        </is>
      </c>
      <c r="D12" s="27" t="inlineStr">
        <is>
          <t>Controls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Revenue growth</t>
        </is>
      </c>
      <c r="H12" s="46" t="n">
        <v>-0.0312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PLN-00077</t>
        </is>
      </c>
      <c r="B13" s="27" t="inlineStr">
        <is>
          <t>Complete the FY27 EBITDA scenario model</t>
        </is>
      </c>
      <c r="C13" s="27" t="inlineStr">
        <is>
          <t>Driver Inputs</t>
        </is>
      </c>
      <c r="D13" s="27" t="inlineStr">
        <is>
          <t>Construction</t>
        </is>
      </c>
      <c r="E13" s="27" t="inlineStr">
        <is>
          <t>2026-05 working copy</t>
        </is>
      </c>
      <c r="F13" s="27" t="inlineStr">
        <is>
          <t>Upside</t>
        </is>
      </c>
      <c r="G13" s="27" t="inlineStr">
        <is>
          <t>Revenue growth</t>
        </is>
      </c>
      <c r="H13" s="46" t="n">
        <v>0.13125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PLN-00078</t>
        </is>
      </c>
      <c r="B14" s="27" t="inlineStr">
        <is>
          <t>Complete the FY27 EBITDA scenario model</t>
        </is>
      </c>
      <c r="C14" s="27" t="inlineStr">
        <is>
          <t>Driver Inputs</t>
        </is>
      </c>
      <c r="D14" s="27" t="inlineStr">
        <is>
          <t>Consolidated</t>
        </is>
      </c>
      <c r="E14" s="27" t="inlineStr">
        <is>
          <t>FY27</t>
        </is>
      </c>
      <c r="F14" s="27" t="inlineStr">
        <is>
          <t>Management stretch</t>
        </is>
      </c>
      <c r="G14" s="27" t="inlineStr">
        <is>
          <t>Variable Opex Rate</t>
        </is>
      </c>
      <c r="H14" s="46" t="n">
        <v>0.0309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PLN-00079</t>
        </is>
      </c>
      <c r="B15" s="27" t="inlineStr">
        <is>
          <t>Complete the FY27 EBITDA scenario model</t>
        </is>
      </c>
      <c r="C15" s="27" t="inlineStr">
        <is>
          <t>Driver Inputs</t>
        </is>
      </c>
      <c r="D15" s="27" t="inlineStr">
        <is>
          <t>Service</t>
        </is>
      </c>
      <c r="E15" s="27" t="inlineStr">
        <is>
          <t>2026-05 working copy</t>
        </is>
      </c>
      <c r="F15" s="27" t="inlineStr">
        <is>
          <t>Base</t>
        </is>
      </c>
      <c r="G15" s="27" t="inlineStr">
        <is>
          <t>Revenue growth</t>
        </is>
      </c>
      <c r="H15" s="46" t="n">
        <v>0.0936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PLN-00080</t>
        </is>
      </c>
      <c r="B16" s="27" t="inlineStr">
        <is>
          <t>Complete the FY27 EBITDA scenario model</t>
        </is>
      </c>
      <c r="C16" s="27" t="inlineStr">
        <is>
          <t>Driver Inputs</t>
        </is>
      </c>
      <c r="D16" s="27" t="inlineStr">
        <is>
          <t>Consolidated</t>
        </is>
      </c>
      <c r="E16" s="27" t="inlineStr">
        <is>
          <t>FY27</t>
        </is>
      </c>
      <c r="F16" s="27" t="inlineStr">
        <is>
          <t>Management stretch</t>
        </is>
      </c>
      <c r="G16" s="27" t="inlineStr">
        <is>
          <t>Capex</t>
        </is>
      </c>
      <c r="H16" s="46" t="n">
        <v>3307500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PLN-00227</t>
        </is>
      </c>
      <c r="B17" s="27" t="inlineStr">
        <is>
          <t>Twelve-month operating-expense reforecast</t>
        </is>
      </c>
      <c r="C17" s="27" t="inlineStr">
        <is>
          <t>Approved reforecast events</t>
        </is>
      </c>
      <c r="D17" s="27" t="inlineStr">
        <is>
          <t>Operations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Net approved run-rate and timing adjustment</t>
        </is>
      </c>
      <c r="H17" s="46" t="n">
        <v>6866.666666666666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PLN-00228</t>
        </is>
      </c>
      <c r="B18" s="27" t="inlineStr">
        <is>
          <t>Twelve-month operating-expense reforecast</t>
        </is>
      </c>
      <c r="C18" s="27" t="inlineStr">
        <is>
          <t>Approved reforecast events</t>
        </is>
      </c>
      <c r="D18" s="27" t="inlineStr">
        <is>
          <t>Operations</t>
        </is>
      </c>
      <c r="E18" s="27" t="inlineStr">
        <is>
          <t>2027-02</t>
        </is>
      </c>
      <c r="F18" s="27" t="inlineStr">
        <is>
          <t>Management stretch</t>
        </is>
      </c>
      <c r="G18" s="27" t="inlineStr">
        <is>
          <t>Net approved run-rate and timing adjustment</t>
        </is>
      </c>
      <c r="H18" s="46" t="n">
        <v>55.46666666666666</v>
      </c>
      <c r="I18" s="27" t="inlineStr"/>
      <c r="J18" s="27" t="inlineStr">
        <is>
          <t>USD thousands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PLN-00229</t>
        </is>
      </c>
      <c r="B19" s="27" t="inlineStr">
        <is>
          <t>Twelve-month operating-expense reforecast</t>
        </is>
      </c>
      <c r="C19" s="27" t="inlineStr">
        <is>
          <t>Approved reforecast events</t>
        </is>
      </c>
      <c r="D19" s="27" t="inlineStr">
        <is>
          <t>Information Technology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Net approved run-rate and timing adjustment</t>
        </is>
      </c>
      <c r="H19" s="46" t="n">
        <v>11509.61538461539</v>
      </c>
      <c r="I19" s="27" t="inlineStr"/>
      <c r="J19" s="27" t="inlineStr">
        <is>
          <t>USD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PLN-00230</t>
        </is>
      </c>
      <c r="B20" s="27" t="inlineStr">
        <is>
          <t>Twelve-month operating-expense reforecast</t>
        </is>
      </c>
      <c r="C20" s="27" t="inlineStr">
        <is>
          <t>Approved reforecast events</t>
        </is>
      </c>
      <c r="D20" s="27" t="inlineStr">
        <is>
          <t>Information Technology</t>
        </is>
      </c>
      <c r="E20" s="27" t="inlineStr">
        <is>
          <t>2027-04</t>
        </is>
      </c>
      <c r="F20" s="27" t="inlineStr">
        <is>
          <t>Management stretch</t>
        </is>
      </c>
      <c r="G20" s="27" t="inlineStr">
        <is>
          <t>Net approved run-rate and timing adjustment</t>
        </is>
      </c>
      <c r="H20" s="46" t="n">
        <v>37634.61538461538</v>
      </c>
      <c r="I20" s="27" t="inlineStr"/>
      <c r="J20" s="27" t="inlineStr">
        <is>
          <t>USD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PLN-00231</t>
        </is>
      </c>
      <c r="B21" s="27" t="inlineStr">
        <is>
          <t>Twelve-month operating-expense reforecast</t>
        </is>
      </c>
      <c r="C21" s="27" t="inlineStr">
        <is>
          <t>Approved reforecast events</t>
        </is>
      </c>
      <c r="D21" s="27" t="inlineStr">
        <is>
          <t>Sales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Net approved run-rate and timing adjustment</t>
        </is>
      </c>
      <c r="H21" s="46" t="n">
        <v>11000</v>
      </c>
      <c r="I21" s="27" t="inlineStr"/>
      <c r="J21" s="27" t="inlineStr">
        <is>
          <t>USD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PLN-00232</t>
        </is>
      </c>
      <c r="B22" s="27" t="inlineStr">
        <is>
          <t>Twelve-month operating-expense reforecast</t>
        </is>
      </c>
      <c r="C22" s="27" t="inlineStr">
        <is>
          <t>Approved reforecast events</t>
        </is>
      </c>
      <c r="D22" s="27" t="inlineStr">
        <is>
          <t>Sales</t>
        </is>
      </c>
      <c r="E22" s="27" t="inlineStr">
        <is>
          <t>2027-06</t>
        </is>
      </c>
      <c r="F22" s="27" t="inlineStr">
        <is>
          <t>Management stretch</t>
        </is>
      </c>
      <c r="G22" s="27" t="inlineStr">
        <is>
          <t>Net approved run-rate and timing adjustment</t>
        </is>
      </c>
      <c r="H22" s="46" t="n">
        <v>26.65384615384616</v>
      </c>
      <c r="I22" s="27" t="inlineStr"/>
      <c r="J22" s="27" t="inlineStr">
        <is>
          <t>USD thousands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PLN-00233</t>
        </is>
      </c>
      <c r="B23" s="27" t="inlineStr">
        <is>
          <t>Twelve-month operating-expense reforecast</t>
        </is>
      </c>
      <c r="C23" s="27" t="inlineStr">
        <is>
          <t>Approved reforecast events</t>
        </is>
      </c>
      <c r="D23" s="27" t="inlineStr">
        <is>
          <t>Finance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Net approved run-rate and timing adjustment</t>
        </is>
      </c>
      <c r="H23" s="46" t="n">
        <v>-6655.384615384616</v>
      </c>
      <c r="I23" s="27" t="inlineStr"/>
      <c r="J23" s="27" t="inlineStr">
        <is>
          <t>USD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PLN-00234</t>
        </is>
      </c>
      <c r="B24" s="27" t="inlineStr">
        <is>
          <t>Twelve-month operating-expense reforecast</t>
        </is>
      </c>
      <c r="C24" s="27" t="inlineStr">
        <is>
          <t>Approved reforecast events</t>
        </is>
      </c>
      <c r="D24" s="27" t="inlineStr">
        <is>
          <t>People</t>
        </is>
      </c>
      <c r="E24" s="27" t="inlineStr">
        <is>
          <t>2026-08</t>
        </is>
      </c>
      <c r="F24" s="27" t="inlineStr">
        <is>
          <t>Management stretch</t>
        </is>
      </c>
      <c r="G24" s="27" t="inlineStr">
        <is>
          <t>Net approved run-rate and timing adjustment</t>
        </is>
      </c>
      <c r="H24" s="46" t="n">
        <v>-1546.666666666667</v>
      </c>
      <c r="I24" s="27" t="inlineStr"/>
      <c r="J24" s="27" t="inlineStr">
        <is>
          <t>USD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PLN-00235</t>
        </is>
      </c>
      <c r="B25" s="27" t="inlineStr">
        <is>
          <t>Twelve-month operating-expense reforecast</t>
        </is>
      </c>
      <c r="C25" s="27" t="inlineStr">
        <is>
          <t>Approved reforecast events</t>
        </is>
      </c>
      <c r="D25" s="27" t="inlineStr">
        <is>
          <t>People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Net approved run-rate and timing adjustment</t>
        </is>
      </c>
      <c r="H25" s="46" t="n">
        <v>-7026.923076923077</v>
      </c>
      <c r="I25" s="27" t="inlineStr"/>
      <c r="J25" s="27" t="inlineStr">
        <is>
          <t>USD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PLN-00236</t>
        </is>
      </c>
      <c r="B26" s="27" t="inlineStr">
        <is>
          <t>Twelve-month operating-expense reforecast</t>
        </is>
      </c>
      <c r="C26" s="27" t="inlineStr">
        <is>
          <t>Approved reforecast events</t>
        </is>
      </c>
      <c r="D26" s="27" t="inlineStr">
        <is>
          <t>Executive</t>
        </is>
      </c>
      <c r="E26" s="27" t="inlineStr">
        <is>
          <t>2026-10</t>
        </is>
      </c>
      <c r="F26" s="27" t="inlineStr">
        <is>
          <t>Management stretch</t>
        </is>
      </c>
      <c r="G26" s="27" t="inlineStr">
        <is>
          <t>Net approved run-rate and timing adjustment</t>
        </is>
      </c>
      <c r="H26" s="46" t="n">
        <v>2112.820512820513</v>
      </c>
      <c r="I26" s="27" t="inlineStr"/>
      <c r="J26" s="27" t="inlineStr">
        <is>
          <t>USD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PLN-00237</t>
        </is>
      </c>
      <c r="B27" s="27" t="inlineStr">
        <is>
          <t>Twelve-month operating-expense reforecast</t>
        </is>
      </c>
      <c r="C27" s="27" t="inlineStr">
        <is>
          <t>Approved reforecast events</t>
        </is>
      </c>
      <c r="D27" s="27" t="inlineStr">
        <is>
          <t>Executive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Net approved run-rate and timing adjustment</t>
        </is>
      </c>
      <c r="H27" s="46" t="n">
        <v>5866.666666666666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PLN-00238</t>
        </is>
      </c>
      <c r="B28" s="27" t="inlineStr">
        <is>
          <t>Twelve-month operating-expense reforecast</t>
        </is>
      </c>
      <c r="C28" s="27" t="inlineStr">
        <is>
          <t>Approved reforecast events</t>
        </is>
      </c>
      <c r="D28" s="27" t="inlineStr">
        <is>
          <t>Operations</t>
        </is>
      </c>
      <c r="E28" s="27" t="inlineStr">
        <is>
          <t>2026-10</t>
        </is>
      </c>
      <c r="F28" s="27" t="inlineStr">
        <is>
          <t>Management stretch</t>
        </is>
      </c>
      <c r="G28" s="27" t="inlineStr">
        <is>
          <t>Net approved run-rate and timing adjustment</t>
        </is>
      </c>
      <c r="H28" s="46" t="n">
        <v>28000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PLN-00239</t>
        </is>
      </c>
      <c r="B29" s="27" t="inlineStr">
        <is>
          <t>Twelve-month operating-expense reforecast</t>
        </is>
      </c>
      <c r="C29" s="27" t="inlineStr">
        <is>
          <t>Approved reforecast events</t>
        </is>
      </c>
      <c r="D29" s="27" t="inlineStr">
        <is>
          <t>Operations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Net approved run-rate and timing adjustment</t>
        </is>
      </c>
      <c r="H29" s="46" t="n">
        <v>75533.33333333333</v>
      </c>
      <c r="I29" s="27" t="inlineStr"/>
      <c r="J29" s="27" t="inlineStr">
        <is>
          <t>USD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PLN-00240</t>
        </is>
      </c>
      <c r="B30" s="27" t="inlineStr">
        <is>
          <t>Twelve-month operating-expense reforecast</t>
        </is>
      </c>
      <c r="C30" s="27" t="inlineStr">
        <is>
          <t>Approved reforecast events</t>
        </is>
      </c>
      <c r="D30" s="27" t="inlineStr">
        <is>
          <t>Information Technology</t>
        </is>
      </c>
      <c r="E30" s="27" t="inlineStr">
        <is>
          <t>2026-12</t>
        </is>
      </c>
      <c r="F30" s="27" t="inlineStr">
        <is>
          <t>Management stretch</t>
        </is>
      </c>
      <c r="G30" s="27" t="inlineStr">
        <is>
          <t>Net approved run-rate and timing adjustment</t>
        </is>
      </c>
      <c r="H30" s="46" t="n">
        <v>22.8</v>
      </c>
      <c r="I30" s="27" t="inlineStr"/>
      <c r="J30" s="27" t="inlineStr">
        <is>
          <t>USD thousands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PLN-00370</t>
        </is>
      </c>
      <c r="B31" s="27" t="inlineStr">
        <is>
          <t>Complete the FY27 field workforce plan</t>
        </is>
      </c>
      <c r="C31" s="27" t="inlineStr">
        <is>
          <t>Employee roster summary</t>
        </is>
      </c>
      <c r="D31" s="27" t="inlineStr">
        <is>
          <t>Journey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Monthly paid hours per FTE</t>
        </is>
      </c>
      <c r="H31" s="46" t="n">
        <v>164.8</v>
      </c>
      <c r="I31" s="27" t="inlineStr"/>
      <c r="J31" s="27" t="inlineStr">
        <is>
          <t>hours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PLN-00371</t>
        </is>
      </c>
      <c r="B32" s="27" t="inlineStr">
        <is>
          <t>Complete the FY27 field workforce plan</t>
        </is>
      </c>
      <c r="C32" s="27" t="inlineStr">
        <is>
          <t>Monthly productive-hour demand</t>
        </is>
      </c>
      <c r="D32" s="27" t="inlineStr">
        <is>
          <t>Journey</t>
        </is>
      </c>
      <c r="E32" s="27" t="inlineStr">
        <is>
          <t>2026-10</t>
        </is>
      </c>
      <c r="F32" s="27" t="inlineStr">
        <is>
          <t>Management stretch</t>
        </is>
      </c>
      <c r="G32" s="27" t="inlineStr">
        <is>
          <t>Required productive hours</t>
        </is>
      </c>
      <c r="H32" s="46" t="n">
        <v>10983.518208</v>
      </c>
      <c r="I32" s="27" t="inlineStr"/>
      <c r="J32" s="27" t="inlineStr">
        <is>
          <t>hours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PLN-00372</t>
        </is>
      </c>
      <c r="B33" s="27" t="inlineStr">
        <is>
          <t>Complete the FY27 field workforce plan</t>
        </is>
      </c>
      <c r="C33" s="27" t="inlineStr">
        <is>
          <t>Monthly productive-hour demand</t>
        </is>
      </c>
      <c r="D33" s="27" t="inlineStr">
        <is>
          <t>Journey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Required productive hours</t>
        </is>
      </c>
      <c r="H33" s="46" t="n">
        <v>11962.944</v>
      </c>
      <c r="I33" s="27" t="inlineStr"/>
      <c r="J33" s="27" t="inlineStr">
        <is>
          <t>hours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PLN-00373</t>
        </is>
      </c>
      <c r="B34" s="27" t="inlineStr">
        <is>
          <t>Complete the FY27 field workforce plan</t>
        </is>
      </c>
      <c r="C34" s="27" t="inlineStr">
        <is>
          <t>Monthly productive-hour demand</t>
        </is>
      </c>
      <c r="D34" s="27" t="inlineStr">
        <is>
          <t>Apprentice</t>
        </is>
      </c>
      <c r="E34" s="27" t="inlineStr">
        <is>
          <t>2026-08</t>
        </is>
      </c>
      <c r="F34" s="27" t="inlineStr">
        <is>
          <t>Management stretch</t>
        </is>
      </c>
      <c r="G34" s="27" t="inlineStr">
        <is>
          <t>Required productive hours</t>
        </is>
      </c>
      <c r="H34" s="46" t="n">
        <v>3273.42582784</v>
      </c>
      <c r="I34" s="27" t="inlineStr"/>
      <c r="J34" s="27" t="inlineStr">
        <is>
          <t>hours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PLN-00374</t>
        </is>
      </c>
      <c r="B35" s="27" t="inlineStr">
        <is>
          <t>Complete the FY27 field workforce plan</t>
        </is>
      </c>
      <c r="C35" s="27" t="inlineStr">
        <is>
          <t>Monthly productive-hour demand</t>
        </is>
      </c>
      <c r="D35" s="27" t="inlineStr">
        <is>
          <t>Apprentice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Required productive hours</t>
        </is>
      </c>
      <c r="H35" s="46" t="n">
        <v>3888.85159936</v>
      </c>
      <c r="I35" s="27" t="inlineStr"/>
      <c r="J35" s="27" t="inlineStr">
        <is>
          <t>hours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PLN-00375</t>
        </is>
      </c>
      <c r="B36" s="27" t="inlineStr">
        <is>
          <t>Complete the FY27 field workforce plan</t>
        </is>
      </c>
      <c r="C36" s="27" t="inlineStr">
        <is>
          <t>Employee roster summary</t>
        </is>
      </c>
      <c r="D36" s="27" t="inlineStr">
        <is>
          <t>Controls technician</t>
        </is>
      </c>
      <c r="E36" s="27" t="inlineStr">
        <is>
          <t>FY27</t>
        </is>
      </c>
      <c r="F36" s="27" t="inlineStr">
        <is>
          <t>Management stretch</t>
        </is>
      </c>
      <c r="G36" s="27" t="inlineStr">
        <is>
          <t>Benefits and burden</t>
        </is>
      </c>
      <c r="H36" s="46" t="n">
        <v>0.315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PLN-00376</t>
        </is>
      </c>
      <c r="B37" s="27" t="inlineStr">
        <is>
          <t>Complete the FY27 field workforce plan</t>
        </is>
      </c>
      <c r="C37" s="27" t="inlineStr">
        <is>
          <t>Monthly productive-hour demand</t>
        </is>
      </c>
      <c r="D37" s="27" t="inlineStr">
        <is>
          <t>Controls technician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Required productive hours</t>
        </is>
      </c>
      <c r="H37" s="46" t="n">
        <v>1787.038464</v>
      </c>
      <c r="I37" s="27" t="inlineStr"/>
      <c r="J37" s="27" t="inlineStr">
        <is>
          <t>hours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PLN-00377</t>
        </is>
      </c>
      <c r="B38" s="27" t="inlineStr">
        <is>
          <t>Complete the FY27 field workforce plan</t>
        </is>
      </c>
      <c r="C38" s="27" t="inlineStr">
        <is>
          <t>Workforce policy</t>
        </is>
      </c>
      <c r="D38" s="27" t="inlineStr">
        <is>
          <t>New hires</t>
        </is>
      </c>
      <c r="E38" s="27" t="inlineStr">
        <is>
          <t>FY27</t>
        </is>
      </c>
      <c r="F38" s="27" t="inlineStr">
        <is>
          <t>Management stretch</t>
        </is>
      </c>
      <c r="G38" s="27" t="inlineStr">
        <is>
          <t>Training ramp productive factor</t>
        </is>
      </c>
      <c r="H38" s="46" t="n">
        <v>0.676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PLN-00378</t>
        </is>
      </c>
      <c r="B39" s="27" t="inlineStr">
        <is>
          <t>Complete the FY27 field workforce plan</t>
        </is>
      </c>
      <c r="C39" s="27" t="inlineStr">
        <is>
          <t>Monthly productive-hour demand</t>
        </is>
      </c>
      <c r="D39" s="27" t="inlineStr">
        <is>
          <t>Journey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Required productive hours</t>
        </is>
      </c>
      <c r="H39" s="46" t="n">
        <v>10839.46752</v>
      </c>
      <c r="I39" s="27" t="inlineStr"/>
      <c r="J39" s="27" t="inlineStr">
        <is>
          <t>hours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PLN-00379</t>
        </is>
      </c>
      <c r="B40" s="27" t="inlineStr">
        <is>
          <t>Complete the FY27 field workforce plan</t>
        </is>
      </c>
      <c r="C40" s="27" t="inlineStr">
        <is>
          <t>Monthly productive-hour demand</t>
        </is>
      </c>
      <c r="D40" s="27" t="inlineStr">
        <is>
          <t>Journey</t>
        </is>
      </c>
      <c r="E40" s="27" t="inlineStr">
        <is>
          <t>2027-03</t>
        </is>
      </c>
      <c r="F40" s="27" t="inlineStr">
        <is>
          <t>Management stretch</t>
        </is>
      </c>
      <c r="G40" s="27" t="inlineStr">
        <is>
          <t>Required productive hours</t>
        </is>
      </c>
      <c r="H40" s="46" t="n">
        <v>12510.614016</v>
      </c>
      <c r="I40" s="27" t="inlineStr"/>
      <c r="J40" s="27" t="inlineStr">
        <is>
          <t>hours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PLN-00380</t>
        </is>
      </c>
      <c r="B41" s="27" t="inlineStr">
        <is>
          <t>Complete the FY27 field workforce plan</t>
        </is>
      </c>
      <c r="C41" s="27" t="inlineStr">
        <is>
          <t>Employee roster summary</t>
        </is>
      </c>
      <c r="D41" s="27" t="inlineStr">
        <is>
          <t>Apprentice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Benefits and burden</t>
        </is>
      </c>
      <c r="H41" s="46" t="n">
        <v>0.3536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PLN-00381</t>
        </is>
      </c>
      <c r="B42" s="27" t="inlineStr">
        <is>
          <t>Complete the FY27 field workforce plan</t>
        </is>
      </c>
      <c r="C42" s="27" t="inlineStr">
        <is>
          <t>Monthly productive-hour demand</t>
        </is>
      </c>
      <c r="D42" s="27" t="inlineStr">
        <is>
          <t>Apprentice</t>
        </is>
      </c>
      <c r="E42" s="27" t="inlineStr">
        <is>
          <t>2027-01</t>
        </is>
      </c>
      <c r="F42" s="27" t="inlineStr">
        <is>
          <t>Management stretch</t>
        </is>
      </c>
      <c r="G42" s="27" t="inlineStr">
        <is>
          <t>Required productive hours</t>
        </is>
      </c>
      <c r="H42" s="46" t="n">
        <v>3529.136486400001</v>
      </c>
      <c r="I42" s="27" t="inlineStr"/>
      <c r="J42" s="27" t="inlineStr">
        <is>
          <t>hours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PLN-00382</t>
        </is>
      </c>
      <c r="B43" s="27" t="inlineStr">
        <is>
          <t>Complete the FY27 field workforce plan</t>
        </is>
      </c>
      <c r="C43" s="27" t="inlineStr">
        <is>
          <t>Employee roster summary</t>
        </is>
      </c>
      <c r="D43" s="27" t="inlineStr">
        <is>
          <t>Controls technician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Productive utilization</t>
        </is>
      </c>
      <c r="H43" s="46" t="n">
        <v>0.8446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PLN-00383</t>
        </is>
      </c>
      <c r="B44" s="27" t="inlineStr">
        <is>
          <t>Complete the FY27 field workforce plan</t>
        </is>
      </c>
      <c r="C44" s="27" t="inlineStr">
        <is>
          <t>Monthly productive-hour demand</t>
        </is>
      </c>
      <c r="D44" s="27" t="inlineStr">
        <is>
          <t>Controls technician</t>
        </is>
      </c>
      <c r="E44" s="27" t="inlineStr">
        <is>
          <t>2026-11</t>
        </is>
      </c>
      <c r="F44" s="27" t="inlineStr">
        <is>
          <t>Management stretch</t>
        </is>
      </c>
      <c r="G44" s="27" t="inlineStr">
        <is>
          <t>Required productive hours</t>
        </is>
      </c>
      <c r="H44" s="46" t="n">
        <v>1765.091328</v>
      </c>
      <c r="I44" s="27" t="inlineStr"/>
      <c r="J44" s="27" t="inlineStr">
        <is>
          <t>hours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PLN-01270</t>
        </is>
      </c>
      <c r="B45" s="27" t="inlineStr">
        <is>
          <t>Create the FY27 budget-reallocation optimizer</t>
        </is>
      </c>
      <c r="C45" s="27" t="inlineStr">
        <is>
          <t>Budget reallocation initiatives</t>
        </is>
      </c>
      <c r="D45" s="27" t="inlineStr">
        <is>
          <t>Field scheduling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FY27 cash spend</t>
        </is>
      </c>
      <c r="H45" s="46" t="n">
        <v>638.6</v>
      </c>
      <c r="I45" s="27" t="inlineStr"/>
      <c r="J45" s="27" t="inlineStr">
        <is>
          <t>USD thousands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PLN-01271</t>
        </is>
      </c>
      <c r="B46" s="27" t="inlineStr">
        <is>
          <t>Create the FY27 budget-reallocation optimizer</t>
        </is>
      </c>
      <c r="C46" s="27" t="inlineStr">
        <is>
          <t>Budget reallocation initiatives</t>
        </is>
      </c>
      <c r="D46" s="27" t="inlineStr">
        <is>
          <t>Service routing AI</t>
        </is>
      </c>
      <c r="E46" s="27" t="inlineStr">
        <is>
          <t>FY27</t>
        </is>
      </c>
      <c r="F46" s="27" t="inlineStr">
        <is>
          <t>Management stretch</t>
        </is>
      </c>
      <c r="G46" s="27" t="inlineStr">
        <is>
          <t>Three-year risk-adjusted NPV</t>
        </is>
      </c>
      <c r="H46" s="46" t="n">
        <v>1123200</v>
      </c>
      <c r="I46" s="27" t="inlineStr"/>
      <c r="J46" s="27" t="inlineStr">
        <is>
          <t>USD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PLN-01272</t>
        </is>
      </c>
      <c r="B47" s="27" t="inlineStr">
        <is>
          <t>Create the FY27 budget-reallocation optimizer</t>
        </is>
      </c>
      <c r="C47" s="27" t="inlineStr">
        <is>
          <t>Budget reallocation initiatives</t>
        </is>
      </c>
      <c r="D47" s="27" t="inlineStr">
        <is>
          <t>Procurement analytics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Realization probability</t>
        </is>
      </c>
      <c r="H47" s="46" t="n">
        <v>0.756</v>
      </c>
      <c r="I47" s="27" t="inlineStr"/>
      <c r="J47" s="27" t="inlineStr">
        <is>
          <t>decimal ratio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PLN-01273</t>
        </is>
      </c>
      <c r="B48" s="27" t="inlineStr">
        <is>
          <t>Create the FY27 budget-reallocation optimizer</t>
        </is>
      </c>
      <c r="C48" s="27" t="inlineStr">
        <is>
          <t>Budget reallocation initiatives</t>
        </is>
      </c>
      <c r="D48" s="27" t="inlineStr">
        <is>
          <t>Branch sales hires</t>
        </is>
      </c>
      <c r="E48" s="27" t="inlineStr">
        <is>
          <t>FY27</t>
        </is>
      </c>
      <c r="F48" s="27" t="inlineStr">
        <is>
          <t>Management stretch</t>
        </is>
      </c>
      <c r="G48" s="27" t="inlineStr">
        <is>
          <t>Annual EBITDA benefit</t>
        </is>
      </c>
      <c r="H48" s="46" t="n">
        <v>1483200</v>
      </c>
      <c r="I48" s="27" t="inlineStr"/>
      <c r="J48" s="27" t="inlineStr">
        <is>
          <t>USD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PLN-01274</t>
        </is>
      </c>
      <c r="B49" s="27" t="inlineStr">
        <is>
          <t>Create the FY27 budget-reallocation optimizer</t>
        </is>
      </c>
      <c r="C49" s="27" t="inlineStr">
        <is>
          <t>Budget reallocation initiatives</t>
        </is>
      </c>
      <c r="D49" s="27" t="inlineStr">
        <is>
          <t>Fleet telematics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FY27 cash spend</t>
        </is>
      </c>
      <c r="H49" s="46" t="n">
        <v>301.6</v>
      </c>
      <c r="I49" s="27" t="inlineStr"/>
      <c r="J49" s="27" t="inlineStr">
        <is>
          <t>USD thousands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PLN-01275</t>
        </is>
      </c>
      <c r="B50" s="27" t="inlineStr">
        <is>
          <t>Create the FY27 budget-reallocation optimizer</t>
        </is>
      </c>
      <c r="C50" s="27" t="inlineStr">
        <is>
          <t>Budget reallocation initiatives</t>
        </is>
      </c>
      <c r="D50" s="27" t="inlineStr">
        <is>
          <t>Field scheduling</t>
        </is>
      </c>
      <c r="E50" s="27" t="inlineStr">
        <is>
          <t>FY27</t>
        </is>
      </c>
      <c r="F50" s="27" t="inlineStr">
        <is>
          <t>Management stretch</t>
        </is>
      </c>
      <c r="G50" s="27" t="inlineStr">
        <is>
          <t>FY27 cash spend</t>
        </is>
      </c>
      <c r="H50" s="46" t="n">
        <v>651000</v>
      </c>
      <c r="I50" s="27" t="inlineStr"/>
      <c r="J50" s="27" t="inlineStr">
        <is>
          <t>USD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PLN-01276</t>
        </is>
      </c>
      <c r="B51" s="27" t="inlineStr">
        <is>
          <t>Create the FY27 budget-reallocation optimizer</t>
        </is>
      </c>
      <c r="C51" s="27" t="inlineStr">
        <is>
          <t>Budget reallocation initiatives</t>
        </is>
      </c>
      <c r="D51" s="27" t="inlineStr">
        <is>
          <t>Service routing AI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Three-year risk-adjusted NPV</t>
        </is>
      </c>
      <c r="H51" s="46" t="n">
        <v>1112400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PLN-01277</t>
        </is>
      </c>
      <c r="B52" s="27" t="inlineStr">
        <is>
          <t>Create the FY27 budget-reallocation optimizer</t>
        </is>
      </c>
      <c r="C52" s="27" t="inlineStr">
        <is>
          <t>Budget reallocation initiatives</t>
        </is>
      </c>
      <c r="D52" s="27" t="inlineStr">
        <is>
          <t>Procurement analytics</t>
        </is>
      </c>
      <c r="E52" s="27" t="inlineStr">
        <is>
          <t>FY27</t>
        </is>
      </c>
      <c r="F52" s="27" t="inlineStr">
        <is>
          <t>Management stretch</t>
        </is>
      </c>
      <c r="G52" s="27" t="inlineStr">
        <is>
          <t>Realization probability</t>
        </is>
      </c>
      <c r="H52" s="46" t="n">
        <v>0.7488</v>
      </c>
      <c r="I52" s="27" t="inlineStr"/>
      <c r="J52" s="27" t="inlineStr">
        <is>
          <t>decimal ratio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PLN-01278</t>
        </is>
      </c>
      <c r="B53" s="27" t="inlineStr">
        <is>
          <t>Create the FY27 budget-reallocation optimizer</t>
        </is>
      </c>
      <c r="C53" s="27" t="inlineStr">
        <is>
          <t>Budget reallocation initiatives</t>
        </is>
      </c>
      <c r="D53" s="27" t="inlineStr">
        <is>
          <t>Branch sales hires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Annual EBITDA benefit</t>
        </is>
      </c>
      <c r="H53" s="46" t="n">
        <v>1512</v>
      </c>
      <c r="I53" s="27" t="inlineStr"/>
      <c r="J53" s="27" t="inlineStr">
        <is>
          <t>USD thousands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PLN-01279</t>
        </is>
      </c>
      <c r="B54" s="27" t="inlineStr">
        <is>
          <t>Create the FY27 budget-reallocation optimizer</t>
        </is>
      </c>
      <c r="C54" s="27" t="inlineStr">
        <is>
          <t>Budget reallocation initiatives</t>
        </is>
      </c>
      <c r="D54" s="27" t="inlineStr">
        <is>
          <t>Fleet telematics</t>
        </is>
      </c>
      <c r="E54" s="27" t="inlineStr">
        <is>
          <t>FY27</t>
        </is>
      </c>
      <c r="F54" s="27" t="inlineStr">
        <is>
          <t>Management stretch</t>
        </is>
      </c>
      <c r="G54" s="27" t="inlineStr">
        <is>
          <t>FY27 cash spend</t>
        </is>
      </c>
      <c r="H54" s="46" t="n">
        <v>298700</v>
      </c>
      <c r="I54" s="27" t="inlineStr"/>
      <c r="J54" s="27" t="inlineStr">
        <is>
          <t>USD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PLN-01280</t>
        </is>
      </c>
      <c r="B55" s="27" t="inlineStr">
        <is>
          <t>Create the FY27 budget-reallocation optimizer</t>
        </is>
      </c>
      <c r="C55" s="27" t="inlineStr">
        <is>
          <t>Budget reallocation initiatives</t>
        </is>
      </c>
      <c r="D55" s="27" t="inlineStr">
        <is>
          <t>Field scheduling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FY27 cash spend</t>
        </is>
      </c>
      <c r="H55" s="46" t="n">
        <v>644800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PLN-01281</t>
        </is>
      </c>
      <c r="B56" s="27" t="inlineStr">
        <is>
          <t>Create the FY27 budget-reallocation optimizer</t>
        </is>
      </c>
      <c r="C56" s="27" t="inlineStr">
        <is>
          <t>Budget reallocation initiatives</t>
        </is>
      </c>
      <c r="D56" s="27" t="inlineStr">
        <is>
          <t>Service routing AI</t>
        </is>
      </c>
      <c r="E56" s="27" t="inlineStr">
        <is>
          <t>FY27</t>
        </is>
      </c>
      <c r="F56" s="27" t="inlineStr">
        <is>
          <t>Management stretch</t>
        </is>
      </c>
      <c r="G56" s="27" t="inlineStr">
        <is>
          <t>Three-year risk-adjusted NPV</t>
        </is>
      </c>
      <c r="H56" s="46" t="n">
        <v>1134000</v>
      </c>
      <c r="I56" s="27" t="inlineStr"/>
      <c r="J56" s="27" t="inlineStr">
        <is>
          <t>USD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PLN-01282</t>
        </is>
      </c>
      <c r="B57" s="27" t="inlineStr">
        <is>
          <t>Create the FY27 budget-reallocation optimizer</t>
        </is>
      </c>
      <c r="C57" s="27" t="inlineStr">
        <is>
          <t>Budget reallocation initiatives</t>
        </is>
      </c>
      <c r="D57" s="27" t="inlineStr">
        <is>
          <t>Procurement analytics</t>
        </is>
      </c>
      <c r="E57" s="27" t="inlineStr">
        <is>
          <t>2026-05 working copy</t>
        </is>
      </c>
      <c r="F57" s="27" t="inlineStr">
        <is>
          <t>Approved case</t>
        </is>
      </c>
      <c r="G57" s="27" t="inlineStr">
        <is>
          <t>Realization probability</t>
        </is>
      </c>
      <c r="H57" s="46" t="n">
        <v>0.7416</v>
      </c>
      <c r="I57" s="27" t="inlineStr"/>
      <c r="J57" s="27" t="inlineStr">
        <is>
          <t>decimal ratio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PLN-01283</t>
        </is>
      </c>
      <c r="B58" s="27" t="inlineStr">
        <is>
          <t>Create the FY27 budget-reallocation optimizer</t>
        </is>
      </c>
      <c r="C58" s="27" t="inlineStr">
        <is>
          <t>Budget reallocation initiatives</t>
        </is>
      </c>
      <c r="D58" s="27" t="inlineStr">
        <is>
          <t>Branch sales hires</t>
        </is>
      </c>
      <c r="E58" s="27" t="inlineStr">
        <is>
          <t>FY27</t>
        </is>
      </c>
      <c r="F58" s="27" t="inlineStr">
        <is>
          <t>Management stretch</t>
        </is>
      </c>
      <c r="G58" s="27" t="inlineStr">
        <is>
          <t>Annual EBITDA benefit</t>
        </is>
      </c>
      <c r="H58" s="46" t="n">
        <v>1497600</v>
      </c>
      <c r="I58" s="27" t="inlineStr"/>
      <c r="J58" s="27" t="inlineStr">
        <is>
          <t>USD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PLN-01328</t>
        </is>
      </c>
      <c r="B59" s="27" t="inlineStr">
        <is>
          <t>Create the FY27 budget-reallocation optimizer</t>
        </is>
      </c>
      <c r="C59" s="27" t="inlineStr">
        <is>
          <t>Hardened initiative constraints</t>
        </is>
      </c>
      <c r="D59" s="27" t="inlineStr">
        <is>
          <t>Field scheduling</t>
        </is>
      </c>
      <c r="E59" s="27" t="inlineStr">
        <is>
          <t>2026-05 working copy</t>
        </is>
      </c>
      <c r="F59" s="27" t="inlineStr">
        <is>
          <t>Approved case</t>
        </is>
      </c>
      <c r="G59" s="27" t="inlineStr">
        <is>
          <t>FY28 cash spend</t>
        </is>
      </c>
      <c r="H59" s="46" t="n">
        <v>319300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PLN-01329</t>
        </is>
      </c>
      <c r="B60" s="27" t="inlineStr">
        <is>
          <t>Create the FY27 budget-reallocation optimizer</t>
        </is>
      </c>
      <c r="C60" s="27" t="inlineStr">
        <is>
          <t>Hardened initiative constraints</t>
        </is>
      </c>
      <c r="D60" s="27" t="inlineStr">
        <is>
          <t>Estimator enablement</t>
        </is>
      </c>
      <c r="E60" s="27" t="inlineStr">
        <is>
          <t>Portfolio</t>
        </is>
      </c>
      <c r="F60" s="27" t="inlineStr">
        <is>
          <t>Management stretch</t>
        </is>
      </c>
      <c r="G60" s="27" t="inlineStr">
        <is>
          <t>Scarce technician hours</t>
        </is>
      </c>
      <c r="H60" s="46" t="n">
        <v>249.6</v>
      </c>
      <c r="I60" s="27" t="inlineStr"/>
      <c r="J60" s="27" t="inlineStr">
        <is>
          <t>hours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PLN-01330</t>
        </is>
      </c>
      <c r="B61" s="27" t="inlineStr">
        <is>
          <t>Create the FY27 budget-reallocation optimizer</t>
        </is>
      </c>
      <c r="C61" s="27" t="inlineStr">
        <is>
          <t>Hardened initiative constraints</t>
        </is>
      </c>
      <c r="D61" s="27" t="inlineStr">
        <is>
          <t>Controls lab</t>
        </is>
      </c>
      <c r="E61" s="27" t="inlineStr">
        <is>
          <t>2026-05 working copy</t>
        </is>
      </c>
      <c r="F61" s="27" t="inlineStr">
        <is>
          <t>Approved case</t>
        </is>
      </c>
      <c r="G61" s="27" t="inlineStr">
        <is>
          <t>Resilience initiative</t>
        </is>
      </c>
      <c r="H61" s="46" t="n">
        <v>0</v>
      </c>
      <c r="I61" s="27" t="inlineStr"/>
      <c r="J61" s="27" t="inlineStr">
        <is>
          <t>boolean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PLN-01331</t>
        </is>
      </c>
      <c r="B62" s="27" t="inlineStr">
        <is>
          <t>Create the FY27 budget-reallocation optimizer</t>
        </is>
      </c>
      <c r="C62" s="27" t="inlineStr">
        <is>
          <t>Hardened initiative constraints</t>
        </is>
      </c>
      <c r="D62" s="27" t="inlineStr">
        <is>
          <t>Fleet telematics</t>
        </is>
      </c>
      <c r="E62" s="27" t="inlineStr">
        <is>
          <t>Portfolio</t>
        </is>
      </c>
      <c r="F62" s="27" t="inlineStr">
        <is>
          <t>Management stretch</t>
        </is>
      </c>
      <c r="G62" s="27" t="inlineStr">
        <is>
          <t>FY28 cash spend</t>
        </is>
      </c>
      <c r="H62" s="46" t="n">
        <v>149.35</v>
      </c>
      <c r="I62" s="27" t="inlineStr"/>
      <c r="J62" s="27" t="inlineStr">
        <is>
          <t>USD thousands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PLN-01332</t>
        </is>
      </c>
      <c r="B63" s="27" t="inlineStr">
        <is>
          <t>Create the FY27 budget-reallocation optimizer</t>
        </is>
      </c>
      <c r="C63" s="27" t="inlineStr">
        <is>
          <t>Hardened initiative constraints</t>
        </is>
      </c>
      <c r="D63" s="27" t="inlineStr">
        <is>
          <t>Field scheduling</t>
        </is>
      </c>
      <c r="E63" s="27" t="inlineStr">
        <is>
          <t>2026-05 working copy</t>
        </is>
      </c>
      <c r="F63" s="27" t="inlineStr">
        <is>
          <t>Approved case</t>
        </is>
      </c>
      <c r="G63" s="27" t="inlineStr">
        <is>
          <t>FY28 cash spend</t>
        </is>
      </c>
      <c r="H63" s="46" t="n">
        <v>322400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PLN-01333</t>
        </is>
      </c>
      <c r="B64" s="27" t="inlineStr">
        <is>
          <t>Create the FY27 budget-reallocation optimizer</t>
        </is>
      </c>
      <c r="C64" s="27" t="inlineStr">
        <is>
          <t>Hardened initiative constraints</t>
        </is>
      </c>
      <c r="D64" s="27" t="inlineStr">
        <is>
          <t>Estimator enablement</t>
        </is>
      </c>
      <c r="E64" s="27" t="inlineStr">
        <is>
          <t>Portfolio</t>
        </is>
      </c>
      <c r="F64" s="27" t="inlineStr">
        <is>
          <t>Management stretch</t>
        </is>
      </c>
      <c r="G64" s="27" t="inlineStr">
        <is>
          <t>Scarce technician hours</t>
        </is>
      </c>
      <c r="H64" s="46" t="n">
        <v>252</v>
      </c>
      <c r="I64" s="27" t="inlineStr"/>
      <c r="J64" s="27" t="inlineStr">
        <is>
          <t>hours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PLN-01334</t>
        </is>
      </c>
      <c r="B65" s="27" t="inlineStr">
        <is>
          <t>Create the FY27 budget-reallocation optimizer</t>
        </is>
      </c>
      <c r="C65" s="27" t="inlineStr">
        <is>
          <t>Hardened initiative constraints</t>
        </is>
      </c>
      <c r="D65" s="27" t="inlineStr">
        <is>
          <t>Controls lab</t>
        </is>
      </c>
      <c r="E65" s="27" t="inlineStr">
        <is>
          <t>2026-05 working copy</t>
        </is>
      </c>
      <c r="F65" s="27" t="inlineStr">
        <is>
          <t>Approved case</t>
        </is>
      </c>
      <c r="G65" s="27" t="inlineStr">
        <is>
          <t>Resilience initiative</t>
        </is>
      </c>
      <c r="H65" s="46" t="n">
        <v>0</v>
      </c>
      <c r="I65" s="27" t="inlineStr"/>
      <c r="J65" s="27" t="inlineStr">
        <is>
          <t>boolean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PLN-01335</t>
        </is>
      </c>
      <c r="B66" s="27" t="inlineStr">
        <is>
          <t>Create the FY27 budget-reallocation optimizer</t>
        </is>
      </c>
      <c r="C66" s="27" t="inlineStr">
        <is>
          <t>Hardened initiative constraints</t>
        </is>
      </c>
      <c r="D66" s="27" t="inlineStr">
        <is>
          <t>Fleet telematics</t>
        </is>
      </c>
      <c r="E66" s="27" t="inlineStr">
        <is>
          <t>Portfolio</t>
        </is>
      </c>
      <c r="F66" s="27" t="inlineStr">
        <is>
          <t>Management stretch</t>
        </is>
      </c>
      <c r="G66" s="27" t="inlineStr">
        <is>
          <t>FY28 cash spend</t>
        </is>
      </c>
      <c r="H66" s="46" t="n">
        <v>150.8</v>
      </c>
      <c r="I66" s="27" t="inlineStr"/>
      <c r="J66" s="27" t="inlineStr">
        <is>
          <t>USD thousands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</sheetData>
  <autoFilter ref="A4:M66"/>
  <mergeCells count="2">
    <mergeCell ref="A2:M2"/>
    <mergeCell ref="A1:M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FY27 operating plan | Branches and Backlog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PLN-00540</t>
        </is>
      </c>
      <c r="B5" s="27" t="inlineStr">
        <is>
          <t>Branch contribution and economic-profit ranking</t>
        </is>
      </c>
      <c r="C5" s="27" t="inlineStr">
        <is>
          <t>Branch economics</t>
        </is>
      </c>
      <c r="D5" s="27" t="inlineStr">
        <is>
          <t>Portland Construction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Contribution margin</t>
        </is>
      </c>
      <c r="H5" s="46" t="n">
        <v>0.24205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PLN-00541</t>
        </is>
      </c>
      <c r="B6" s="27" t="inlineStr">
        <is>
          <t>Branch contribution and economic-profit ranking</t>
        </is>
      </c>
      <c r="C6" s="27" t="inlineStr">
        <is>
          <t>Capital base</t>
        </is>
      </c>
      <c r="D6" s="27" t="inlineStr">
        <is>
          <t>Seattle Construction</t>
        </is>
      </c>
      <c r="E6" s="27" t="inlineStr">
        <is>
          <t>LTM 2026-06-30</t>
        </is>
      </c>
      <c r="F6" s="27" t="inlineStr">
        <is>
          <t>Management stretch</t>
        </is>
      </c>
      <c r="G6" s="27" t="inlineStr">
        <is>
          <t>Average invested capital</t>
        </is>
      </c>
      <c r="H6" s="46" t="n">
        <v>7488000</v>
      </c>
      <c r="I6" s="27" t="inlineStr"/>
      <c r="J6" s="27" t="inlineStr">
        <is>
          <t>USD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PLN-00542</t>
        </is>
      </c>
      <c r="B7" s="27" t="inlineStr">
        <is>
          <t>Branch contribution and economic-profit ranking</t>
        </is>
      </c>
      <c r="C7" s="27" t="inlineStr">
        <is>
          <t>Activity drivers</t>
        </is>
      </c>
      <c r="D7" s="27" t="inlineStr">
        <is>
          <t>Portland Service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Active employee count</t>
        </is>
      </c>
      <c r="H7" s="46" t="n">
        <v>15.75</v>
      </c>
      <c r="I7" s="27" t="inlineStr"/>
      <c r="J7" s="27" t="inlineStr">
        <is>
          <t>count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PLN-00543</t>
        </is>
      </c>
      <c r="B8" s="27" t="inlineStr">
        <is>
          <t>Branch contribution and economic-profit ranking</t>
        </is>
      </c>
      <c r="C8" s="27" t="inlineStr">
        <is>
          <t>Activity drivers</t>
        </is>
      </c>
      <c r="D8" s="27" t="inlineStr">
        <is>
          <t>Bend Construction</t>
        </is>
      </c>
      <c r="E8" s="27" t="inlineStr">
        <is>
          <t>LTM 2026-06-30</t>
        </is>
      </c>
      <c r="F8" s="27" t="inlineStr">
        <is>
          <t>Management stretch</t>
        </is>
      </c>
      <c r="G8" s="27" t="inlineStr">
        <is>
          <t>Customer invoice count in hundreds</t>
        </is>
      </c>
      <c r="H8" s="46" t="n">
        <v>2.06</v>
      </c>
      <c r="I8" s="27" t="inlineStr"/>
      <c r="J8" s="27" t="inlineStr">
        <is>
          <t>count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PLN-00544</t>
        </is>
      </c>
      <c r="B9" s="27" t="inlineStr">
        <is>
          <t>Branch contribution and economic-profit ranking</t>
        </is>
      </c>
      <c r="C9" s="27" t="inlineStr">
        <is>
          <t>Activity drivers</t>
        </is>
      </c>
      <c r="D9" s="27" t="inlineStr">
        <is>
          <t>Portland Construction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Customer invoice count in hundreds</t>
        </is>
      </c>
      <c r="H9" s="46" t="n">
        <v>32.24</v>
      </c>
      <c r="I9" s="27" t="inlineStr"/>
      <c r="J9" s="27" t="inlineStr">
        <is>
          <t>count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PLN-00545</t>
        </is>
      </c>
      <c r="B10" s="27" t="inlineStr">
        <is>
          <t>Branch contribution and economic-profit ranking</t>
        </is>
      </c>
      <c r="C10" s="27" t="inlineStr">
        <is>
          <t>Branch economics</t>
        </is>
      </c>
      <c r="D10" s="27" t="inlineStr">
        <is>
          <t>Boise Service</t>
        </is>
      </c>
      <c r="E10" s="27" t="inlineStr">
        <is>
          <t>LTM 2026-06-30</t>
        </is>
      </c>
      <c r="F10" s="27" t="inlineStr">
        <is>
          <t>Management stretch</t>
        </is>
      </c>
      <c r="G10" s="27" t="inlineStr">
        <is>
          <t>Contribution margin</t>
        </is>
      </c>
      <c r="H10" s="46" t="n">
        <v>0.38325</v>
      </c>
      <c r="I10" s="27" t="inlineStr"/>
      <c r="J10" s="27" t="inlineStr">
        <is>
          <t>decimal ratio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PLN-00546</t>
        </is>
      </c>
      <c r="B11" s="27" t="inlineStr">
        <is>
          <t>Branch contribution and economic-profit ranking</t>
        </is>
      </c>
      <c r="C11" s="27" t="inlineStr">
        <is>
          <t>Capital base</t>
        </is>
      </c>
      <c r="D11" s="27" t="inlineStr">
        <is>
          <t>Portland Service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Average invested capital</t>
        </is>
      </c>
      <c r="H11" s="46" t="n">
        <v>3914</v>
      </c>
      <c r="I11" s="27" t="inlineStr"/>
      <c r="J11" s="27" t="inlineStr">
        <is>
          <t>USD thousands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PLN-00547</t>
        </is>
      </c>
      <c r="B12" s="27" t="inlineStr">
        <is>
          <t>Branch contribution and economic-profit ranking</t>
        </is>
      </c>
      <c r="C12" s="27" t="inlineStr">
        <is>
          <t>Activity drivers</t>
        </is>
      </c>
      <c r="D12" s="27" t="inlineStr">
        <is>
          <t>Bend Construction</t>
        </is>
      </c>
      <c r="E12" s="27" t="inlineStr">
        <is>
          <t>2026-06-30</t>
        </is>
      </c>
      <c r="F12" s="27" t="inlineStr">
        <is>
          <t>Management stretch</t>
        </is>
      </c>
      <c r="G12" s="27" t="inlineStr">
        <is>
          <t>Active employee count</t>
        </is>
      </c>
      <c r="H12" s="46" t="n">
        <v>10.4</v>
      </c>
      <c r="I12" s="27" t="inlineStr"/>
      <c r="J12" s="27" t="inlineStr">
        <is>
          <t>count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PLN-00548</t>
        </is>
      </c>
      <c r="B13" s="27" t="inlineStr">
        <is>
          <t>Branch contribution and economic-profit ranking</t>
        </is>
      </c>
      <c r="C13" s="27" t="inlineStr">
        <is>
          <t>Activity drivers</t>
        </is>
      </c>
      <c r="D13" s="27" t="inlineStr">
        <is>
          <t>Portland Construction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Active employee count</t>
        </is>
      </c>
      <c r="H13" s="46" t="n">
        <v>44.1</v>
      </c>
      <c r="I13" s="27" t="inlineStr"/>
      <c r="J13" s="27" t="inlineStr">
        <is>
          <t>count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PLN-00549</t>
        </is>
      </c>
      <c r="B14" s="27" t="inlineStr">
        <is>
          <t>Branch contribution and economic-profit ranking</t>
        </is>
      </c>
      <c r="C14" s="27" t="inlineStr">
        <is>
          <t>Activity drivers</t>
        </is>
      </c>
      <c r="D14" s="27" t="inlineStr">
        <is>
          <t>Boise Service</t>
        </is>
      </c>
      <c r="E14" s="27" t="inlineStr">
        <is>
          <t>LTM 2026-06-30</t>
        </is>
      </c>
      <c r="F14" s="27" t="inlineStr">
        <is>
          <t>Management stretch</t>
        </is>
      </c>
      <c r="G14" s="27" t="inlineStr">
        <is>
          <t>Customer invoice count in hundreds</t>
        </is>
      </c>
      <c r="H14" s="46" t="n">
        <v>16.48</v>
      </c>
      <c r="I14" s="27" t="inlineStr"/>
      <c r="J14" s="27" t="inlineStr">
        <is>
          <t>count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PLN-00550</t>
        </is>
      </c>
      <c r="B15" s="27" t="inlineStr">
        <is>
          <t>Branch contribution and economic-profit ranking</t>
        </is>
      </c>
      <c r="C15" s="27" t="inlineStr">
        <is>
          <t>Branch economics</t>
        </is>
      </c>
      <c r="D15" s="27" t="inlineStr">
        <is>
          <t>Controls West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Contribution margin</t>
        </is>
      </c>
      <c r="H15" s="46" t="n">
        <v>0.33488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PLN-00551</t>
        </is>
      </c>
      <c r="B16" s="27" t="inlineStr">
        <is>
          <t>Branch contribution and economic-profit ranking</t>
        </is>
      </c>
      <c r="C16" s="27" t="inlineStr">
        <is>
          <t>Capital base</t>
        </is>
      </c>
      <c r="D16" s="27" t="inlineStr">
        <is>
          <t>Bend Construction</t>
        </is>
      </c>
      <c r="E16" s="27" t="inlineStr">
        <is>
          <t>LTM 2026-06-30</t>
        </is>
      </c>
      <c r="F16" s="27" t="inlineStr">
        <is>
          <t>Management stretch</t>
        </is>
      </c>
      <c r="G16" s="27" t="inlineStr">
        <is>
          <t>Average invested capital</t>
        </is>
      </c>
      <c r="H16" s="46" t="n">
        <v>5670000</v>
      </c>
      <c r="I16" s="27" t="inlineStr"/>
      <c r="J16" s="27" t="inlineStr">
        <is>
          <t>USD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  <row r="17">
      <c r="A17" s="36" t="inlineStr">
        <is>
          <t>PLN-00738</t>
        </is>
      </c>
      <c r="B17" s="27" t="inlineStr">
        <is>
          <t>Complete the backlog burn and capacity model</t>
        </is>
      </c>
      <c r="C17" s="27" t="inlineStr">
        <is>
          <t>Signed contract backlog</t>
        </is>
      </c>
      <c r="D17" s="27" t="inlineStr">
        <is>
          <t>P-3101</t>
        </is>
      </c>
      <c r="E17" s="27" t="inlineStr">
        <is>
          <t>2026-05 working copy</t>
        </is>
      </c>
      <c r="F17" s="27" t="inlineStr">
        <is>
          <t>Approved case</t>
        </is>
      </c>
      <c r="G17" s="27" t="inlineStr">
        <is>
          <t>Remaining transaction price</t>
        </is>
      </c>
      <c r="H17" s="46" t="n">
        <v>8652000</v>
      </c>
      <c r="I17" s="27" t="inlineStr"/>
      <c r="J17" s="27" t="inlineStr">
        <is>
          <t>USD</t>
        </is>
      </c>
      <c r="K17" s="27" t="inlineStr">
        <is>
          <t>Earlier management working export</t>
        </is>
      </c>
      <c r="L17" s="47" t="inlineStr">
        <is>
          <t>2026-06-24</t>
        </is>
      </c>
      <c r="M17" s="27" t="inlineStr"/>
    </row>
    <row r="18">
      <c r="A18" s="36" t="inlineStr">
        <is>
          <t>PLN-00739</t>
        </is>
      </c>
      <c r="B18" s="27" t="inlineStr">
        <is>
          <t>Complete the backlog burn and capacity model</t>
        </is>
      </c>
      <c r="C18" s="27" t="inlineStr">
        <is>
          <t>Project burn curve</t>
        </is>
      </c>
      <c r="D18" s="27" t="inlineStr">
        <is>
          <t>P-3101</t>
        </is>
      </c>
      <c r="E18" s="27" t="inlineStr">
        <is>
          <t>2026-11</t>
        </is>
      </c>
      <c r="F18" s="27" t="inlineStr">
        <is>
          <t>Management stretch</t>
        </is>
      </c>
      <c r="G18" s="27" t="inlineStr">
        <is>
          <t>Monthly burn share</t>
        </is>
      </c>
      <c r="H18" s="46" t="n">
        <v>0.06666666666666667</v>
      </c>
      <c r="I18" s="27" t="inlineStr"/>
      <c r="J18" s="27" t="inlineStr">
        <is>
          <t>decimal ratio</t>
        </is>
      </c>
      <c r="K18" s="27" t="inlineStr">
        <is>
          <t>Earlier management working export</t>
        </is>
      </c>
      <c r="L18" s="47" t="inlineStr">
        <is>
          <t>2026-06-24</t>
        </is>
      </c>
      <c r="M18" s="27" t="inlineStr"/>
    </row>
    <row r="19">
      <c r="A19" s="36" t="inlineStr">
        <is>
          <t>PLN-00740</t>
        </is>
      </c>
      <c r="B19" s="27" t="inlineStr">
        <is>
          <t>Complete the backlog burn and capacity model</t>
        </is>
      </c>
      <c r="C19" s="27" t="inlineStr">
        <is>
          <t>Project burn curve</t>
        </is>
      </c>
      <c r="D19" s="27" t="inlineStr">
        <is>
          <t>P-3101</t>
        </is>
      </c>
      <c r="E19" s="27" t="inlineStr">
        <is>
          <t>2026-05 working copy</t>
        </is>
      </c>
      <c r="F19" s="27" t="inlineStr">
        <is>
          <t>Approved case</t>
        </is>
      </c>
      <c r="G19" s="27" t="inlineStr">
        <is>
          <t>Monthly burn share</t>
        </is>
      </c>
      <c r="H19" s="46" t="n">
        <v>0.1615384615384615</v>
      </c>
      <c r="I19" s="27" t="inlineStr"/>
      <c r="J19" s="27" t="inlineStr">
        <is>
          <t>decimal ratio</t>
        </is>
      </c>
      <c r="K19" s="27" t="inlineStr">
        <is>
          <t>Earlier management working export</t>
        </is>
      </c>
      <c r="L19" s="47" t="inlineStr">
        <is>
          <t>2026-06-24</t>
        </is>
      </c>
      <c r="M19" s="27" t="inlineStr"/>
    </row>
    <row r="20">
      <c r="A20" s="36" t="inlineStr">
        <is>
          <t>PLN-00741</t>
        </is>
      </c>
      <c r="B20" s="27" t="inlineStr">
        <is>
          <t>Complete the backlog burn and capacity model</t>
        </is>
      </c>
      <c r="C20" s="27" t="inlineStr">
        <is>
          <t>Project burn curve</t>
        </is>
      </c>
      <c r="D20" s="27" t="inlineStr">
        <is>
          <t>P-3107</t>
        </is>
      </c>
      <c r="E20" s="27" t="inlineStr">
        <is>
          <t>2026-11</t>
        </is>
      </c>
      <c r="F20" s="27" t="inlineStr">
        <is>
          <t>Management stretch</t>
        </is>
      </c>
      <c r="G20" s="27" t="inlineStr">
        <is>
          <t>Monthly burn share</t>
        </is>
      </c>
      <c r="H20" s="46" t="n">
        <v>0.06242424242424243</v>
      </c>
      <c r="I20" s="27" t="inlineStr"/>
      <c r="J20" s="27" t="inlineStr">
        <is>
          <t>decimal ratio</t>
        </is>
      </c>
      <c r="K20" s="27" t="inlineStr">
        <is>
          <t>Earlier management working export</t>
        </is>
      </c>
      <c r="L20" s="47" t="inlineStr">
        <is>
          <t>2026-06-24</t>
        </is>
      </c>
      <c r="M20" s="27" t="inlineStr"/>
    </row>
    <row r="21">
      <c r="A21" s="36" t="inlineStr">
        <is>
          <t>PLN-00742</t>
        </is>
      </c>
      <c r="B21" s="27" t="inlineStr">
        <is>
          <t>Complete the backlog burn and capacity model</t>
        </is>
      </c>
      <c r="C21" s="27" t="inlineStr">
        <is>
          <t>Project burn curve</t>
        </is>
      </c>
      <c r="D21" s="27" t="inlineStr">
        <is>
          <t>P-3107</t>
        </is>
      </c>
      <c r="E21" s="27" t="inlineStr">
        <is>
          <t>2026-05 working copy</t>
        </is>
      </c>
      <c r="F21" s="27" t="inlineStr">
        <is>
          <t>Approved case</t>
        </is>
      </c>
      <c r="G21" s="27" t="inlineStr">
        <is>
          <t>Monthly burn share</t>
        </is>
      </c>
      <c r="H21" s="46" t="n">
        <v>0.1733333333333333</v>
      </c>
      <c r="I21" s="27" t="inlineStr"/>
      <c r="J21" s="27" t="inlineStr">
        <is>
          <t>decimal ratio</t>
        </is>
      </c>
      <c r="K21" s="27" t="inlineStr">
        <is>
          <t>Earlier management working export</t>
        </is>
      </c>
      <c r="L21" s="47" t="inlineStr">
        <is>
          <t>2026-06-24</t>
        </is>
      </c>
      <c r="M21" s="27" t="inlineStr"/>
    </row>
    <row r="22">
      <c r="A22" s="36" t="inlineStr">
        <is>
          <t>PLN-00743</t>
        </is>
      </c>
      <c r="B22" s="27" t="inlineStr">
        <is>
          <t>Complete the backlog burn and capacity model</t>
        </is>
      </c>
      <c r="C22" s="27" t="inlineStr">
        <is>
          <t>Project burn curve</t>
        </is>
      </c>
      <c r="D22" s="27" t="inlineStr">
        <is>
          <t>P-3114</t>
        </is>
      </c>
      <c r="E22" s="27" t="inlineStr">
        <is>
          <t>2027-01</t>
        </is>
      </c>
      <c r="F22" s="27" t="inlineStr">
        <is>
          <t>Management stretch</t>
        </is>
      </c>
      <c r="G22" s="27" t="inlineStr">
        <is>
          <t>Monthly burn share</t>
        </is>
      </c>
      <c r="H22" s="46" t="n">
        <v>0.09333333333333334</v>
      </c>
      <c r="I22" s="27" t="inlineStr"/>
      <c r="J22" s="27" t="inlineStr">
        <is>
          <t>decimal ratio</t>
        </is>
      </c>
      <c r="K22" s="27" t="inlineStr">
        <is>
          <t>Earlier management working export</t>
        </is>
      </c>
      <c r="L22" s="47" t="inlineStr">
        <is>
          <t>2026-06-24</t>
        </is>
      </c>
      <c r="M22" s="27" t="inlineStr"/>
    </row>
    <row r="23">
      <c r="A23" s="36" t="inlineStr">
        <is>
          <t>PLN-00744</t>
        </is>
      </c>
      <c r="B23" s="27" t="inlineStr">
        <is>
          <t>Complete the backlog burn and capacity model</t>
        </is>
      </c>
      <c r="C23" s="27" t="inlineStr">
        <is>
          <t>Signed contract backlog</t>
        </is>
      </c>
      <c r="D23" s="27" t="inlineStr">
        <is>
          <t>P-3122</t>
        </is>
      </c>
      <c r="E23" s="27" t="inlineStr">
        <is>
          <t>2026-05 working copy</t>
        </is>
      </c>
      <c r="F23" s="27" t="inlineStr">
        <is>
          <t>Approved case</t>
        </is>
      </c>
      <c r="G23" s="27" t="inlineStr">
        <is>
          <t>Execution probability</t>
        </is>
      </c>
      <c r="H23" s="46" t="n">
        <v>0.8754999999999999</v>
      </c>
      <c r="I23" s="27" t="inlineStr"/>
      <c r="J23" s="27" t="inlineStr">
        <is>
          <t>decimal ratio</t>
        </is>
      </c>
      <c r="K23" s="27" t="inlineStr">
        <is>
          <t>Earlier management working export</t>
        </is>
      </c>
      <c r="L23" s="47" t="inlineStr">
        <is>
          <t>2026-06-24</t>
        </is>
      </c>
      <c r="M23" s="27" t="inlineStr"/>
    </row>
    <row r="24">
      <c r="A24" s="36" t="inlineStr">
        <is>
          <t>PLN-00745</t>
        </is>
      </c>
      <c r="B24" s="27" t="inlineStr">
        <is>
          <t>Complete the backlog burn and capacity model</t>
        </is>
      </c>
      <c r="C24" s="27" t="inlineStr">
        <is>
          <t>Project burn curve</t>
        </is>
      </c>
      <c r="D24" s="27" t="inlineStr">
        <is>
          <t>P-3122</t>
        </is>
      </c>
      <c r="E24" s="27" t="inlineStr">
        <is>
          <t>2027-05</t>
        </is>
      </c>
      <c r="F24" s="27" t="inlineStr">
        <is>
          <t>Management stretch</t>
        </is>
      </c>
      <c r="G24" s="27" t="inlineStr">
        <is>
          <t>Monthly burn share</t>
        </is>
      </c>
      <c r="H24" s="46" t="n">
        <v>0.2228571428571429</v>
      </c>
      <c r="I24" s="27" t="inlineStr"/>
      <c r="J24" s="27" t="inlineStr">
        <is>
          <t>decimal ratio</t>
        </is>
      </c>
      <c r="K24" s="27" t="inlineStr">
        <is>
          <t>Earlier management working export</t>
        </is>
      </c>
      <c r="L24" s="47" t="inlineStr">
        <is>
          <t>2026-06-24</t>
        </is>
      </c>
      <c r="M24" s="27" t="inlineStr"/>
    </row>
    <row r="25">
      <c r="A25" s="36" t="inlineStr">
        <is>
          <t>PLN-00746</t>
        </is>
      </c>
      <c r="B25" s="27" t="inlineStr">
        <is>
          <t>Complete the backlog burn and capacity model</t>
        </is>
      </c>
      <c r="C25" s="27" t="inlineStr">
        <is>
          <t>Project burn curve</t>
        </is>
      </c>
      <c r="D25" s="27" t="inlineStr">
        <is>
          <t>P-3130</t>
        </is>
      </c>
      <c r="E25" s="27" t="inlineStr">
        <is>
          <t>2026-05 working copy</t>
        </is>
      </c>
      <c r="F25" s="27" t="inlineStr">
        <is>
          <t>Approved case</t>
        </is>
      </c>
      <c r="G25" s="27" t="inlineStr">
        <is>
          <t>Monthly burn share</t>
        </is>
      </c>
      <c r="H25" s="46" t="n">
        <v>0.15</v>
      </c>
      <c r="I25" s="27" t="inlineStr"/>
      <c r="J25" s="27" t="inlineStr">
        <is>
          <t>decimal ratio</t>
        </is>
      </c>
      <c r="K25" s="27" t="inlineStr">
        <is>
          <t>Earlier management working export</t>
        </is>
      </c>
      <c r="L25" s="47" t="inlineStr">
        <is>
          <t>2026-06-24</t>
        </is>
      </c>
      <c r="M25" s="27" t="inlineStr"/>
    </row>
    <row r="26">
      <c r="A26" s="36" t="inlineStr">
        <is>
          <t>PLN-00747</t>
        </is>
      </c>
      <c r="B26" s="27" t="inlineStr">
        <is>
          <t>Complete the backlog burn and capacity model</t>
        </is>
      </c>
      <c r="C26" s="27" t="inlineStr">
        <is>
          <t>Project burn curve</t>
        </is>
      </c>
      <c r="D26" s="27" t="inlineStr">
        <is>
          <t>P-3138</t>
        </is>
      </c>
      <c r="E26" s="27" t="inlineStr">
        <is>
          <t>2027-02</t>
        </is>
      </c>
      <c r="F26" s="27" t="inlineStr">
        <is>
          <t>Management stretch</t>
        </is>
      </c>
      <c r="G26" s="27" t="inlineStr">
        <is>
          <t>Monthly burn share</t>
        </is>
      </c>
      <c r="H26" s="46" t="n">
        <v>0.06866666666666667</v>
      </c>
      <c r="I26" s="27" t="inlineStr"/>
      <c r="J26" s="27" t="inlineStr">
        <is>
          <t>decimal ratio</t>
        </is>
      </c>
      <c r="K26" s="27" t="inlineStr">
        <is>
          <t>Earlier management working export</t>
        </is>
      </c>
      <c r="L26" s="47" t="inlineStr">
        <is>
          <t>2026-06-24</t>
        </is>
      </c>
      <c r="M26" s="27" t="inlineStr"/>
    </row>
    <row r="27">
      <c r="A27" s="36" t="inlineStr">
        <is>
          <t>PLN-00748</t>
        </is>
      </c>
      <c r="B27" s="27" t="inlineStr">
        <is>
          <t>Complete the backlog burn and capacity model</t>
        </is>
      </c>
      <c r="C27" s="27" t="inlineStr">
        <is>
          <t>Signed contract backlog</t>
        </is>
      </c>
      <c r="D27" s="27" t="inlineStr">
        <is>
          <t>P-3145</t>
        </is>
      </c>
      <c r="E27" s="27" t="inlineStr">
        <is>
          <t>2026-05 working copy</t>
        </is>
      </c>
      <c r="F27" s="27" t="inlineStr">
        <is>
          <t>Approved case</t>
        </is>
      </c>
      <c r="G27" s="27" t="inlineStr">
        <is>
          <t>Revenue per productive hour</t>
        </is>
      </c>
      <c r="H27" s="46" t="n">
        <v>150.8</v>
      </c>
      <c r="I27" s="27" t="inlineStr"/>
      <c r="J27" s="27" t="inlineStr">
        <is>
          <t>USD</t>
        </is>
      </c>
      <c r="K27" s="27" t="inlineStr">
        <is>
          <t>Earlier management working export</t>
        </is>
      </c>
      <c r="L27" s="47" t="inlineStr">
        <is>
          <t>2026-06-24</t>
        </is>
      </c>
      <c r="M27" s="27" t="inlineStr"/>
    </row>
    <row r="28">
      <c r="A28" s="36" t="inlineStr">
        <is>
          <t>PLN-00749</t>
        </is>
      </c>
      <c r="B28" s="27" t="inlineStr">
        <is>
          <t>Complete the backlog burn and capacity model</t>
        </is>
      </c>
      <c r="C28" s="27" t="inlineStr">
        <is>
          <t>Signed contract backlog</t>
        </is>
      </c>
      <c r="D28" s="27" t="inlineStr">
        <is>
          <t>P-3152</t>
        </is>
      </c>
      <c r="E28" s="27" t="inlineStr">
        <is>
          <t>FY27</t>
        </is>
      </c>
      <c r="F28" s="27" t="inlineStr">
        <is>
          <t>Management stretch</t>
        </is>
      </c>
      <c r="G28" s="27" t="inlineStr">
        <is>
          <t>Revenue per productive hour</t>
        </is>
      </c>
      <c r="H28" s="46" t="n">
        <v>136.5</v>
      </c>
      <c r="I28" s="27" t="inlineStr"/>
      <c r="J28" s="27" t="inlineStr">
        <is>
          <t>USD</t>
        </is>
      </c>
      <c r="K28" s="27" t="inlineStr">
        <is>
          <t>Earlier management working export</t>
        </is>
      </c>
      <c r="L28" s="47" t="inlineStr">
        <is>
          <t>2026-06-24</t>
        </is>
      </c>
      <c r="M28" s="27" t="inlineStr"/>
    </row>
    <row r="29">
      <c r="A29" s="36" t="inlineStr">
        <is>
          <t>PLN-00750</t>
        </is>
      </c>
      <c r="B29" s="27" t="inlineStr">
        <is>
          <t>Complete the backlog burn and capacity model</t>
        </is>
      </c>
      <c r="C29" s="27" t="inlineStr">
        <is>
          <t>Monthly capacity</t>
        </is>
      </c>
      <c r="D29" s="27" t="inlineStr">
        <is>
          <t>All field labor</t>
        </is>
      </c>
      <c r="E29" s="27" t="inlineStr">
        <is>
          <t>2026-05 working copy</t>
        </is>
      </c>
      <c r="F29" s="27" t="inlineStr">
        <is>
          <t>Approved case</t>
        </is>
      </c>
      <c r="G29" s="27" t="inlineStr">
        <is>
          <t>Productive internal hours</t>
        </is>
      </c>
      <c r="H29" s="46" t="n">
        <v>32733.4</v>
      </c>
      <c r="I29" s="27" t="inlineStr"/>
      <c r="J29" s="27" t="inlineStr">
        <is>
          <t>hours</t>
        </is>
      </c>
      <c r="K29" s="27" t="inlineStr">
        <is>
          <t>Earlier management working export</t>
        </is>
      </c>
      <c r="L29" s="47" t="inlineStr">
        <is>
          <t>2026-06-24</t>
        </is>
      </c>
      <c r="M29" s="27" t="inlineStr"/>
    </row>
    <row r="30">
      <c r="A30" s="36" t="inlineStr">
        <is>
          <t>PLN-00751</t>
        </is>
      </c>
      <c r="B30" s="27" t="inlineStr">
        <is>
          <t>Complete the backlog burn and capacity model</t>
        </is>
      </c>
      <c r="C30" s="27" t="inlineStr">
        <is>
          <t>Monthly capacity</t>
        </is>
      </c>
      <c r="D30" s="27" t="inlineStr">
        <is>
          <t>All field labor</t>
        </is>
      </c>
      <c r="E30" s="27" t="inlineStr">
        <is>
          <t>2026-10</t>
        </is>
      </c>
      <c r="F30" s="27" t="inlineStr">
        <is>
          <t>Management stretch</t>
        </is>
      </c>
      <c r="G30" s="27" t="inlineStr">
        <is>
          <t>Subcontractable hours</t>
        </is>
      </c>
      <c r="H30" s="46" t="n">
        <v>4680</v>
      </c>
      <c r="I30" s="27" t="inlineStr"/>
      <c r="J30" s="27" t="inlineStr">
        <is>
          <t>hours</t>
        </is>
      </c>
      <c r="K30" s="27" t="inlineStr">
        <is>
          <t>Earlier management working export</t>
        </is>
      </c>
      <c r="L30" s="47" t="inlineStr">
        <is>
          <t>2026-06-24</t>
        </is>
      </c>
      <c r="M30" s="27" t="inlineStr"/>
    </row>
    <row r="31">
      <c r="A31" s="36" t="inlineStr">
        <is>
          <t>PLN-00752</t>
        </is>
      </c>
      <c r="B31" s="27" t="inlineStr">
        <is>
          <t>Complete the backlog burn and capacity model</t>
        </is>
      </c>
      <c r="C31" s="27" t="inlineStr">
        <is>
          <t>Monthly capacity</t>
        </is>
      </c>
      <c r="D31" s="27" t="inlineStr">
        <is>
          <t>All field labor</t>
        </is>
      </c>
      <c r="E31" s="27" t="inlineStr">
        <is>
          <t>2026-05 working copy</t>
        </is>
      </c>
      <c r="F31" s="27" t="inlineStr">
        <is>
          <t>Approved case</t>
        </is>
      </c>
      <c r="G31" s="27" t="inlineStr">
        <is>
          <t>Overtime limit on internal hours</t>
        </is>
      </c>
      <c r="H31" s="46" t="n">
        <v>0.08400000000000001</v>
      </c>
      <c r="I31" s="27" t="inlineStr"/>
      <c r="J31" s="27" t="inlineStr">
        <is>
          <t>decimal ratio</t>
        </is>
      </c>
      <c r="K31" s="27" t="inlineStr">
        <is>
          <t>Earlier management working export</t>
        </is>
      </c>
      <c r="L31" s="47" t="inlineStr">
        <is>
          <t>2026-06-24</t>
        </is>
      </c>
      <c r="M31" s="27" t="inlineStr"/>
    </row>
    <row r="32">
      <c r="A32" s="36" t="inlineStr">
        <is>
          <t>PLN-00753</t>
        </is>
      </c>
      <c r="B32" s="27" t="inlineStr">
        <is>
          <t>Complete the backlog burn and capacity model</t>
        </is>
      </c>
      <c r="C32" s="27" t="inlineStr">
        <is>
          <t>Monthly capacity</t>
        </is>
      </c>
      <c r="D32" s="27" t="inlineStr">
        <is>
          <t>All field labor</t>
        </is>
      </c>
      <c r="E32" s="27" t="inlineStr">
        <is>
          <t>2027-03</t>
        </is>
      </c>
      <c r="F32" s="27" t="inlineStr">
        <is>
          <t>Management stretch</t>
        </is>
      </c>
      <c r="G32" s="27" t="inlineStr">
        <is>
          <t>Productive internal hours</t>
        </is>
      </c>
      <c r="H32" s="46" t="n">
        <v>34752.2</v>
      </c>
      <c r="I32" s="27" t="inlineStr"/>
      <c r="J32" s="27" t="inlineStr">
        <is>
          <t>hours</t>
        </is>
      </c>
      <c r="K32" s="27" t="inlineStr">
        <is>
          <t>Earlier management working export</t>
        </is>
      </c>
      <c r="L32" s="47" t="inlineStr">
        <is>
          <t>2026-06-24</t>
        </is>
      </c>
      <c r="M32" s="27" t="inlineStr"/>
    </row>
    <row r="33">
      <c r="A33" s="36" t="inlineStr">
        <is>
          <t>PLN-00981</t>
        </is>
      </c>
      <c r="B33" s="27" t="inlineStr">
        <is>
          <t>Backlog, pipeline, and capacity conversion</t>
        </is>
      </c>
      <c r="C33" s="27" t="inlineStr">
        <is>
          <t>Signed backlog conversion</t>
        </is>
      </c>
      <c r="D33" s="27" t="inlineStr">
        <is>
          <t>Cedar Medical</t>
        </is>
      </c>
      <c r="E33" s="27" t="inlineStr">
        <is>
          <t>2026-05 working copy</t>
        </is>
      </c>
      <c r="F33" s="27" t="inlineStr">
        <is>
          <t>Approved case</t>
        </is>
      </c>
      <c r="G33" s="27" t="inlineStr">
        <is>
          <t>Signed backlog</t>
        </is>
      </c>
      <c r="H33" s="46" t="n">
        <v>8652000</v>
      </c>
      <c r="I33" s="27" t="inlineStr"/>
      <c r="J33" s="27" t="inlineStr">
        <is>
          <t>USD</t>
        </is>
      </c>
      <c r="K33" s="27" t="inlineStr">
        <is>
          <t>Earlier management working export</t>
        </is>
      </c>
      <c r="L33" s="47" t="inlineStr">
        <is>
          <t>2026-06-24</t>
        </is>
      </c>
      <c r="M33" s="27" t="inlineStr"/>
    </row>
    <row r="34">
      <c r="A34" s="36" t="inlineStr">
        <is>
          <t>PLN-00982</t>
        </is>
      </c>
      <c r="B34" s="27" t="inlineStr">
        <is>
          <t>Backlog, pipeline, and capacity conversion</t>
        </is>
      </c>
      <c r="C34" s="27" t="inlineStr">
        <is>
          <t>Signed backlog conversion</t>
        </is>
      </c>
      <c r="D34" s="27" t="inlineStr">
        <is>
          <t>Portland Schools</t>
        </is>
      </c>
      <c r="E34" s="27" t="inlineStr">
        <is>
          <t>2026-06-30</t>
        </is>
      </c>
      <c r="F34" s="27" t="inlineStr">
        <is>
          <t>Management stretch</t>
        </is>
      </c>
      <c r="G34" s="27" t="inlineStr">
        <is>
          <t>H2 burn percent</t>
        </is>
      </c>
      <c r="H34" s="46" t="n">
        <v>0.5720000000000001</v>
      </c>
      <c r="I34" s="27" t="inlineStr"/>
      <c r="J34" s="27" t="inlineStr">
        <is>
          <t>decimal ratio</t>
        </is>
      </c>
      <c r="K34" s="27" t="inlineStr">
        <is>
          <t>Earlier management working export</t>
        </is>
      </c>
      <c r="L34" s="47" t="inlineStr">
        <is>
          <t>2026-06-24</t>
        </is>
      </c>
      <c r="M34" s="27" t="inlineStr"/>
    </row>
    <row r="35">
      <c r="A35" s="36" t="inlineStr">
        <is>
          <t>PLN-00983</t>
        </is>
      </c>
      <c r="B35" s="27" t="inlineStr">
        <is>
          <t>Backlog, pipeline, and capacity conversion</t>
        </is>
      </c>
      <c r="C35" s="27" t="inlineStr">
        <is>
          <t>Signed backlog conversion</t>
        </is>
      </c>
      <c r="D35" s="27" t="inlineStr">
        <is>
          <t>Helix Data Center</t>
        </is>
      </c>
      <c r="E35" s="27" t="inlineStr">
        <is>
          <t>2026-05 working copy</t>
        </is>
      </c>
      <c r="F35" s="27" t="inlineStr">
        <is>
          <t>Approved case</t>
        </is>
      </c>
      <c r="G35" s="27" t="inlineStr">
        <is>
          <t>Gross margin</t>
        </is>
      </c>
      <c r="H35" s="46" t="n">
        <v>0.28455</v>
      </c>
      <c r="I35" s="27" t="inlineStr"/>
      <c r="J35" s="27" t="inlineStr">
        <is>
          <t>decimal ratio</t>
        </is>
      </c>
      <c r="K35" s="27" t="inlineStr">
        <is>
          <t>Earlier management working export</t>
        </is>
      </c>
      <c r="L35" s="47" t="inlineStr">
        <is>
          <t>2026-06-24</t>
        </is>
      </c>
      <c r="M35" s="27" t="inlineStr"/>
    </row>
    <row r="36">
      <c r="A36" s="36" t="inlineStr">
        <is>
          <t>PLN-00984</t>
        </is>
      </c>
      <c r="B36" s="27" t="inlineStr">
        <is>
          <t>Backlog, pipeline, and capacity conversion</t>
        </is>
      </c>
      <c r="C36" s="27" t="inlineStr">
        <is>
          <t>Signed backlog conversion</t>
        </is>
      </c>
      <c r="D36" s="27" t="inlineStr">
        <is>
          <t>Cascade Retail</t>
        </is>
      </c>
      <c r="E36" s="27" t="inlineStr">
        <is>
          <t>2026-06-30</t>
        </is>
      </c>
      <c r="F36" s="27" t="inlineStr">
        <is>
          <t>Management stretch</t>
        </is>
      </c>
      <c r="G36" s="27" t="inlineStr">
        <is>
          <t>Cancellation probability</t>
        </is>
      </c>
      <c r="H36" s="46" t="n">
        <v>0.1854</v>
      </c>
      <c r="I36" s="27" t="inlineStr"/>
      <c r="J36" s="27" t="inlineStr">
        <is>
          <t>decimal ratio</t>
        </is>
      </c>
      <c r="K36" s="27" t="inlineStr">
        <is>
          <t>Earlier management working export</t>
        </is>
      </c>
      <c r="L36" s="47" t="inlineStr">
        <is>
          <t>2026-06-24</t>
        </is>
      </c>
      <c r="M36" s="27" t="inlineStr"/>
    </row>
    <row r="37">
      <c r="A37" s="36" t="inlineStr">
        <is>
          <t>PLN-00985</t>
        </is>
      </c>
      <c r="B37" s="27" t="inlineStr">
        <is>
          <t>Backlog, pipeline, and capacity conversion</t>
        </is>
      </c>
      <c r="C37" s="27" t="inlineStr">
        <is>
          <t>Qualified award pipeline</t>
        </is>
      </c>
      <c r="D37" s="27" t="inlineStr">
        <is>
          <t>Riverfront Hospital</t>
        </is>
      </c>
      <c r="E37" s="27" t="inlineStr">
        <is>
          <t>2026-05 working copy</t>
        </is>
      </c>
      <c r="F37" s="27" t="inlineStr">
        <is>
          <t>Approved case</t>
        </is>
      </c>
      <c r="G37" s="27" t="inlineStr">
        <is>
          <t>Gross margin</t>
        </is>
      </c>
      <c r="H37" s="46" t="n">
        <v>0.26208</v>
      </c>
      <c r="I37" s="27" t="inlineStr"/>
      <c r="J37" s="27" t="inlineStr">
        <is>
          <t>decimal ratio</t>
        </is>
      </c>
      <c r="K37" s="27" t="inlineStr">
        <is>
          <t>Earlier management working export</t>
        </is>
      </c>
      <c r="L37" s="47" t="inlineStr">
        <is>
          <t>2026-06-24</t>
        </is>
      </c>
      <c r="M37" s="27" t="inlineStr"/>
    </row>
    <row r="38">
      <c r="A38" s="36" t="inlineStr">
        <is>
          <t>PLN-00986</t>
        </is>
      </c>
      <c r="B38" s="27" t="inlineStr">
        <is>
          <t>Backlog, pipeline, and capacity conversion</t>
        </is>
      </c>
      <c r="C38" s="27" t="inlineStr">
        <is>
          <t>Qualified award pipeline</t>
        </is>
      </c>
      <c r="D38" s="27" t="inlineStr">
        <is>
          <t>State Archive</t>
        </is>
      </c>
      <c r="E38" s="27" t="inlineStr">
        <is>
          <t>FY27</t>
        </is>
      </c>
      <c r="F38" s="27" t="inlineStr">
        <is>
          <t>Management stretch</t>
        </is>
      </c>
      <c r="G38" s="27" t="inlineStr">
        <is>
          <t>FY27 conversion percent</t>
        </is>
      </c>
      <c r="H38" s="46" t="n">
        <v>0.4725</v>
      </c>
      <c r="I38" s="27" t="inlineStr"/>
      <c r="J38" s="27" t="inlineStr">
        <is>
          <t>decimal ratio</t>
        </is>
      </c>
      <c r="K38" s="27" t="inlineStr">
        <is>
          <t>Earlier management working export</t>
        </is>
      </c>
      <c r="L38" s="47" t="inlineStr">
        <is>
          <t>2026-06-24</t>
        </is>
      </c>
      <c r="M38" s="27" t="inlineStr"/>
    </row>
    <row r="39">
      <c r="A39" s="36" t="inlineStr">
        <is>
          <t>PLN-00987</t>
        </is>
      </c>
      <c r="B39" s="27" t="inlineStr">
        <is>
          <t>Backlog, pipeline, and capacity conversion</t>
        </is>
      </c>
      <c r="C39" s="27" t="inlineStr">
        <is>
          <t>Backlog coverage policy</t>
        </is>
      </c>
      <c r="D39" s="27" t="inlineStr">
        <is>
          <t>Construction</t>
        </is>
      </c>
      <c r="E39" s="27" t="inlineStr">
        <is>
          <t>2026-05 working copy</t>
        </is>
      </c>
      <c r="F39" s="27" t="inlineStr">
        <is>
          <t>Approved case</t>
        </is>
      </c>
      <c r="G39" s="27" t="inlineStr">
        <is>
          <t>FY27 construction revenue plan</t>
        </is>
      </c>
      <c r="H39" s="46" t="n">
        <v>32033000</v>
      </c>
      <c r="I39" s="27" t="inlineStr"/>
      <c r="J39" s="27" t="inlineStr">
        <is>
          <t>USD</t>
        </is>
      </c>
      <c r="K39" s="27" t="inlineStr">
        <is>
          <t>Earlier management working export</t>
        </is>
      </c>
      <c r="L39" s="47" t="inlineStr">
        <is>
          <t>2026-06-24</t>
        </is>
      </c>
      <c r="M39" s="27" t="inlineStr"/>
    </row>
    <row r="40">
      <c r="A40" s="36" t="inlineStr">
        <is>
          <t>PLN-00988</t>
        </is>
      </c>
      <c r="B40" s="27" t="inlineStr">
        <is>
          <t>Backlog, pipeline, and capacity conversion</t>
        </is>
      </c>
      <c r="C40" s="27" t="inlineStr">
        <is>
          <t>Signed backlog conversion</t>
        </is>
      </c>
      <c r="D40" s="27" t="inlineStr">
        <is>
          <t>Portland Schools</t>
        </is>
      </c>
      <c r="E40" s="27" t="inlineStr">
        <is>
          <t>2026-06-30</t>
        </is>
      </c>
      <c r="F40" s="27" t="inlineStr">
        <is>
          <t>Management stretch</t>
        </is>
      </c>
      <c r="G40" s="27" t="inlineStr">
        <is>
          <t>Signed backlog</t>
        </is>
      </c>
      <c r="H40" s="46" t="n">
        <v>7020</v>
      </c>
      <c r="I40" s="27" t="inlineStr"/>
      <c r="J40" s="27" t="inlineStr">
        <is>
          <t>USD thousands</t>
        </is>
      </c>
      <c r="K40" s="27" t="inlineStr">
        <is>
          <t>Earlier management working export</t>
        </is>
      </c>
      <c r="L40" s="47" t="inlineStr">
        <is>
          <t>2026-06-24</t>
        </is>
      </c>
      <c r="M40" s="27" t="inlineStr"/>
    </row>
    <row r="41">
      <c r="A41" s="36" t="inlineStr">
        <is>
          <t>PLN-00989</t>
        </is>
      </c>
      <c r="B41" s="27" t="inlineStr">
        <is>
          <t>Backlog, pipeline, and capacity conversion</t>
        </is>
      </c>
      <c r="C41" s="27" t="inlineStr">
        <is>
          <t>Signed backlog conversion</t>
        </is>
      </c>
      <c r="D41" s="27" t="inlineStr">
        <is>
          <t>Helix Data Center</t>
        </is>
      </c>
      <c r="E41" s="27" t="inlineStr">
        <is>
          <t>2026-05 working copy</t>
        </is>
      </c>
      <c r="F41" s="27" t="inlineStr">
        <is>
          <t>Approved case</t>
        </is>
      </c>
      <c r="G41" s="27" t="inlineStr">
        <is>
          <t>H2 burn percent</t>
        </is>
      </c>
      <c r="H41" s="46" t="n">
        <v>0.315</v>
      </c>
      <c r="I41" s="27" t="inlineStr"/>
      <c r="J41" s="27" t="inlineStr">
        <is>
          <t>decimal ratio</t>
        </is>
      </c>
      <c r="K41" s="27" t="inlineStr">
        <is>
          <t>Earlier management working export</t>
        </is>
      </c>
      <c r="L41" s="47" t="inlineStr">
        <is>
          <t>2026-06-24</t>
        </is>
      </c>
      <c r="M41" s="27" t="inlineStr"/>
    </row>
    <row r="42">
      <c r="A42" s="36" t="inlineStr">
        <is>
          <t>PLN-00990</t>
        </is>
      </c>
      <c r="B42" s="27" t="inlineStr">
        <is>
          <t>Backlog, pipeline, and capacity conversion</t>
        </is>
      </c>
      <c r="C42" s="27" t="inlineStr">
        <is>
          <t>Signed backlog conversion</t>
        </is>
      </c>
      <c r="D42" s="27" t="inlineStr">
        <is>
          <t>Juniper Offices</t>
        </is>
      </c>
      <c r="E42" s="27" t="inlineStr">
        <is>
          <t>2026-06-30</t>
        </is>
      </c>
      <c r="F42" s="27" t="inlineStr">
        <is>
          <t>Management stretch</t>
        </is>
      </c>
      <c r="G42" s="27" t="inlineStr">
        <is>
          <t>Gross margin</t>
        </is>
      </c>
      <c r="H42" s="46" t="n">
        <v>0.24308</v>
      </c>
      <c r="I42" s="27" t="inlineStr"/>
      <c r="J42" s="27" t="inlineStr">
        <is>
          <t>decimal ratio</t>
        </is>
      </c>
      <c r="K42" s="27" t="inlineStr">
        <is>
          <t>Earlier management working export</t>
        </is>
      </c>
      <c r="L42" s="47" t="inlineStr">
        <is>
          <t>2026-06-24</t>
        </is>
      </c>
      <c r="M42" s="27" t="inlineStr"/>
    </row>
    <row r="43">
      <c r="A43" s="36" t="inlineStr">
        <is>
          <t>PLN-00991</t>
        </is>
      </c>
      <c r="B43" s="27" t="inlineStr">
        <is>
          <t>Backlog, pipeline, and capacity conversion</t>
        </is>
      </c>
      <c r="C43" s="27" t="inlineStr">
        <is>
          <t>Qualified award pipeline</t>
        </is>
      </c>
      <c r="D43" s="27" t="inlineStr">
        <is>
          <t>Riverfront Hospital</t>
        </is>
      </c>
      <c r="E43" s="27" t="inlineStr">
        <is>
          <t>2026-05 working copy</t>
        </is>
      </c>
      <c r="F43" s="27" t="inlineStr">
        <is>
          <t>Approved case</t>
        </is>
      </c>
      <c r="G43" s="27" t="inlineStr">
        <is>
          <t>Award probability</t>
        </is>
      </c>
      <c r="H43" s="46" t="n">
        <v>0.728</v>
      </c>
      <c r="I43" s="27" t="inlineStr"/>
      <c r="J43" s="27" t="inlineStr">
        <is>
          <t>decimal ratio</t>
        </is>
      </c>
      <c r="K43" s="27" t="inlineStr">
        <is>
          <t>Earlier management working export</t>
        </is>
      </c>
      <c r="L43" s="47" t="inlineStr">
        <is>
          <t>2026-06-24</t>
        </is>
      </c>
      <c r="M43" s="27" t="inlineStr"/>
    </row>
    <row r="44">
      <c r="A44" s="36" t="inlineStr">
        <is>
          <t>PLN-00992</t>
        </is>
      </c>
      <c r="B44" s="27" t="inlineStr">
        <is>
          <t>Backlog, pipeline, and capacity conversion</t>
        </is>
      </c>
      <c r="C44" s="27" t="inlineStr">
        <is>
          <t>Qualified award pipeline</t>
        </is>
      </c>
      <c r="D44" s="27" t="inlineStr">
        <is>
          <t>State Archive</t>
        </is>
      </c>
      <c r="E44" s="27" t="inlineStr">
        <is>
          <t>FY27</t>
        </is>
      </c>
      <c r="F44" s="27" t="inlineStr">
        <is>
          <t>Management stretch</t>
        </is>
      </c>
      <c r="G44" s="27" t="inlineStr">
        <is>
          <t>Potential award</t>
        </is>
      </c>
      <c r="H44" s="46" t="n">
        <v>6510</v>
      </c>
      <c r="I44" s="27" t="inlineStr"/>
      <c r="J44" s="27" t="inlineStr">
        <is>
          <t>USD thousands</t>
        </is>
      </c>
      <c r="K44" s="27" t="inlineStr">
        <is>
          <t>Earlier management working export</t>
        </is>
      </c>
      <c r="L44" s="47" t="inlineStr">
        <is>
          <t>2026-06-24</t>
        </is>
      </c>
      <c r="M44" s="27" t="inlineStr"/>
    </row>
    <row r="45">
      <c r="A45" s="36" t="inlineStr">
        <is>
          <t>PLN-00993</t>
        </is>
      </c>
      <c r="B45" s="27" t="inlineStr">
        <is>
          <t>Backlog, pipeline, and capacity conversion</t>
        </is>
      </c>
      <c r="C45" s="27" t="inlineStr">
        <is>
          <t>Qualified award pipeline</t>
        </is>
      </c>
      <c r="D45" s="27" t="inlineStr">
        <is>
          <t>Summit Hotel</t>
        </is>
      </c>
      <c r="E45" s="27" t="inlineStr">
        <is>
          <t>2026-05 working copy</t>
        </is>
      </c>
      <c r="F45" s="27" t="inlineStr">
        <is>
          <t>Approved case</t>
        </is>
      </c>
      <c r="G45" s="27" t="inlineStr">
        <is>
          <t>Gross margin</t>
        </is>
      </c>
      <c r="H45" s="46" t="n">
        <v>0.27192</v>
      </c>
      <c r="I45" s="27" t="inlineStr"/>
      <c r="J45" s="27" t="inlineStr">
        <is>
          <t>decimal ratio</t>
        </is>
      </c>
      <c r="K45" s="27" t="inlineStr">
        <is>
          <t>Earlier management working export</t>
        </is>
      </c>
      <c r="L45" s="47" t="inlineStr">
        <is>
          <t>2026-06-24</t>
        </is>
      </c>
      <c r="M45" s="27" t="inlineStr"/>
    </row>
    <row r="46">
      <c r="A46" s="36" t="inlineStr">
        <is>
          <t>PLN-00994</t>
        </is>
      </c>
      <c r="B46" s="27" t="inlineStr">
        <is>
          <t>Backlog, pipeline, and capacity conversion</t>
        </is>
      </c>
      <c r="C46" s="27" t="inlineStr">
        <is>
          <t>Signed backlog conversion</t>
        </is>
      </c>
      <c r="D46" s="27" t="inlineStr">
        <is>
          <t>Cedar Medical</t>
        </is>
      </c>
      <c r="E46" s="27" t="inlineStr">
        <is>
          <t>2026-06-30</t>
        </is>
      </c>
      <c r="F46" s="27" t="inlineStr">
        <is>
          <t>Management stretch</t>
        </is>
      </c>
      <c r="G46" s="27" t="inlineStr">
        <is>
          <t>FY27 burn percent</t>
        </is>
      </c>
      <c r="H46" s="46" t="n">
        <v>0.468</v>
      </c>
      <c r="I46" s="27" t="inlineStr"/>
      <c r="J46" s="27" t="inlineStr">
        <is>
          <t>decimal ratio</t>
        </is>
      </c>
      <c r="K46" s="27" t="inlineStr">
        <is>
          <t>Earlier management working export</t>
        </is>
      </c>
      <c r="L46" s="47" t="inlineStr">
        <is>
          <t>2026-06-24</t>
        </is>
      </c>
      <c r="M46" s="27" t="inlineStr"/>
    </row>
    <row r="47">
      <c r="A47" s="36" t="inlineStr">
        <is>
          <t>PLN-01043</t>
        </is>
      </c>
      <c r="B47" s="27" t="inlineStr">
        <is>
          <t>Backlog, pipeline, and capacity conversion</t>
        </is>
      </c>
      <c r="C47" s="27" t="inlineStr">
        <is>
          <t>FY27 delivery portfolio candidates</t>
        </is>
      </c>
      <c r="D47" s="27" t="inlineStr">
        <is>
          <t>Cedar Medical</t>
        </is>
      </c>
      <c r="E47" s="27" t="inlineStr">
        <is>
          <t>2026-05 working copy</t>
        </is>
      </c>
      <c r="F47" s="27" t="inlineStr">
        <is>
          <t>Approved case</t>
        </is>
      </c>
      <c r="G47" s="27" t="inlineStr">
        <is>
          <t>Risk-adjusted revenue</t>
        </is>
      </c>
      <c r="H47" s="46" t="n">
        <v>3450500</v>
      </c>
      <c r="I47" s="27" t="inlineStr"/>
      <c r="J47" s="27" t="inlineStr">
        <is>
          <t>USD</t>
        </is>
      </c>
      <c r="K47" s="27" t="inlineStr">
        <is>
          <t>Earlier management working export</t>
        </is>
      </c>
      <c r="L47" s="47" t="inlineStr">
        <is>
          <t>2026-06-24</t>
        </is>
      </c>
      <c r="M47" s="27" t="inlineStr"/>
    </row>
    <row r="48">
      <c r="A48" s="36" t="inlineStr">
        <is>
          <t>PLN-01044</t>
        </is>
      </c>
      <c r="B48" s="27" t="inlineStr">
        <is>
          <t>Backlog, pipeline, and capacity conversion</t>
        </is>
      </c>
      <c r="C48" s="27" t="inlineStr">
        <is>
          <t>FY27 delivery portfolio candidates</t>
        </is>
      </c>
      <c r="D48" s="27" t="inlineStr">
        <is>
          <t>Portland Schools</t>
        </is>
      </c>
      <c r="E48" s="27" t="inlineStr">
        <is>
          <t>FY27</t>
        </is>
      </c>
      <c r="F48" s="27" t="inlineStr">
        <is>
          <t>Management stretch</t>
        </is>
      </c>
      <c r="G48" s="27" t="inlineStr">
        <is>
          <t>Required labor hours</t>
        </is>
      </c>
      <c r="H48" s="46" t="n">
        <v>16224</v>
      </c>
      <c r="I48" s="27" t="inlineStr"/>
      <c r="J48" s="27" t="inlineStr">
        <is>
          <t>hours</t>
        </is>
      </c>
      <c r="K48" s="27" t="inlineStr">
        <is>
          <t>Earlier management working export</t>
        </is>
      </c>
      <c r="L48" s="47" t="inlineStr">
        <is>
          <t>2026-06-24</t>
        </is>
      </c>
      <c r="M48" s="27" t="inlineStr"/>
    </row>
    <row r="49">
      <c r="A49" s="36" t="inlineStr">
        <is>
          <t>PLN-01045</t>
        </is>
      </c>
      <c r="B49" s="27" t="inlineStr">
        <is>
          <t>Backlog, pipeline, and capacity conversion</t>
        </is>
      </c>
      <c r="C49" s="27" t="inlineStr">
        <is>
          <t>FY27 delivery portfolio candidates</t>
        </is>
      </c>
      <c r="D49" s="27" t="inlineStr">
        <is>
          <t>Helix Data Center</t>
        </is>
      </c>
      <c r="E49" s="27" t="inlineStr">
        <is>
          <t>2026-05 working copy</t>
        </is>
      </c>
      <c r="F49" s="27" t="inlineStr">
        <is>
          <t>Approved case</t>
        </is>
      </c>
      <c r="G49" s="27" t="inlineStr">
        <is>
          <t>Mandatory signed award</t>
        </is>
      </c>
      <c r="H49" s="46" t="n">
        <v>1.05</v>
      </c>
      <c r="I49" s="27" t="inlineStr"/>
      <c r="J49" s="27" t="inlineStr">
        <is>
          <t>boolean</t>
        </is>
      </c>
      <c r="K49" s="27" t="inlineStr">
        <is>
          <t>Earlier management working export</t>
        </is>
      </c>
      <c r="L49" s="47" t="inlineStr">
        <is>
          <t>2026-06-24</t>
        </is>
      </c>
      <c r="M49" s="27" t="inlineStr"/>
    </row>
    <row r="50">
      <c r="A50" s="36" t="inlineStr">
        <is>
          <t>PLN-01046</t>
        </is>
      </c>
      <c r="B50" s="27" t="inlineStr">
        <is>
          <t>Backlog, pipeline, and capacity conversion</t>
        </is>
      </c>
      <c r="C50" s="27" t="inlineStr">
        <is>
          <t>FY27 delivery portfolio candidates</t>
        </is>
      </c>
      <c r="D50" s="27" t="inlineStr">
        <is>
          <t>Cascade Retail</t>
        </is>
      </c>
      <c r="E50" s="27" t="inlineStr">
        <is>
          <t>FY27</t>
        </is>
      </c>
      <c r="F50" s="27" t="inlineStr">
        <is>
          <t>Management stretch</t>
        </is>
      </c>
      <c r="G50" s="27" t="inlineStr">
        <is>
          <t>Gross margin</t>
        </is>
      </c>
      <c r="H50" s="46" t="n">
        <v>0.21115</v>
      </c>
      <c r="I50" s="27" t="inlineStr"/>
      <c r="J50" s="27" t="inlineStr">
        <is>
          <t>decimal ratio</t>
        </is>
      </c>
      <c r="K50" s="27" t="inlineStr">
        <is>
          <t>Earlier management working export</t>
        </is>
      </c>
      <c r="L50" s="47" t="inlineStr">
        <is>
          <t>2026-06-24</t>
        </is>
      </c>
      <c r="M50" s="27" t="inlineStr"/>
    </row>
    <row r="51">
      <c r="A51" s="36" t="inlineStr">
        <is>
          <t>PLN-01047</t>
        </is>
      </c>
      <c r="B51" s="27" t="inlineStr">
        <is>
          <t>Backlog, pipeline, and capacity conversion</t>
        </is>
      </c>
      <c r="C51" s="27" t="inlineStr">
        <is>
          <t>FY27 delivery portfolio candidates</t>
        </is>
      </c>
      <c r="D51" s="27" t="inlineStr">
        <is>
          <t>Riverfront Hospital</t>
        </is>
      </c>
      <c r="E51" s="27" t="inlineStr">
        <is>
          <t>2026-05 working copy</t>
        </is>
      </c>
      <c r="F51" s="27" t="inlineStr">
        <is>
          <t>Approved case</t>
        </is>
      </c>
      <c r="G51" s="27" t="inlineStr">
        <is>
          <t>Bonded revenue</t>
        </is>
      </c>
      <c r="H51" s="46" t="n">
        <v>2271360</v>
      </c>
      <c r="I51" s="27" t="inlineStr"/>
      <c r="J51" s="27" t="inlineStr">
        <is>
          <t>USD</t>
        </is>
      </c>
      <c r="K51" s="27" t="inlineStr">
        <is>
          <t>Earlier management working export</t>
        </is>
      </c>
      <c r="L51" s="47" t="inlineStr">
        <is>
          <t>2026-06-24</t>
        </is>
      </c>
      <c r="M51" s="27" t="inlineStr"/>
    </row>
    <row r="52">
      <c r="A52" s="36" t="inlineStr">
        <is>
          <t>PLN-01048</t>
        </is>
      </c>
      <c r="B52" s="27" t="inlineStr">
        <is>
          <t>Backlog, pipeline, and capacity conversion</t>
        </is>
      </c>
      <c r="C52" s="27" t="inlineStr">
        <is>
          <t>FY27 delivery portfolio candidates</t>
        </is>
      </c>
      <c r="D52" s="27" t="inlineStr">
        <is>
          <t>State Archive</t>
        </is>
      </c>
      <c r="E52" s="27" t="inlineStr">
        <is>
          <t>FY27</t>
        </is>
      </c>
      <c r="F52" s="27" t="inlineStr">
        <is>
          <t>Management stretch</t>
        </is>
      </c>
      <c r="G52" s="27" t="inlineStr">
        <is>
          <t>Risk-adjusted revenue</t>
        </is>
      </c>
      <c r="H52" s="46" t="n">
        <v>732375</v>
      </c>
      <c r="I52" s="27" t="inlineStr"/>
      <c r="J52" s="27" t="inlineStr">
        <is>
          <t>USD</t>
        </is>
      </c>
      <c r="K52" s="27" t="inlineStr">
        <is>
          <t>Earlier management working export</t>
        </is>
      </c>
      <c r="L52" s="47" t="inlineStr">
        <is>
          <t>2026-06-24</t>
        </is>
      </c>
      <c r="M52" s="27" t="inlineStr"/>
    </row>
    <row r="53">
      <c r="A53" s="36" t="inlineStr">
        <is>
          <t>PLN-01049</t>
        </is>
      </c>
      <c r="B53" s="27" t="inlineStr">
        <is>
          <t>Backlog, pipeline, and capacity conversion</t>
        </is>
      </c>
      <c r="C53" s="27" t="inlineStr">
        <is>
          <t>FY27 delivery portfolio candidates</t>
        </is>
      </c>
      <c r="D53" s="27" t="inlineStr">
        <is>
          <t>Summit Hotel</t>
        </is>
      </c>
      <c r="E53" s="27" t="inlineStr">
        <is>
          <t>2026-05 working copy</t>
        </is>
      </c>
      <c r="F53" s="27" t="inlineStr">
        <is>
          <t>Approved case</t>
        </is>
      </c>
      <c r="G53" s="27" t="inlineStr">
        <is>
          <t>Required labor hours</t>
        </is>
      </c>
      <c r="H53" s="46" t="n">
        <v>8240</v>
      </c>
      <c r="I53" s="27" t="inlineStr"/>
      <c r="J53" s="27" t="inlineStr">
        <is>
          <t>hours</t>
        </is>
      </c>
      <c r="K53" s="27" t="inlineStr">
        <is>
          <t>Earlier management working export</t>
        </is>
      </c>
      <c r="L53" s="47" t="inlineStr">
        <is>
          <t>2026-06-24</t>
        </is>
      </c>
      <c r="M53" s="27" t="inlineStr"/>
    </row>
    <row r="54">
      <c r="A54" s="36" t="inlineStr">
        <is>
          <t>PLN-01050</t>
        </is>
      </c>
      <c r="B54" s="27" t="inlineStr">
        <is>
          <t>Backlog, pipeline, and capacity conversion</t>
        </is>
      </c>
      <c r="C54" s="27" t="inlineStr">
        <is>
          <t>FY27 delivery portfolio candidates</t>
        </is>
      </c>
      <c r="D54" s="27" t="inlineStr">
        <is>
          <t>Cedar Medical</t>
        </is>
      </c>
      <c r="E54" s="27" t="inlineStr">
        <is>
          <t>FY27</t>
        </is>
      </c>
      <c r="F54" s="27" t="inlineStr">
        <is>
          <t>Management stretch</t>
        </is>
      </c>
      <c r="G54" s="27" t="inlineStr">
        <is>
          <t>Gross margin</t>
        </is>
      </c>
      <c r="H54" s="46" t="n">
        <v>0.2548</v>
      </c>
      <c r="I54" s="27" t="inlineStr"/>
      <c r="J54" s="27" t="inlineStr">
        <is>
          <t>decimal ratio</t>
        </is>
      </c>
      <c r="K54" s="27" t="inlineStr">
        <is>
          <t>Earlier management working export</t>
        </is>
      </c>
      <c r="L54" s="47" t="inlineStr">
        <is>
          <t>2026-06-24</t>
        </is>
      </c>
      <c r="M54" s="27" t="inlineStr"/>
    </row>
    <row r="55">
      <c r="A55" s="36" t="inlineStr">
        <is>
          <t>PLN-01051</t>
        </is>
      </c>
      <c r="B55" s="27" t="inlineStr">
        <is>
          <t>Backlog, pipeline, and capacity conversion</t>
        </is>
      </c>
      <c r="C55" s="27" t="inlineStr">
        <is>
          <t>FY27 delivery portfolio candidates</t>
        </is>
      </c>
      <c r="D55" s="27" t="inlineStr">
        <is>
          <t>Portland Schools</t>
        </is>
      </c>
      <c r="E55" s="27" t="inlineStr">
        <is>
          <t>2026-05 working copy</t>
        </is>
      </c>
      <c r="F55" s="27" t="inlineStr">
        <is>
          <t>Approved case</t>
        </is>
      </c>
      <c r="G55" s="27" t="inlineStr">
        <is>
          <t>Bonded revenue</t>
        </is>
      </c>
      <c r="H55" s="46" t="n">
        <v>2693250</v>
      </c>
      <c r="I55" s="27" t="inlineStr"/>
      <c r="J55" s="27" t="inlineStr">
        <is>
          <t>USD</t>
        </is>
      </c>
      <c r="K55" s="27" t="inlineStr">
        <is>
          <t>Earlier management working export</t>
        </is>
      </c>
      <c r="L55" s="47" t="inlineStr">
        <is>
          <t>2026-06-24</t>
        </is>
      </c>
      <c r="M55" s="27" t="inlineStr"/>
    </row>
    <row r="56">
      <c r="A56" s="36" t="inlineStr">
        <is>
          <t>PLN-01087</t>
        </is>
      </c>
      <c r="B56" s="27" t="inlineStr">
        <is>
          <t>Customer profitability and economic profit</t>
        </is>
      </c>
      <c r="C56" s="27" t="inlineStr">
        <is>
          <t>Customer profitability detail</t>
        </is>
      </c>
      <c r="D56" s="27" t="inlineStr">
        <is>
          <t>Cedar Medical</t>
        </is>
      </c>
      <c r="E56" s="27" t="inlineStr">
        <is>
          <t>2026-05 working copy</t>
        </is>
      </c>
      <c r="F56" s="27" t="inlineStr">
        <is>
          <t>Approved case</t>
        </is>
      </c>
      <c r="G56" s="27" t="inlineStr">
        <is>
          <t>Revenue</t>
        </is>
      </c>
      <c r="H56" s="46" t="n">
        <v>8085.5</v>
      </c>
      <c r="I56" s="27" t="inlineStr"/>
      <c r="J56" s="27" t="inlineStr">
        <is>
          <t>USD thousands</t>
        </is>
      </c>
      <c r="K56" s="27" t="inlineStr">
        <is>
          <t>Earlier management working export</t>
        </is>
      </c>
      <c r="L56" s="47" t="inlineStr">
        <is>
          <t>2026-06-24</t>
        </is>
      </c>
      <c r="M56" s="27" t="inlineStr"/>
    </row>
    <row r="57">
      <c r="A57" s="36" t="inlineStr">
        <is>
          <t>PLN-01088</t>
        </is>
      </c>
      <c r="B57" s="27" t="inlineStr">
        <is>
          <t>Customer profitability and economic profit</t>
        </is>
      </c>
      <c r="C57" s="27" t="inlineStr">
        <is>
          <t>Customer profitability detail</t>
        </is>
      </c>
      <c r="D57" s="27" t="inlineStr">
        <is>
          <t>Helix Data Center</t>
        </is>
      </c>
      <c r="E57" s="27" t="inlineStr">
        <is>
          <t>LTM 2026-06-30</t>
        </is>
      </c>
      <c r="F57" s="27" t="inlineStr">
        <is>
          <t>Management stretch</t>
        </is>
      </c>
      <c r="G57" s="27" t="inlineStr">
        <is>
          <t>Revenue</t>
        </is>
      </c>
      <c r="H57" s="46" t="n">
        <v>9568000</v>
      </c>
      <c r="I57" s="27" t="inlineStr"/>
      <c r="J57" s="27" t="inlineStr">
        <is>
          <t>USD</t>
        </is>
      </c>
      <c r="K57" s="27" t="inlineStr">
        <is>
          <t>Earlier management working export</t>
        </is>
      </c>
      <c r="L57" s="47" t="inlineStr">
        <is>
          <t>2026-06-24</t>
        </is>
      </c>
      <c r="M57" s="27" t="inlineStr"/>
    </row>
    <row r="58">
      <c r="A58" s="36" t="inlineStr">
        <is>
          <t>PLN-01089</t>
        </is>
      </c>
      <c r="B58" s="27" t="inlineStr">
        <is>
          <t>Customer profitability and economic profit</t>
        </is>
      </c>
      <c r="C58" s="27" t="inlineStr">
        <is>
          <t>Customer profitability detail</t>
        </is>
      </c>
      <c r="D58" s="27" t="inlineStr">
        <is>
          <t>Juniper Offices</t>
        </is>
      </c>
      <c r="E58" s="27" t="inlineStr">
        <is>
          <t>2026-05 working copy</t>
        </is>
      </c>
      <c r="F58" s="27" t="inlineStr">
        <is>
          <t>Approved case</t>
        </is>
      </c>
      <c r="G58" s="27" t="inlineStr">
        <is>
          <t>Revenue</t>
        </is>
      </c>
      <c r="H58" s="46" t="n">
        <v>5932500</v>
      </c>
      <c r="I58" s="27" t="inlineStr"/>
      <c r="J58" s="27" t="inlineStr">
        <is>
          <t>USD</t>
        </is>
      </c>
      <c r="K58" s="27" t="inlineStr">
        <is>
          <t>Earlier management working export</t>
        </is>
      </c>
      <c r="L58" s="47" t="inlineStr">
        <is>
          <t>2026-06-24</t>
        </is>
      </c>
      <c r="M58" s="27" t="inlineStr"/>
    </row>
    <row r="59">
      <c r="A59" s="36" t="inlineStr">
        <is>
          <t>PLN-01090</t>
        </is>
      </c>
      <c r="B59" s="27" t="inlineStr">
        <is>
          <t>Customer profitability and economic profit</t>
        </is>
      </c>
      <c r="C59" s="27" t="inlineStr">
        <is>
          <t>Customer profitability detail</t>
        </is>
      </c>
      <c r="D59" s="27" t="inlineStr">
        <is>
          <t>Portland Schools</t>
        </is>
      </c>
      <c r="E59" s="27" t="inlineStr">
        <is>
          <t>LTM 2026-06-30</t>
        </is>
      </c>
      <c r="F59" s="27" t="inlineStr">
        <is>
          <t>Management stretch</t>
        </is>
      </c>
      <c r="G59" s="27" t="inlineStr">
        <is>
          <t>Revenue</t>
        </is>
      </c>
      <c r="H59" s="46" t="n">
        <v>7107000</v>
      </c>
      <c r="I59" s="27" t="inlineStr"/>
      <c r="J59" s="27" t="inlineStr">
        <is>
          <t>USD</t>
        </is>
      </c>
      <c r="K59" s="27" t="inlineStr">
        <is>
          <t>Earlier management working export</t>
        </is>
      </c>
      <c r="L59" s="47" t="inlineStr">
        <is>
          <t>2026-06-24</t>
        </is>
      </c>
      <c r="M59" s="27" t="inlineStr"/>
    </row>
    <row r="60">
      <c r="A60" s="36" t="inlineStr">
        <is>
          <t>PLN-01091</t>
        </is>
      </c>
      <c r="B60" s="27" t="inlineStr">
        <is>
          <t>Customer profitability and economic profit</t>
        </is>
      </c>
      <c r="C60" s="27" t="inlineStr">
        <is>
          <t>Shared cost pools</t>
        </is>
      </c>
      <c r="D60" s="27" t="inlineStr">
        <is>
          <t>Project management</t>
        </is>
      </c>
      <c r="E60" s="27" t="inlineStr">
        <is>
          <t>2026-05 working copy</t>
        </is>
      </c>
      <c r="F60" s="27" t="inlineStr">
        <is>
          <t>Approved case</t>
        </is>
      </c>
      <c r="G60" s="27" t="inlineStr">
        <is>
          <t>Pool cost</t>
        </is>
      </c>
      <c r="H60" s="46" t="n">
        <v>1300</v>
      </c>
      <c r="I60" s="27" t="inlineStr"/>
      <c r="J60" s="27" t="inlineStr">
        <is>
          <t>USD thousands</t>
        </is>
      </c>
      <c r="K60" s="27" t="inlineStr">
        <is>
          <t>Earlier management working export</t>
        </is>
      </c>
      <c r="L60" s="47" t="inlineStr">
        <is>
          <t>2026-06-24</t>
        </is>
      </c>
      <c r="M60" s="27" t="inlineStr"/>
    </row>
    <row r="61">
      <c r="A61" s="36" t="inlineStr">
        <is>
          <t>PLN-01092</t>
        </is>
      </c>
      <c r="B61" s="27" t="inlineStr">
        <is>
          <t>Customer profitability and economic profit</t>
        </is>
      </c>
      <c r="C61" s="27" t="inlineStr">
        <is>
          <t>Customer profitability detail</t>
        </is>
      </c>
      <c r="D61" s="27" t="inlineStr">
        <is>
          <t>Cedar Medical</t>
        </is>
      </c>
      <c r="E61" s="27" t="inlineStr">
        <is>
          <t>LTM 2026-06-30</t>
        </is>
      </c>
      <c r="F61" s="27" t="inlineStr">
        <is>
          <t>Management stretch</t>
        </is>
      </c>
      <c r="G61" s="27" t="inlineStr">
        <is>
          <t>Subcontract</t>
        </is>
      </c>
      <c r="H61" s="46" t="n">
        <v>1029000</v>
      </c>
      <c r="I61" s="27" t="inlineStr"/>
      <c r="J61" s="27" t="inlineStr">
        <is>
          <t>USD</t>
        </is>
      </c>
      <c r="K61" s="27" t="inlineStr">
        <is>
          <t>Earlier management working export</t>
        </is>
      </c>
      <c r="L61" s="47" t="inlineStr">
        <is>
          <t>2026-06-24</t>
        </is>
      </c>
      <c r="M61" s="27" t="inlineStr"/>
    </row>
    <row r="62">
      <c r="A62" s="36" t="inlineStr">
        <is>
          <t>PLN-01093</t>
        </is>
      </c>
      <c r="B62" s="27" t="inlineStr">
        <is>
          <t>Customer profitability and economic profit</t>
        </is>
      </c>
      <c r="C62" s="27" t="inlineStr">
        <is>
          <t>Customer profitability detail</t>
        </is>
      </c>
      <c r="D62" s="27" t="inlineStr">
        <is>
          <t>Helix Data Center</t>
        </is>
      </c>
      <c r="E62" s="27" t="inlineStr">
        <is>
          <t>2026-05 working copy</t>
        </is>
      </c>
      <c r="F62" s="27" t="inlineStr">
        <is>
          <t>Approved case</t>
        </is>
      </c>
      <c r="G62" s="27" t="inlineStr">
        <is>
          <t>Subcontract</t>
        </is>
      </c>
      <c r="H62" s="46" t="n">
        <v>1359600</v>
      </c>
      <c r="I62" s="27" t="inlineStr"/>
      <c r="J62" s="27" t="inlineStr">
        <is>
          <t>USD</t>
        </is>
      </c>
      <c r="K62" s="27" t="inlineStr">
        <is>
          <t>Earlier management working export</t>
        </is>
      </c>
      <c r="L62" s="47" t="inlineStr">
        <is>
          <t>2026-06-24</t>
        </is>
      </c>
      <c r="M62" s="27" t="inlineStr"/>
    </row>
    <row r="63">
      <c r="A63" s="36" t="inlineStr">
        <is>
          <t>PLN-01094</t>
        </is>
      </c>
      <c r="B63" s="27" t="inlineStr">
        <is>
          <t>Customer profitability and economic profit</t>
        </is>
      </c>
      <c r="C63" s="27" t="inlineStr">
        <is>
          <t>Customer profitability detail</t>
        </is>
      </c>
      <c r="D63" s="27" t="inlineStr">
        <is>
          <t>Juniper Offices</t>
        </is>
      </c>
      <c r="E63" s="27" t="inlineStr">
        <is>
          <t>LTM 2026-06-30</t>
        </is>
      </c>
      <c r="F63" s="27" t="inlineStr">
        <is>
          <t>Management stretch</t>
        </is>
      </c>
      <c r="G63" s="27" t="inlineStr">
        <is>
          <t>Subcontract</t>
        </is>
      </c>
      <c r="H63" s="46" t="n">
        <v>644800</v>
      </c>
      <c r="I63" s="27" t="inlineStr"/>
      <c r="J63" s="27" t="inlineStr">
        <is>
          <t>USD</t>
        </is>
      </c>
      <c r="K63" s="27" t="inlineStr">
        <is>
          <t>Earlier management working export</t>
        </is>
      </c>
      <c r="L63" s="47" t="inlineStr">
        <is>
          <t>2026-06-24</t>
        </is>
      </c>
      <c r="M63" s="27" t="inlineStr"/>
    </row>
    <row r="64">
      <c r="A64" s="36" t="inlineStr">
        <is>
          <t>PLN-01095</t>
        </is>
      </c>
      <c r="B64" s="27" t="inlineStr">
        <is>
          <t>Customer profitability and economic profit</t>
        </is>
      </c>
      <c r="C64" s="27" t="inlineStr">
        <is>
          <t>Customer profitability detail</t>
        </is>
      </c>
      <c r="D64" s="27" t="inlineStr">
        <is>
          <t>Portland Schools</t>
        </is>
      </c>
      <c r="E64" s="27" t="inlineStr">
        <is>
          <t>2026-05 working copy</t>
        </is>
      </c>
      <c r="F64" s="27" t="inlineStr">
        <is>
          <t>Approved case</t>
        </is>
      </c>
      <c r="G64" s="27" t="inlineStr">
        <is>
          <t>Subcontract</t>
        </is>
      </c>
      <c r="H64" s="46" t="n">
        <v>1102.5</v>
      </c>
      <c r="I64" s="27" t="inlineStr"/>
      <c r="J64" s="27" t="inlineStr">
        <is>
          <t>USD thousands</t>
        </is>
      </c>
      <c r="K64" s="27" t="inlineStr">
        <is>
          <t>Earlier management working export</t>
        </is>
      </c>
      <c r="L64" s="47" t="inlineStr">
        <is>
          <t>2026-06-24</t>
        </is>
      </c>
      <c r="M64" s="27" t="inlineStr"/>
    </row>
    <row r="65">
      <c r="A65" s="36" t="inlineStr">
        <is>
          <t>PLN-01096</t>
        </is>
      </c>
      <c r="B65" s="27" t="inlineStr">
        <is>
          <t>Customer profitability and economic profit</t>
        </is>
      </c>
      <c r="C65" s="27" t="inlineStr">
        <is>
          <t>Economic profit policy</t>
        </is>
      </c>
      <c r="D65" s="27" t="inlineStr">
        <is>
          <t>Alder Ridge</t>
        </is>
      </c>
      <c r="E65" s="27" t="inlineStr">
        <is>
          <t>LTM 2026-06-30</t>
        </is>
      </c>
      <c r="F65" s="27" t="inlineStr">
        <is>
          <t>Management stretch</t>
        </is>
      </c>
      <c r="G65" s="27" t="inlineStr">
        <is>
          <t>Capital charge</t>
        </is>
      </c>
      <c r="H65" s="46" t="n">
        <v>0.11845</v>
      </c>
      <c r="I65" s="27" t="inlineStr"/>
      <c r="J65" s="27" t="inlineStr">
        <is>
          <t>decimal ratio</t>
        </is>
      </c>
      <c r="K65" s="27" t="inlineStr">
        <is>
          <t>Earlier management working export</t>
        </is>
      </c>
      <c r="L65" s="47" t="inlineStr">
        <is>
          <t>2026-06-24</t>
        </is>
      </c>
      <c r="M65" s="27" t="inlineStr"/>
    </row>
    <row r="66">
      <c r="A66" s="36" t="inlineStr">
        <is>
          <t>PLN-01097</t>
        </is>
      </c>
      <c r="B66" s="27" t="inlineStr">
        <is>
          <t>Customer profitability and economic profit</t>
        </is>
      </c>
      <c r="C66" s="27" t="inlineStr">
        <is>
          <t>Customer profitability detail</t>
        </is>
      </c>
      <c r="D66" s="27" t="inlineStr">
        <is>
          <t>Cedar Medical</t>
        </is>
      </c>
      <c r="E66" s="27" t="inlineStr">
        <is>
          <t>2026-05 working copy</t>
        </is>
      </c>
      <c r="F66" s="27" t="inlineStr">
        <is>
          <t>Approved case</t>
        </is>
      </c>
      <c r="G66" s="27" t="inlineStr">
        <is>
          <t>Average invested capital</t>
        </is>
      </c>
      <c r="H66" s="46" t="n">
        <v>3536000</v>
      </c>
      <c r="I66" s="27" t="inlineStr"/>
      <c r="J66" s="27" t="inlineStr">
        <is>
          <t>USD</t>
        </is>
      </c>
      <c r="K66" s="27" t="inlineStr">
        <is>
          <t>Earlier management working export</t>
        </is>
      </c>
      <c r="L66" s="47" t="inlineStr">
        <is>
          <t>2026-06-24</t>
        </is>
      </c>
      <c r="M66" s="27" t="inlineStr"/>
    </row>
    <row r="67">
      <c r="A67" s="36" t="inlineStr">
        <is>
          <t>PLN-01098</t>
        </is>
      </c>
      <c r="B67" s="27" t="inlineStr">
        <is>
          <t>Customer profitability and economic profit</t>
        </is>
      </c>
      <c r="C67" s="27" t="inlineStr">
        <is>
          <t>Customer profitability detail</t>
        </is>
      </c>
      <c r="D67" s="27" t="inlineStr">
        <is>
          <t>Helix Data Center</t>
        </is>
      </c>
      <c r="E67" s="27" t="inlineStr">
        <is>
          <t>LTM 2026-06-30</t>
        </is>
      </c>
      <c r="F67" s="27" t="inlineStr">
        <is>
          <t>Management stretch</t>
        </is>
      </c>
      <c r="G67" s="27" t="inlineStr">
        <is>
          <t>Average invested capital</t>
        </is>
      </c>
      <c r="H67" s="46" t="n">
        <v>5460000</v>
      </c>
      <c r="I67" s="27" t="inlineStr"/>
      <c r="J67" s="27" t="inlineStr">
        <is>
          <t>USD</t>
        </is>
      </c>
      <c r="K67" s="27" t="inlineStr">
        <is>
          <t>Earlier management working export</t>
        </is>
      </c>
      <c r="L67" s="47" t="inlineStr">
        <is>
          <t>2026-06-24</t>
        </is>
      </c>
      <c r="M67" s="27" t="inlineStr"/>
    </row>
    <row r="68">
      <c r="A68" s="36" t="inlineStr">
        <is>
          <t>PLN-01099</t>
        </is>
      </c>
      <c r="B68" s="27" t="inlineStr">
        <is>
          <t>Customer profitability and economic profit</t>
        </is>
      </c>
      <c r="C68" s="27" t="inlineStr">
        <is>
          <t>Customer profitability detail</t>
        </is>
      </c>
      <c r="D68" s="27" t="inlineStr">
        <is>
          <t>Juniper Offices</t>
        </is>
      </c>
      <c r="E68" s="27" t="inlineStr">
        <is>
          <t>2026-05 working copy</t>
        </is>
      </c>
      <c r="F68" s="27" t="inlineStr">
        <is>
          <t>Approved case</t>
        </is>
      </c>
      <c r="G68" s="27" t="inlineStr">
        <is>
          <t>Average invested capital</t>
        </is>
      </c>
      <c r="H68" s="46" t="n">
        <v>2214.5</v>
      </c>
      <c r="I68" s="27" t="inlineStr"/>
      <c r="J68" s="27" t="inlineStr">
        <is>
          <t>USD thousands</t>
        </is>
      </c>
      <c r="K68" s="27" t="inlineStr">
        <is>
          <t>Earlier management working export</t>
        </is>
      </c>
      <c r="L68" s="47" t="inlineStr">
        <is>
          <t>2026-06-24</t>
        </is>
      </c>
      <c r="M68" s="27" t="inlineStr"/>
    </row>
    <row r="69">
      <c r="A69" s="36" t="inlineStr">
        <is>
          <t>PLN-01100</t>
        </is>
      </c>
      <c r="B69" s="27" t="inlineStr">
        <is>
          <t>Customer profitability and economic profit</t>
        </is>
      </c>
      <c r="C69" s="27" t="inlineStr">
        <is>
          <t>Customer profitability detail</t>
        </is>
      </c>
      <c r="D69" s="27" t="inlineStr">
        <is>
          <t>Portland Schools</t>
        </is>
      </c>
      <c r="E69" s="27" t="inlineStr">
        <is>
          <t>LTM 2026-06-30</t>
        </is>
      </c>
      <c r="F69" s="27" t="inlineStr">
        <is>
          <t>Management stretch</t>
        </is>
      </c>
      <c r="G69" s="27" t="inlineStr">
        <is>
          <t>Average invested capital</t>
        </is>
      </c>
      <c r="H69" s="46" t="n">
        <v>5408000</v>
      </c>
      <c r="I69" s="27" t="inlineStr"/>
      <c r="J69" s="27" t="inlineStr">
        <is>
          <t>USD</t>
        </is>
      </c>
      <c r="K69" s="27" t="inlineStr">
        <is>
          <t>Earlier management working export</t>
        </is>
      </c>
      <c r="L69" s="47" t="inlineStr">
        <is>
          <t>2026-06-24</t>
        </is>
      </c>
      <c r="M69" s="27" t="inlineStr"/>
    </row>
    <row r="70">
      <c r="A70" s="36" t="inlineStr">
        <is>
          <t>PLN-01126</t>
        </is>
      </c>
      <c r="B70" s="27" t="inlineStr">
        <is>
          <t>Customer profitability and economic profit</t>
        </is>
      </c>
      <c r="C70" s="27" t="inlineStr">
        <is>
          <t>Customer renewal decision</t>
        </is>
      </c>
      <c r="D70" s="27" t="inlineStr">
        <is>
          <t>Cedar Medical</t>
        </is>
      </c>
      <c r="E70" s="27" t="inlineStr">
        <is>
          <t>2026-05 working copy</t>
        </is>
      </c>
      <c r="F70" s="27" t="inlineStr">
        <is>
          <t>Approved case</t>
        </is>
      </c>
      <c r="G70" s="27" t="inlineStr">
        <is>
          <t>Renewal probability</t>
        </is>
      </c>
      <c r="H70" s="46" t="n">
        <v>0.9373</v>
      </c>
      <c r="I70" s="27" t="inlineStr"/>
      <c r="J70" s="27" t="inlineStr">
        <is>
          <t>decimal ratio</t>
        </is>
      </c>
      <c r="K70" s="27" t="inlineStr">
        <is>
          <t>Earlier management working export</t>
        </is>
      </c>
      <c r="L70" s="47" t="inlineStr">
        <is>
          <t>2026-06-24</t>
        </is>
      </c>
      <c r="M70" s="27" t="inlineStr"/>
    </row>
    <row r="71">
      <c r="A71" s="36" t="inlineStr">
        <is>
          <t>PLN-01127</t>
        </is>
      </c>
      <c r="B71" s="27" t="inlineStr">
        <is>
          <t>Customer profitability and economic profit</t>
        </is>
      </c>
      <c r="C71" s="27" t="inlineStr">
        <is>
          <t>Customer renewal decision</t>
        </is>
      </c>
      <c r="D71" s="27" t="inlineStr">
        <is>
          <t>Helix Data Center</t>
        </is>
      </c>
      <c r="E71" s="27" t="inlineStr">
        <is>
          <t>FY27</t>
        </is>
      </c>
      <c r="F71" s="27" t="inlineStr">
        <is>
          <t>Management stretch</t>
        </is>
      </c>
      <c r="G71" s="27" t="inlineStr">
        <is>
          <t>Proposed price increase</t>
        </is>
      </c>
      <c r="H71" s="46" t="n">
        <v>0.0572</v>
      </c>
      <c r="I71" s="27" t="inlineStr"/>
      <c r="J71" s="27" t="inlineStr">
        <is>
          <t>decimal ratio</t>
        </is>
      </c>
      <c r="K71" s="27" t="inlineStr">
        <is>
          <t>Earlier management working export</t>
        </is>
      </c>
      <c r="L71" s="47" t="inlineStr">
        <is>
          <t>2026-06-24</t>
        </is>
      </c>
      <c r="M71" s="27" t="inlineStr"/>
    </row>
    <row r="72">
      <c r="A72" s="36" t="inlineStr">
        <is>
          <t>PLN-01128</t>
        </is>
      </c>
      <c r="B72" s="27" t="inlineStr">
        <is>
          <t>Customer profitability and economic profit</t>
        </is>
      </c>
      <c r="C72" s="27" t="inlineStr">
        <is>
          <t>Customer renewal decision</t>
        </is>
      </c>
      <c r="D72" s="27" t="inlineStr">
        <is>
          <t>Juniper Offices</t>
        </is>
      </c>
      <c r="E72" s="27" t="inlineStr">
        <is>
          <t>2026-05 working copy</t>
        </is>
      </c>
      <c r="F72" s="27" t="inlineStr">
        <is>
          <t>Approved case</t>
        </is>
      </c>
      <c r="G72" s="27" t="inlineStr">
        <is>
          <t>Volume elasticity</t>
        </is>
      </c>
      <c r="H72" s="46" t="n">
        <v>0.2625</v>
      </c>
      <c r="I72" s="27" t="inlineStr"/>
      <c r="J72" s="27" t="inlineStr">
        <is>
          <t>decimal ratio</t>
        </is>
      </c>
      <c r="K72" s="27" t="inlineStr">
        <is>
          <t>Earlier management working export</t>
        </is>
      </c>
      <c r="L72" s="47" t="inlineStr">
        <is>
          <t>2026-06-24</t>
        </is>
      </c>
      <c r="M72" s="27" t="inlineStr"/>
    </row>
    <row r="73">
      <c r="A73" s="36" t="inlineStr">
        <is>
          <t>PLN-01129</t>
        </is>
      </c>
      <c r="B73" s="27" t="inlineStr">
        <is>
          <t>Customer profitability and economic profit</t>
        </is>
      </c>
      <c r="C73" s="27" t="inlineStr">
        <is>
          <t>Customer renewal decision</t>
        </is>
      </c>
      <c r="D73" s="27" t="inlineStr">
        <is>
          <t>Portland Schools</t>
        </is>
      </c>
      <c r="E73" s="27" t="inlineStr">
        <is>
          <t>FY27</t>
        </is>
      </c>
      <c r="F73" s="27" t="inlineStr">
        <is>
          <t>Management stretch</t>
        </is>
      </c>
      <c r="G73" s="27" t="inlineStr">
        <is>
          <t>Expected credit loss percent</t>
        </is>
      </c>
      <c r="H73" s="46" t="n">
        <v>0.00412</v>
      </c>
      <c r="I73" s="27" t="inlineStr"/>
      <c r="J73" s="27" t="inlineStr">
        <is>
          <t>decimal ratio</t>
        </is>
      </c>
      <c r="K73" s="27" t="inlineStr">
        <is>
          <t>Earlier management working export</t>
        </is>
      </c>
      <c r="L73" s="47" t="inlineStr">
        <is>
          <t>2026-06-24</t>
        </is>
      </c>
      <c r="M73" s="27" t="inlineStr"/>
    </row>
    <row r="74">
      <c r="A74" s="36" t="inlineStr">
        <is>
          <t>PLN-01130</t>
        </is>
      </c>
      <c r="B74" s="27" t="inlineStr">
        <is>
          <t>Customer profitability and economic profit</t>
        </is>
      </c>
      <c r="C74" s="27" t="inlineStr">
        <is>
          <t>Customer renewal decision</t>
        </is>
      </c>
      <c r="D74" s="27" t="inlineStr">
        <is>
          <t>Cedar Medical</t>
        </is>
      </c>
      <c r="E74" s="27" t="inlineStr">
        <is>
          <t>2026-05 working copy</t>
        </is>
      </c>
      <c r="F74" s="27" t="inlineStr">
        <is>
          <t>Approved case</t>
        </is>
      </c>
      <c r="G74" s="27" t="inlineStr">
        <is>
          <t>Expected credit loss percent</t>
        </is>
      </c>
      <c r="H74" s="46" t="n">
        <v>0.006240000000000001</v>
      </c>
      <c r="I74" s="27" t="inlineStr"/>
      <c r="J74" s="27" t="inlineStr">
        <is>
          <t>decimal ratio</t>
        </is>
      </c>
      <c r="K74" s="27" t="inlineStr">
        <is>
          <t>Earlier management working export</t>
        </is>
      </c>
      <c r="L74" s="47" t="inlineStr">
        <is>
          <t>2026-06-24</t>
        </is>
      </c>
      <c r="M74" s="27" t="inlineStr"/>
    </row>
    <row r="75">
      <c r="A75" s="36" t="inlineStr">
        <is>
          <t>PLN-01131</t>
        </is>
      </c>
      <c r="B75" s="27" t="inlineStr">
        <is>
          <t>Customer profitability and economic profit</t>
        </is>
      </c>
      <c r="C75" s="27" t="inlineStr">
        <is>
          <t>Customer renewal decision</t>
        </is>
      </c>
      <c r="D75" s="27" t="inlineStr">
        <is>
          <t>Helix Data Center</t>
        </is>
      </c>
      <c r="E75" s="27" t="inlineStr">
        <is>
          <t>FY27</t>
        </is>
      </c>
      <c r="F75" s="27" t="inlineStr">
        <is>
          <t>Management stretch</t>
        </is>
      </c>
      <c r="G75" s="27" t="inlineStr">
        <is>
          <t>Retention investment</t>
        </is>
      </c>
      <c r="H75" s="46" t="n">
        <v>220500</v>
      </c>
      <c r="I75" s="27" t="inlineStr"/>
      <c r="J75" s="27" t="inlineStr">
        <is>
          <t>USD</t>
        </is>
      </c>
      <c r="K75" s="27" t="inlineStr">
        <is>
          <t>Earlier management working export</t>
        </is>
      </c>
      <c r="L75" s="47" t="inlineStr">
        <is>
          <t>2026-06-24</t>
        </is>
      </c>
      <c r="M75" s="27" t="inlineStr"/>
    </row>
  </sheetData>
  <autoFilter ref="A4:M75"/>
  <mergeCells count="2">
    <mergeCell ref="A2:M2"/>
    <mergeCell ref="A1:M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5" customWidth="1" min="1" max="1"/>
    <col width="34" customWidth="1" min="2" max="2"/>
    <col width="27" customWidth="1" min="3" max="3"/>
    <col width="24" customWidth="1" min="4" max="4"/>
    <col width="18" customWidth="1" min="5" max="5"/>
    <col width="18" customWidth="1" min="6" max="6"/>
    <col width="34" customWidth="1" min="7" max="7"/>
    <col width="16" customWidth="1" min="8" max="8"/>
    <col width="27" customWidth="1" min="9" max="9"/>
    <col width="15" customWidth="1" min="10" max="10"/>
    <col width="34" customWidth="1" min="11" max="11"/>
    <col width="14" customWidth="1" min="12" max="12"/>
    <col width="42" customWidth="1" min="13" max="13"/>
  </cols>
  <sheetData>
    <row r="1" ht="25" customHeight="1">
      <c r="A1" s="9" t="inlineStr">
        <is>
          <t>FY27 operating plan | Working Capital</t>
        </is>
      </c>
    </row>
    <row r="2" ht="25" customHeight="1">
      <c r="A2" s="11" t="inlineStr">
        <is>
          <t>PRIOR REVIEW COPY - retained for change history; not controller tied</t>
        </is>
      </c>
    </row>
    <row r="4" ht="30" customHeight="1">
      <c r="A4" s="20" t="inlineStr">
        <is>
          <t>source_ref</t>
        </is>
      </c>
      <c r="B4" s="21" t="inlineStr">
        <is>
          <t>workstream</t>
        </is>
      </c>
      <c r="C4" s="21" t="inlineStr">
        <is>
          <t>schedule</t>
        </is>
      </c>
      <c r="D4" s="21" t="inlineStr">
        <is>
          <t>entity_or_item</t>
        </is>
      </c>
      <c r="E4" s="21" t="inlineStr">
        <is>
          <t>period_or_as_of</t>
        </is>
      </c>
      <c r="F4" s="21" t="inlineStr">
        <is>
          <t>case</t>
        </is>
      </c>
      <c r="G4" s="21" t="inlineStr">
        <is>
          <t>metric_or_driver</t>
        </is>
      </c>
      <c r="H4" s="21" t="inlineStr">
        <is>
          <t>numeric_value</t>
        </is>
      </c>
      <c r="I4" s="21" t="inlineStr">
        <is>
          <t>text_or_decision</t>
        </is>
      </c>
      <c r="J4" s="21" t="inlineStr">
        <is>
          <t>units</t>
        </is>
      </c>
      <c r="K4" s="21" t="inlineStr">
        <is>
          <t>source_or_owner</t>
        </is>
      </c>
      <c r="L4" s="21" t="inlineStr">
        <is>
          <t>source_date</t>
        </is>
      </c>
      <c r="M4" s="22" t="inlineStr">
        <is>
          <t>system_tie</t>
        </is>
      </c>
    </row>
    <row r="5">
      <c r="A5" s="36" t="inlineStr">
        <is>
          <t>PLN-00785</t>
        </is>
      </c>
      <c r="B5" s="27" t="inlineStr">
        <is>
          <t>Cash-conversion and working-capital forecast</t>
        </is>
      </c>
      <c r="C5" s="27" t="inlineStr">
        <is>
          <t>Working-capital drivers</t>
        </is>
      </c>
      <c r="D5" s="27" t="inlineStr">
        <is>
          <t>Construction</t>
        </is>
      </c>
      <c r="E5" s="27" t="inlineStr">
        <is>
          <t>2026-05 working copy</t>
        </is>
      </c>
      <c r="F5" s="27" t="inlineStr">
        <is>
          <t>Approved case</t>
        </is>
      </c>
      <c r="G5" s="27" t="inlineStr">
        <is>
          <t>FY27 revenue growth</t>
        </is>
      </c>
      <c r="H5" s="46" t="n">
        <v>0.07210000000000001</v>
      </c>
      <c r="I5" s="27" t="inlineStr"/>
      <c r="J5" s="27" t="inlineStr">
        <is>
          <t>decimal ratio</t>
        </is>
      </c>
      <c r="K5" s="27" t="inlineStr">
        <is>
          <t>Earlier management working export</t>
        </is>
      </c>
      <c r="L5" s="47" t="inlineStr">
        <is>
          <t>2026-06-24</t>
        </is>
      </c>
      <c r="M5" s="27" t="inlineStr"/>
    </row>
    <row r="6">
      <c r="A6" s="36" t="inlineStr">
        <is>
          <t>PLN-00786</t>
        </is>
      </c>
      <c r="B6" s="27" t="inlineStr">
        <is>
          <t>Cash-conversion and working-capital forecast</t>
        </is>
      </c>
      <c r="C6" s="27" t="inlineStr">
        <is>
          <t>Working-capital drivers</t>
        </is>
      </c>
      <c r="D6" s="27" t="inlineStr">
        <is>
          <t>Service</t>
        </is>
      </c>
      <c r="E6" s="27" t="inlineStr">
        <is>
          <t>FY27</t>
        </is>
      </c>
      <c r="F6" s="27" t="inlineStr">
        <is>
          <t>Management stretch</t>
        </is>
      </c>
      <c r="G6" s="27" t="inlineStr">
        <is>
          <t>FY27 revenue growth</t>
        </is>
      </c>
      <c r="H6" s="46" t="n">
        <v>0.0988</v>
      </c>
      <c r="I6" s="27" t="inlineStr"/>
      <c r="J6" s="27" t="inlineStr">
        <is>
          <t>decimal ratio</t>
        </is>
      </c>
      <c r="K6" s="27" t="inlineStr">
        <is>
          <t>Earlier management working export</t>
        </is>
      </c>
      <c r="L6" s="47" t="inlineStr">
        <is>
          <t>2026-06-24</t>
        </is>
      </c>
      <c r="M6" s="27" t="inlineStr"/>
    </row>
    <row r="7">
      <c r="A7" s="36" t="inlineStr">
        <is>
          <t>PLN-00787</t>
        </is>
      </c>
      <c r="B7" s="27" t="inlineStr">
        <is>
          <t>Cash-conversion and working-capital forecast</t>
        </is>
      </c>
      <c r="C7" s="27" t="inlineStr">
        <is>
          <t>Working-capital drivers</t>
        </is>
      </c>
      <c r="D7" s="27" t="inlineStr">
        <is>
          <t>Controls</t>
        </is>
      </c>
      <c r="E7" s="27" t="inlineStr">
        <is>
          <t>2026-05 working copy</t>
        </is>
      </c>
      <c r="F7" s="27" t="inlineStr">
        <is>
          <t>Approved case</t>
        </is>
      </c>
      <c r="G7" s="27" t="inlineStr">
        <is>
          <t>FY27 revenue growth</t>
        </is>
      </c>
      <c r="H7" s="46" t="n">
        <v>0.13125</v>
      </c>
      <c r="I7" s="27" t="inlineStr"/>
      <c r="J7" s="27" t="inlineStr">
        <is>
          <t>decimal ratio</t>
        </is>
      </c>
      <c r="K7" s="27" t="inlineStr">
        <is>
          <t>Earlier management working export</t>
        </is>
      </c>
      <c r="L7" s="47" t="inlineStr">
        <is>
          <t>2026-06-24</t>
        </is>
      </c>
      <c r="M7" s="27" t="inlineStr"/>
    </row>
    <row r="8">
      <c r="A8" s="36" t="inlineStr">
        <is>
          <t>PLN-00788</t>
        </is>
      </c>
      <c r="B8" s="27" t="inlineStr">
        <is>
          <t>Cash-conversion and working-capital forecast</t>
        </is>
      </c>
      <c r="C8" s="27" t="inlineStr">
        <is>
          <t>Opening working capital</t>
        </is>
      </c>
      <c r="D8" s="27" t="inlineStr">
        <is>
          <t>Inventory</t>
        </is>
      </c>
      <c r="E8" s="27" t="inlineStr">
        <is>
          <t>2026-06-30</t>
        </is>
      </c>
      <c r="F8" s="27" t="inlineStr">
        <is>
          <t>Management stretch</t>
        </is>
      </c>
      <c r="G8" s="27" t="inlineStr">
        <is>
          <t>Posted open balance</t>
        </is>
      </c>
      <c r="H8" s="46" t="n">
        <v>1215400</v>
      </c>
      <c r="I8" s="27" t="inlineStr"/>
      <c r="J8" s="27" t="inlineStr">
        <is>
          <t>USD</t>
        </is>
      </c>
      <c r="K8" s="27" t="inlineStr">
        <is>
          <t>Earlier management working export</t>
        </is>
      </c>
      <c r="L8" s="47" t="inlineStr">
        <is>
          <t>2026-06-24</t>
        </is>
      </c>
      <c r="M8" s="27" t="inlineStr"/>
    </row>
    <row r="9">
      <c r="A9" s="36" t="inlineStr">
        <is>
          <t>PLN-00789</t>
        </is>
      </c>
      <c r="B9" s="27" t="inlineStr">
        <is>
          <t>Cash-conversion and working-capital forecast</t>
        </is>
      </c>
      <c r="C9" s="27" t="inlineStr">
        <is>
          <t>Working-capital drivers</t>
        </is>
      </c>
      <c r="D9" s="27" t="inlineStr">
        <is>
          <t>Construction</t>
        </is>
      </c>
      <c r="E9" s="27" t="inlineStr">
        <is>
          <t>2026-05 working copy</t>
        </is>
      </c>
      <c r="F9" s="27" t="inlineStr">
        <is>
          <t>Approved case</t>
        </is>
      </c>
      <c r="G9" s="27" t="inlineStr">
        <is>
          <t>Inventory days on cost</t>
        </is>
      </c>
      <c r="H9" s="46" t="n">
        <v>4.16</v>
      </c>
      <c r="I9" s="27" t="inlineStr"/>
      <c r="J9" s="27" t="inlineStr">
        <is>
          <t>days</t>
        </is>
      </c>
      <c r="K9" s="27" t="inlineStr">
        <is>
          <t>Earlier management working export</t>
        </is>
      </c>
      <c r="L9" s="47" t="inlineStr">
        <is>
          <t>2026-06-24</t>
        </is>
      </c>
      <c r="M9" s="27" t="inlineStr"/>
    </row>
    <row r="10">
      <c r="A10" s="36" t="inlineStr">
        <is>
          <t>PLN-00790</t>
        </is>
      </c>
      <c r="B10" s="27" t="inlineStr">
        <is>
          <t>Cash-conversion and working-capital forecast</t>
        </is>
      </c>
      <c r="C10" s="27" t="inlineStr">
        <is>
          <t>Working-capital drivers</t>
        </is>
      </c>
      <c r="D10" s="27" t="inlineStr">
        <is>
          <t>Service</t>
        </is>
      </c>
      <c r="E10" s="27" t="inlineStr">
        <is>
          <t>FY27</t>
        </is>
      </c>
      <c r="F10" s="27" t="inlineStr">
        <is>
          <t>Management stretch</t>
        </is>
      </c>
      <c r="G10" s="27" t="inlineStr">
        <is>
          <t>Inventory days on cost</t>
        </is>
      </c>
      <c r="H10" s="46" t="n">
        <v>12.6</v>
      </c>
      <c r="I10" s="27" t="inlineStr"/>
      <c r="J10" s="27" t="inlineStr">
        <is>
          <t>days</t>
        </is>
      </c>
      <c r="K10" s="27" t="inlineStr">
        <is>
          <t>Earlier management working export</t>
        </is>
      </c>
      <c r="L10" s="47" t="inlineStr">
        <is>
          <t>2026-06-24</t>
        </is>
      </c>
      <c r="M10" s="27" t="inlineStr"/>
    </row>
    <row r="11">
      <c r="A11" s="36" t="inlineStr">
        <is>
          <t>PLN-00791</t>
        </is>
      </c>
      <c r="B11" s="27" t="inlineStr">
        <is>
          <t>Cash-conversion and working-capital forecast</t>
        </is>
      </c>
      <c r="C11" s="27" t="inlineStr">
        <is>
          <t>Working-capital drivers</t>
        </is>
      </c>
      <c r="D11" s="27" t="inlineStr">
        <is>
          <t>Controls</t>
        </is>
      </c>
      <c r="E11" s="27" t="inlineStr">
        <is>
          <t>2026-05 working copy</t>
        </is>
      </c>
      <c r="F11" s="27" t="inlineStr">
        <is>
          <t>Approved case</t>
        </is>
      </c>
      <c r="G11" s="27" t="inlineStr">
        <is>
          <t>Inventory days on cost</t>
        </is>
      </c>
      <c r="H11" s="46" t="n">
        <v>7.21</v>
      </c>
      <c r="I11" s="27" t="inlineStr"/>
      <c r="J11" s="27" t="inlineStr">
        <is>
          <t>days</t>
        </is>
      </c>
      <c r="K11" s="27" t="inlineStr">
        <is>
          <t>Earlier management working export</t>
        </is>
      </c>
      <c r="L11" s="47" t="inlineStr">
        <is>
          <t>2026-06-24</t>
        </is>
      </c>
      <c r="M11" s="27" t="inlineStr"/>
    </row>
    <row r="12">
      <c r="A12" s="36" t="inlineStr">
        <is>
          <t>PLN-00792</t>
        </is>
      </c>
      <c r="B12" s="27" t="inlineStr">
        <is>
          <t>Cash-conversion and working-capital forecast</t>
        </is>
      </c>
      <c r="C12" s="27" t="inlineStr">
        <is>
          <t>Cash conversion</t>
        </is>
      </c>
      <c r="D12" s="27" t="inlineStr">
        <is>
          <t>Consolidated</t>
        </is>
      </c>
      <c r="E12" s="27" t="inlineStr">
        <is>
          <t>FY27</t>
        </is>
      </c>
      <c r="F12" s="27" t="inlineStr">
        <is>
          <t>Management stretch</t>
        </is>
      </c>
      <c r="G12" s="27" t="inlineStr">
        <is>
          <t>Cash tax rate on EBITDA</t>
        </is>
      </c>
      <c r="H12" s="46" t="n">
        <v>0.1768</v>
      </c>
      <c r="I12" s="27" t="inlineStr"/>
      <c r="J12" s="27" t="inlineStr">
        <is>
          <t>decimal ratio</t>
        </is>
      </c>
      <c r="K12" s="27" t="inlineStr">
        <is>
          <t>Earlier management working export</t>
        </is>
      </c>
      <c r="L12" s="47" t="inlineStr">
        <is>
          <t>2026-06-24</t>
        </is>
      </c>
      <c r="M12" s="27" t="inlineStr"/>
    </row>
    <row r="13">
      <c r="A13" s="36" t="inlineStr">
        <is>
          <t>PLN-00793</t>
        </is>
      </c>
      <c r="B13" s="27" t="inlineStr">
        <is>
          <t>Cash-conversion and working-capital forecast</t>
        </is>
      </c>
      <c r="C13" s="27" t="inlineStr">
        <is>
          <t>Working-capital drivers</t>
        </is>
      </c>
      <c r="D13" s="27" t="inlineStr">
        <is>
          <t>Construction</t>
        </is>
      </c>
      <c r="E13" s="27" t="inlineStr">
        <is>
          <t>2026-05 working copy</t>
        </is>
      </c>
      <c r="F13" s="27" t="inlineStr">
        <is>
          <t>Approved case</t>
        </is>
      </c>
      <c r="G13" s="27" t="inlineStr">
        <is>
          <t>Customer deposits percent of revenue</t>
        </is>
      </c>
      <c r="H13" s="46" t="n">
        <v>0.0126</v>
      </c>
      <c r="I13" s="27" t="inlineStr"/>
      <c r="J13" s="27" t="inlineStr">
        <is>
          <t>decimal ratio</t>
        </is>
      </c>
      <c r="K13" s="27" t="inlineStr">
        <is>
          <t>Earlier management working export</t>
        </is>
      </c>
      <c r="L13" s="47" t="inlineStr">
        <is>
          <t>2026-06-24</t>
        </is>
      </c>
      <c r="M13" s="27" t="inlineStr"/>
    </row>
    <row r="14">
      <c r="A14" s="36" t="inlineStr">
        <is>
          <t>PLN-00794</t>
        </is>
      </c>
      <c r="B14" s="27" t="inlineStr">
        <is>
          <t>Cash-conversion and working-capital forecast</t>
        </is>
      </c>
      <c r="C14" s="27" t="inlineStr">
        <is>
          <t>Working-capital drivers</t>
        </is>
      </c>
      <c r="D14" s="27" t="inlineStr">
        <is>
          <t>Service</t>
        </is>
      </c>
      <c r="E14" s="27" t="inlineStr">
        <is>
          <t>FY27</t>
        </is>
      </c>
      <c r="F14" s="27" t="inlineStr">
        <is>
          <t>Management stretch</t>
        </is>
      </c>
      <c r="G14" s="27" t="inlineStr">
        <is>
          <t>Customer deposits percent of revenue</t>
        </is>
      </c>
      <c r="H14" s="46" t="n">
        <v>0.03914</v>
      </c>
      <c r="I14" s="27" t="inlineStr"/>
      <c r="J14" s="27" t="inlineStr">
        <is>
          <t>decimal ratio</t>
        </is>
      </c>
      <c r="K14" s="27" t="inlineStr">
        <is>
          <t>Earlier management working export</t>
        </is>
      </c>
      <c r="L14" s="47" t="inlineStr">
        <is>
          <t>2026-06-24</t>
        </is>
      </c>
      <c r="M14" s="27" t="inlineStr"/>
    </row>
    <row r="15">
      <c r="A15" s="36" t="inlineStr">
        <is>
          <t>PLN-00795</t>
        </is>
      </c>
      <c r="B15" s="27" t="inlineStr">
        <is>
          <t>Cash-conversion and working-capital forecast</t>
        </is>
      </c>
      <c r="C15" s="27" t="inlineStr">
        <is>
          <t>Working-capital drivers</t>
        </is>
      </c>
      <c r="D15" s="27" t="inlineStr">
        <is>
          <t>Controls</t>
        </is>
      </c>
      <c r="E15" s="27" t="inlineStr">
        <is>
          <t>2026-05 working copy</t>
        </is>
      </c>
      <c r="F15" s="27" t="inlineStr">
        <is>
          <t>Approved case</t>
        </is>
      </c>
      <c r="G15" s="27" t="inlineStr">
        <is>
          <t>Customer deposits percent of revenue</t>
        </is>
      </c>
      <c r="H15" s="46" t="n">
        <v>0.0208</v>
      </c>
      <c r="I15" s="27" t="inlineStr"/>
      <c r="J15" s="27" t="inlineStr">
        <is>
          <t>decimal ratio</t>
        </is>
      </c>
      <c r="K15" s="27" t="inlineStr">
        <is>
          <t>Earlier management working export</t>
        </is>
      </c>
      <c r="L15" s="47" t="inlineStr">
        <is>
          <t>2026-06-24</t>
        </is>
      </c>
      <c r="M15" s="27" t="inlineStr"/>
    </row>
    <row r="16">
      <c r="A16" s="36" t="inlineStr">
        <is>
          <t>PLN-00796</t>
        </is>
      </c>
      <c r="B16" s="27" t="inlineStr">
        <is>
          <t>Cash-conversion and working-capital forecast</t>
        </is>
      </c>
      <c r="C16" s="27" t="inlineStr">
        <is>
          <t>Working-capital drivers</t>
        </is>
      </c>
      <c r="D16" s="27" t="inlineStr">
        <is>
          <t>Construction</t>
        </is>
      </c>
      <c r="E16" s="27" t="inlineStr">
        <is>
          <t>FY27</t>
        </is>
      </c>
      <c r="F16" s="27" t="inlineStr">
        <is>
          <t>Management stretch</t>
        </is>
      </c>
      <c r="G16" s="27" t="inlineStr">
        <is>
          <t>Ordinary receivable days</t>
        </is>
      </c>
      <c r="H16" s="46" t="n">
        <v>64.05</v>
      </c>
      <c r="I16" s="27" t="inlineStr"/>
      <c r="J16" s="27" t="inlineStr">
        <is>
          <t>days</t>
        </is>
      </c>
      <c r="K16" s="27" t="inlineStr">
        <is>
          <t>Earlier management working export</t>
        </is>
      </c>
      <c r="L16" s="47" t="inlineStr">
        <is>
          <t>2026-06-24</t>
        </is>
      </c>
      <c r="M16" s="27" t="inlineStr"/>
    </row>
  </sheetData>
  <autoFilter ref="A4:M16"/>
  <mergeCells count="2">
    <mergeCell ref="A2:M2"/>
    <mergeCell ref="A1:M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9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16" customWidth="1" min="3" max="3"/>
    <col width="16" customWidth="1" min="4" max="4"/>
    <col width="16" customWidth="1" min="5" max="5"/>
    <col width="44" customWidth="1" min="6" max="6"/>
  </cols>
  <sheetData>
    <row r="1" ht="25" customHeight="1">
      <c r="A1" s="9" t="inlineStr">
        <is>
          <t>FY27 operating plan | data checks</t>
        </is>
      </c>
    </row>
    <row r="2" ht="25" customHeight="1">
      <c r="A2" s="11" t="inlineStr">
        <is>
          <t>Row-count and version checks; investigate any unexpected change before using the book</t>
        </is>
      </c>
    </row>
    <row r="4" ht="30" customHeight="1">
      <c r="A4" s="20" t="inlineStr">
        <is>
          <t>Data sheet</t>
        </is>
      </c>
      <c r="B4" s="21" t="inlineStr">
        <is>
          <t>Expected rows</t>
        </is>
      </c>
      <c r="C4" s="21" t="inlineStr">
        <is>
          <t>Workbook rows</t>
        </is>
      </c>
      <c r="D4" s="21" t="inlineStr">
        <is>
          <t>Difference</t>
        </is>
      </c>
      <c r="E4" s="21" t="inlineStr">
        <is>
          <t>Status</t>
        </is>
      </c>
      <c r="F4" s="22" t="inlineStr">
        <is>
          <t>Version note</t>
        </is>
      </c>
    </row>
    <row r="5">
      <c r="A5" s="40" t="inlineStr">
        <is>
          <t>Revenue and Service</t>
        </is>
      </c>
      <c r="B5" s="40" t="n">
        <v>70</v>
      </c>
      <c r="C5" s="40">
        <f>COUNTA('Revenue and Service'!$A$5:$A$74)</f>
        <v/>
      </c>
      <c r="D5" s="40">
        <f>C5-B5</f>
        <v/>
      </c>
      <c r="E5" s="43">
        <f>IF(D5=0,"OK","CHECK")</f>
        <v/>
      </c>
      <c r="F5" s="40" t="inlineStr">
        <is>
          <t>PRIOR REVIEW COPY • NOT CURRENT</t>
        </is>
      </c>
    </row>
    <row r="6">
      <c r="A6" s="41" t="inlineStr">
        <is>
          <t>Margin and Accuracy</t>
        </is>
      </c>
      <c r="B6" s="41" t="n">
        <v>47</v>
      </c>
      <c r="C6" s="41">
        <f>COUNTA('Margin and Accuracy'!$A$5:$A$51)</f>
        <v/>
      </c>
      <c r="D6" s="41">
        <f>C6-B6</f>
        <v/>
      </c>
      <c r="E6" s="44">
        <f>IF(D6=0,"OK","CHECK")</f>
        <v/>
      </c>
      <c r="F6" s="41" t="inlineStr">
        <is>
          <t>PRIOR REVIEW COPY • NOT CURRENT</t>
        </is>
      </c>
    </row>
    <row r="7">
      <c r="A7" s="41" t="inlineStr">
        <is>
          <t>Opex and Workforce</t>
        </is>
      </c>
      <c r="B7" s="41" t="n">
        <v>62</v>
      </c>
      <c r="C7" s="41">
        <f>COUNTA('Opex and Workforce'!$A$5:$A$66)</f>
        <v/>
      </c>
      <c r="D7" s="41">
        <f>C7-B7</f>
        <v/>
      </c>
      <c r="E7" s="44">
        <f>IF(D7=0,"OK","CHECK")</f>
        <v/>
      </c>
      <c r="F7" s="41" t="inlineStr">
        <is>
          <t>PRIOR REVIEW COPY • NOT CURRENT</t>
        </is>
      </c>
    </row>
    <row r="8">
      <c r="A8" s="41" t="inlineStr">
        <is>
          <t>Branches and Backlog</t>
        </is>
      </c>
      <c r="B8" s="41" t="n">
        <v>71</v>
      </c>
      <c r="C8" s="41">
        <f>COUNTA('Branches and Backlog'!$A$5:$A$75)</f>
        <v/>
      </c>
      <c r="D8" s="41">
        <f>C8-B8</f>
        <v/>
      </c>
      <c r="E8" s="44">
        <f>IF(D8=0,"OK","CHECK")</f>
        <v/>
      </c>
      <c r="F8" s="41" t="inlineStr">
        <is>
          <t>PRIOR REVIEW COPY • NOT CURRENT</t>
        </is>
      </c>
    </row>
    <row r="9">
      <c r="A9" s="42" t="inlineStr">
        <is>
          <t>Working Capital</t>
        </is>
      </c>
      <c r="B9" s="42" t="n">
        <v>12</v>
      </c>
      <c r="C9" s="42">
        <f>COUNTA('Working Capital'!$A$5:$A$16)</f>
        <v/>
      </c>
      <c r="D9" s="42">
        <f>C9-B9</f>
        <v/>
      </c>
      <c r="E9" s="45">
        <f>IF(D9=0,"OK","CHECK")</f>
        <v/>
      </c>
      <c r="F9" s="42" t="inlineStr">
        <is>
          <t>PRIOR REVIEW COPY • NOT CURRENT</t>
        </is>
      </c>
    </row>
  </sheetData>
  <mergeCells count="2">
    <mergeCell ref="A2:F2"/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2026-08-01T05:21:42Z</dcterms:created>
  <dcterms:modified xmlns:dcterms="http://purl.org/dc/terms/" xmlns:xsi="http://www.w3.org/2001/XMLSchema-instance" xsi:type="dcterms:W3CDTF">2026-08-01T05:21:42Z</dcterms:modified>
</cp:coreProperties>
</file>