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Monthly Plan" sheetId="2" state="visible" r:id="rId2"/>
    <sheet xmlns:r="http://schemas.openxmlformats.org/officeDocument/2006/relationships" name="Department Pla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backlog conv wkng" sheetId="6" state="visible" r:id="rId6"/>
    <sheet xmlns:r="http://schemas.openxmlformats.org/officeDocument/2006/relationships" name="HC plan - old upload" sheetId="7" state="visible" r:id="rId7"/>
    <sheet xmlns:r="http://schemas.openxmlformats.org/officeDocument/2006/relationships" name="v log + loose notes" sheetId="8" state="visible" r:id="rId8"/>
    <sheet xmlns:r="http://schemas.openxmlformats.org/officeDocument/2006/relationships" name="Source Log" sheetId="9" state="visible" r:id="rId9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$#,##0.0,&quot;k&quot;;[Red]($#,##0.0,&quot;k&quot;);-"/>
    <numFmt numFmtId="165" formatCode="0.0%;[Red](0.0%);-"/>
    <numFmt numFmtId="166" formatCode="$#,##0;[Red]($#,##0);-"/>
    <numFmt numFmtId="167" formatCode="yyyy-mm-dd"/>
  </numFmts>
  <fonts count="14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Carlito"/>
      <b val="1"/>
      <color rgb="FF2A4337"/>
      <sz val="11"/>
    </font>
    <font>
      <name val="Carlito"/>
      <b val="1"/>
      <color rgb="FF5A7669"/>
      <sz val="12"/>
    </font>
    <font>
      <name val="Carlito"/>
      <sz val="11"/>
    </font>
    <font>
      <name val="Carlito"/>
      <b val="1"/>
      <color rgb="FFFFFFFF"/>
      <sz val="11"/>
    </font>
    <font>
      <name val="Arial"/>
      <b val="1"/>
      <color rgb="FFFFFFFF"/>
      <sz val="9"/>
    </font>
    <font>
      <name val="Carlito"/>
      <color rgb="FF8B5E3C"/>
      <sz val="11"/>
    </font>
    <font>
      <name val="Carlito"/>
      <b val="1"/>
      <color rgb="FF252321"/>
      <sz val="11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  <font>
      <name val="Arial"/>
      <color rgb="FF252321"/>
      <sz val="9"/>
    </font>
  </fonts>
  <fills count="8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E4ECE7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2" borderId="0" pivotButton="0" quotePrefix="0" xfId="0"/>
    <xf numFmtId="164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4" fontId="5" fillId="0" borderId="0" pivotButton="0" quotePrefix="0" xfId="0"/>
    <xf numFmtId="165" fontId="4" fillId="4" borderId="0" pivotButton="0" quotePrefix="0" xfId="0"/>
    <xf numFmtId="0" fontId="7" fillId="5" borderId="2" applyAlignment="1" pivotButton="0" quotePrefix="0" xfId="0">
      <alignment vertical="center" wrapText="1"/>
    </xf>
    <xf numFmtId="0" fontId="7" fillId="5" borderId="3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166" fontId="8" fillId="0" borderId="0" pivotButton="0" quotePrefix="0" xfId="0"/>
    <xf numFmtId="166" fontId="9" fillId="0" borderId="0" pivotButton="0" quotePrefix="0" xfId="0"/>
    <xf numFmtId="0" fontId="3" fillId="3" borderId="0" pivotButton="0" quotePrefix="0" xfId="0"/>
    <xf numFmtId="166" fontId="3" fillId="3" borderId="0" pivotButton="0" quotePrefix="0" xfId="0"/>
    <xf numFmtId="166" fontId="6" fillId="5" borderId="0" pivotButton="0" quotePrefix="0" xfId="0"/>
    <xf numFmtId="166" fontId="5" fillId="0" borderId="0" pivotButton="0" quotePrefix="0" xfId="0"/>
    <xf numFmtId="165" fontId="8" fillId="0" borderId="0" pivotButton="0" quotePrefix="0" xfId="0"/>
    <xf numFmtId="0" fontId="8" fillId="0" borderId="0" pivotButton="0" quotePrefix="0" xfId="0"/>
    <xf numFmtId="0" fontId="10" fillId="6" borderId="0" applyAlignment="1" pivotButton="0" quotePrefix="0" xfId="0">
      <alignment wrapText="1"/>
    </xf>
    <xf numFmtId="0" fontId="11" fillId="7" borderId="5" applyAlignment="1" pivotButton="0" quotePrefix="0" xfId="0">
      <alignment wrapText="1"/>
    </xf>
    <xf numFmtId="0" fontId="12" fillId="0" borderId="6" applyAlignment="1" pivotButton="0" quotePrefix="0" xfId="0">
      <alignment vertical="center"/>
    </xf>
    <xf numFmtId="166" fontId="12" fillId="0" borderId="6" applyAlignment="1" pivotButton="0" quotePrefix="0" xfId="0">
      <alignment vertical="center"/>
    </xf>
    <xf numFmtId="165" fontId="12" fillId="0" borderId="6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166" fontId="12" fillId="0" borderId="7" applyAlignment="1" pivotButton="0" quotePrefix="0" xfId="0">
      <alignment vertical="center"/>
    </xf>
    <xf numFmtId="165" fontId="12" fillId="0" borderId="7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7" fontId="13" fillId="0" borderId="0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FY26 monthly plan: revenue and profit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Summary'!$D$5:$D$16</f>
            </numRef>
          </cat>
          <val>
            <numRef>
              <f>'Executive Summary'!$E$5:$E$16</f>
            </numRef>
          </val>
        </ser>
        <ser>
          <idx val="1"/>
          <order val="1"/>
          <tx>
            <strRef>
              <f>'Executive Summary'!F4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Summary'!$D$5:$D$16</f>
            </numRef>
          </cat>
          <val>
            <numRef>
              <f>'Executive Summary'!$F$5:$F$16</f>
            </numRef>
          </val>
        </ser>
        <ser>
          <idx val="2"/>
          <order val="2"/>
          <tx>
            <strRef>
              <f>'Executive Summary'!G4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Summary'!$D$5:$D$16</f>
            </numRef>
          </cat>
          <val>
            <numRef>
              <f>'Executive Summary'!$G$5:$G$16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 outlineLevelRow="0"/>
  <cols>
    <col width="25" customWidth="1" min="1" max="1"/>
    <col width="18" customWidth="1" min="2" max="2"/>
    <col width="4" customWidth="1" min="3" max="3"/>
    <col width="20" customWidth="1" min="4" max="4"/>
    <col width="11" customWidth="1" min="5" max="15"/>
  </cols>
  <sheetData>
    <row r="1" ht="23" customHeight="1">
      <c r="A1" s="1" t="inlineStr">
        <is>
          <t>FY2026 Annual Operating Plan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t="23" customHeight="1">
      <c r="A2" s="2" t="inlineStr">
        <is>
          <t>Board approved 2025-12-18 | Base case | $000s except percentages</t>
        </is>
      </c>
    </row>
    <row r="3"/>
    <row r="4">
      <c r="A4" s="3" t="inlineStr">
        <is>
          <t>FY26 Revenue</t>
        </is>
      </c>
      <c r="B4" s="4">
        <f>SUM('Monthly Plan'!B6:M6)</f>
        <v/>
      </c>
      <c r="C4" s="5" t="n"/>
      <c r="D4" s="6" t="inlineStr">
        <is>
          <t>Month</t>
        </is>
      </c>
      <c r="E4" s="6" t="inlineStr">
        <is>
          <t>Revenue</t>
        </is>
      </c>
      <c r="F4" s="6" t="inlineStr">
        <is>
          <t>Gross Profit</t>
        </is>
      </c>
      <c r="G4" s="6" t="inlineStr">
        <is>
          <t>Operating Income</t>
        </is>
      </c>
    </row>
    <row r="5">
      <c r="A5" s="3" t="inlineStr">
        <is>
          <t>Gross Profit</t>
        </is>
      </c>
      <c r="B5" s="4">
        <f>SUM('Monthly Plan'!B8:M8)</f>
        <v/>
      </c>
      <c r="C5" s="5" t="n"/>
      <c r="D5" s="5" t="inlineStr">
        <is>
          <t>2026-01</t>
        </is>
      </c>
      <c r="E5" s="7" t="n">
        <v>3434266.67</v>
      </c>
      <c r="F5" s="7" t="n">
        <v>834526.8</v>
      </c>
      <c r="G5" s="7" t="n">
        <v>268526.8</v>
      </c>
    </row>
    <row r="6">
      <c r="A6" s="3" t="inlineStr">
        <is>
          <t>Gross Margin</t>
        </is>
      </c>
      <c r="B6" s="8">
        <f>B5/B4</f>
        <v/>
      </c>
      <c r="C6" s="5" t="n"/>
      <c r="D6" s="5" t="inlineStr">
        <is>
          <t>2026-02</t>
        </is>
      </c>
      <c r="E6" s="7" t="n">
        <v>3514133.33</v>
      </c>
      <c r="F6" s="7" t="n">
        <v>867990.9300000001</v>
      </c>
      <c r="G6" s="7" t="n">
        <v>301990.93</v>
      </c>
    </row>
    <row r="7">
      <c r="A7" s="3" t="inlineStr">
        <is>
          <t>Operating Expense</t>
        </is>
      </c>
      <c r="B7" s="4">
        <f>SUM('Monthly Plan'!B9:M9)</f>
        <v/>
      </c>
      <c r="C7" s="5" t="n"/>
      <c r="D7" s="5" t="inlineStr">
        <is>
          <t>2026-03</t>
        </is>
      </c>
      <c r="E7" s="7" t="n">
        <v>3753733.33</v>
      </c>
      <c r="F7" s="7" t="n">
        <v>949694.53</v>
      </c>
      <c r="G7" s="7" t="n">
        <v>341694.53</v>
      </c>
    </row>
    <row r="8">
      <c r="A8" s="3" t="inlineStr">
        <is>
          <t>Operating Income</t>
        </is>
      </c>
      <c r="B8" s="4">
        <f>SUM('Monthly Plan'!B10:M10)</f>
        <v/>
      </c>
      <c r="C8" s="5" t="n"/>
      <c r="D8" s="5" t="inlineStr">
        <is>
          <t>2026-04</t>
        </is>
      </c>
      <c r="E8" s="7" t="n">
        <v>3913466.67</v>
      </c>
      <c r="F8" s="7" t="n">
        <v>990107.0699999999</v>
      </c>
      <c r="G8" s="7" t="n">
        <v>424107.07</v>
      </c>
    </row>
    <row r="9">
      <c r="A9" s="3" t="inlineStr">
        <is>
          <t>Operating Margin</t>
        </is>
      </c>
      <c r="B9" s="8">
        <f>B8/B4</f>
        <v/>
      </c>
      <c r="C9" s="5" t="n"/>
      <c r="D9" s="5" t="inlineStr">
        <is>
          <t>2026-05</t>
        </is>
      </c>
      <c r="E9" s="7" t="n">
        <v>4153066.67</v>
      </c>
      <c r="F9" s="7" t="n">
        <v>1025807.47</v>
      </c>
      <c r="G9" s="7" t="n">
        <v>459807.47</v>
      </c>
    </row>
    <row r="10">
      <c r="A10" s="5" t="n"/>
      <c r="B10" s="5" t="n"/>
      <c r="C10" s="5" t="n"/>
      <c r="D10" s="5" t="inlineStr">
        <is>
          <t>2026-06</t>
        </is>
      </c>
      <c r="E10" s="7" t="n">
        <v>4312800</v>
      </c>
      <c r="F10" s="7" t="n">
        <v>1065261.6</v>
      </c>
      <c r="G10" s="7" t="n">
        <v>499261.6</v>
      </c>
    </row>
    <row r="11">
      <c r="A11" s="5" t="n"/>
      <c r="B11" s="5" t="n"/>
      <c r="C11" s="5" t="n"/>
      <c r="D11" s="5" t="inlineStr">
        <is>
          <t>2026-07</t>
        </is>
      </c>
      <c r="E11" s="7" t="n">
        <v>4432600</v>
      </c>
      <c r="F11" s="7" t="n">
        <v>1094852.2</v>
      </c>
      <c r="G11" s="7" t="n">
        <v>518664.2</v>
      </c>
    </row>
    <row r="12">
      <c r="A12" s="5" t="n"/>
      <c r="B12" s="5" t="n"/>
      <c r="C12" s="5" t="n"/>
      <c r="D12" s="5" t="inlineStr">
        <is>
          <t>2026-08</t>
        </is>
      </c>
      <c r="E12" s="7" t="n">
        <v>4392666.67</v>
      </c>
      <c r="F12" s="7" t="n">
        <v>1084988.67</v>
      </c>
      <c r="G12" s="7" t="n">
        <v>466800.67</v>
      </c>
    </row>
    <row r="13">
      <c r="A13" s="5" t="n"/>
      <c r="B13" s="5" t="n"/>
      <c r="C13" s="5" t="n"/>
      <c r="D13" s="5" t="inlineStr">
        <is>
          <t>2026-09</t>
        </is>
      </c>
      <c r="E13" s="7" t="n">
        <v>4193000</v>
      </c>
      <c r="F13" s="7" t="n">
        <v>1060829</v>
      </c>
      <c r="G13" s="7" t="n">
        <v>484641</v>
      </c>
    </row>
    <row r="14">
      <c r="A14" s="5" t="n"/>
      <c r="B14" s="5" t="n"/>
      <c r="C14" s="5" t="n"/>
      <c r="D14" s="5" t="inlineStr">
        <is>
          <t>2026-10</t>
        </is>
      </c>
      <c r="E14" s="7" t="n">
        <v>4073200</v>
      </c>
      <c r="F14" s="7" t="n">
        <v>1030519.6</v>
      </c>
      <c r="G14" s="7" t="n">
        <v>454331.6</v>
      </c>
    </row>
    <row r="15">
      <c r="A15" s="5" t="n"/>
      <c r="B15" s="5" t="n"/>
      <c r="C15" s="5" t="n"/>
      <c r="D15" s="5" t="inlineStr">
        <is>
          <t>2026-11</t>
        </is>
      </c>
      <c r="E15" s="7" t="n">
        <v>3913466.67</v>
      </c>
      <c r="F15" s="7" t="n">
        <v>966626.27</v>
      </c>
      <c r="G15" s="7" t="n">
        <v>390438.27</v>
      </c>
    </row>
    <row r="16">
      <c r="A16" s="5" t="n"/>
      <c r="B16" s="5" t="n"/>
      <c r="C16" s="5" t="n"/>
      <c r="D16" s="5" t="inlineStr">
        <is>
          <t>2026-12</t>
        </is>
      </c>
      <c r="E16" s="7" t="n">
        <v>3833599.99</v>
      </c>
      <c r="F16" s="7" t="n">
        <v>931564.8</v>
      </c>
      <c r="G16" s="7" t="n">
        <v>355376.8</v>
      </c>
    </row>
  </sheetData>
  <mergeCells count="2">
    <mergeCell ref="A2:N2"/>
    <mergeCell ref="A1:N1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 outlineLevelRow="0"/>
  <cols>
    <col width="27" customWidth="1" min="1" max="1"/>
    <col width="13" customWidth="1" min="2" max="13"/>
    <col width="16" customWidth="1" min="14" max="14"/>
  </cols>
  <sheetData>
    <row r="1" ht="23" customHeight="1">
      <c r="A1" s="1" t="inlineStr">
        <is>
          <t>FY2026 Monthly Plan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t="23" customHeight="1">
      <c r="A2" s="2" t="inlineStr">
        <is>
          <t>Actual results should not be pasted into this approved budget tab</t>
        </is>
      </c>
    </row>
    <row r="3"/>
    <row r="4"/>
    <row r="5" ht="30" customHeight="1">
      <c r="A5" s="9" t="inlineStr">
        <is>
          <t>P&amp;L Line</t>
        </is>
      </c>
      <c r="B5" s="10" t="inlineStr">
        <is>
          <t>2026-01</t>
        </is>
      </c>
      <c r="C5" s="10" t="inlineStr">
        <is>
          <t>2026-02</t>
        </is>
      </c>
      <c r="D5" s="10" t="inlineStr">
        <is>
          <t>2026-03</t>
        </is>
      </c>
      <c r="E5" s="10" t="inlineStr">
        <is>
          <t>2026-04</t>
        </is>
      </c>
      <c r="F5" s="10" t="inlineStr">
        <is>
          <t>2026-05</t>
        </is>
      </c>
      <c r="G5" s="10" t="inlineStr">
        <is>
          <t>2026-06</t>
        </is>
      </c>
      <c r="H5" s="10" t="inlineStr">
        <is>
          <t>2026-07</t>
        </is>
      </c>
      <c r="I5" s="10" t="inlineStr">
        <is>
          <t>2026-08</t>
        </is>
      </c>
      <c r="J5" s="10" t="inlineStr">
        <is>
          <t>2026-09</t>
        </is>
      </c>
      <c r="K5" s="10" t="inlineStr">
        <is>
          <t>2026-10</t>
        </is>
      </c>
      <c r="L5" s="10" t="inlineStr">
        <is>
          <t>2026-11</t>
        </is>
      </c>
      <c r="M5" s="10" t="inlineStr">
        <is>
          <t>2026-12</t>
        </is>
      </c>
      <c r="N5" s="11" t="inlineStr">
        <is>
          <t>FY26</t>
        </is>
      </c>
    </row>
    <row r="6">
      <c r="A6" s="5" t="inlineStr">
        <is>
          <t>Revenue</t>
        </is>
      </c>
      <c r="B6" s="12" t="n">
        <v>3434266.67</v>
      </c>
      <c r="C6" s="12" t="n">
        <v>3514133.33</v>
      </c>
      <c r="D6" s="12" t="n">
        <v>3753733.33</v>
      </c>
      <c r="E6" s="12" t="n">
        <v>3913466.67</v>
      </c>
      <c r="F6" s="12" t="n">
        <v>4153066.67</v>
      </c>
      <c r="G6" s="12" t="n">
        <v>4312800</v>
      </c>
      <c r="H6" s="12" t="n">
        <v>4432600</v>
      </c>
      <c r="I6" s="12" t="n">
        <v>4392666.67</v>
      </c>
      <c r="J6" s="12" t="n">
        <v>4193000</v>
      </c>
      <c r="K6" s="12" t="n">
        <v>4073200</v>
      </c>
      <c r="L6" s="12" t="n">
        <v>3913466.67</v>
      </c>
      <c r="M6" s="12" t="n">
        <v>3833599.99</v>
      </c>
      <c r="N6" s="13">
        <f>SUM(B6:M6)</f>
        <v/>
      </c>
    </row>
    <row r="7">
      <c r="A7" s="5" t="inlineStr">
        <is>
          <t>Cost of Revenue</t>
        </is>
      </c>
      <c r="B7" s="12" t="n">
        <v>2599739.87</v>
      </c>
      <c r="C7" s="12" t="n">
        <v>2646142.4</v>
      </c>
      <c r="D7" s="12" t="n">
        <v>2804038.8</v>
      </c>
      <c r="E7" s="12" t="n">
        <v>2923359.6</v>
      </c>
      <c r="F7" s="12" t="n">
        <v>3127259.2</v>
      </c>
      <c r="G7" s="12" t="n">
        <v>3247538.4</v>
      </c>
      <c r="H7" s="12" t="n">
        <v>3337747.8</v>
      </c>
      <c r="I7" s="12" t="n">
        <v>3307678</v>
      </c>
      <c r="J7" s="12" t="n">
        <v>3132171</v>
      </c>
      <c r="K7" s="12" t="n">
        <v>3042680.4</v>
      </c>
      <c r="L7" s="12" t="n">
        <v>2946840.4</v>
      </c>
      <c r="M7" s="12" t="n">
        <v>2902035.19</v>
      </c>
      <c r="N7" s="13">
        <f>SUM(B7:M7)</f>
        <v/>
      </c>
    </row>
    <row r="8">
      <c r="A8" s="14" t="inlineStr">
        <is>
          <t>Gross Profit</t>
        </is>
      </c>
      <c r="B8" s="15" t="n">
        <v>834526.8</v>
      </c>
      <c r="C8" s="15" t="n">
        <v>867990.9300000001</v>
      </c>
      <c r="D8" s="15" t="n">
        <v>949694.53</v>
      </c>
      <c r="E8" s="15" t="n">
        <v>990107.0699999999</v>
      </c>
      <c r="F8" s="15" t="n">
        <v>1025807.47</v>
      </c>
      <c r="G8" s="15" t="n">
        <v>1065261.6</v>
      </c>
      <c r="H8" s="15" t="n">
        <v>1094852.2</v>
      </c>
      <c r="I8" s="15" t="n">
        <v>1084988.67</v>
      </c>
      <c r="J8" s="15" t="n">
        <v>1060829</v>
      </c>
      <c r="K8" s="15" t="n">
        <v>1030519.6</v>
      </c>
      <c r="L8" s="15" t="n">
        <v>966626.27</v>
      </c>
      <c r="M8" s="15" t="n">
        <v>931564.8</v>
      </c>
      <c r="N8" s="15">
        <f>SUM(B8:M8)</f>
        <v/>
      </c>
    </row>
    <row r="9">
      <c r="A9" s="5" t="inlineStr">
        <is>
          <t>Operating Expense</t>
        </is>
      </c>
      <c r="B9" s="12" t="n">
        <v>566000</v>
      </c>
      <c r="C9" s="12" t="n">
        <v>566000</v>
      </c>
      <c r="D9" s="12" t="n">
        <v>608000</v>
      </c>
      <c r="E9" s="12" t="n">
        <v>566000</v>
      </c>
      <c r="F9" s="12" t="n">
        <v>566000</v>
      </c>
      <c r="G9" s="12" t="n">
        <v>566000</v>
      </c>
      <c r="H9" s="12" t="n">
        <v>576188</v>
      </c>
      <c r="I9" s="12" t="n">
        <v>618188</v>
      </c>
      <c r="J9" s="12" t="n">
        <v>576188</v>
      </c>
      <c r="K9" s="12" t="n">
        <v>576188</v>
      </c>
      <c r="L9" s="12" t="n">
        <v>576188</v>
      </c>
      <c r="M9" s="12" t="n">
        <v>576188</v>
      </c>
      <c r="N9" s="13">
        <f>SUM(B9:M9)</f>
        <v/>
      </c>
    </row>
    <row r="10">
      <c r="A10" s="6" t="inlineStr">
        <is>
          <t>Operating Income</t>
        </is>
      </c>
      <c r="B10" s="16" t="n">
        <v>268526.8</v>
      </c>
      <c r="C10" s="16" t="n">
        <v>301990.93</v>
      </c>
      <c r="D10" s="16" t="n">
        <v>341694.53</v>
      </c>
      <c r="E10" s="16" t="n">
        <v>424107.07</v>
      </c>
      <c r="F10" s="16" t="n">
        <v>459807.47</v>
      </c>
      <c r="G10" s="16" t="n">
        <v>499261.6</v>
      </c>
      <c r="H10" s="16" t="n">
        <v>518664.2</v>
      </c>
      <c r="I10" s="16" t="n">
        <v>466800.67</v>
      </c>
      <c r="J10" s="16" t="n">
        <v>484641</v>
      </c>
      <c r="K10" s="16" t="n">
        <v>454331.6</v>
      </c>
      <c r="L10" s="16" t="n">
        <v>390438.27</v>
      </c>
      <c r="M10" s="16" t="n">
        <v>355376.8</v>
      </c>
      <c r="N10" s="16">
        <f>SUM(B10:M10)</f>
        <v/>
      </c>
    </row>
  </sheetData>
  <mergeCells count="2">
    <mergeCell ref="A2:N2"/>
    <mergeCell ref="A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17" customWidth="1" min="2" max="3"/>
    <col width="20" customWidth="1" min="4" max="4"/>
    <col width="22" customWidth="1" min="5" max="5"/>
    <col width="66" customWidth="1" min="6" max="6"/>
  </cols>
  <sheetData>
    <row r="1" ht="23" customHeight="1">
      <c r="A1" s="1" t="inlineStr">
        <is>
          <t>FY2026 Department Plan</t>
        </is>
      </c>
      <c r="B1" s="30" t="n"/>
      <c r="C1" s="30" t="n"/>
      <c r="D1" s="30" t="n"/>
      <c r="E1" s="30" t="n"/>
      <c r="F1" s="30" t="n"/>
    </row>
    <row r="2" ht="23" customHeight="1">
      <c r="A2" s="2" t="inlineStr">
        <is>
          <t>Responsibility-center view | $000s</t>
        </is>
      </c>
    </row>
    <row r="3"/>
    <row r="4"/>
    <row r="5" ht="30" customHeight="1">
      <c r="A5" s="9" t="inlineStr">
        <is>
          <t>Department</t>
        </is>
      </c>
      <c r="B5" s="10" t="inlineStr">
        <is>
          <t>Revenue</t>
        </is>
      </c>
      <c r="C5" s="10" t="inlineStr">
        <is>
          <t>Gross Profit</t>
        </is>
      </c>
      <c r="D5" s="10" t="inlineStr">
        <is>
          <t>Direct / Dept Opex</t>
        </is>
      </c>
      <c r="E5" s="10" t="inlineStr">
        <is>
          <t>Operating Contribution</t>
        </is>
      </c>
      <c r="F5" s="11" t="inlineStr">
        <is>
          <t>Primary FY26 Driver</t>
        </is>
      </c>
    </row>
    <row r="6">
      <c r="A6" s="5" t="inlineStr">
        <is>
          <t>Construction - Portland</t>
        </is>
      </c>
      <c r="B6" s="12" t="n">
        <v>25876800</v>
      </c>
      <c r="C6" s="12" t="n">
        <v>5563512</v>
      </c>
      <c r="D6" s="12" t="n">
        <v>2160000</v>
      </c>
      <c r="E6" s="17">
        <f>C6-D6</f>
        <v/>
      </c>
      <c r="F6" s="5" t="inlineStr">
        <is>
          <t>Convert $38m opening backlog while containing field-overtime leakage</t>
        </is>
      </c>
    </row>
    <row r="7">
      <c r="A7" s="5" t="inlineStr">
        <is>
          <t>Construction - Central Oregon</t>
        </is>
      </c>
      <c r="B7" s="12" t="n">
        <v>7667200</v>
      </c>
      <c r="C7" s="12" t="n">
        <v>1778790</v>
      </c>
      <c r="D7" s="12" t="n">
        <v>760000</v>
      </c>
      <c r="E7" s="17">
        <f>C7-D7</f>
        <v/>
      </c>
      <c r="F7" s="5" t="inlineStr">
        <is>
          <t>School and public-work backlog with summer labor concentration</t>
        </is>
      </c>
    </row>
    <row r="8">
      <c r="A8" s="5" t="inlineStr">
        <is>
          <t>Service</t>
        </is>
      </c>
      <c r="B8" s="12" t="n">
        <v>8625600</v>
      </c>
      <c r="C8" s="12" t="n">
        <v>3407112</v>
      </c>
      <c r="D8" s="12" t="n">
        <v>2080000</v>
      </c>
      <c r="E8" s="17">
        <f>C8-D8</f>
        <v/>
      </c>
      <c r="F8" s="5" t="inlineStr">
        <is>
          <t>Maintenance agreement renewal and technician utilization</t>
        </is>
      </c>
    </row>
    <row r="9">
      <c r="A9" s="5" t="inlineStr">
        <is>
          <t>Building Controls</t>
        </is>
      </c>
      <c r="B9" s="12" t="n">
        <v>5750400</v>
      </c>
      <c r="C9" s="12" t="n">
        <v>2098896</v>
      </c>
      <c r="D9" s="12" t="n">
        <v>1240000</v>
      </c>
      <c r="E9" s="17">
        <f>C9-D9</f>
        <v/>
      </c>
      <c r="F9" s="5" t="inlineStr">
        <is>
          <t>PDX controls execution and healthcare retrofit pipeline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20" customWidth="1" min="2" max="2"/>
    <col width="25" customWidth="1" min="3" max="3"/>
    <col width="18" customWidth="1" min="4" max="4"/>
    <col width="22" customWidth="1" min="5" max="5"/>
    <col width="64" customWidth="1" min="6" max="6"/>
  </cols>
  <sheetData>
    <row r="1" ht="23" customHeight="1">
      <c r="A1" s="1" t="inlineStr">
        <is>
          <t>FY2026 Planning Assumptions</t>
        </is>
      </c>
      <c r="B1" s="30" t="n"/>
      <c r="C1" s="30" t="n"/>
      <c r="D1" s="30" t="n"/>
      <c r="E1" s="30" t="n"/>
      <c r="F1" s="30" t="n"/>
    </row>
    <row r="2" ht="23" customHeight="1">
      <c r="A2" s="2" t="inlineStr">
        <is>
          <t>Approved base-case drivers and policy constraints</t>
        </is>
      </c>
    </row>
    <row r="3"/>
    <row r="4"/>
    <row r="5" ht="30" customHeight="1">
      <c r="A5" s="9" t="inlineStr">
        <is>
          <t>Driver</t>
        </is>
      </c>
      <c r="B5" s="10" t="inlineStr">
        <is>
          <t>Value</t>
        </is>
      </c>
      <c r="C5" s="10" t="inlineStr">
        <is>
          <t>Units</t>
        </is>
      </c>
      <c r="D5" s="10" t="inlineStr">
        <is>
          <t>Effective Period</t>
        </is>
      </c>
      <c r="E5" s="10" t="inlineStr">
        <is>
          <t>Owner</t>
        </is>
      </c>
      <c r="F5" s="11" t="inlineStr">
        <is>
          <t>Rationale / Source</t>
        </is>
      </c>
    </row>
    <row r="6">
      <c r="A6" s="5" t="inlineStr">
        <is>
          <t>Construction backlog conversion</t>
        </is>
      </c>
      <c r="B6" s="18" t="n">
        <v>0.64</v>
      </c>
      <c r="C6" s="5" t="inlineStr">
        <is>
          <t>% of 2025-12-31 opening backlog</t>
        </is>
      </c>
      <c r="D6" s="5" t="inlineStr">
        <is>
          <t>FY2026</t>
        </is>
      </c>
      <c r="E6" s="5" t="inlineStr">
        <is>
          <t>SVP Operations</t>
        </is>
      </c>
      <c r="F6" s="5" t="inlineStr">
        <is>
          <t>Project-by-project scheduling review dated 2025-11-21</t>
        </is>
      </c>
    </row>
    <row r="7">
      <c r="A7" s="5" t="inlineStr">
        <is>
          <t>Field wage escalation</t>
        </is>
      </c>
      <c r="B7" s="18" t="n">
        <v>0.0475</v>
      </c>
      <c r="C7" s="5" t="inlineStr">
        <is>
          <t>%</t>
        </is>
      </c>
      <c r="D7" s="5" t="inlineStr">
        <is>
          <t>2026-06 onward</t>
        </is>
      </c>
      <c r="E7" s="5" t="inlineStr">
        <is>
          <t>VP People</t>
        </is>
      </c>
      <c r="F7" s="5" t="inlineStr">
        <is>
          <t>Union agreements and market adjustment</t>
        </is>
      </c>
    </row>
    <row r="8">
      <c r="A8" s="5" t="inlineStr">
        <is>
          <t>Material escalation</t>
        </is>
      </c>
      <c r="B8" s="18" t="n">
        <v>0.032</v>
      </c>
      <c r="C8" s="5" t="inlineStr">
        <is>
          <t>%</t>
        </is>
      </c>
      <c r="D8" s="5" t="inlineStr">
        <is>
          <t>FY2026</t>
        </is>
      </c>
      <c r="E8" s="5" t="inlineStr">
        <is>
          <t>VP Operations</t>
        </is>
      </c>
      <c r="F8" s="5" t="inlineStr">
        <is>
          <t>Released buyout plus quoted commodity basket</t>
        </is>
      </c>
    </row>
    <row r="9">
      <c r="A9" s="5" t="inlineStr">
        <is>
          <t>Service agreement retention</t>
        </is>
      </c>
      <c r="B9" s="18" t="n">
        <v>0.91</v>
      </c>
      <c r="C9" s="5" t="inlineStr">
        <is>
          <t>%</t>
        </is>
      </c>
      <c r="D9" s="5" t="inlineStr">
        <is>
          <t>FY2026</t>
        </is>
      </c>
      <c r="E9" s="5" t="inlineStr">
        <is>
          <t>Service Director</t>
        </is>
      </c>
      <c r="F9" s="5" t="inlineStr">
        <is>
          <t>Cohort renewal analysis</t>
        </is>
      </c>
    </row>
    <row r="10">
      <c r="A10" s="5" t="inlineStr">
        <is>
          <t>Service technician utilization</t>
        </is>
      </c>
      <c r="B10" s="18" t="n">
        <v>0.74</v>
      </c>
      <c r="C10" s="5" t="inlineStr">
        <is>
          <t>% paid hours</t>
        </is>
      </c>
      <c r="D10" s="5" t="inlineStr">
        <is>
          <t>FY2026</t>
        </is>
      </c>
      <c r="E10" s="5" t="inlineStr">
        <is>
          <t>Service Director</t>
        </is>
      </c>
      <c r="F10" s="5" t="inlineStr">
        <is>
          <t>Trailing twelve months adjusted for hiring ramp</t>
        </is>
      </c>
    </row>
    <row r="11">
      <c r="A11" s="5" t="inlineStr">
        <is>
          <t>DSO target</t>
        </is>
      </c>
      <c r="B11" s="19" t="n">
        <v>49</v>
      </c>
      <c r="C11" s="5" t="inlineStr">
        <is>
          <t>days</t>
        </is>
      </c>
      <c r="D11" s="5" t="inlineStr">
        <is>
          <t>FY2026</t>
        </is>
      </c>
      <c r="E11" s="5" t="inlineStr">
        <is>
          <t>Controller</t>
        </is>
      </c>
      <c r="F11" s="5" t="inlineStr">
        <is>
          <t>Customer mix and contract terms</t>
        </is>
      </c>
    </row>
    <row r="12">
      <c r="A12" s="5" t="inlineStr">
        <is>
          <t>Minimum operating liquidity</t>
        </is>
      </c>
      <c r="B12" s="12" t="n">
        <v>1250000</v>
      </c>
      <c r="C12" s="5" t="inlineStr">
        <is>
          <t>USD</t>
        </is>
      </c>
      <c r="D12" s="5" t="inlineStr">
        <is>
          <t>All weeks</t>
        </is>
      </c>
      <c r="E12" s="5" t="inlineStr">
        <is>
          <t>CFO</t>
        </is>
      </c>
      <c r="F12" s="5" t="inlineStr">
        <is>
          <t>Board treasury policy</t>
        </is>
      </c>
    </row>
    <row r="13">
      <c r="A13" s="5" t="inlineStr">
        <is>
          <t>Revolver capacity</t>
        </is>
      </c>
      <c r="B13" s="12" t="n">
        <v>4000000</v>
      </c>
      <c r="C13" s="5" t="inlineStr">
        <is>
          <t>USD</t>
        </is>
      </c>
      <c r="D13" s="5" t="inlineStr">
        <is>
          <t>FY2026</t>
        </is>
      </c>
      <c r="E13" s="5" t="inlineStr">
        <is>
          <t>CFO</t>
        </is>
      </c>
      <c r="F13" s="5" t="inlineStr">
        <is>
          <t>U.S. Bank facility amendment dated 2025-09-30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 outlineLevelRow="0"/>
  <cols>
    <col width="42" customWidth="1" min="1" max="1"/>
    <col width="20" customWidth="1" min="2" max="3"/>
    <col width="13" customWidth="1" min="4" max="4"/>
    <col width="44" customWidth="1" min="5" max="5"/>
  </cols>
  <sheetData>
    <row r="1" ht="23" customHeight="1">
      <c r="A1" s="1" t="inlineStr">
        <is>
          <t>AOP Model Checks</t>
        </is>
      </c>
      <c r="B1" s="30" t="n"/>
      <c r="C1" s="30" t="n"/>
      <c r="D1" s="30" t="n"/>
      <c r="E1" s="30" t="n"/>
    </row>
    <row r="2" ht="23" customHeight="1">
      <c r="A2" s="2" t="inlineStr">
        <is>
          <t>Board-approved version controls</t>
        </is>
      </c>
    </row>
    <row r="3"/>
    <row r="4"/>
    <row r="5" ht="30" customHeight="1">
      <c r="A5" s="9" t="inlineStr">
        <is>
          <t>Check</t>
        </is>
      </c>
      <c r="B5" s="10" t="inlineStr">
        <is>
          <t>Expected</t>
        </is>
      </c>
      <c r="C5" s="10" t="inlineStr">
        <is>
          <t>Actual / Delta</t>
        </is>
      </c>
      <c r="D5" s="10" t="inlineStr">
        <is>
          <t>Status</t>
        </is>
      </c>
      <c r="E5" s="11" t="inlineStr">
        <is>
          <t>Remediation</t>
        </is>
      </c>
    </row>
    <row r="6">
      <c r="A6" s="5" t="inlineStr">
        <is>
          <t>Monthly gross profit formula</t>
        </is>
      </c>
      <c r="B6" s="5" t="n">
        <v>0</v>
      </c>
      <c r="C6" s="5">
        <f>ABS('Monthly Plan'!B8-('Monthly Plan'!B6-'Monthly Plan'!B7))+ABS('Monthly Plan'!C8-('Monthly Plan'!C6-'Monthly Plan'!C7))+ABS('Monthly Plan'!D8-('Monthly Plan'!D6-'Monthly Plan'!D7))+ABS('Monthly Plan'!E8-('Monthly Plan'!E6-'Monthly Plan'!E7))+ABS('Monthly Plan'!F8-('Monthly Plan'!F6-'Monthly Plan'!F7))+ABS('Monthly Plan'!G8-('Monthly Plan'!G6-'Monthly Plan'!G7))+ABS('Monthly Plan'!H8-('Monthly Plan'!H6-'Monthly Plan'!H7))+ABS('Monthly Plan'!I8-('Monthly Plan'!I6-'Monthly Plan'!I7))+ABS('Monthly Plan'!J8-('Monthly Plan'!J6-'Monthly Plan'!J7))+ABS('Monthly Plan'!K8-('Monthly Plan'!K6-'Monthly Plan'!K7))+ABS('Monthly Plan'!L8-('Monthly Plan'!L6-'Monthly Plan'!L7))+ABS('Monthly Plan'!M8-('Monthly Plan'!M6-'Monthly Plan'!M7))</f>
        <v/>
      </c>
      <c r="D6" s="5">
        <f>IF(ABS(C6)&lt;0.01,"PASS","FAIL")</f>
        <v/>
      </c>
      <c r="E6" s="5" t="inlineStr">
        <is>
          <t>Monthly Plan rows 6-8</t>
        </is>
      </c>
    </row>
    <row r="7">
      <c r="A7" s="5" t="inlineStr">
        <is>
          <t>Monthly operating income formula</t>
        </is>
      </c>
      <c r="B7" s="5" t="n">
        <v>0</v>
      </c>
      <c r="C7" s="5">
        <f>ABS('Monthly Plan'!B10-('Monthly Plan'!B8-'Monthly Plan'!B9))+ABS('Monthly Plan'!C10-('Monthly Plan'!C8-'Monthly Plan'!C9))+ABS('Monthly Plan'!D10-('Monthly Plan'!D8-'Monthly Plan'!D9))+ABS('Monthly Plan'!E10-('Monthly Plan'!E8-'Monthly Plan'!E9))+ABS('Monthly Plan'!F10-('Monthly Plan'!F8-'Monthly Plan'!F9))+ABS('Monthly Plan'!G10-('Monthly Plan'!G8-'Monthly Plan'!G9))+ABS('Monthly Plan'!H10-('Monthly Plan'!H8-'Monthly Plan'!H9))+ABS('Monthly Plan'!I10-('Monthly Plan'!I8-'Monthly Plan'!I9))+ABS('Monthly Plan'!J10-('Monthly Plan'!J8-'Monthly Plan'!J9))+ABS('Monthly Plan'!K10-('Monthly Plan'!K8-'Monthly Plan'!K9))+ABS('Monthly Plan'!L10-('Monthly Plan'!L8-'Monthly Plan'!L9))+ABS('Monthly Plan'!M10-('Monthly Plan'!M8-'Monthly Plan'!M9))</f>
        <v/>
      </c>
      <c r="D7" s="5">
        <f>IF(ABS(C7)&lt;0.01,"PASS","FAIL")</f>
        <v/>
      </c>
      <c r="E7" s="5" t="inlineStr">
        <is>
          <t>Monthly Plan rows 8-10</t>
        </is>
      </c>
    </row>
    <row r="8">
      <c r="A8" s="5" t="inlineStr">
        <is>
          <t>Department revenue ties to annual plan</t>
        </is>
      </c>
      <c r="B8" s="5" t="n">
        <v>0</v>
      </c>
      <c r="C8" s="5">
        <f>SUM('Department Plan'!B6:B9)-SUM('Monthly Plan'!B6:M6)</f>
        <v/>
      </c>
      <c r="D8" s="5">
        <f>IF(ABS(C8)&lt;1,"PASS","FAIL")</f>
        <v/>
      </c>
      <c r="E8" s="5" t="inlineStr">
        <is>
          <t>Department Plan allocation</t>
        </is>
      </c>
    </row>
    <row r="9">
      <c r="A9" s="5" t="inlineStr">
        <is>
          <t>Liquidity assumption populated</t>
        </is>
      </c>
      <c r="B9" s="17" t="n">
        <v>1250000</v>
      </c>
      <c r="C9" s="17">
        <f>'Assumptions'!B12</f>
        <v/>
      </c>
      <c r="D9" s="5">
        <f>IF(C9=B9,"PASS","FAIL")</f>
        <v/>
      </c>
      <c r="E9" s="5" t="inlineStr">
        <is>
          <t>Assumptions row 12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46" customWidth="1" min="2" max="2"/>
    <col width="20" customWidth="1" min="3" max="4"/>
    <col width="18" customWidth="1" min="5" max="6"/>
    <col width="20" customWidth="1" min="7" max="7"/>
    <col width="16" customWidth="1" min="8" max="8"/>
    <col width="46" customWidth="1" min="9" max="9"/>
    <col width="16" customWidth="1" min="10" max="10"/>
  </cols>
  <sheetData>
    <row r="1">
      <c r="A1" s="20" t="inlineStr">
        <is>
          <t>11/21/25 project review pasted from Ops. Contract values were not refreshed for December COs; approved plan adjustments are in columns H-J.</t>
        </is>
      </c>
    </row>
    <row r="2"/>
    <row r="3">
      <c r="A3" s="21" t="inlineStr">
        <is>
          <t>Job</t>
        </is>
      </c>
      <c r="B3" s="21" t="inlineStr">
        <is>
          <t>Project</t>
        </is>
      </c>
      <c r="C3" s="21" t="inlineStr">
        <is>
          <t>12/31 contract snapshot</t>
        </is>
      </c>
      <c r="D3" s="21" t="inlineStr">
        <is>
          <t>Est cost snapshot</t>
        </is>
      </c>
      <c r="E3" s="21" t="inlineStr">
        <is>
          <t>FY26 conversion %</t>
        </is>
      </c>
      <c r="F3" s="21" t="inlineStr">
        <is>
          <t>FY26 revenue calc</t>
        </is>
      </c>
      <c r="G3" s="21" t="inlineStr">
        <is>
          <t>PM</t>
        </is>
      </c>
      <c r="H3" s="21" t="inlineStr">
        <is>
          <t>manual adj</t>
        </is>
      </c>
      <c r="I3" s="21" t="inlineStr">
        <is>
          <t>reason</t>
        </is>
      </c>
      <c r="J3" s="21" t="inlineStr">
        <is>
          <t>review initials</t>
        </is>
      </c>
    </row>
    <row r="4">
      <c r="A4" s="22" t="inlineStr">
        <is>
          <t>ARM-2318</t>
        </is>
      </c>
      <c r="B4" s="22" t="inlineStr">
        <is>
          <t>Columbia Biologics Clean Utilities</t>
        </is>
      </c>
      <c r="C4" s="23" t="n">
        <v>9296500</v>
      </c>
      <c r="D4" s="23" t="n">
        <v>7271000</v>
      </c>
      <c r="E4" s="24" t="n">
        <v>0.42</v>
      </c>
      <c r="F4" s="23">
        <f>C4*E4+H4</f>
        <v/>
      </c>
      <c r="G4" s="22" t="inlineStr">
        <is>
          <t>Maya Chen</t>
        </is>
      </c>
      <c r="H4" s="22" t="n">
        <v>175000</v>
      </c>
      <c r="I4" s="22" t="inlineStr">
        <is>
          <t>schedule pull-forward per 12/9 call</t>
        </is>
      </c>
      <c r="J4" s="22" t="inlineStr">
        <is>
          <t>DC</t>
        </is>
      </c>
    </row>
    <row r="5">
      <c r="A5" s="22" t="inlineStr">
        <is>
          <t>ARM-2403</t>
        </is>
      </c>
      <c r="B5" s="22" t="inlineStr">
        <is>
          <t>Riverton Civic Center HVAC Renewal</t>
        </is>
      </c>
      <c r="C5" s="23" t="n">
        <v>6868000</v>
      </c>
      <c r="D5" s="23" t="n">
        <v>5109000</v>
      </c>
      <c r="E5" s="24" t="n">
        <v>0.5</v>
      </c>
      <c r="F5" s="23">
        <f>C5*E5+H5</f>
        <v/>
      </c>
      <c r="G5" s="22" t="inlineStr">
        <is>
          <t>Elliot Marks</t>
        </is>
      </c>
      <c r="H5" s="22" t="n">
        <v>0</v>
      </c>
      <c r="I5" s="22" t="n"/>
      <c r="J5" s="22" t="inlineStr">
        <is>
          <t>MB</t>
        </is>
      </c>
    </row>
    <row r="6">
      <c r="A6" s="22" t="inlineStr">
        <is>
          <t>ARM-2409</t>
        </is>
      </c>
      <c r="B6" s="22" t="inlineStr">
        <is>
          <t>Northline Cold Storage Expansion</t>
        </is>
      </c>
      <c r="C6" s="23" t="n">
        <v>5526000</v>
      </c>
      <c r="D6" s="23" t="n">
        <v>4321000</v>
      </c>
      <c r="E6" s="24" t="n">
        <v>0.58</v>
      </c>
      <c r="F6" s="23">
        <f>C6*E6+H6</f>
        <v/>
      </c>
      <c r="G6" s="22" t="inlineStr">
        <is>
          <t>Priya Raman</t>
        </is>
      </c>
      <c r="H6" s="22" t="n">
        <v>0</v>
      </c>
      <c r="I6" s="22" t="n"/>
      <c r="J6" s="22" t="inlineStr">
        <is>
          <t>MB</t>
        </is>
      </c>
    </row>
    <row r="7">
      <c r="A7" s="22" t="inlineStr">
        <is>
          <t>ARM-2412</t>
        </is>
      </c>
      <c r="B7" s="22" t="inlineStr">
        <is>
          <t>OSU Kelley Engineering Lab Ventilation</t>
        </is>
      </c>
      <c r="C7" s="23" t="n">
        <v>5411000</v>
      </c>
      <c r="D7" s="23" t="n">
        <v>4083000</v>
      </c>
      <c r="E7" s="24" t="n">
        <v>0.6599999999999999</v>
      </c>
      <c r="F7" s="23">
        <f>C7*E7+H7</f>
        <v/>
      </c>
      <c r="G7" s="22" t="inlineStr">
        <is>
          <t>Elliot Marks</t>
        </is>
      </c>
      <c r="H7" s="22" t="n">
        <v>0</v>
      </c>
      <c r="I7" s="22" t="n"/>
      <c r="J7" s="22" t="inlineStr">
        <is>
          <t>DC</t>
        </is>
      </c>
    </row>
    <row r="8">
      <c r="A8" s="22" t="inlineStr">
        <is>
          <t>ARM-2417</t>
        </is>
      </c>
      <c r="B8" s="22" t="inlineStr">
        <is>
          <t>Cascade Health Ambulatory Pavilion</t>
        </is>
      </c>
      <c r="C8" s="23" t="n">
        <v>10391000</v>
      </c>
      <c r="D8" s="23" t="n">
        <v>7970000</v>
      </c>
      <c r="E8" s="24" t="n">
        <v>0.74</v>
      </c>
      <c r="F8" s="23">
        <f>C8*E8+H8</f>
        <v/>
      </c>
      <c r="G8" s="22" t="inlineStr">
        <is>
          <t>Maya Chen</t>
        </is>
      </c>
      <c r="H8" s="22" t="n">
        <v>0</v>
      </c>
      <c r="I8" s="22" t="n"/>
      <c r="J8" s="22" t="inlineStr">
        <is>
          <t>MB</t>
        </is>
      </c>
    </row>
    <row r="9">
      <c r="A9" s="22" t="inlineStr">
        <is>
          <t>ARM-2421</t>
        </is>
      </c>
      <c r="B9" s="22" t="inlineStr">
        <is>
          <t>Juniper Hotel Boiler Plant Replacement</t>
        </is>
      </c>
      <c r="C9" s="23" t="n">
        <v>2309000</v>
      </c>
      <c r="D9" s="23" t="n">
        <v>1755000</v>
      </c>
      <c r="E9" s="24" t="n">
        <v>0.8200000000000001</v>
      </c>
      <c r="F9" s="23">
        <f>C9*E9+H9</f>
        <v/>
      </c>
      <c r="G9" s="22" t="inlineStr">
        <is>
          <t>Lucas Bennett</t>
        </is>
      </c>
      <c r="H9" s="22" t="n">
        <v>175000</v>
      </c>
      <c r="I9" s="22" t="inlineStr">
        <is>
          <t>schedule pull-forward per 12/9 call</t>
        </is>
      </c>
      <c r="J9" s="22" t="inlineStr">
        <is>
          <t>MB</t>
        </is>
      </c>
    </row>
    <row r="10">
      <c r="A10" s="22" t="inlineStr">
        <is>
          <t>ARM-2501</t>
        </is>
      </c>
      <c r="B10" s="22" t="inlineStr">
        <is>
          <t>PDX Concourse E Controls Retrofit</t>
        </is>
      </c>
      <c r="C10" s="23" t="n">
        <v>3688000</v>
      </c>
      <c r="D10" s="23" t="n">
        <v>2624000</v>
      </c>
      <c r="E10" s="24" t="n">
        <v>0.42</v>
      </c>
      <c r="F10" s="23">
        <f>C10*E10+H10</f>
        <v/>
      </c>
      <c r="G10" s="22" t="inlineStr">
        <is>
          <t>Sofia Alvarez</t>
        </is>
      </c>
      <c r="H10" s="22" t="n">
        <v>0</v>
      </c>
      <c r="I10" s="22" t="n"/>
      <c r="J10" s="22" t="inlineStr">
        <is>
          <t>DC</t>
        </is>
      </c>
    </row>
    <row r="11">
      <c r="A11" s="22" t="inlineStr">
        <is>
          <t>ARM-2506</t>
        </is>
      </c>
      <c r="B11" s="22" t="inlineStr">
        <is>
          <t>Eastbank Data Hall Cooling Expansion</t>
        </is>
      </c>
      <c r="C11" s="23" t="n">
        <v>11580000</v>
      </c>
      <c r="D11" s="23" t="n">
        <v>8722000</v>
      </c>
      <c r="E11" s="24" t="n">
        <v>0.5</v>
      </c>
      <c r="F11" s="23">
        <f>C11*E11+H11</f>
        <v/>
      </c>
      <c r="G11" s="22" t="inlineStr">
        <is>
          <t>Priya Raman</t>
        </is>
      </c>
      <c r="H11" s="22" t="n">
        <v>0</v>
      </c>
      <c r="I11" s="22" t="n"/>
      <c r="J11" s="22" t="inlineStr">
        <is>
          <t>MB</t>
        </is>
      </c>
    </row>
    <row r="12">
      <c r="A12" s="22" t="inlineStr">
        <is>
          <t>ARM-2510</t>
        </is>
      </c>
      <c r="B12" s="22" t="inlineStr">
        <is>
          <t>Hawthorne Yard Mixed-Use Mechanical</t>
        </is>
      </c>
      <c r="C12" s="23" t="n">
        <v>7740000</v>
      </c>
      <c r="D12" s="23" t="n">
        <v>5968000</v>
      </c>
      <c r="E12" s="24" t="n">
        <v>0.58</v>
      </c>
      <c r="F12" s="23">
        <f>C12*E12+H12</f>
        <v/>
      </c>
      <c r="G12" s="22" t="inlineStr">
        <is>
          <t>Maya Chen</t>
        </is>
      </c>
      <c r="H12" s="22" t="n">
        <v>0</v>
      </c>
      <c r="I12" s="22" t="n"/>
      <c r="J12" s="22" t="inlineStr">
        <is>
          <t>MB</t>
        </is>
      </c>
    </row>
    <row r="13">
      <c r="A13" s="22" t="inlineStr">
        <is>
          <t>ARM-2514</t>
        </is>
      </c>
      <c r="B13" s="22" t="inlineStr">
        <is>
          <t>Redmond Unified Schools Phase 2</t>
        </is>
      </c>
      <c r="C13" s="23" t="n">
        <v>7284000</v>
      </c>
      <c r="D13" s="23" t="n">
        <v>5529000</v>
      </c>
      <c r="E13" s="24" t="n">
        <v>0.6599999999999999</v>
      </c>
      <c r="F13" s="23">
        <f>C13*E13+H13</f>
        <v/>
      </c>
      <c r="G13" s="22" t="inlineStr">
        <is>
          <t>Lucas Bennett</t>
        </is>
      </c>
      <c r="H13" s="22" t="n">
        <v>0</v>
      </c>
      <c r="I13" s="22" t="n"/>
      <c r="J13" s="22" t="inlineStr">
        <is>
          <t>DC</t>
        </is>
      </c>
    </row>
    <row r="14">
      <c r="A14" s="22" t="inlineStr">
        <is>
          <t>ARM-2518</t>
        </is>
      </c>
      <c r="B14" s="22" t="inlineStr">
        <is>
          <t>Deschutes Fleet Services Maintenance Facility</t>
        </is>
      </c>
      <c r="C14" s="23" t="n">
        <v>3348000</v>
      </c>
      <c r="D14" s="23" t="n">
        <v>2523000</v>
      </c>
      <c r="E14" s="24" t="n">
        <v>0.74</v>
      </c>
      <c r="F14" s="23">
        <f>C14*E14+H14</f>
        <v/>
      </c>
      <c r="G14" s="22" t="inlineStr">
        <is>
          <t>Lucas Bennett</t>
        </is>
      </c>
      <c r="H14" s="22" t="n">
        <v>175000</v>
      </c>
      <c r="I14" s="22" t="inlineStr">
        <is>
          <t>schedule pull-forward per 12/9 call</t>
        </is>
      </c>
      <c r="J14" s="22" t="inlineStr">
        <is>
          <t>MB</t>
        </is>
      </c>
    </row>
    <row r="15">
      <c r="A15" s="22" t="inlineStr">
        <is>
          <t>ARM-2522</t>
        </is>
      </c>
      <c r="B15" s="22" t="inlineStr">
        <is>
          <t>Summit Surgical Center Central Plant</t>
        </is>
      </c>
      <c r="C15" s="23" t="n">
        <v>4585000</v>
      </c>
      <c r="D15" s="23" t="n">
        <v>3424000</v>
      </c>
      <c r="E15" s="24" t="n">
        <v>0.8200000000000001</v>
      </c>
      <c r="F15" s="23">
        <f>C15*E15+H15</f>
        <v/>
      </c>
      <c r="G15" s="22" t="inlineStr">
        <is>
          <t>Elliot Marks</t>
        </is>
      </c>
      <c r="H15" s="22" t="n">
        <v>0</v>
      </c>
      <c r="I15" s="22" t="n"/>
      <c r="J15" s="22" t="inlineStr">
        <is>
          <t>MB</t>
        </is>
      </c>
    </row>
    <row r="16">
      <c r="A16" s="22" t="inlineStr">
        <is>
          <t>ARM-2526</t>
        </is>
      </c>
      <c r="B16" s="22" t="inlineStr">
        <is>
          <t>Willamette Food Co-op Refrigeration Upgrade</t>
        </is>
      </c>
      <c r="C16" s="23" t="n">
        <v>1756500</v>
      </c>
      <c r="D16" s="23" t="n">
        <v>1370000</v>
      </c>
      <c r="E16" s="24" t="n">
        <v>0.42</v>
      </c>
      <c r="F16" s="23">
        <f>C16*E16+H16</f>
        <v/>
      </c>
      <c r="G16" s="22" t="inlineStr">
        <is>
          <t>Sofia Alvarez</t>
        </is>
      </c>
      <c r="H16" s="22" t="n">
        <v>0</v>
      </c>
      <c r="I16" s="22" t="n"/>
      <c r="J16" s="22" t="inlineStr">
        <is>
          <t>DC</t>
        </is>
      </c>
    </row>
    <row r="17">
      <c r="A17" s="22" t="inlineStr">
        <is>
          <t>ARM-2602</t>
        </is>
      </c>
      <c r="B17" s="22" t="inlineStr">
        <is>
          <t>Pacific NW Distribution Center Heat Recovery</t>
        </is>
      </c>
      <c r="C17" s="23" t="n">
        <v>5920000</v>
      </c>
      <c r="D17" s="23" t="n">
        <v>4455000</v>
      </c>
      <c r="E17" s="24" t="n">
        <v>0.5</v>
      </c>
      <c r="F17" s="23">
        <f>C17*E17+H17</f>
        <v/>
      </c>
      <c r="G17" s="22" t="inlineStr">
        <is>
          <t>Priya Raman</t>
        </is>
      </c>
      <c r="H17" s="22" t="n">
        <v>0</v>
      </c>
      <c r="I17" s="22" t="n"/>
      <c r="J17" s="22" t="inlineStr">
        <is>
          <t>MB</t>
        </is>
      </c>
    </row>
    <row r="18">
      <c r="A18" s="22" t="inlineStr">
        <is>
          <t>ARM-2605</t>
        </is>
      </c>
      <c r="B18" s="22" t="inlineStr">
        <is>
          <t>Rose Quarter Event Level Ventilation</t>
        </is>
      </c>
      <c r="C18" s="23" t="n">
        <v>6360000</v>
      </c>
      <c r="D18" s="23" t="n">
        <v>4782000</v>
      </c>
      <c r="E18" s="24" t="n">
        <v>0.58</v>
      </c>
      <c r="F18" s="23">
        <f>C18*E18+H18</f>
        <v/>
      </c>
      <c r="G18" s="22" t="inlineStr">
        <is>
          <t>Elliot Marks</t>
        </is>
      </c>
      <c r="H18" s="22" t="n">
        <v>0</v>
      </c>
      <c r="I18" s="22" t="n"/>
      <c r="J18" s="22" t="inlineStr">
        <is>
          <t>MB</t>
        </is>
      </c>
    </row>
    <row r="19">
      <c r="A19" s="25" t="inlineStr">
        <is>
          <t>ARM-2608</t>
        </is>
      </c>
      <c r="B19" s="25" t="inlineStr">
        <is>
          <t>Cascade Health Imaging Suite Controls</t>
        </is>
      </c>
      <c r="C19" s="26" t="n">
        <v>1982000</v>
      </c>
      <c r="D19" s="26" t="n">
        <v>1396000</v>
      </c>
      <c r="E19" s="27" t="n">
        <v>0.6599999999999999</v>
      </c>
      <c r="F19" s="26">
        <f>C19*E19+H19</f>
        <v/>
      </c>
      <c r="G19" s="25" t="inlineStr">
        <is>
          <t>Sofia Alvarez</t>
        </is>
      </c>
      <c r="H19" s="25" t="n">
        <v>175000</v>
      </c>
      <c r="I19" s="25" t="inlineStr">
        <is>
          <t>schedule pull-forward per 12/9 call</t>
        </is>
      </c>
      <c r="J19" s="25" t="inlineStr">
        <is>
          <t>DC</t>
        </is>
      </c>
    </row>
  </sheetData>
  <mergeCells count="1">
    <mergeCell ref="A1:J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0" customWidth="1" min="3" max="14"/>
  </cols>
  <sheetData>
    <row r="1">
      <c r="A1" s="20" t="inlineStr">
        <is>
          <t>People upload received 11/14. Includes approved requisitions and three placeholders Finance later removed from the board plan.</t>
        </is>
      </c>
    </row>
    <row r="2"/>
    <row r="3">
      <c r="A3" s="21" t="inlineStr">
        <is>
          <t>Dept</t>
        </is>
      </c>
      <c r="B3" s="21" t="inlineStr">
        <is>
          <t>Opening HC</t>
        </is>
      </c>
      <c r="C3" s="21" t="inlineStr">
        <is>
          <t>Jan</t>
        </is>
      </c>
      <c r="D3" s="21" t="inlineStr">
        <is>
          <t>Feb</t>
        </is>
      </c>
      <c r="E3" s="21" t="inlineStr">
        <is>
          <t>Mar</t>
        </is>
      </c>
      <c r="F3" s="21" t="inlineStr">
        <is>
          <t>Apr</t>
        </is>
      </c>
      <c r="G3" s="21" t="inlineStr">
        <is>
          <t>May</t>
        </is>
      </c>
      <c r="H3" s="21" t="inlineStr">
        <is>
          <t>Jun</t>
        </is>
      </c>
      <c r="I3" s="21" t="inlineStr">
        <is>
          <t>Jul</t>
        </is>
      </c>
      <c r="J3" s="21" t="inlineStr">
        <is>
          <t>Aug</t>
        </is>
      </c>
      <c r="K3" s="21" t="inlineStr">
        <is>
          <t>Sep</t>
        </is>
      </c>
      <c r="L3" s="21" t="inlineStr">
        <is>
          <t>Oct</t>
        </is>
      </c>
      <c r="M3" s="21" t="inlineStr">
        <is>
          <t>Nov</t>
        </is>
      </c>
      <c r="N3" s="21" t="inlineStr">
        <is>
          <t>Dec</t>
        </is>
      </c>
    </row>
    <row r="4">
      <c r="A4" s="22" t="inlineStr">
        <is>
          <t>Construction Portland</t>
        </is>
      </c>
      <c r="B4" s="22" t="n">
        <v>58</v>
      </c>
      <c r="C4" s="22" t="n">
        <v>58</v>
      </c>
      <c r="D4" s="22" t="n">
        <v>59</v>
      </c>
      <c r="E4" s="22" t="n">
        <v>60</v>
      </c>
      <c r="F4" s="22" t="n">
        <v>61</v>
      </c>
      <c r="G4" s="22" t="n">
        <v>62</v>
      </c>
      <c r="H4" s="22" t="n">
        <v>63</v>
      </c>
      <c r="I4" s="22" t="n">
        <v>65</v>
      </c>
      <c r="J4" s="22" t="n">
        <v>65</v>
      </c>
      <c r="K4" s="22" t="n">
        <v>64</v>
      </c>
      <c r="L4" s="22" t="n">
        <v>64</v>
      </c>
      <c r="M4" s="22" t="n">
        <v>63</v>
      </c>
      <c r="N4" s="22" t="n">
        <v>63</v>
      </c>
      <c r="O4" s="5" t="n">
        <v>62</v>
      </c>
    </row>
    <row r="5">
      <c r="A5" s="22" t="inlineStr">
        <is>
          <t>Central Oregon</t>
        </is>
      </c>
      <c r="B5" s="22" t="n">
        <v>18</v>
      </c>
      <c r="C5" s="22" t="n">
        <v>18</v>
      </c>
      <c r="D5" s="22" t="n">
        <v>18</v>
      </c>
      <c r="E5" s="22" t="n">
        <v>19</v>
      </c>
      <c r="F5" s="22" t="n">
        <v>20</v>
      </c>
      <c r="G5" s="22" t="n">
        <v>21</v>
      </c>
      <c r="H5" s="22" t="n">
        <v>22</v>
      </c>
      <c r="I5" s="22" t="n">
        <v>23</v>
      </c>
      <c r="J5" s="22" t="n">
        <v>23</v>
      </c>
      <c r="K5" s="22" t="n">
        <v>23</v>
      </c>
      <c r="L5" s="22" t="n">
        <v>22</v>
      </c>
      <c r="M5" s="22" t="n">
        <v>22</v>
      </c>
      <c r="N5" s="22" t="n">
        <v>21</v>
      </c>
      <c r="O5" s="5" t="n">
        <v>21</v>
      </c>
    </row>
    <row r="6">
      <c r="A6" s="22" t="inlineStr">
        <is>
          <t>Service</t>
        </is>
      </c>
      <c r="B6" s="22" t="n">
        <v>19</v>
      </c>
      <c r="C6" s="22" t="n">
        <v>19</v>
      </c>
      <c r="D6" s="22" t="n">
        <v>20</v>
      </c>
      <c r="E6" s="22" t="n">
        <v>20</v>
      </c>
      <c r="F6" s="22" t="n">
        <v>21</v>
      </c>
      <c r="G6" s="22" t="n">
        <v>21</v>
      </c>
      <c r="H6" s="22" t="n">
        <v>22</v>
      </c>
      <c r="I6" s="22" t="n">
        <v>23</v>
      </c>
      <c r="J6" s="22" t="n">
        <v>24</v>
      </c>
      <c r="K6" s="22" t="n">
        <v>24</v>
      </c>
      <c r="L6" s="22" t="n">
        <v>25</v>
      </c>
      <c r="M6" s="22" t="n">
        <v>25</v>
      </c>
      <c r="N6" s="22" t="n">
        <v>25</v>
      </c>
      <c r="O6" s="5" t="n">
        <v>25</v>
      </c>
    </row>
    <row r="7">
      <c r="A7" s="22" t="inlineStr">
        <is>
          <t>Controls</t>
        </is>
      </c>
      <c r="B7" s="22" t="n">
        <v>9</v>
      </c>
      <c r="C7" s="22" t="n">
        <v>9</v>
      </c>
      <c r="D7" s="22" t="n">
        <v>9</v>
      </c>
      <c r="E7" s="22" t="n">
        <v>10</v>
      </c>
      <c r="F7" s="22" t="n">
        <v>10</v>
      </c>
      <c r="G7" s="22" t="n">
        <v>10</v>
      </c>
      <c r="H7" s="22" t="n">
        <v>11</v>
      </c>
      <c r="I7" s="22" t="n">
        <v>11</v>
      </c>
      <c r="J7" s="22" t="n">
        <v>11</v>
      </c>
      <c r="K7" s="22" t="n">
        <v>12</v>
      </c>
      <c r="L7" s="22" t="n">
        <v>12</v>
      </c>
      <c r="M7" s="22" t="n">
        <v>12</v>
      </c>
      <c r="N7" s="22" t="n">
        <v>12</v>
      </c>
      <c r="O7" s="5" t="n">
        <v>12</v>
      </c>
    </row>
    <row r="8">
      <c r="A8" s="22" t="inlineStr">
        <is>
          <t>Corporate</t>
        </is>
      </c>
      <c r="B8" s="22" t="n">
        <v>8</v>
      </c>
      <c r="C8" s="22" t="n">
        <v>8</v>
      </c>
      <c r="D8" s="22" t="n">
        <v>8</v>
      </c>
      <c r="E8" s="22" t="n">
        <v>8</v>
      </c>
      <c r="F8" s="22" t="n">
        <v>8</v>
      </c>
      <c r="G8" s="22" t="n">
        <v>8</v>
      </c>
      <c r="H8" s="22" t="n">
        <v>8</v>
      </c>
      <c r="I8" s="22" t="n">
        <v>8</v>
      </c>
      <c r="J8" s="22" t="n">
        <v>8</v>
      </c>
      <c r="K8" s="22" t="n">
        <v>8</v>
      </c>
      <c r="L8" s="22" t="n">
        <v>8</v>
      </c>
      <c r="M8" s="22" t="n">
        <v>8</v>
      </c>
      <c r="N8" s="22" t="n">
        <v>8</v>
      </c>
      <c r="O8" s="5" t="n">
        <v>8</v>
      </c>
    </row>
    <row r="9">
      <c r="A9" s="25" t="inlineStr">
        <is>
          <t>PLACEHOLDER - acquisitions</t>
        </is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3</v>
      </c>
      <c r="J9" s="25" t="n">
        <v>3</v>
      </c>
      <c r="K9" s="25" t="n">
        <v>3</v>
      </c>
      <c r="L9" s="25" t="n">
        <v>3</v>
      </c>
      <c r="M9" s="25" t="n">
        <v>3</v>
      </c>
      <c r="N9" s="25" t="n">
        <v>3</v>
      </c>
      <c r="O9" s="5" t="n">
        <v>3</v>
      </c>
    </row>
  </sheetData>
  <mergeCells count="1">
    <mergeCell ref="A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Row="0"/>
  <cols>
    <col width="17" customWidth="1" min="1" max="1"/>
    <col width="14" customWidth="1" min="2" max="2"/>
    <col width="10" customWidth="1" min="3" max="3"/>
    <col width="58" customWidth="1" min="4" max="4"/>
    <col width="16" customWidth="1" min="5" max="5"/>
    <col width="60" customWidth="1" min="6" max="6"/>
  </cols>
  <sheetData>
    <row r="1">
      <c r="A1" s="20" t="inlineStr">
        <is>
          <t>This tab was not updated for every save. File modified timestamp and Board packet control if they disagree.</t>
        </is>
      </c>
    </row>
    <row r="2"/>
    <row r="3">
      <c r="A3" s="21" t="inlineStr">
        <is>
          <t>version typed</t>
        </is>
      </c>
      <c r="B3" s="21" t="inlineStr">
        <is>
          <t>date</t>
        </is>
      </c>
      <c r="C3" s="21" t="inlineStr">
        <is>
          <t>by</t>
        </is>
      </c>
      <c r="D3" s="21" t="inlineStr">
        <is>
          <t>what changed</t>
        </is>
      </c>
      <c r="E3" s="21" t="inlineStr">
        <is>
          <t>board?</t>
        </is>
      </c>
      <c r="F3" s="21" t="inlineStr">
        <is>
          <t>loose note</t>
        </is>
      </c>
    </row>
    <row r="4">
      <c r="A4" s="22" t="inlineStr">
        <is>
          <t>v14</t>
        </is>
      </c>
      <c r="B4" s="22" t="inlineStr">
        <is>
          <t>12/10/25</t>
        </is>
      </c>
      <c r="C4" s="22" t="inlineStr">
        <is>
          <t>MB</t>
        </is>
      </c>
      <c r="D4" s="22" t="inlineStr">
        <is>
          <t>Service retention and labor rates</t>
        </is>
      </c>
      <c r="E4" s="22" t="inlineStr">
        <is>
          <t>No</t>
        </is>
      </c>
      <c r="F4" s="22" t="inlineStr">
        <is>
          <t>DC wants downside case but not in board tabs</t>
        </is>
      </c>
    </row>
    <row r="5">
      <c r="A5" s="22" t="inlineStr">
        <is>
          <t>v15</t>
        </is>
      </c>
      <c r="B5" s="22" t="inlineStr">
        <is>
          <t>12/16/25</t>
        </is>
      </c>
      <c r="C5" s="22" t="inlineStr">
        <is>
          <t>MB</t>
        </is>
      </c>
      <c r="D5" s="22" t="inlineStr">
        <is>
          <t>Backlog project-by-project refresh</t>
        </is>
      </c>
      <c r="E5" s="22" t="inlineStr">
        <is>
          <t>Draft</t>
        </is>
      </c>
      <c r="F5" s="22" t="inlineStr">
        <is>
          <t>three jobs manually overridden</t>
        </is>
      </c>
    </row>
    <row r="6">
      <c r="A6" s="22" t="inlineStr">
        <is>
          <t>FINAL</t>
        </is>
      </c>
      <c r="B6" s="22" t="inlineStr">
        <is>
          <t>12/18/25</t>
        </is>
      </c>
      <c r="C6" s="22" t="inlineStr">
        <is>
          <t>DC</t>
        </is>
      </c>
      <c r="D6" s="22" t="inlineStr">
        <is>
          <t>Board package</t>
        </is>
      </c>
      <c r="E6" s="22" t="inlineStr">
        <is>
          <t>YES</t>
        </is>
      </c>
      <c r="F6" s="22" t="inlineStr">
        <is>
          <t>capex slide differs by $92k timing only</t>
        </is>
      </c>
    </row>
    <row r="7">
      <c r="A7" s="25" t="inlineStr">
        <is>
          <t>FINAL2</t>
        </is>
      </c>
      <c r="B7" s="25" t="inlineStr">
        <is>
          <t>12/19/25</t>
        </is>
      </c>
      <c r="C7" s="25" t="inlineStr">
        <is>
          <t>MB</t>
        </is>
      </c>
      <c r="D7" s="25" t="inlineStr">
        <is>
          <t>fixed typo in source note--no plan change</t>
        </is>
      </c>
      <c r="E7" s="25" t="inlineStr">
        <is>
          <t>same numbers</t>
        </is>
      </c>
      <c r="F7" s="25" t="inlineStr">
        <is>
          <t>saved after meeting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 outlineLevelRow="0"/>
  <cols>
    <col width="25" customWidth="1" min="1" max="1"/>
    <col width="16" customWidth="1" min="2" max="2"/>
    <col width="17" customWidth="1" min="3" max="3"/>
    <col width="34" customWidth="1" min="4" max="4"/>
    <col width="26" customWidth="1" min="5" max="5"/>
    <col width="18" customWidth="1" min="6" max="6"/>
    <col width="14" customWidth="1" min="7" max="7"/>
    <col width="16" customWidth="1" min="8" max="8"/>
    <col width="48" customWidth="1" min="9" max="9"/>
  </cols>
  <sheetData>
    <row r="1" ht="23" customHeight="1">
      <c r="A1" s="1" t="inlineStr">
        <is>
          <t>FY26 AOP Source Log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</row>
    <row r="2" ht="23" customHeight="1">
      <c r="A2" s="2" t="inlineStr">
        <is>
          <t>Recurring workpaper metadata and refresh lineage</t>
        </is>
      </c>
    </row>
    <row r="3"/>
    <row r="4" ht="30" customHeight="1">
      <c r="A4" s="9" t="inlineStr">
        <is>
          <t>Item</t>
        </is>
      </c>
      <c r="B4" s="10" t="inlineStr">
        <is>
          <t>Period / As-of</t>
        </is>
      </c>
      <c r="C4" s="10" t="inlineStr">
        <is>
          <t>Source Type</t>
        </is>
      </c>
      <c r="D4" s="10" t="inlineStr">
        <is>
          <t>Source Name</t>
        </is>
      </c>
      <c r="E4" s="10" t="inlineStr">
        <is>
          <t>Reference</t>
        </is>
      </c>
      <c r="F4" s="10" t="inlineStr">
        <is>
          <t>Owner</t>
        </is>
      </c>
      <c r="G4" s="10" t="inlineStr">
        <is>
          <t>Refresh Date</t>
        </is>
      </c>
      <c r="H4" s="10" t="inlineStr">
        <is>
          <t>Status</t>
        </is>
      </c>
      <c r="I4" s="11" t="inlineStr">
        <is>
          <t>Notes</t>
        </is>
      </c>
    </row>
    <row r="5">
      <c r="A5" s="28" t="inlineStr">
        <is>
          <t>Opening backlog</t>
        </is>
      </c>
      <c r="B5" s="28" t="inlineStr">
        <is>
          <t>2025-12-31</t>
        </is>
      </c>
      <c r="C5" s="28" t="inlineStr">
        <is>
          <t>Accounting report</t>
        </is>
      </c>
      <c r="D5" s="28" t="inlineStr">
        <is>
          <t>Backlog by Project</t>
        </is>
      </c>
      <c r="E5" s="28" t="inlineStr">
        <is>
          <t>JC-610</t>
        </is>
      </c>
      <c r="F5" s="28" t="inlineStr">
        <is>
          <t>SVP Operations</t>
        </is>
      </c>
      <c r="G5" s="29" t="n">
        <v>45982</v>
      </c>
      <c r="H5" s="28" t="inlineStr">
        <is>
          <t>Current</t>
        </is>
      </c>
      <c r="I5" s="28" t="inlineStr">
        <is>
          <t>Reviewed job by job</t>
        </is>
      </c>
    </row>
    <row r="6">
      <c r="A6" s="28" t="inlineStr">
        <is>
          <t>Labor rates</t>
        </is>
      </c>
      <c r="B6" s="28" t="inlineStr">
        <is>
          <t>FY2026</t>
        </is>
      </c>
      <c r="C6" s="28" t="inlineStr">
        <is>
          <t>HR / union schedules</t>
        </is>
      </c>
      <c r="D6" s="28" t="inlineStr">
        <is>
          <t>Field Compensation Planning Extract</t>
        </is>
      </c>
      <c r="E6" s="28" t="inlineStr">
        <is>
          <t>People/Comp/FY26</t>
        </is>
      </c>
      <c r="F6" s="28" t="inlineStr">
        <is>
          <t>VP People</t>
        </is>
      </c>
      <c r="G6" s="29" t="n">
        <v>45975</v>
      </c>
      <c r="H6" s="28" t="inlineStr">
        <is>
          <t>Current</t>
        </is>
      </c>
      <c r="I6" s="28" t="inlineStr">
        <is>
          <t>Loaded wage and burden assumptions</t>
        </is>
      </c>
    </row>
    <row r="7">
      <c r="A7" s="28" t="inlineStr">
        <is>
          <t>Liquidity policy</t>
        </is>
      </c>
      <c r="B7" s="28" t="inlineStr">
        <is>
          <t>FY2026</t>
        </is>
      </c>
      <c r="C7" s="28" t="inlineStr">
        <is>
          <t>Board policy</t>
        </is>
      </c>
      <c r="D7" s="28" t="inlineStr">
        <is>
          <t>Treasury and Liquidity Policy</t>
        </is>
      </c>
      <c r="E7" s="28" t="inlineStr">
        <is>
          <t>Board/2025-12-18</t>
        </is>
      </c>
      <c r="F7" s="28" t="inlineStr">
        <is>
          <t>CFO</t>
        </is>
      </c>
      <c r="G7" s="29" t="n">
        <v>46009</v>
      </c>
      <c r="H7" s="28" t="inlineStr">
        <is>
          <t>Current</t>
        </is>
      </c>
      <c r="I7" s="28" t="inlineStr">
        <is>
          <t>$1.25m weekly floor</t>
        </is>
      </c>
    </row>
  </sheetData>
  <mergeCells count="2">
    <mergeCell ref="A1:I1"/>
    <mergeCell ref="A2:I2"/>
  </mergeCells>
  <dataValidations count="1">
    <dataValidation sqref="H5:H7" showDropDown="0" showInputMessage="0" showErrorMessage="0" allowBlank="1" type="list">
      <formula1>"Current,Stale,Pending refresh,Superseded"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2026-07-28T10:45:25Z</dcterms:modified>
  <cp:lastModifiedBy>Unknown</cp:lastModifiedBy>
</cp:coreProperties>
</file>