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oaded Rate Build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7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Arial"/>
      <b val="1"/>
      <color rgb="FF2A4337"/>
      <sz val="9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E4ECE7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/>
      <bottom style="thin">
        <color rgb="FFD8D0C6"/>
      </bottom>
      <diagonal/>
    </border>
  </borders>
  <cellStyleXfs count="1">
    <xf numFmtId="0" fontId="6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5" borderId="5" applyAlignment="1" pivotButton="0" quotePrefix="0" xfId="0">
      <alignment vertical="center"/>
    </xf>
    <xf numFmtId="164" fontId="5" fillId="5" borderId="5" applyAlignment="1" pivotButton="0" quotePrefix="0" xfId="0">
      <alignment vertical="center"/>
    </xf>
    <xf numFmtId="0" fontId="6" fillId="0" borderId="0" pivotButton="0" quotePrefix="0" xfId="0"/>
    <xf numFmtId="164" fontId="6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 outlineLevelRow="0"/>
  <cols>
    <col width="34" customWidth="1" min="1" max="1"/>
    <col width="18" customWidth="1" min="2" max="2"/>
    <col width="38" customWidth="1" min="3" max="3"/>
    <col width="15" customWidth="1" min="4" max="4"/>
    <col width="18" customWidth="1" min="5" max="5"/>
    <col width="24" customWidth="1" min="6" max="6"/>
    <col width="38" customWidth="1" min="7" max="7"/>
  </cols>
  <sheetData>
    <row r="1" ht="23" customHeight="1">
      <c r="A1" s="1" t="inlineStr">
        <is>
          <t>2026 field labor loaded-rate build</t>
        </is>
      </c>
      <c r="B1" s="12" t="n"/>
      <c r="C1" s="12" t="n"/>
      <c r="D1" s="12" t="n"/>
      <c r="E1" s="12" t="n"/>
      <c r="F1" s="12" t="n"/>
      <c r="G1" s="12" t="n"/>
    </row>
    <row r="2" ht="23" customHeight="1">
      <c r="A2" s="2" t="inlineStr">
        <is>
          <t>Estimator/controller copy | effective 1/1/26 | not a payroll register</t>
        </is>
      </c>
    </row>
    <row r="3"/>
    <row r="4"/>
    <row r="5" ht="30" customHeight="1">
      <c r="A5" s="3" t="inlineStr">
        <is>
          <t>Component</t>
        </is>
      </c>
      <c r="B5" s="4" t="inlineStr">
        <is>
          <t>Hourly amount</t>
        </is>
      </c>
      <c r="C5" s="4" t="inlineStr">
        <is>
          <t>Basis</t>
        </is>
      </c>
      <c r="D5" s="4" t="inlineStr">
        <is>
          <t>Effective</t>
        </is>
      </c>
      <c r="E5" s="4" t="inlineStr">
        <is>
          <t>Owner</t>
        </is>
      </c>
      <c r="F5" s="4" t="inlineStr">
        <is>
          <t>Approval</t>
        </is>
      </c>
      <c r="G5" s="5" t="inlineStr">
        <is>
          <t>Use restriction</t>
        </is>
      </c>
    </row>
    <row r="6">
      <c r="A6" s="6" t="inlineStr">
        <is>
          <t>Blended straight-time wage</t>
        </is>
      </c>
      <c r="B6" s="7" t="n">
        <v>46.25</v>
      </c>
      <c r="C6" s="6" t="inlineStr">
        <is>
          <t>Q1-Q2 active field craft mix</t>
        </is>
      </c>
      <c r="D6" s="6" t="inlineStr">
        <is>
          <t>2026-01-01</t>
        </is>
      </c>
      <c r="E6" s="6" t="inlineStr">
        <is>
          <t>Payroll</t>
        </is>
      </c>
      <c r="F6" s="6" t="inlineStr">
        <is>
          <t>Controller</t>
        </is>
      </c>
      <c r="G6" s="6" t="inlineStr">
        <is>
          <t>Estimate analysis only</t>
        </is>
      </c>
    </row>
    <row r="7">
      <c r="A7" s="6" t="inlineStr">
        <is>
          <t>Union fringe / health / pension</t>
        </is>
      </c>
      <c r="B7" s="7" t="n">
        <v>18.6</v>
      </c>
      <c r="C7" s="6" t="inlineStr">
        <is>
          <t>Current bargaining schedules</t>
        </is>
      </c>
      <c r="D7" s="6" t="inlineStr">
        <is>
          <t>2026-01-01</t>
        </is>
      </c>
      <c r="E7" s="6" t="inlineStr">
        <is>
          <t>Payroll</t>
        </is>
      </c>
      <c r="F7" s="6" t="inlineStr">
        <is>
          <t>Controller</t>
        </is>
      </c>
      <c r="G7" s="6" t="inlineStr">
        <is>
          <t>Estimate analysis only</t>
        </is>
      </c>
    </row>
    <row r="8">
      <c r="A8" s="6" t="inlineStr">
        <is>
          <t>Employer payroll tax</t>
        </is>
      </c>
      <c r="B8" s="7" t="n">
        <v>5.95</v>
      </c>
      <c r="C8" s="6" t="inlineStr">
        <is>
          <t>Blended statutory burden</t>
        </is>
      </c>
      <c r="D8" s="6" t="inlineStr">
        <is>
          <t>2026-01-01</t>
        </is>
      </c>
      <c r="E8" s="6" t="inlineStr">
        <is>
          <t>Payroll</t>
        </is>
      </c>
      <c r="F8" s="6" t="inlineStr">
        <is>
          <t>Controller</t>
        </is>
      </c>
      <c r="G8" s="6" t="inlineStr">
        <is>
          <t>Estimate analysis only</t>
        </is>
      </c>
    </row>
    <row r="9">
      <c r="A9" s="6" t="inlineStr">
        <is>
          <t>Workers comp / liability</t>
        </is>
      </c>
      <c r="B9" s="7" t="n">
        <v>4.7</v>
      </c>
      <c r="C9" s="6" t="inlineStr">
        <is>
          <t>Renewal exposure allocation</t>
        </is>
      </c>
      <c r="D9" s="6" t="inlineStr">
        <is>
          <t>2026-01-01</t>
        </is>
      </c>
      <c r="E9" s="6" t="inlineStr">
        <is>
          <t>Risk</t>
        </is>
      </c>
      <c r="F9" s="6" t="inlineStr">
        <is>
          <t>Controller</t>
        </is>
      </c>
      <c r="G9" s="6" t="inlineStr">
        <is>
          <t>Estimate analysis only</t>
        </is>
      </c>
    </row>
    <row r="10">
      <c r="A10" s="6" t="inlineStr">
        <is>
          <t>Small tools / field supervision</t>
        </is>
      </c>
      <c r="B10" s="7" t="n">
        <v>9</v>
      </c>
      <c r="C10" s="6" t="inlineStr">
        <is>
          <t>Approved estimating burden</t>
        </is>
      </c>
      <c r="D10" s="6" t="inlineStr">
        <is>
          <t>2026-01-01</t>
        </is>
      </c>
      <c r="E10" s="6" t="inlineStr">
        <is>
          <t>Operations</t>
        </is>
      </c>
      <c r="F10" s="6" t="inlineStr">
        <is>
          <t>VP Operations</t>
        </is>
      </c>
      <c r="G10" s="6" t="inlineStr">
        <is>
          <t>Estimate analysis only</t>
        </is>
      </c>
    </row>
    <row r="11">
      <c r="A11" s="8" t="inlineStr">
        <is>
          <t>Q2 blended loaded rate</t>
        </is>
      </c>
      <c r="B11" s="9">
        <f>SUM(B6:B10)</f>
        <v/>
      </c>
      <c r="C11" s="8" t="inlineStr">
        <is>
          <t>Sum of approved components</t>
        </is>
      </c>
      <c r="D11" s="8" t="inlineStr">
        <is>
          <t>2026-01-01</t>
        </is>
      </c>
      <c r="E11" s="8" t="inlineStr">
        <is>
          <t>FP&amp;A</t>
        </is>
      </c>
      <c r="F11" s="8" t="inlineStr">
        <is>
          <t>Controller / VP Ops</t>
        </is>
      </c>
      <c r="G11" s="8" t="inlineStr">
        <is>
          <t>Use for Q2 rework sensitivity</t>
        </is>
      </c>
    </row>
    <row r="12"/>
    <row r="13">
      <c r="A13" s="10" t="inlineStr">
        <is>
          <t>Control — component count</t>
        </is>
      </c>
      <c r="B13" s="10">
        <f>COUNTA(A6:A10)</f>
        <v/>
      </c>
    </row>
    <row r="14">
      <c r="A14" s="10" t="inlineStr">
        <is>
          <t>Control — component total</t>
        </is>
      </c>
      <c r="B14" s="11">
        <f>SUM(B6:B10)</f>
        <v/>
      </c>
    </row>
    <row r="15">
      <c r="A15" s="10" t="inlineStr">
        <is>
          <t>Control — approved rate delta</t>
        </is>
      </c>
      <c r="B15" s="11">
        <f>B11-84.5</f>
        <v/>
      </c>
    </row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2026-07-28T10:45:27Z</dcterms:modified>
  <cp:lastModifiedBy>Unknown</cp:lastModifiedBy>
</cp:coreProperties>
</file>