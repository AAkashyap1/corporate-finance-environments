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Provision and Cash Tax" sheetId="2" state="visible" r:id="rId2"/>
    <sheet xmlns:r="http://schemas.openxmlformats.org/officeDocument/2006/relationships" name="State Tax" sheetId="3" state="visible" r:id="rId3"/>
    <sheet xmlns:r="http://schemas.openxmlformats.org/officeDocument/2006/relationships" name="Non-GAAP and Revenue" sheetId="4" state="visible" r:id="rId4"/>
    <sheet xmlns:r="http://schemas.openxmlformats.org/officeDocument/2006/relationships" name="Data Checks" sheetId="5" state="visible" r:id="rId5"/>
  </sheets>
  <definedNames>
    <definedName name="_xlnm._FilterDatabase" localSheetId="1" hidden="1">'Provision and Cash Tax'!$A$4:$M$44</definedName>
    <definedName name="_xlnm._FilterDatabase" localSheetId="2" hidden="1">'State Tax'!$A$4:$M$32</definedName>
    <definedName name="_xlnm._FilterDatabase" localSheetId="3" hidden="1">'Non-GAAP and Revenue'!$A$4:$M$64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9">
    <font>
      <name val="Carlito"/>
      <sz val="11"/>
    </font>
    <font>
      <name val="Aptos"/>
      <b val="1"/>
      <color rgb="FF252321"/>
      <sz val="10"/>
    </font>
    <font>
      <name val="Aptos"/>
      <color rgb="FF8B3A3A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7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F3E6D5"/>
      </patternFill>
    </fill>
    <fill>
      <patternFill patternType="solid">
        <fgColor rgb="FF8B5E3C"/>
      </patternFill>
    </fill>
    <fill>
      <patternFill patternType="solid">
        <fgColor rgb="FF5A7669"/>
      </patternFill>
    </fill>
    <fill>
      <patternFill patternType="solid">
        <fgColor rgb="FFFFF8E1"/>
      </patternFill>
    </fill>
  </fills>
  <borders count="10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0" fillId="5" borderId="0" pivotButton="0" quotePrefix="0" xfId="0"/>
    <xf numFmtId="0" fontId="6" fillId="5" borderId="0" pivotButton="0" quotePrefix="0" xfId="0"/>
    <xf numFmtId="0" fontId="6" fillId="5" borderId="1" pivotButton="0" quotePrefix="0" xfId="0"/>
    <xf numFmtId="0" fontId="6" fillId="5" borderId="2" pivotButton="0" quotePrefix="0" xfId="0"/>
    <xf numFmtId="0" fontId="6" fillId="5" borderId="3" pivotButton="0" quotePrefix="0" xfId="0"/>
    <xf numFmtId="0" fontId="6" fillId="5" borderId="1" applyAlignment="1" pivotButton="0" quotePrefix="0" xfId="0">
      <alignment wrapText="1"/>
    </xf>
    <xf numFmtId="0" fontId="6" fillId="5" borderId="2" applyAlignment="1" pivotButton="0" quotePrefix="0" xfId="0">
      <alignment wrapText="1"/>
    </xf>
    <xf numFmtId="0" fontId="6" fillId="5" borderId="3" applyAlignment="1" pivotButton="0" quotePrefix="0" xfId="0">
      <alignment wrapText="1"/>
    </xf>
    <xf numFmtId="0" fontId="6" fillId="5" borderId="1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6" fillId="5" borderId="3" applyAlignment="1" pivotButton="0" quotePrefix="0" xfId="0">
      <alignment vertical="center" wrapText="1"/>
    </xf>
    <xf numFmtId="0" fontId="7" fillId="0" borderId="0" pivotButton="0" quotePrefix="0" xfId="0"/>
    <xf numFmtId="0" fontId="7" fillId="0" borderId="4" pivotButton="0" quotePrefix="0" xfId="0"/>
    <xf numFmtId="0" fontId="7" fillId="0" borderId="5" pivotButton="0" quotePrefix="0" xfId="0"/>
    <xf numFmtId="0" fontId="7" fillId="0" borderId="6" pivotButton="0" quotePrefix="0" xfId="0"/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164" fontId="7" fillId="0" borderId="4" applyAlignment="1" pivotButton="0" quotePrefix="0" xfId="0">
      <alignment vertical="center"/>
    </xf>
    <xf numFmtId="164" fontId="7" fillId="0" borderId="5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165" fontId="7" fillId="0" borderId="5" applyAlignment="1" pivotButton="0" quotePrefix="0" xfId="0">
      <alignment vertical="center"/>
    </xf>
    <xf numFmtId="165" fontId="7" fillId="0" borderId="6" applyAlignment="1" pivotButton="0" quotePrefix="0" xfId="0">
      <alignment vertical="center"/>
    </xf>
    <xf numFmtId="0" fontId="7" fillId="6" borderId="4" applyAlignment="1" pivotButton="0" quotePrefix="0" xfId="0">
      <alignment vertical="center"/>
    </xf>
    <xf numFmtId="0" fontId="7" fillId="6" borderId="5" applyAlignment="1" pivotButton="0" quotePrefix="0" xfId="0">
      <alignment vertical="center"/>
    </xf>
    <xf numFmtId="0" fontId="7" fillId="6" borderId="6" applyAlignment="1" pivotButton="0" quotePrefix="0" xfId="0">
      <alignment vertical="center"/>
    </xf>
    <xf numFmtId="0" fontId="8" fillId="0" borderId="0" pivotButton="0" quotePrefix="0" xfId="0"/>
    <xf numFmtId="0" fontId="8" fillId="0" borderId="7" pivotButton="0" quotePrefix="0" xfId="0"/>
    <xf numFmtId="0" fontId="8" fillId="0" borderId="8" pivotButton="0" quotePrefix="0" xfId="0"/>
    <xf numFmtId="0" fontId="8" fillId="0" borderId="9" pivotButton="0" quotePrefix="0" xfId="0"/>
    <xf numFmtId="0" fontId="8" fillId="3" borderId="7" pivotButton="0" quotePrefix="0" xfId="0"/>
    <xf numFmtId="0" fontId="8" fillId="3" borderId="8" pivotButton="0" quotePrefix="0" xfId="0"/>
    <xf numFmtId="0" fontId="8" fillId="3" borderId="9" pivotButton="0" quotePrefix="0" xfId="0"/>
    <xf numFmtId="164" fontId="7" fillId="0" borderId="4" applyAlignment="1" pivotButton="0" quotePrefix="0" xfId="0">
      <alignment vertical="center"/>
    </xf>
    <xf numFmtId="165" fontId="7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Prior working version</t>
        </is>
      </c>
    </row>
    <row r="8">
      <c r="A8" s="2" t="inlineStr">
        <is>
          <t>Workbook status</t>
        </is>
      </c>
      <c r="B8" s="5" t="inlineStr">
        <is>
          <t>PRIOR REVIEW COPY • NOT CURRENT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Change history only; resolve current decisions from controller-reviewed sources and correspondence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FY26 tax provision and controllership definitions | Provision and Cash Tax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TAX-00063</t>
        </is>
      </c>
      <c r="B5" s="27" t="inlineStr">
        <is>
          <t>Complete the annual income-tax provision model</t>
        </is>
      </c>
      <c r="C5" s="27" t="inlineStr">
        <is>
          <t>Trial Balance</t>
        </is>
      </c>
      <c r="D5" s="27" t="inlineStr">
        <is>
          <t>Revenue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Pretax book amount</t>
        </is>
      </c>
      <c r="H5" s="46" t="n">
        <v>50298843.5507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TAX-00064</t>
        </is>
      </c>
      <c r="B6" s="27" t="inlineStr">
        <is>
          <t>Complete the annual income-tax provision model</t>
        </is>
      </c>
      <c r="C6" s="27" t="inlineStr">
        <is>
          <t>Tax Adjustments</t>
        </is>
      </c>
      <c r="D6" s="27" t="inlineStr">
        <is>
          <t>Bonus accrual</t>
        </is>
      </c>
      <c r="E6" s="27" t="inlineStr">
        <is>
          <t>FY26</t>
        </is>
      </c>
      <c r="F6" s="27" t="inlineStr">
        <is>
          <t>Management stretch</t>
        </is>
      </c>
      <c r="G6" s="27" t="inlineStr">
        <is>
          <t>Taxable-income adjustment</t>
        </is>
      </c>
      <c r="H6" s="46" t="n">
        <v>322.4</v>
      </c>
      <c r="I6" s="27" t="inlineStr"/>
      <c r="J6" s="27" t="inlineStr">
        <is>
          <t>USD thousands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TAX-00065</t>
        </is>
      </c>
      <c r="B7" s="27" t="inlineStr">
        <is>
          <t>Complete the annual income-tax provision model</t>
        </is>
      </c>
      <c r="C7" s="27" t="inlineStr">
        <is>
          <t>Tax policy</t>
        </is>
      </c>
      <c r="D7" s="27" t="inlineStr">
        <is>
          <t>Alder Ridge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Property factor weight</t>
        </is>
      </c>
      <c r="H7" s="46" t="n">
        <v>0.2625</v>
      </c>
      <c r="I7" s="27" t="inlineStr"/>
      <c r="J7" s="27" t="inlineStr">
        <is>
          <t>decimal ratio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TAX-00066</t>
        </is>
      </c>
      <c r="B8" s="27" t="inlineStr">
        <is>
          <t>Complete the annual income-tax provision model</t>
        </is>
      </c>
      <c r="C8" s="27" t="inlineStr">
        <is>
          <t>FY26 provision state apportionment</t>
        </is>
      </c>
      <c r="D8" s="27" t="inlineStr">
        <is>
          <t>Oregon</t>
        </is>
      </c>
      <c r="E8" s="27" t="inlineStr">
        <is>
          <t>FY26</t>
        </is>
      </c>
      <c r="F8" s="27" t="inlineStr">
        <is>
          <t>Management stretch</t>
        </is>
      </c>
      <c r="G8" s="27" t="inlineStr">
        <is>
          <t>Payroll factor numerator</t>
        </is>
      </c>
      <c r="H8" s="46" t="n">
        <v>4223000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TAX-00067</t>
        </is>
      </c>
      <c r="B9" s="27" t="inlineStr">
        <is>
          <t>Complete the annual income-tax provision model</t>
        </is>
      </c>
      <c r="C9" s="27" t="inlineStr">
        <is>
          <t>FY26 provision state apportionment</t>
        </is>
      </c>
      <c r="D9" s="27" t="inlineStr">
        <is>
          <t>Washington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Available state NOL</t>
        </is>
      </c>
      <c r="H9" s="46" t="n">
        <v>0</v>
      </c>
      <c r="I9" s="27" t="inlineStr"/>
      <c r="J9" s="27" t="inlineStr">
        <is>
          <t>USD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TAX-00068</t>
        </is>
      </c>
      <c r="B10" s="27" t="inlineStr">
        <is>
          <t>Complete the annual income-tax provision model</t>
        </is>
      </c>
      <c r="C10" s="27" t="inlineStr">
        <is>
          <t>FY26 provision state apportionment</t>
        </is>
      </c>
      <c r="D10" s="27" t="inlineStr">
        <is>
          <t>Idaho</t>
        </is>
      </c>
      <c r="E10" s="27" t="inlineStr">
        <is>
          <t>FY26</t>
        </is>
      </c>
      <c r="F10" s="27" t="inlineStr">
        <is>
          <t>Management stretch</t>
        </is>
      </c>
      <c r="G10" s="27" t="inlineStr">
        <is>
          <t>Property factor numerator</t>
        </is>
      </c>
      <c r="H10" s="46" t="n">
        <v>1575</v>
      </c>
      <c r="I10" s="27" t="inlineStr"/>
      <c r="J10" s="27" t="inlineStr">
        <is>
          <t>USD thousands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TAX-00069</t>
        </is>
      </c>
      <c r="B11" s="27" t="inlineStr">
        <is>
          <t>Complete the annual income-tax provision model</t>
        </is>
      </c>
      <c r="C11" s="27" t="inlineStr">
        <is>
          <t>Deferred tax inventory</t>
        </is>
      </c>
      <c r="D11" s="27" t="inlineStr">
        <is>
          <t>Deferred service revenue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Enacted measurement rate</t>
        </is>
      </c>
      <c r="H11" s="46" t="n">
        <v>0.26574</v>
      </c>
      <c r="I11" s="27" t="inlineStr"/>
      <c r="J11" s="27" t="inlineStr">
        <is>
          <t>decimal ratio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TAX-00070</t>
        </is>
      </c>
      <c r="B12" s="27" t="inlineStr">
        <is>
          <t>Complete the annual income-tax provision model</t>
        </is>
      </c>
      <c r="C12" s="27" t="inlineStr">
        <is>
          <t>Deferred tax inventory</t>
        </is>
      </c>
      <c r="D12" s="27" t="inlineStr">
        <is>
          <t>State tax credit</t>
        </is>
      </c>
      <c r="E12" s="27" t="inlineStr">
        <is>
          <t>2026-06-30</t>
        </is>
      </c>
      <c r="F12" s="27" t="inlineStr">
        <is>
          <t>Management stretch</t>
        </is>
      </c>
      <c r="G12" s="27" t="inlineStr">
        <is>
          <t>Temporary difference or credit</t>
        </is>
      </c>
      <c r="H12" s="46" t="n">
        <v>234000</v>
      </c>
      <c r="I12" s="27" t="inlineStr"/>
      <c r="J12" s="27" t="inlineStr">
        <is>
          <t>USD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TAX-00071</t>
        </is>
      </c>
      <c r="B13" s="27" t="inlineStr">
        <is>
          <t>Complete the annual income-tax provision model</t>
        </is>
      </c>
      <c r="C13" s="27" t="inlineStr">
        <is>
          <t>Tax Adjustments</t>
        </is>
      </c>
      <c r="D13" s="27" t="inlineStr">
        <is>
          <t>Meals nondeductible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Taxable-income adjustment</t>
        </is>
      </c>
      <c r="H13" s="46" t="n">
        <v>89250</v>
      </c>
      <c r="I13" s="27" t="inlineStr"/>
      <c r="J13" s="27" t="inlineStr">
        <is>
          <t>USD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TAX-00072</t>
        </is>
      </c>
      <c r="B14" s="27" t="inlineStr">
        <is>
          <t>Complete the annual income-tax provision model</t>
        </is>
      </c>
      <c r="C14" s="27" t="inlineStr">
        <is>
          <t>Tax policy</t>
        </is>
      </c>
      <c r="D14" s="27" t="inlineStr">
        <is>
          <t>Alder Ridge</t>
        </is>
      </c>
      <c r="E14" s="27" t="inlineStr">
        <is>
          <t>FY26</t>
        </is>
      </c>
      <c r="F14" s="27" t="inlineStr">
        <is>
          <t>Management stretch</t>
        </is>
      </c>
      <c r="G14" s="27" t="inlineStr">
        <is>
          <t>Beginning DTL</t>
        </is>
      </c>
      <c r="H14" s="46" t="n">
        <v>906.4</v>
      </c>
      <c r="I14" s="27" t="inlineStr"/>
      <c r="J14" s="27" t="inlineStr">
        <is>
          <t>USD thousands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TAX-00095</t>
        </is>
      </c>
      <c r="B15" s="27" t="inlineStr">
        <is>
          <t>Quarterly cash-tax and estimated-payment forecast</t>
        </is>
      </c>
      <c r="C15" s="27" t="inlineStr">
        <is>
          <t>Quarterly taxable-income forecast</t>
        </is>
      </c>
      <c r="D15" s="27" t="inlineStr">
        <is>
          <t>Alder Ridge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Federal taxable income</t>
        </is>
      </c>
      <c r="H15" s="46" t="n">
        <v>2935500</v>
      </c>
      <c r="I15" s="27" t="inlineStr"/>
      <c r="J15" s="27" t="inlineStr">
        <is>
          <t>USD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TAX-00096</t>
        </is>
      </c>
      <c r="B16" s="27" t="inlineStr">
        <is>
          <t>Quarterly cash-tax and estimated-payment forecast</t>
        </is>
      </c>
      <c r="C16" s="27" t="inlineStr">
        <is>
          <t>Quarterly taxable-income forecast</t>
        </is>
      </c>
      <c r="D16" s="27" t="inlineStr">
        <is>
          <t>Alder Ridge</t>
        </is>
      </c>
      <c r="E16" s="27" t="inlineStr">
        <is>
          <t>2026-Q4</t>
        </is>
      </c>
      <c r="F16" s="27" t="inlineStr">
        <is>
          <t>Management stretch</t>
        </is>
      </c>
      <c r="G16" s="27" t="inlineStr">
        <is>
          <t>State credits</t>
        </is>
      </c>
      <c r="H16" s="46" t="n">
        <v>18.72</v>
      </c>
      <c r="I16" s="27" t="inlineStr"/>
      <c r="J16" s="27" t="inlineStr">
        <is>
          <t>USD thousands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TAX-00097</t>
        </is>
      </c>
      <c r="B17" s="27" t="inlineStr">
        <is>
          <t>Quarterly cash-tax and estimated-payment forecast</t>
        </is>
      </c>
      <c r="C17" s="27" t="inlineStr">
        <is>
          <t>Quarterly taxable-income forecast</t>
        </is>
      </c>
      <c r="D17" s="27" t="inlineStr">
        <is>
          <t>Alder Ridge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Federal credits</t>
        </is>
      </c>
      <c r="H17" s="46" t="n">
        <v>68250</v>
      </c>
      <c r="I17" s="27" t="inlineStr"/>
      <c r="J17" s="27" t="inlineStr">
        <is>
          <t>USD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TAX-00098</t>
        </is>
      </c>
      <c r="B18" s="27" t="inlineStr">
        <is>
          <t>Quarterly cash-tax and estimated-payment forecast</t>
        </is>
      </c>
      <c r="C18" s="27" t="inlineStr">
        <is>
          <t>Estimated-payment policy</t>
        </is>
      </c>
      <c r="D18" s="27" t="inlineStr">
        <is>
          <t>Alder Ridge</t>
        </is>
      </c>
      <c r="E18" s="27" t="inlineStr">
        <is>
          <t>Forecast horizon</t>
        </is>
      </c>
      <c r="F18" s="27" t="inlineStr">
        <is>
          <t>Management stretch</t>
        </is>
      </c>
      <c r="G18" s="27" t="inlineStr">
        <is>
          <t>State safe-harbor percent</t>
        </is>
      </c>
      <c r="H18" s="46" t="n">
        <v>0.9784999999999999</v>
      </c>
      <c r="I18" s="27" t="inlineStr"/>
      <c r="J18" s="27" t="inlineStr">
        <is>
          <t>decimal ratio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TAX-00099</t>
        </is>
      </c>
      <c r="B19" s="27" t="inlineStr">
        <is>
          <t>Quarterly cash-tax and estimated-payment forecast</t>
        </is>
      </c>
      <c r="C19" s="27" t="inlineStr">
        <is>
          <t>Quarterly taxable-income forecast</t>
        </is>
      </c>
      <c r="D19" s="27" t="inlineStr">
        <is>
          <t>Alder Ridge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Federal credits</t>
        </is>
      </c>
      <c r="H19" s="46" t="n">
        <v>67600</v>
      </c>
      <c r="I19" s="27" t="inlineStr"/>
      <c r="J19" s="27" t="inlineStr">
        <is>
          <t>USD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TAX-00100</t>
        </is>
      </c>
      <c r="B20" s="27" t="inlineStr">
        <is>
          <t>Quarterly cash-tax and estimated-payment forecast</t>
        </is>
      </c>
      <c r="C20" s="27" t="inlineStr">
        <is>
          <t>Quarterly taxable-income forecast</t>
        </is>
      </c>
      <c r="D20" s="27" t="inlineStr">
        <is>
          <t>Alder Ridge</t>
        </is>
      </c>
      <c r="E20" s="27" t="inlineStr">
        <is>
          <t>2027-Q2</t>
        </is>
      </c>
      <c r="F20" s="27" t="inlineStr">
        <is>
          <t>Management stretch</t>
        </is>
      </c>
      <c r="G20" s="27" t="inlineStr">
        <is>
          <t>State taxable income</t>
        </is>
      </c>
      <c r="H20" s="46" t="n">
        <v>3487.575</v>
      </c>
      <c r="I20" s="27" t="inlineStr"/>
      <c r="J20" s="27" t="inlineStr">
        <is>
          <t>USD thousands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TAX-00101</t>
        </is>
      </c>
      <c r="B21" s="27" t="inlineStr">
        <is>
          <t>Quarterly cash-tax and estimated-payment forecast</t>
        </is>
      </c>
      <c r="C21" s="27" t="inlineStr">
        <is>
          <t>Estimated-payment policy</t>
        </is>
      </c>
      <c r="D21" s="27" t="inlineStr">
        <is>
          <t>Alder Ridge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Federal safe-harbor percent</t>
        </is>
      </c>
      <c r="H21" s="46" t="n">
        <v>0.927</v>
      </c>
      <c r="I21" s="27" t="inlineStr"/>
      <c r="J21" s="27" t="inlineStr">
        <is>
          <t>decimal ratio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TAX-00102</t>
        </is>
      </c>
      <c r="B22" s="27" t="inlineStr">
        <is>
          <t>Quarterly cash-tax and estimated-payment forecast</t>
        </is>
      </c>
      <c r="C22" s="27" t="inlineStr">
        <is>
          <t>Quarterly taxable-income forecast</t>
        </is>
      </c>
      <c r="D22" s="27" t="inlineStr">
        <is>
          <t>Alder Ridge</t>
        </is>
      </c>
      <c r="E22" s="27" t="inlineStr">
        <is>
          <t>2026-Q4</t>
        </is>
      </c>
      <c r="F22" s="27" t="inlineStr">
        <is>
          <t>Management stretch</t>
        </is>
      </c>
      <c r="G22" s="27" t="inlineStr">
        <is>
          <t>State taxable income</t>
        </is>
      </c>
      <c r="H22" s="46" t="n">
        <v>3217760</v>
      </c>
      <c r="I22" s="27" t="inlineStr"/>
      <c r="J22" s="27" t="inlineStr">
        <is>
          <t>USD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TAX-00103</t>
        </is>
      </c>
      <c r="B23" s="27" t="inlineStr">
        <is>
          <t>Quarterly cash-tax and estimated-payment forecast</t>
        </is>
      </c>
      <c r="C23" s="27" t="inlineStr">
        <is>
          <t>Quarterly taxable-income forecast</t>
        </is>
      </c>
      <c r="D23" s="27" t="inlineStr">
        <is>
          <t>Alder Ridge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Federal taxable income</t>
        </is>
      </c>
      <c r="H23" s="46" t="n">
        <v>3832500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TAX-00104</t>
        </is>
      </c>
      <c r="B24" s="27" t="inlineStr">
        <is>
          <t>Quarterly cash-tax and estimated-payment forecast</t>
        </is>
      </c>
      <c r="C24" s="27" t="inlineStr">
        <is>
          <t>Estimated-payment policy</t>
        </is>
      </c>
      <c r="D24" s="27" t="inlineStr">
        <is>
          <t>Alder Ridge</t>
        </is>
      </c>
      <c r="E24" s="27" t="inlineStr">
        <is>
          <t>Forecast horizon</t>
        </is>
      </c>
      <c r="F24" s="27" t="inlineStr">
        <is>
          <t>Management stretch</t>
        </is>
      </c>
      <c r="G24" s="27" t="inlineStr">
        <is>
          <t>Opening state payable</t>
        </is>
      </c>
      <c r="H24" s="46" t="n">
        <v>46.35</v>
      </c>
      <c r="I24" s="27" t="inlineStr"/>
      <c r="J24" s="27" t="inlineStr">
        <is>
          <t>USD thousands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TAX-00251</t>
        </is>
      </c>
      <c r="B25" s="27" t="inlineStr">
        <is>
          <t>Deferred tax, NOL, and Section 163(j) roll-forward</t>
        </is>
      </c>
      <c r="C25" s="27" t="inlineStr">
        <is>
          <t>Deferred tax temporary differences</t>
        </is>
      </c>
      <c r="D25" s="27" t="inlineStr">
        <is>
          <t>Accelerated tax depreciation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Temporary difference</t>
        </is>
      </c>
      <c r="H25" s="46" t="n">
        <v>2935500</v>
      </c>
      <c r="I25" s="27" t="inlineStr"/>
      <c r="J25" s="27" t="inlineStr">
        <is>
          <t>USD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TAX-00252</t>
        </is>
      </c>
      <c r="B26" s="27" t="inlineStr">
        <is>
          <t>Deferred tax, NOL, and Section 163(j) roll-forward</t>
        </is>
      </c>
      <c r="C26" s="27" t="inlineStr">
        <is>
          <t>Deferred tax temporary differences</t>
        </is>
      </c>
      <c r="D26" s="27" t="inlineStr">
        <is>
          <t>Bad debt reserve</t>
        </is>
      </c>
      <c r="E26" s="27" t="inlineStr">
        <is>
          <t>2026-06-30</t>
        </is>
      </c>
      <c r="F26" s="27" t="inlineStr">
        <is>
          <t>Management stretch</t>
        </is>
      </c>
      <c r="G26" s="27" t="inlineStr">
        <is>
          <t>Enacted tax rate</t>
        </is>
      </c>
      <c r="H26" s="46" t="n">
        <v>0.2704</v>
      </c>
      <c r="I26" s="27" t="inlineStr"/>
      <c r="J26" s="27" t="inlineStr">
        <is>
          <t>decimal ratio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TAX-00253</t>
        </is>
      </c>
      <c r="B27" s="27" t="inlineStr">
        <is>
          <t>Deferred tax, NOL, and Section 163(j) roll-forward</t>
        </is>
      </c>
      <c r="C27" s="27" t="inlineStr">
        <is>
          <t>Federal NOL vintages</t>
        </is>
      </c>
      <c r="D27" s="27" t="inlineStr">
        <is>
          <t>Alder Ridge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NOL carryforward</t>
        </is>
      </c>
      <c r="H27" s="46" t="n">
        <v>798000</v>
      </c>
      <c r="I27" s="27" t="inlineStr"/>
      <c r="J27" s="27" t="inlineStr">
        <is>
          <t>USD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TAX-00254</t>
        </is>
      </c>
      <c r="B28" s="27" t="inlineStr">
        <is>
          <t>Deferred tax, NOL, and Section 163(j) roll-forward</t>
        </is>
      </c>
      <c r="C28" s="27" t="inlineStr">
        <is>
          <t>Tax provision rollforward inputs</t>
        </is>
      </c>
      <c r="D28" s="27" t="inlineStr">
        <is>
          <t>Alder Ridge</t>
        </is>
      </c>
      <c r="E28" s="27" t="inlineStr">
        <is>
          <t>FY26</t>
        </is>
      </c>
      <c r="F28" s="27" t="inlineStr">
        <is>
          <t>Management stretch</t>
        </is>
      </c>
      <c r="G28" s="27" t="inlineStr">
        <is>
          <t>Blended state rate net of federal benefit</t>
        </is>
      </c>
      <c r="H28" s="46" t="n">
        <v>0.0515</v>
      </c>
      <c r="I28" s="27" t="inlineStr"/>
      <c r="J28" s="27" t="inlineStr">
        <is>
          <t>decimal ratio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TAX-00255</t>
        </is>
      </c>
      <c r="B29" s="27" t="inlineStr">
        <is>
          <t>Deferred tax, NOL, and Section 163(j) roll-forward</t>
        </is>
      </c>
      <c r="C29" s="27" t="inlineStr">
        <is>
          <t>Deferred tax temporary differences</t>
        </is>
      </c>
      <c r="D29" s="27" t="inlineStr">
        <is>
          <t>Accrued compensation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Temporary difference</t>
        </is>
      </c>
      <c r="H29" s="46" t="n">
        <v>811200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TAX-00256</t>
        </is>
      </c>
      <c r="B30" s="27" t="inlineStr">
        <is>
          <t>Deferred tax, NOL, and Section 163(j) roll-forward</t>
        </is>
      </c>
      <c r="C30" s="27" t="inlineStr">
        <is>
          <t>Deferred tax temporary differences</t>
        </is>
      </c>
      <c r="D30" s="27" t="inlineStr">
        <is>
          <t>State tax credit</t>
        </is>
      </c>
      <c r="E30" s="27" t="inlineStr">
        <is>
          <t>2026-06-30</t>
        </is>
      </c>
      <c r="F30" s="27" t="inlineStr">
        <is>
          <t>Management stretch</t>
        </is>
      </c>
      <c r="G30" s="27" t="inlineStr">
        <is>
          <t>Enacted tax rate</t>
        </is>
      </c>
      <c r="H30" s="46" t="n">
        <v>1.05</v>
      </c>
      <c r="I30" s="27" t="inlineStr"/>
      <c r="J30" s="27" t="inlineStr">
        <is>
          <t>decimal ratio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TAX-00257</t>
        </is>
      </c>
      <c r="B31" s="27" t="inlineStr">
        <is>
          <t>Deferred tax, NOL, and Section 163(j) roll-forward</t>
        </is>
      </c>
      <c r="C31" s="27" t="inlineStr">
        <is>
          <t>Tax provision rollforward inputs</t>
        </is>
      </c>
      <c r="D31" s="27" t="inlineStr">
        <is>
          <t>Alder Ridge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ATI before interest</t>
        </is>
      </c>
      <c r="H31" s="46" t="n">
        <v>4429000</v>
      </c>
      <c r="I31" s="27" t="inlineStr"/>
      <c r="J31" s="27" t="inlineStr">
        <is>
          <t>USD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TAX-00258</t>
        </is>
      </c>
      <c r="B32" s="27" t="inlineStr">
        <is>
          <t>Deferred tax, NOL, and Section 163(j) roll-forward</t>
        </is>
      </c>
      <c r="C32" s="27" t="inlineStr">
        <is>
          <t>Deferred tax temporary differences</t>
        </is>
      </c>
      <c r="D32" s="27" t="inlineStr">
        <is>
          <t>Accelerated tax depreciation</t>
        </is>
      </c>
      <c r="E32" s="27" t="inlineStr">
        <is>
          <t>2026-06-30</t>
        </is>
      </c>
      <c r="F32" s="27" t="inlineStr">
        <is>
          <t>Management stretch</t>
        </is>
      </c>
      <c r="G32" s="27" t="inlineStr">
        <is>
          <t>Enacted tax rate</t>
        </is>
      </c>
      <c r="H32" s="46" t="n">
        <v>0.2704</v>
      </c>
      <c r="I32" s="27" t="inlineStr"/>
      <c r="J32" s="27" t="inlineStr">
        <is>
          <t>decimal ratio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TAX-00259</t>
        </is>
      </c>
      <c r="B33" s="27" t="inlineStr">
        <is>
          <t>Deferred tax, NOL, and Section 163(j) roll-forward</t>
        </is>
      </c>
      <c r="C33" s="27" t="inlineStr">
        <is>
          <t>Deferred tax temporary differences</t>
        </is>
      </c>
      <c r="D33" s="27" t="inlineStr">
        <is>
          <t>Indefinite-lived goodwill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Temporary difference</t>
        </is>
      </c>
      <c r="H33" s="46" t="n">
        <v>672000</v>
      </c>
      <c r="I33" s="27" t="inlineStr"/>
      <c r="J33" s="27" t="inlineStr">
        <is>
          <t>USD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TAX-00260</t>
        </is>
      </c>
      <c r="B34" s="27" t="inlineStr">
        <is>
          <t>Deferred tax, NOL, and Section 163(j) roll-forward</t>
        </is>
      </c>
      <c r="C34" s="27" t="inlineStr">
        <is>
          <t>Tax provision rollforward inputs</t>
        </is>
      </c>
      <c r="D34" s="27" t="inlineStr">
        <is>
          <t>Alder Ridge</t>
        </is>
      </c>
      <c r="E34" s="27" t="inlineStr">
        <is>
          <t>FY26</t>
        </is>
      </c>
      <c r="F34" s="27" t="inlineStr">
        <is>
          <t>Management stretch</t>
        </is>
      </c>
      <c r="G34" s="27" t="inlineStr">
        <is>
          <t>Preliminary taxable income after full current interest deduction, before Section 163j addback</t>
        </is>
      </c>
      <c r="H34" s="46" t="n">
        <v>4068.5</v>
      </c>
      <c r="I34" s="27" t="inlineStr"/>
      <c r="J34" s="27" t="inlineStr">
        <is>
          <t>USD thousands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TAX-00261</t>
        </is>
      </c>
      <c r="B35" s="27" t="inlineStr">
        <is>
          <t>Deferred tax, NOL, and Section 163(j) roll-forward</t>
        </is>
      </c>
      <c r="C35" s="27" t="inlineStr">
        <is>
          <t>Tax provision rollforward inputs</t>
        </is>
      </c>
      <c r="D35" s="27" t="inlineStr">
        <is>
          <t>Alder Ridge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Valuation allowance on state credit</t>
        </is>
      </c>
      <c r="H35" s="46" t="n">
        <v>0.416</v>
      </c>
      <c r="I35" s="27" t="inlineStr"/>
      <c r="J35" s="27" t="inlineStr">
        <is>
          <t>decimal ratio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TAX-00262</t>
        </is>
      </c>
      <c r="B36" s="27" t="inlineStr">
        <is>
          <t>Deferred tax, NOL, and Section 163(j) roll-forward</t>
        </is>
      </c>
      <c r="C36" s="27" t="inlineStr">
        <is>
          <t>Deferred tax temporary differences</t>
        </is>
      </c>
      <c r="D36" s="27" t="inlineStr">
        <is>
          <t>Accrued compensation</t>
        </is>
      </c>
      <c r="E36" s="27" t="inlineStr">
        <is>
          <t>2026-06-30</t>
        </is>
      </c>
      <c r="F36" s="27" t="inlineStr">
        <is>
          <t>Management stretch</t>
        </is>
      </c>
      <c r="G36" s="27" t="inlineStr">
        <is>
          <t>Enacted tax rate</t>
        </is>
      </c>
      <c r="H36" s="46" t="n">
        <v>0.273</v>
      </c>
      <c r="I36" s="27" t="inlineStr"/>
      <c r="J36" s="27" t="inlineStr">
        <is>
          <t>decimal ratio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TAX-00263</t>
        </is>
      </c>
      <c r="B37" s="27" t="inlineStr">
        <is>
          <t>Deferred tax, NOL, and Section 163(j) roll-forward</t>
        </is>
      </c>
      <c r="C37" s="27" t="inlineStr">
        <is>
          <t>Federal NOL vintages</t>
        </is>
      </c>
      <c r="D37" s="27" t="inlineStr">
        <is>
          <t>Alder Ridge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NOL carryforward</t>
        </is>
      </c>
      <c r="H37" s="46" t="n">
        <v>947600</v>
      </c>
      <c r="I37" s="27" t="inlineStr"/>
      <c r="J37" s="27" t="inlineStr">
        <is>
          <t>USD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TAX-00264</t>
        </is>
      </c>
      <c r="B38" s="27" t="inlineStr">
        <is>
          <t>Deferred tax, NOL, and Section 163(j) roll-forward</t>
        </is>
      </c>
      <c r="C38" s="27" t="inlineStr">
        <is>
          <t>Tax provision rollforward inputs</t>
        </is>
      </c>
      <c r="D38" s="27" t="inlineStr">
        <is>
          <t>Alder Ridge</t>
        </is>
      </c>
      <c r="E38" s="27" t="inlineStr">
        <is>
          <t>FY26</t>
        </is>
      </c>
      <c r="F38" s="27" t="inlineStr">
        <is>
          <t>Management stretch</t>
        </is>
      </c>
      <c r="G38" s="27" t="inlineStr">
        <is>
          <t>Section 163j limit percent</t>
        </is>
      </c>
      <c r="H38" s="46" t="n">
        <v>0.312</v>
      </c>
      <c r="I38" s="27" t="inlineStr"/>
      <c r="J38" s="27" t="inlineStr">
        <is>
          <t>decimal ratio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TAX-00275</t>
        </is>
      </c>
      <c r="B39" s="27" t="inlineStr">
        <is>
          <t>Deferred tax, NOL, and Section 163(j) roll-forward</t>
        </is>
      </c>
      <c r="C39" s="27" t="inlineStr">
        <is>
          <t>Tax attribute forecast</t>
        </is>
      </c>
      <c r="D39" s="27" t="inlineStr">
        <is>
          <t>Alder Ridge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Taxable income after full current interest deduction</t>
        </is>
      </c>
      <c r="H39" s="46" t="n">
        <v>4944000</v>
      </c>
      <c r="I39" s="27" t="inlineStr"/>
      <c r="J39" s="27" t="inlineStr">
        <is>
          <t>USD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TAX-00276</t>
        </is>
      </c>
      <c r="B40" s="27" t="inlineStr">
        <is>
          <t>Deferred tax, NOL, and Section 163(j) roll-forward</t>
        </is>
      </c>
      <c r="C40" s="27" t="inlineStr">
        <is>
          <t>Tax attribute forecast</t>
        </is>
      </c>
      <c r="D40" s="27" t="inlineStr">
        <is>
          <t>Alder Ridge</t>
        </is>
      </c>
      <c r="E40" s="27" t="inlineStr">
        <is>
          <t>FY28</t>
        </is>
      </c>
      <c r="F40" s="27" t="inlineStr">
        <is>
          <t>Management stretch</t>
        </is>
      </c>
      <c r="G40" s="27" t="inlineStr">
        <is>
          <t>Business interest income</t>
        </is>
      </c>
      <c r="H40" s="46" t="n">
        <v>130</v>
      </c>
      <c r="I40" s="27" t="inlineStr"/>
      <c r="J40" s="27" t="inlineStr">
        <is>
          <t>USD thousands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TAX-00277</t>
        </is>
      </c>
      <c r="B41" s="27" t="inlineStr">
        <is>
          <t>Deferred tax, NOL, and Section 163(j) roll-forward</t>
        </is>
      </c>
      <c r="C41" s="27" t="inlineStr">
        <is>
          <t>Tax attribute forecast</t>
        </is>
      </c>
      <c r="D41" s="27" t="inlineStr">
        <is>
          <t>Alder Ridge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Taxable income after full current interest deduction</t>
        </is>
      </c>
      <c r="H41" s="46" t="n">
        <v>5932500</v>
      </c>
      <c r="I41" s="27" t="inlineStr"/>
      <c r="J41" s="27" t="inlineStr">
        <is>
          <t>USD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TAX-00278</t>
        </is>
      </c>
      <c r="B42" s="27" t="inlineStr">
        <is>
          <t>Deferred tax, NOL, and Section 163(j) roll-forward</t>
        </is>
      </c>
      <c r="C42" s="27" t="inlineStr">
        <is>
          <t>Tax attribute forecast</t>
        </is>
      </c>
      <c r="D42" s="27" t="inlineStr">
        <is>
          <t>Alder Ridge</t>
        </is>
      </c>
      <c r="E42" s="27" t="inlineStr">
        <is>
          <t>FY27</t>
        </is>
      </c>
      <c r="F42" s="27" t="inlineStr">
        <is>
          <t>Management stretch</t>
        </is>
      </c>
      <c r="G42" s="27" t="inlineStr">
        <is>
          <t>Current business interest expense</t>
        </is>
      </c>
      <c r="H42" s="46" t="n">
        <v>1565600</v>
      </c>
      <c r="I42" s="27" t="inlineStr"/>
      <c r="J42" s="27" t="inlineStr">
        <is>
          <t>USD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TAX-00279</t>
        </is>
      </c>
      <c r="B43" s="27" t="inlineStr">
        <is>
          <t>Deferred tax, NOL, and Section 163(j) roll-forward</t>
        </is>
      </c>
      <c r="C43" s="27" t="inlineStr">
        <is>
          <t>Tax attribute forecast</t>
        </is>
      </c>
      <c r="D43" s="27" t="inlineStr">
        <is>
          <t>Acquired business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Section 382 limited NOL</t>
        </is>
      </c>
      <c r="H43" s="46" t="n">
        <v>1560000</v>
      </c>
      <c r="I43" s="27" t="inlineStr"/>
      <c r="J43" s="27" t="inlineStr">
        <is>
          <t>USD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TAX-00280</t>
        </is>
      </c>
      <c r="B44" s="27" t="inlineStr">
        <is>
          <t>Deferred tax, NOL, and Section 163(j) roll-forward</t>
        </is>
      </c>
      <c r="C44" s="27" t="inlineStr">
        <is>
          <t>Tax attribute forecast</t>
        </is>
      </c>
      <c r="D44" s="27" t="inlineStr">
        <is>
          <t>Alder Ridge</t>
        </is>
      </c>
      <c r="E44" s="27" t="inlineStr">
        <is>
          <t>FY28</t>
        </is>
      </c>
      <c r="F44" s="27" t="inlineStr">
        <is>
          <t>Management stretch</t>
        </is>
      </c>
      <c r="G44" s="27" t="inlineStr">
        <is>
          <t>Current business interest expense</t>
        </is>
      </c>
      <c r="H44" s="46" t="n">
        <v>1480.5</v>
      </c>
      <c r="I44" s="27" t="inlineStr"/>
      <c r="J44" s="27" t="inlineStr">
        <is>
          <t>USD thousands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</sheetData>
  <autoFilter ref="A4:M44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FY26 tax provision and controllership definitions | State Tax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TAX-00130</t>
        </is>
      </c>
      <c r="B5" s="27" t="inlineStr">
        <is>
          <t>Multistate income-tax apportionment</t>
        </is>
      </c>
      <c r="C5" s="27" t="inlineStr">
        <is>
          <t>State apportionment</t>
        </is>
      </c>
      <c r="D5" s="27" t="inlineStr">
        <is>
          <t>Oregon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Sales factor numerator</t>
        </is>
      </c>
      <c r="H5" s="46" t="n">
        <v>12772000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TAX-00131</t>
        </is>
      </c>
      <c r="B6" s="27" t="inlineStr">
        <is>
          <t>Multistate income-tax apportionment</t>
        </is>
      </c>
      <c r="C6" s="27" t="inlineStr">
        <is>
          <t>State apportionment</t>
        </is>
      </c>
      <c r="D6" s="27" t="inlineStr">
        <is>
          <t>Washington</t>
        </is>
      </c>
      <c r="E6" s="27" t="inlineStr">
        <is>
          <t>FY26</t>
        </is>
      </c>
      <c r="F6" s="27" t="inlineStr">
        <is>
          <t>Management stretch</t>
        </is>
      </c>
      <c r="G6" s="27" t="inlineStr">
        <is>
          <t>Payroll factor numerator</t>
        </is>
      </c>
      <c r="H6" s="46" t="n">
        <v>5408000</v>
      </c>
      <c r="I6" s="27" t="inlineStr"/>
      <c r="J6" s="27" t="inlineStr">
        <is>
          <t>USD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TAX-00132</t>
        </is>
      </c>
      <c r="B7" s="27" t="inlineStr">
        <is>
          <t>Multistate income-tax apportionment</t>
        </is>
      </c>
      <c r="C7" s="27" t="inlineStr">
        <is>
          <t>State apportionment</t>
        </is>
      </c>
      <c r="D7" s="27" t="inlineStr">
        <is>
          <t>California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Available state NOL</t>
        </is>
      </c>
      <c r="H7" s="46" t="n">
        <v>1207.5</v>
      </c>
      <c r="I7" s="27" t="inlineStr"/>
      <c r="J7" s="27" t="inlineStr">
        <is>
          <t>USD thousands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TAX-00133</t>
        </is>
      </c>
      <c r="B8" s="27" t="inlineStr">
        <is>
          <t>Multistate income-tax apportionment</t>
        </is>
      </c>
      <c r="C8" s="27" t="inlineStr">
        <is>
          <t>Apportionment policy</t>
        </is>
      </c>
      <c r="D8" s="27" t="inlineStr">
        <is>
          <t>All states</t>
        </is>
      </c>
      <c r="E8" s="27" t="inlineStr">
        <is>
          <t>FY26</t>
        </is>
      </c>
      <c r="F8" s="27" t="inlineStr">
        <is>
          <t>Management stretch</t>
        </is>
      </c>
      <c r="G8" s="27" t="inlineStr">
        <is>
          <t>Sales factor weight</t>
        </is>
      </c>
      <c r="H8" s="46" t="n">
        <v>0.515</v>
      </c>
      <c r="I8" s="27" t="inlineStr"/>
      <c r="J8" s="27" t="inlineStr">
        <is>
          <t>decimal ratio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TAX-00134</t>
        </is>
      </c>
      <c r="B9" s="27" t="inlineStr">
        <is>
          <t>Multistate income-tax apportionment</t>
        </is>
      </c>
      <c r="C9" s="27" t="inlineStr">
        <is>
          <t>State apportionment</t>
        </is>
      </c>
      <c r="D9" s="27" t="inlineStr">
        <is>
          <t>Oregon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Statutory tax rate</t>
        </is>
      </c>
      <c r="H9" s="46" t="n">
        <v>0.078</v>
      </c>
      <c r="I9" s="27" t="inlineStr"/>
      <c r="J9" s="27" t="inlineStr">
        <is>
          <t>decimal ratio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TAX-00135</t>
        </is>
      </c>
      <c r="B10" s="27" t="inlineStr">
        <is>
          <t>Multistate income-tax apportionment</t>
        </is>
      </c>
      <c r="C10" s="27" t="inlineStr">
        <is>
          <t>State apportionment</t>
        </is>
      </c>
      <c r="D10" s="27" t="inlineStr">
        <is>
          <t>California</t>
        </is>
      </c>
      <c r="E10" s="27" t="inlineStr">
        <is>
          <t>FY26</t>
        </is>
      </c>
      <c r="F10" s="27" t="inlineStr">
        <is>
          <t>Management stretch</t>
        </is>
      </c>
      <c r="G10" s="27" t="inlineStr">
        <is>
          <t>Sales factor numerator</t>
        </is>
      </c>
      <c r="H10" s="46" t="n">
        <v>10290000</v>
      </c>
      <c r="I10" s="27" t="inlineStr"/>
      <c r="J10" s="27" t="inlineStr">
        <is>
          <t>USD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TAX-00136</t>
        </is>
      </c>
      <c r="B11" s="27" t="inlineStr">
        <is>
          <t>Multistate income-tax apportionment</t>
        </is>
      </c>
      <c r="C11" s="27" t="inlineStr">
        <is>
          <t>State apportionment</t>
        </is>
      </c>
      <c r="D11" s="27" t="inlineStr">
        <is>
          <t>Idaho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Payroll factor numerator</t>
        </is>
      </c>
      <c r="H11" s="46" t="n">
        <v>1751</v>
      </c>
      <c r="I11" s="27" t="inlineStr"/>
      <c r="J11" s="27" t="inlineStr">
        <is>
          <t>USD thousands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TAX-00137</t>
        </is>
      </c>
      <c r="B12" s="27" t="inlineStr">
        <is>
          <t>Multistate income-tax apportionment</t>
        </is>
      </c>
      <c r="C12" s="27" t="inlineStr">
        <is>
          <t>Apportionment policy</t>
        </is>
      </c>
      <c r="D12" s="27" t="inlineStr">
        <is>
          <t>All states</t>
        </is>
      </c>
      <c r="E12" s="27" t="inlineStr">
        <is>
          <t>FY26</t>
        </is>
      </c>
      <c r="F12" s="27" t="inlineStr">
        <is>
          <t>Management stretch</t>
        </is>
      </c>
      <c r="G12" s="27" t="inlineStr">
        <is>
          <t>NOL utilization limit</t>
        </is>
      </c>
      <c r="H12" s="46" t="n">
        <v>0.8320000000000001</v>
      </c>
      <c r="I12" s="27" t="inlineStr"/>
      <c r="J12" s="27" t="inlineStr">
        <is>
          <t>decimal ratio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TAX-00138</t>
        </is>
      </c>
      <c r="B13" s="27" t="inlineStr">
        <is>
          <t>Multistate income-tax apportionment</t>
        </is>
      </c>
      <c r="C13" s="27" t="inlineStr">
        <is>
          <t>State apportionment</t>
        </is>
      </c>
      <c r="D13" s="27" t="inlineStr">
        <is>
          <t>Washington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Property factor numerator</t>
        </is>
      </c>
      <c r="H13" s="46" t="n">
        <v>5145000</v>
      </c>
      <c r="I13" s="27" t="inlineStr"/>
      <c r="J13" s="27" t="inlineStr">
        <is>
          <t>USD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TAX-00139</t>
        </is>
      </c>
      <c r="B14" s="27" t="inlineStr">
        <is>
          <t>Multistate income-tax apportionment</t>
        </is>
      </c>
      <c r="C14" s="27" t="inlineStr">
        <is>
          <t>State apportionment</t>
        </is>
      </c>
      <c r="D14" s="27" t="inlineStr">
        <is>
          <t>California</t>
        </is>
      </c>
      <c r="E14" s="27" t="inlineStr">
        <is>
          <t>FY26</t>
        </is>
      </c>
      <c r="F14" s="27" t="inlineStr">
        <is>
          <t>Management stretch</t>
        </is>
      </c>
      <c r="G14" s="27" t="inlineStr">
        <is>
          <t>Statutory tax rate</t>
        </is>
      </c>
      <c r="H14" s="46" t="n">
        <v>0.09105200000000001</v>
      </c>
      <c r="I14" s="27" t="inlineStr"/>
      <c r="J14" s="27" t="inlineStr">
        <is>
          <t>decimal ratio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TAX-00416</t>
        </is>
      </c>
      <c r="B15" s="27" t="inlineStr">
        <is>
          <t>Stock-versus-asset transaction tax structure</t>
        </is>
      </c>
      <c r="C15" s="27" t="inlineStr">
        <is>
          <t>Transaction tax structure</t>
        </is>
      </c>
      <c r="D15" s="27" t="inlineStr">
        <is>
          <t>Pioneer HVAC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Equity purchase price</t>
        </is>
      </c>
      <c r="H15" s="46" t="n">
        <v>32960</v>
      </c>
      <c r="I15" s="27" t="inlineStr"/>
      <c r="J15" s="27" t="inlineStr">
        <is>
          <t>USD thousands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TAX-00417</t>
        </is>
      </c>
      <c r="B16" s="27" t="inlineStr">
        <is>
          <t>Stock-versus-asset transaction tax structure</t>
        </is>
      </c>
      <c r="C16" s="27" t="inlineStr">
        <is>
          <t>Transaction tax structure</t>
        </is>
      </c>
      <c r="D16" s="27" t="inlineStr">
        <is>
          <t>Pioneer HVAC</t>
        </is>
      </c>
      <c r="E16" s="27" t="inlineStr">
        <is>
          <t>Closing</t>
        </is>
      </c>
      <c r="F16" s="27" t="inlineStr">
        <is>
          <t>Management stretch</t>
        </is>
      </c>
      <c r="G16" s="27" t="inlineStr">
        <is>
          <t>Goodwill amortization life</t>
        </is>
      </c>
      <c r="H16" s="46" t="n">
        <v>15.6</v>
      </c>
      <c r="I16" s="27" t="inlineStr"/>
      <c r="J16" s="27" t="inlineStr">
        <is>
          <t>years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TAX-00418</t>
        </is>
      </c>
      <c r="B17" s="27" t="inlineStr">
        <is>
          <t>Stock-versus-asset transaction tax structure</t>
        </is>
      </c>
      <c r="C17" s="27" t="inlineStr">
        <is>
          <t>Transaction tax structure</t>
        </is>
      </c>
      <c r="D17" s="27" t="inlineStr">
        <is>
          <t>Pioneer HVAC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Maximum buyer incremental consideration</t>
        </is>
      </c>
      <c r="H17" s="46" t="n">
        <v>1890000</v>
      </c>
      <c r="I17" s="27" t="inlineStr"/>
      <c r="J17" s="27" t="inlineStr">
        <is>
          <t>USD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TAX-00419</t>
        </is>
      </c>
      <c r="B18" s="27" t="inlineStr">
        <is>
          <t>Stock-versus-asset transaction tax structure</t>
        </is>
      </c>
      <c r="C18" s="27" t="inlineStr">
        <is>
          <t>Transaction tax structure</t>
        </is>
      </c>
      <c r="D18" s="27" t="inlineStr">
        <is>
          <t>Pioneer HVAC</t>
        </is>
      </c>
      <c r="E18" s="27" t="inlineStr">
        <is>
          <t>Closing</t>
        </is>
      </c>
      <c r="F18" s="27" t="inlineStr">
        <is>
          <t>Management stretch</t>
        </is>
      </c>
      <c r="G18" s="27" t="inlineStr">
        <is>
          <t>Depreciation life</t>
        </is>
      </c>
      <c r="H18" s="46" t="n">
        <v>7.21</v>
      </c>
      <c r="I18" s="27" t="inlineStr"/>
      <c r="J18" s="27" t="inlineStr">
        <is>
          <t>years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TAX-00420</t>
        </is>
      </c>
      <c r="B19" s="27" t="inlineStr">
        <is>
          <t>Stock-versus-asset transaction tax structure</t>
        </is>
      </c>
      <c r="C19" s="27" t="inlineStr">
        <is>
          <t>Transaction tax structure</t>
        </is>
      </c>
      <c r="D19" s="27" t="inlineStr">
        <is>
          <t>Pioneer HVAC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Section 338 election legal feasibility</t>
        </is>
      </c>
      <c r="H19" s="46" t="n">
        <v>1.04</v>
      </c>
      <c r="I19" s="27" t="inlineStr"/>
      <c r="J19" s="27" t="inlineStr">
        <is>
          <t>boolean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TAX-00421</t>
        </is>
      </c>
      <c r="B20" s="27" t="inlineStr">
        <is>
          <t>Stock-versus-asset transaction tax structure</t>
        </is>
      </c>
      <c r="C20" s="27" t="inlineStr">
        <is>
          <t>Transaction tax structure</t>
        </is>
      </c>
      <c r="D20" s="27" t="inlineStr">
        <is>
          <t>Pioneer HVAC</t>
        </is>
      </c>
      <c r="E20" s="27" t="inlineStr">
        <is>
          <t>Closing</t>
        </is>
      </c>
      <c r="F20" s="27" t="inlineStr">
        <is>
          <t>Management stretch</t>
        </is>
      </c>
      <c r="G20" s="27" t="inlineStr">
        <is>
          <t>Amortizable goodwill step-up</t>
        </is>
      </c>
      <c r="H20" s="46" t="n">
        <v>7455000</v>
      </c>
      <c r="I20" s="27" t="inlineStr"/>
      <c r="J20" s="27" t="inlineStr">
        <is>
          <t>USD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TAX-00422</t>
        </is>
      </c>
      <c r="B21" s="27" t="inlineStr">
        <is>
          <t>Stock-versus-asset transaction tax structure</t>
        </is>
      </c>
      <c r="C21" s="27" t="inlineStr">
        <is>
          <t>Transaction tax structure</t>
        </is>
      </c>
      <c r="D21" s="27" t="inlineStr">
        <is>
          <t>Pioneer HVAC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Asset-deal transaction costs</t>
        </is>
      </c>
      <c r="H21" s="46" t="n">
        <v>1081500</v>
      </c>
      <c r="I21" s="27" t="inlineStr"/>
      <c r="J21" s="27" t="inlineStr">
        <is>
          <t>USD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TAX-00423</t>
        </is>
      </c>
      <c r="B22" s="27" t="inlineStr">
        <is>
          <t>Stock-versus-asset transaction tax structure</t>
        </is>
      </c>
      <c r="C22" s="27" t="inlineStr">
        <is>
          <t>Transaction tax structure</t>
        </is>
      </c>
      <c r="D22" s="27" t="inlineStr">
        <is>
          <t>Pioneer HVAC</t>
        </is>
      </c>
      <c r="E22" s="27" t="inlineStr">
        <is>
          <t>Closing</t>
        </is>
      </c>
      <c r="F22" s="27" t="inlineStr">
        <is>
          <t>Management stretch</t>
        </is>
      </c>
      <c r="G22" s="27" t="inlineStr">
        <is>
          <t>Depreciable step-up</t>
        </is>
      </c>
      <c r="H22" s="46" t="n">
        <v>13104000</v>
      </c>
      <c r="I22" s="27" t="inlineStr"/>
      <c r="J22" s="27" t="inlineStr">
        <is>
          <t>USD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TAX-00424</t>
        </is>
      </c>
      <c r="B23" s="27" t="inlineStr">
        <is>
          <t>Stock-versus-asset transaction tax structure</t>
        </is>
      </c>
      <c r="C23" s="27" t="inlineStr">
        <is>
          <t>Transaction tax structure</t>
        </is>
      </c>
      <c r="D23" s="27" t="inlineStr">
        <is>
          <t>Pioneer HVAC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Stock-deal transaction costs</t>
        </is>
      </c>
      <c r="H23" s="46" t="n">
        <v>756</v>
      </c>
      <c r="I23" s="27" t="inlineStr"/>
      <c r="J23" s="27" t="inlineStr">
        <is>
          <t>USD thousands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TAX-00425</t>
        </is>
      </c>
      <c r="B24" s="27" t="inlineStr">
        <is>
          <t>Stock-versus-asset transaction tax structure</t>
        </is>
      </c>
      <c r="C24" s="27" t="inlineStr">
        <is>
          <t>Transaction tax structure</t>
        </is>
      </c>
      <c r="D24" s="27" t="inlineStr">
        <is>
          <t>Pioneer HVAC</t>
        </is>
      </c>
      <c r="E24" s="27" t="inlineStr">
        <is>
          <t>Closing</t>
        </is>
      </c>
      <c r="F24" s="27" t="inlineStr">
        <is>
          <t>Management stretch</t>
        </is>
      </c>
      <c r="G24" s="27" t="inlineStr">
        <is>
          <t>Allocable asset purchase price</t>
        </is>
      </c>
      <c r="H24" s="46" t="n">
        <v>35535000</v>
      </c>
      <c r="I24" s="27" t="inlineStr"/>
      <c r="J24" s="27" t="inlineStr">
        <is>
          <t>USD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TAX-00426</t>
        </is>
      </c>
      <c r="B25" s="27" t="inlineStr">
        <is>
          <t>Stock-versus-asset transaction tax structure</t>
        </is>
      </c>
      <c r="C25" s="27" t="inlineStr">
        <is>
          <t>Transaction tax structure</t>
        </is>
      </c>
      <c r="D25" s="27" t="inlineStr">
        <is>
          <t>Pioneer HVAC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Seller required asset-deal gross-up</t>
        </is>
      </c>
      <c r="H25" s="46" t="n">
        <v>2756000</v>
      </c>
      <c r="I25" s="27" t="inlineStr"/>
      <c r="J25" s="27" t="inlineStr">
        <is>
          <t>USD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TAX-00427</t>
        </is>
      </c>
      <c r="B26" s="27" t="inlineStr">
        <is>
          <t>Stock-versus-asset transaction tax structure</t>
        </is>
      </c>
      <c r="C26" s="27" t="inlineStr">
        <is>
          <t>Transaction tax structure</t>
        </is>
      </c>
      <c r="D26" s="27" t="inlineStr">
        <is>
          <t>Pioneer HVAC</t>
        </is>
      </c>
      <c r="E26" s="27" t="inlineStr">
        <is>
          <t>Closing</t>
        </is>
      </c>
      <c r="F26" s="27" t="inlineStr">
        <is>
          <t>Management stretch</t>
        </is>
      </c>
      <c r="G26" s="27" t="inlineStr">
        <is>
          <t>Asset tax basis</t>
        </is>
      </c>
      <c r="H26" s="46" t="n">
        <v>15540000</v>
      </c>
      <c r="I26" s="27" t="inlineStr"/>
      <c r="J26" s="27" t="inlineStr">
        <is>
          <t>USD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TAX-00445</t>
        </is>
      </c>
      <c r="B27" s="27" t="inlineStr">
        <is>
          <t>Stock-versus-asset transaction tax structure</t>
        </is>
      </c>
      <c r="C27" s="27" t="inlineStr">
        <is>
          <t>Tax step-up asset classes</t>
        </is>
      </c>
      <c r="D27" s="27" t="inlineStr">
        <is>
          <t>Machinery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Tax basis step-up</t>
        </is>
      </c>
      <c r="H27" s="46" t="n">
        <v>6592000</v>
      </c>
      <c r="I27" s="27" t="inlineStr"/>
      <c r="J27" s="27" t="inlineStr">
        <is>
          <t>USD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TAX-00446</t>
        </is>
      </c>
      <c r="B28" s="27" t="inlineStr">
        <is>
          <t>Stock-versus-asset transaction tax structure</t>
        </is>
      </c>
      <c r="C28" s="27" t="inlineStr">
        <is>
          <t>Tax step-up asset classes</t>
        </is>
      </c>
      <c r="D28" s="27" t="inlineStr">
        <is>
          <t>Customer relationships</t>
        </is>
      </c>
      <c r="E28" s="27" t="inlineStr">
        <is>
          <t>Closing</t>
        </is>
      </c>
      <c r="F28" s="27" t="inlineStr">
        <is>
          <t>Management stretch</t>
        </is>
      </c>
      <c r="G28" s="27" t="inlineStr">
        <is>
          <t>Recovery life</t>
        </is>
      </c>
      <c r="H28" s="46" t="n">
        <v>15.6</v>
      </c>
      <c r="I28" s="27" t="inlineStr"/>
      <c r="J28" s="27" t="inlineStr">
        <is>
          <t>years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TAX-00447</t>
        </is>
      </c>
      <c r="B29" s="27" t="inlineStr">
        <is>
          <t>Stock-versus-asset transaction tax structure</t>
        </is>
      </c>
      <c r="C29" s="27" t="inlineStr">
        <is>
          <t>Tax step-up asset classes</t>
        </is>
      </c>
      <c r="D29" s="27" t="inlineStr">
        <is>
          <t>Machinery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Recovery life</t>
        </is>
      </c>
      <c r="H29" s="46" t="n">
        <v>5.25</v>
      </c>
      <c r="I29" s="27" t="inlineStr"/>
      <c r="J29" s="27" t="inlineStr">
        <is>
          <t>years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TAX-00448</t>
        </is>
      </c>
      <c r="B30" s="27" t="inlineStr">
        <is>
          <t>Stock-versus-asset transaction tax structure</t>
        </is>
      </c>
      <c r="C30" s="27" t="inlineStr">
        <is>
          <t>Tax step-up asset classes</t>
        </is>
      </c>
      <c r="D30" s="27" t="inlineStr">
        <is>
          <t>Customer relationships</t>
        </is>
      </c>
      <c r="E30" s="27" t="inlineStr">
        <is>
          <t>Closing</t>
        </is>
      </c>
      <c r="F30" s="27" t="inlineStr">
        <is>
          <t>Management stretch</t>
        </is>
      </c>
      <c r="G30" s="27" t="inlineStr">
        <is>
          <t>Year 1 bonus percent</t>
        </is>
      </c>
      <c r="H30" s="46" t="n">
        <v>0</v>
      </c>
      <c r="I30" s="27" t="inlineStr"/>
      <c r="J30" s="27" t="inlineStr">
        <is>
          <t>decimal ratio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TAX-00449</t>
        </is>
      </c>
      <c r="B31" s="27" t="inlineStr">
        <is>
          <t>Stock-versus-asset transaction tax structure</t>
        </is>
      </c>
      <c r="C31" s="27" t="inlineStr">
        <is>
          <t>Tax step-up asset classes</t>
        </is>
      </c>
      <c r="D31" s="27" t="inlineStr">
        <is>
          <t>Machinery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Year 1 bonus percent</t>
        </is>
      </c>
      <c r="H31" s="46" t="n">
        <v>0.208</v>
      </c>
      <c r="I31" s="27" t="inlineStr"/>
      <c r="J31" s="27" t="inlineStr">
        <is>
          <t>decimal ratio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TAX-00450</t>
        </is>
      </c>
      <c r="B32" s="27" t="inlineStr">
        <is>
          <t>Stock-versus-asset transaction tax structure</t>
        </is>
      </c>
      <c r="C32" s="27" t="inlineStr">
        <is>
          <t>Tax step-up asset classes</t>
        </is>
      </c>
      <c r="D32" s="27" t="inlineStr">
        <is>
          <t>Goodwill</t>
        </is>
      </c>
      <c r="E32" s="27" t="inlineStr">
        <is>
          <t>Closing</t>
        </is>
      </c>
      <c r="F32" s="27" t="inlineStr">
        <is>
          <t>Management stretch</t>
        </is>
      </c>
      <c r="G32" s="27" t="inlineStr">
        <is>
          <t>Tax basis step-up</t>
        </is>
      </c>
      <c r="H32" s="46" t="n">
        <v>3150000</v>
      </c>
      <c r="I32" s="27" t="inlineStr"/>
      <c r="J32" s="27" t="inlineStr">
        <is>
          <t>USD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</sheetData>
  <autoFilter ref="A4:M32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FY26 tax provision and controllership definitions | Non-GAAP and Revenue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TAX-00155</t>
        </is>
      </c>
      <c r="B5" s="27" t="inlineStr">
        <is>
          <t>Adjusted EBITDA and non-GAAP reconciliation</t>
        </is>
      </c>
      <c r="C5" s="27" t="inlineStr">
        <is>
          <t>GAAP bridge</t>
        </is>
      </c>
      <c r="D5" s="27" t="inlineStr">
        <is>
          <t>Alder Ridge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Depreciation and amortization</t>
        </is>
      </c>
      <c r="H5" s="46" t="n">
        <v>432.6</v>
      </c>
      <c r="I5" s="27" t="inlineStr"/>
      <c r="J5" s="27" t="inlineStr">
        <is>
          <t>USD thousands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TAX-00156</t>
        </is>
      </c>
      <c r="B6" s="27" t="inlineStr">
        <is>
          <t>Adjusted EBITDA and non-GAAP reconciliation</t>
        </is>
      </c>
      <c r="C6" s="27" t="inlineStr">
        <is>
          <t>Non-GAAP adjustment register</t>
        </is>
      </c>
      <c r="D6" s="27" t="inlineStr">
        <is>
          <t>Normal recruiting expense</t>
        </is>
      </c>
      <c r="E6" s="27" t="inlineStr">
        <is>
          <t>LTM 2026-06-30</t>
        </is>
      </c>
      <c r="F6" s="27" t="inlineStr">
        <is>
          <t>Management stretch</t>
        </is>
      </c>
      <c r="G6" s="27" t="inlineStr">
        <is>
          <t>Proposed adjustment</t>
        </is>
      </c>
      <c r="H6" s="46" t="n">
        <v>182000</v>
      </c>
      <c r="I6" s="27" t="inlineStr"/>
      <c r="J6" s="27" t="inlineStr">
        <is>
          <t>USD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TAX-00157</t>
        </is>
      </c>
      <c r="B7" s="27" t="inlineStr">
        <is>
          <t>Adjusted EBITDA and non-GAAP reconciliation</t>
        </is>
      </c>
      <c r="C7" s="27" t="inlineStr">
        <is>
          <t>Non-GAAP adjustment register</t>
        </is>
      </c>
      <c r="D7" s="27" t="inlineStr">
        <is>
          <t>ERP implementation cost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Proposed adjustment</t>
        </is>
      </c>
      <c r="H7" s="46" t="n">
        <v>430500</v>
      </c>
      <c r="I7" s="27" t="inlineStr"/>
      <c r="J7" s="27" t="inlineStr">
        <is>
          <t>USD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TAX-00158</t>
        </is>
      </c>
      <c r="B8" s="27" t="inlineStr">
        <is>
          <t>Adjusted EBITDA and non-GAAP reconciliation</t>
        </is>
      </c>
      <c r="C8" s="27" t="inlineStr">
        <is>
          <t>Non-GAAP adjustment register</t>
        </is>
      </c>
      <c r="D8" s="27" t="inlineStr">
        <is>
          <t>Flood loss net of insurance recovery</t>
        </is>
      </c>
      <c r="E8" s="27" t="inlineStr">
        <is>
          <t>LTM 2026-06-30</t>
        </is>
      </c>
      <c r="F8" s="27" t="inlineStr">
        <is>
          <t>Management stretch</t>
        </is>
      </c>
      <c r="G8" s="27" t="inlineStr">
        <is>
          <t>Proposed adjustment</t>
        </is>
      </c>
      <c r="H8" s="46" t="n">
        <v>195700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TAX-00159</t>
        </is>
      </c>
      <c r="B9" s="27" t="inlineStr">
        <is>
          <t>Adjusted EBITDA and non-GAAP reconciliation</t>
        </is>
      </c>
      <c r="C9" s="27" t="inlineStr">
        <is>
          <t>Non-GAAP adjustment register</t>
        </is>
      </c>
      <c r="D9" s="27" t="inlineStr">
        <is>
          <t>Executed restructuring severance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Proposed adjustment</t>
        </is>
      </c>
      <c r="H9" s="46" t="n">
        <v>353.6</v>
      </c>
      <c r="I9" s="27" t="inlineStr"/>
      <c r="J9" s="27" t="inlineStr">
        <is>
          <t>USD thousands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TAX-00160</t>
        </is>
      </c>
      <c r="B10" s="27" t="inlineStr">
        <is>
          <t>Adjusted EBITDA and non-GAAP reconciliation</t>
        </is>
      </c>
      <c r="C10" s="27" t="inlineStr">
        <is>
          <t>Non-GAAP adjustment register</t>
        </is>
      </c>
      <c r="D10" s="27" t="inlineStr">
        <is>
          <t>Acquisition diligence costs</t>
        </is>
      </c>
      <c r="E10" s="27" t="inlineStr">
        <is>
          <t>LTM 2026-06-30</t>
        </is>
      </c>
      <c r="F10" s="27" t="inlineStr">
        <is>
          <t>Management stretch</t>
        </is>
      </c>
      <c r="G10" s="27" t="inlineStr">
        <is>
          <t>Proposed adjustment</t>
        </is>
      </c>
      <c r="H10" s="46" t="n">
        <v>273000</v>
      </c>
      <c r="I10" s="27" t="inlineStr"/>
      <c r="J10" s="27" t="inlineStr">
        <is>
          <t>USD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TAX-00161</t>
        </is>
      </c>
      <c r="B11" s="27" t="inlineStr">
        <is>
          <t>Adjusted EBITDA and non-GAAP reconciliation</t>
        </is>
      </c>
      <c r="C11" s="27" t="inlineStr">
        <is>
          <t>GAAP bridge</t>
        </is>
      </c>
      <c r="D11" s="27" t="inlineStr">
        <is>
          <t>Alder Ridge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Income tax expense</t>
        </is>
      </c>
      <c r="H11" s="46" t="n">
        <v>596147.3655</v>
      </c>
      <c r="I11" s="27" t="inlineStr"/>
      <c r="J11" s="27" t="inlineStr">
        <is>
          <t>USD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TAX-00162</t>
        </is>
      </c>
      <c r="B12" s="27" t="inlineStr">
        <is>
          <t>Adjusted EBITDA and non-GAAP reconciliation</t>
        </is>
      </c>
      <c r="C12" s="27" t="inlineStr">
        <is>
          <t>GAAP bridge</t>
        </is>
      </c>
      <c r="D12" s="27" t="inlineStr">
        <is>
          <t>Alder Ridge</t>
        </is>
      </c>
      <c r="E12" s="27" t="inlineStr">
        <is>
          <t>LTM 2026-06-30</t>
        </is>
      </c>
      <c r="F12" s="27" t="inlineStr">
        <is>
          <t>Management stretch</t>
        </is>
      </c>
      <c r="G12" s="27" t="inlineStr">
        <is>
          <t>Interest expense</t>
        </is>
      </c>
      <c r="H12" s="46" t="n">
        <v>322400</v>
      </c>
      <c r="I12" s="27" t="inlineStr"/>
      <c r="J12" s="27" t="inlineStr">
        <is>
          <t>USD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TAX-00163</t>
        </is>
      </c>
      <c r="B13" s="27" t="inlineStr">
        <is>
          <t>Adjusted EBITDA and non-GAAP reconciliation</t>
        </is>
      </c>
      <c r="C13" s="27" t="inlineStr">
        <is>
          <t>GAAP bridge</t>
        </is>
      </c>
      <c r="D13" s="27" t="inlineStr">
        <is>
          <t>Alder Ridge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Depreciation and amortization</t>
        </is>
      </c>
      <c r="H13" s="46" t="n">
        <v>441</v>
      </c>
      <c r="I13" s="27" t="inlineStr"/>
      <c r="J13" s="27" t="inlineStr">
        <is>
          <t>USD thousands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TAX-00164</t>
        </is>
      </c>
      <c r="B14" s="27" t="inlineStr">
        <is>
          <t>Adjusted EBITDA and non-GAAP reconciliation</t>
        </is>
      </c>
      <c r="C14" s="27" t="inlineStr">
        <is>
          <t>Non-GAAP adjustment register</t>
        </is>
      </c>
      <c r="D14" s="27" t="inlineStr">
        <is>
          <t>Normal recruiting expense</t>
        </is>
      </c>
      <c r="E14" s="27" t="inlineStr">
        <is>
          <t>LTM 2026-06-30</t>
        </is>
      </c>
      <c r="F14" s="27" t="inlineStr">
        <is>
          <t>Management stretch</t>
        </is>
      </c>
      <c r="G14" s="27" t="inlineStr">
        <is>
          <t>Proposed adjustment</t>
        </is>
      </c>
      <c r="H14" s="46" t="n">
        <v>180250</v>
      </c>
      <c r="I14" s="27" t="inlineStr"/>
      <c r="J14" s="27" t="inlineStr">
        <is>
          <t>USD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TAX-00211</t>
        </is>
      </c>
      <c r="B15" s="27" t="inlineStr">
        <is>
          <t>Service deferred-revenue recognition forecast</t>
        </is>
      </c>
      <c r="C15" s="27" t="inlineStr">
        <is>
          <t>Contract schedule</t>
        </is>
      </c>
      <c r="D15" s="27" t="inlineStr">
        <is>
          <t>Cascade Health C-1013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Cash billed in advance</t>
        </is>
      </c>
      <c r="H15" s="46" t="n">
        <v>2472000</v>
      </c>
      <c r="I15" s="27" t="inlineStr"/>
      <c r="J15" s="27" t="inlineStr">
        <is>
          <t>USD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TAX-00212</t>
        </is>
      </c>
      <c r="B16" s="27" t="inlineStr">
        <is>
          <t>Service deferred-revenue recognition forecast</t>
        </is>
      </c>
      <c r="C16" s="27" t="inlineStr">
        <is>
          <t>Contract schedule</t>
        </is>
      </c>
      <c r="D16" s="27" t="inlineStr">
        <is>
          <t>Eastbank Data C-1042</t>
        </is>
      </c>
      <c r="E16" s="27" t="inlineStr">
        <is>
          <t>2026-06-30</t>
        </is>
      </c>
      <c r="F16" s="27" t="inlineStr">
        <is>
          <t>Management stretch</t>
        </is>
      </c>
      <c r="G16" s="27" t="inlineStr">
        <is>
          <t>Maintenance standalone selling price</t>
        </is>
      </c>
      <c r="H16" s="46" t="n">
        <v>748.8</v>
      </c>
      <c r="I16" s="27" t="inlineStr"/>
      <c r="J16" s="27" t="inlineStr">
        <is>
          <t>USD thousands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TAX-00213</t>
        </is>
      </c>
      <c r="B17" s="27" t="inlineStr">
        <is>
          <t>Service deferred-revenue recognition forecast</t>
        </is>
      </c>
      <c r="C17" s="27" t="inlineStr">
        <is>
          <t>Contract schedule</t>
        </is>
      </c>
      <c r="D17" s="27" t="inlineStr">
        <is>
          <t>Boise Medical C-1110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Implementation standalone selling price</t>
        </is>
      </c>
      <c r="H17" s="46" t="n">
        <v>315000</v>
      </c>
      <c r="I17" s="27" t="inlineStr"/>
      <c r="J17" s="27" t="inlineStr">
        <is>
          <t>USD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TAX-00214</t>
        </is>
      </c>
      <c r="B18" s="27" t="inlineStr">
        <is>
          <t>Service deferred-revenue recognition forecast</t>
        </is>
      </c>
      <c r="C18" s="27" t="inlineStr">
        <is>
          <t>Contract schedule</t>
        </is>
      </c>
      <c r="D18" s="27" t="inlineStr">
        <is>
          <t>Port Authority C-1131</t>
        </is>
      </c>
      <c r="E18" s="27" t="inlineStr">
        <is>
          <t>2026-06-30</t>
        </is>
      </c>
      <c r="F18" s="27" t="inlineStr">
        <is>
          <t>Management stretch</t>
        </is>
      </c>
      <c r="G18" s="27" t="inlineStr">
        <is>
          <t>Transaction price</t>
        </is>
      </c>
      <c r="H18" s="46" t="n">
        <v>1483200</v>
      </c>
      <c r="I18" s="27" t="inlineStr"/>
      <c r="J18" s="27" t="inlineStr">
        <is>
          <t>USD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TAX-00215</t>
        </is>
      </c>
      <c r="B19" s="27" t="inlineStr">
        <is>
          <t>Service deferred-revenue recognition forecast</t>
        </is>
      </c>
      <c r="C19" s="27" t="inlineStr">
        <is>
          <t>Contract schedule</t>
        </is>
      </c>
      <c r="D19" s="27" t="inlineStr">
        <is>
          <t>Cascade Health C-1013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Monitoring standalone selling price</t>
        </is>
      </c>
      <c r="H19" s="46" t="n">
        <v>624000</v>
      </c>
      <c r="I19" s="27" t="inlineStr"/>
      <c r="J19" s="27" t="inlineStr">
        <is>
          <t>USD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TAX-00216</t>
        </is>
      </c>
      <c r="B20" s="27" t="inlineStr">
        <is>
          <t>Service deferred-revenue recognition forecast</t>
        </is>
      </c>
      <c r="C20" s="27" t="inlineStr">
        <is>
          <t>Contract schedule</t>
        </is>
      </c>
      <c r="D20" s="27" t="inlineStr">
        <is>
          <t>Boise Medical C-1110</t>
        </is>
      </c>
      <c r="E20" s="27" t="inlineStr">
        <is>
          <t>2026-06-30</t>
        </is>
      </c>
      <c r="F20" s="27" t="inlineStr">
        <is>
          <t>Management stretch</t>
        </is>
      </c>
      <c r="G20" s="27" t="inlineStr">
        <is>
          <t>Cash billed in advance</t>
        </is>
      </c>
      <c r="H20" s="46" t="n">
        <v>1071</v>
      </c>
      <c r="I20" s="27" t="inlineStr"/>
      <c r="J20" s="27" t="inlineStr">
        <is>
          <t>USD thousands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TAX-00217</t>
        </is>
      </c>
      <c r="B21" s="27" t="inlineStr">
        <is>
          <t>Service deferred-revenue recognition forecast</t>
        </is>
      </c>
      <c r="C21" s="27" t="inlineStr">
        <is>
          <t>Contract schedule</t>
        </is>
      </c>
      <c r="D21" s="27" t="inlineStr">
        <is>
          <t>Northline Campus C-1124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Maintenance standalone selling price</t>
        </is>
      </c>
      <c r="H21" s="46" t="n">
        <v>370800</v>
      </c>
      <c r="I21" s="27" t="inlineStr"/>
      <c r="J21" s="27" t="inlineStr">
        <is>
          <t>USD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TAX-00218</t>
        </is>
      </c>
      <c r="B22" s="27" t="inlineStr">
        <is>
          <t>Service deferred-revenue recognition forecast</t>
        </is>
      </c>
      <c r="C22" s="27" t="inlineStr">
        <is>
          <t>Contract schedule</t>
        </is>
      </c>
      <c r="D22" s="27" t="inlineStr">
        <is>
          <t>Port Authority C-1131</t>
        </is>
      </c>
      <c r="E22" s="27" t="inlineStr">
        <is>
          <t>2026-06-30</t>
        </is>
      </c>
      <c r="F22" s="27" t="inlineStr">
        <is>
          <t>Management stretch</t>
        </is>
      </c>
      <c r="G22" s="27" t="inlineStr">
        <is>
          <t>Implementation standalone selling price</t>
        </is>
      </c>
      <c r="H22" s="46" t="n">
        <v>374400</v>
      </c>
      <c r="I22" s="27" t="inlineStr"/>
      <c r="J22" s="27" t="inlineStr">
        <is>
          <t>USD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TAX-00219</t>
        </is>
      </c>
      <c r="B23" s="27" t="inlineStr">
        <is>
          <t>Service deferred-revenue recognition forecast</t>
        </is>
      </c>
      <c r="C23" s="27" t="inlineStr">
        <is>
          <t>Contract schedule</t>
        </is>
      </c>
      <c r="D23" s="27" t="inlineStr">
        <is>
          <t>Eastbank Data C-1042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Transaction price</t>
        </is>
      </c>
      <c r="H23" s="46" t="n">
        <v>1575000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TAX-00220</t>
        </is>
      </c>
      <c r="B24" s="27" t="inlineStr">
        <is>
          <t>Service deferred-revenue recognition forecast</t>
        </is>
      </c>
      <c r="C24" s="27" t="inlineStr">
        <is>
          <t>Contract schedule</t>
        </is>
      </c>
      <c r="D24" s="27" t="inlineStr">
        <is>
          <t>Boise Medical C-1110</t>
        </is>
      </c>
      <c r="E24" s="27" t="inlineStr">
        <is>
          <t>2026-06-30</t>
        </is>
      </c>
      <c r="F24" s="27" t="inlineStr">
        <is>
          <t>Management stretch</t>
        </is>
      </c>
      <c r="G24" s="27" t="inlineStr">
        <is>
          <t>Monitoring standalone selling price</t>
        </is>
      </c>
      <c r="H24" s="46" t="n">
        <v>309</v>
      </c>
      <c r="I24" s="27" t="inlineStr"/>
      <c r="J24" s="27" t="inlineStr">
        <is>
          <t>USD thousands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TAX-00305</t>
        </is>
      </c>
      <c r="B25" s="27" t="inlineStr">
        <is>
          <t>Contract modification, SSP, and revenue bridge</t>
        </is>
      </c>
      <c r="C25" s="27" t="inlineStr">
        <is>
          <t>Contract performance obligations</t>
        </is>
      </c>
      <c r="D25" s="27" t="inlineStr">
        <is>
          <t>Equipment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Original SSP</t>
        </is>
      </c>
      <c r="H25" s="46" t="n">
        <v>2472000</v>
      </c>
      <c r="I25" s="27" t="inlineStr"/>
      <c r="J25" s="27" t="inlineStr">
        <is>
          <t>USD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TAX-00306</t>
        </is>
      </c>
      <c r="B26" s="27" t="inlineStr">
        <is>
          <t>Contract modification, SSP, and revenue bridge</t>
        </is>
      </c>
      <c r="C26" s="27" t="inlineStr">
        <is>
          <t>Contract performance obligations</t>
        </is>
      </c>
      <c r="D26" s="27" t="inlineStr">
        <is>
          <t>Training</t>
        </is>
      </c>
      <c r="E26" s="27" t="inlineStr">
        <is>
          <t>Modification date</t>
        </is>
      </c>
      <c r="F26" s="27" t="inlineStr">
        <is>
          <t>Management stretch</t>
        </is>
      </c>
      <c r="G26" s="27" t="inlineStr">
        <is>
          <t>Modification-date SSP</t>
        </is>
      </c>
      <c r="H26" s="46" t="n">
        <v>218400</v>
      </c>
      <c r="I26" s="27" t="inlineStr"/>
      <c r="J26" s="27" t="inlineStr">
        <is>
          <t>USD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TAX-00307</t>
        </is>
      </c>
      <c r="B27" s="27" t="inlineStr">
        <is>
          <t>Contract modification, SSP, and revenue bridge</t>
        </is>
      </c>
      <c r="C27" s="27" t="inlineStr">
        <is>
          <t>Contract modification facts</t>
        </is>
      </c>
      <c r="D27" s="27" t="inlineStr">
        <is>
          <t>Helix Data Center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Training delivered</t>
        </is>
      </c>
      <c r="H27" s="46" t="n">
        <v>0</v>
      </c>
      <c r="I27" s="27" t="inlineStr"/>
      <c r="J27" s="27" t="inlineStr">
        <is>
          <t>boolean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TAX-00308</t>
        </is>
      </c>
      <c r="B28" s="27" t="inlineStr">
        <is>
          <t>Contract modification, SSP, and revenue bridge</t>
        </is>
      </c>
      <c r="C28" s="27" t="inlineStr">
        <is>
          <t>Contract performance obligations</t>
        </is>
      </c>
      <c r="D28" s="27" t="inlineStr">
        <is>
          <t>Equipment</t>
        </is>
      </c>
      <c r="E28" s="27" t="inlineStr">
        <is>
          <t>Modification date</t>
        </is>
      </c>
      <c r="F28" s="27" t="inlineStr">
        <is>
          <t>Management stretch</t>
        </is>
      </c>
      <c r="G28" s="27" t="inlineStr">
        <is>
          <t>Modification-date SSP</t>
        </is>
      </c>
      <c r="H28" s="46" t="n">
        <v>2626.5</v>
      </c>
      <c r="I28" s="27" t="inlineStr"/>
      <c r="J28" s="27" t="inlineStr">
        <is>
          <t>USD thousands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TAX-00309</t>
        </is>
      </c>
      <c r="B29" s="27" t="inlineStr">
        <is>
          <t>Contract modification, SSP, and revenue bridge</t>
        </is>
      </c>
      <c r="C29" s="27" t="inlineStr">
        <is>
          <t>Contract modification facts</t>
        </is>
      </c>
      <c r="D29" s="27" t="inlineStr">
        <is>
          <t>Helix Data Center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Original contract price</t>
        </is>
      </c>
      <c r="H29" s="46" t="n">
        <v>4056000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TAX-00310</t>
        </is>
      </c>
      <c r="B30" s="27" t="inlineStr">
        <is>
          <t>Contract modification, SSP, and revenue bridge</t>
        </is>
      </c>
      <c r="C30" s="27" t="inlineStr">
        <is>
          <t>Contract modification facts</t>
        </is>
      </c>
      <c r="D30" s="27" t="inlineStr">
        <is>
          <t>Helix Data Center</t>
        </is>
      </c>
      <c r="E30" s="27" t="inlineStr">
        <is>
          <t>2026-06-30</t>
        </is>
      </c>
      <c r="F30" s="27" t="inlineStr">
        <is>
          <t>Management stretch</t>
        </is>
      </c>
      <c r="G30" s="27" t="inlineStr">
        <is>
          <t>Modification adds distinct training</t>
        </is>
      </c>
      <c r="H30" s="46" t="n">
        <v>1.05</v>
      </c>
      <c r="I30" s="27" t="inlineStr"/>
      <c r="J30" s="27" t="inlineStr">
        <is>
          <t>boolean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TAX-00311</t>
        </is>
      </c>
      <c r="B31" s="27" t="inlineStr">
        <is>
          <t>Contract modification, SSP, and revenue bridge</t>
        </is>
      </c>
      <c r="C31" s="27" t="inlineStr">
        <is>
          <t>Contract performance obligations</t>
        </is>
      </c>
      <c r="D31" s="27" t="inlineStr">
        <is>
          <t>Installation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Original SSP</t>
        </is>
      </c>
      <c r="H31" s="46" t="n">
        <v>1081500</v>
      </c>
      <c r="I31" s="27" t="inlineStr"/>
      <c r="J31" s="27" t="inlineStr">
        <is>
          <t>USD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TAX-00312</t>
        </is>
      </c>
      <c r="B32" s="27" t="inlineStr">
        <is>
          <t>Contract modification, SSP, and revenue bridge</t>
        </is>
      </c>
      <c r="C32" s="27" t="inlineStr">
        <is>
          <t>Contract modification facts</t>
        </is>
      </c>
      <c r="D32" s="27" t="inlineStr">
        <is>
          <t>Helix Data Center</t>
        </is>
      </c>
      <c r="E32" s="27" t="inlineStr">
        <is>
          <t>2026-06-30</t>
        </is>
      </c>
      <c r="F32" s="27" t="inlineStr">
        <is>
          <t>Management stretch</t>
        </is>
      </c>
      <c r="G32" s="27" t="inlineStr">
        <is>
          <t>Modification consideration</t>
        </is>
      </c>
      <c r="H32" s="46" t="n">
        <v>790.4</v>
      </c>
      <c r="I32" s="27" t="inlineStr"/>
      <c r="J32" s="27" t="inlineStr">
        <is>
          <t>USD thousands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TAX-00313</t>
        </is>
      </c>
      <c r="B33" s="27" t="inlineStr">
        <is>
          <t>Contract modification, SSP, and revenue bridge</t>
        </is>
      </c>
      <c r="C33" s="27" t="inlineStr">
        <is>
          <t>Contract modification facts</t>
        </is>
      </c>
      <c r="D33" s="27" t="inlineStr">
        <is>
          <t>Helix Data Center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Modification adds monitoring months</t>
        </is>
      </c>
      <c r="H33" s="46" t="n">
        <v>12.6</v>
      </c>
      <c r="I33" s="27" t="inlineStr"/>
      <c r="J33" s="27" t="inlineStr">
        <is>
          <t>months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TAX-00314</t>
        </is>
      </c>
      <c r="B34" s="27" t="inlineStr">
        <is>
          <t>Contract modification, SSP, and revenue bridge</t>
        </is>
      </c>
      <c r="C34" s="27" t="inlineStr">
        <is>
          <t>Contract performance obligations</t>
        </is>
      </c>
      <c r="D34" s="27" t="inlineStr">
        <is>
          <t>Installation</t>
        </is>
      </c>
      <c r="E34" s="27" t="inlineStr">
        <is>
          <t>Modification date</t>
        </is>
      </c>
      <c r="F34" s="27" t="inlineStr">
        <is>
          <t>Management stretch</t>
        </is>
      </c>
      <c r="G34" s="27" t="inlineStr">
        <is>
          <t>Modification-date SSP</t>
        </is>
      </c>
      <c r="H34" s="46" t="n">
        <v>1215400</v>
      </c>
      <c r="I34" s="27" t="inlineStr"/>
      <c r="J34" s="27" t="inlineStr">
        <is>
          <t>USD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TAX-00315</t>
        </is>
      </c>
      <c r="B35" s="27" t="inlineStr">
        <is>
          <t>Contract modification, SSP, and revenue bridge</t>
        </is>
      </c>
      <c r="C35" s="27" t="inlineStr">
        <is>
          <t>Contract modification facts</t>
        </is>
      </c>
      <c r="D35" s="27" t="inlineStr">
        <is>
          <t>Helix Data Center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Equipment delivered percent</t>
        </is>
      </c>
      <c r="H35" s="46" t="n">
        <v>1.04</v>
      </c>
      <c r="I35" s="27" t="inlineStr"/>
      <c r="J35" s="27" t="inlineStr">
        <is>
          <t>decimal ratio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TAX-00316</t>
        </is>
      </c>
      <c r="B36" s="27" t="inlineStr">
        <is>
          <t>Contract modification, SSP, and revenue bridge</t>
        </is>
      </c>
      <c r="C36" s="27" t="inlineStr">
        <is>
          <t>Contract modification facts</t>
        </is>
      </c>
      <c r="D36" s="27" t="inlineStr">
        <is>
          <t>Helix Data Center</t>
        </is>
      </c>
      <c r="E36" s="27" t="inlineStr">
        <is>
          <t>2026-06-30</t>
        </is>
      </c>
      <c r="F36" s="27" t="inlineStr">
        <is>
          <t>Management stretch</t>
        </is>
      </c>
      <c r="G36" s="27" t="inlineStr">
        <is>
          <t>Modification priced at standalone selling price</t>
        </is>
      </c>
      <c r="H36" s="46" t="n">
        <v>0</v>
      </c>
      <c r="I36" s="27" t="inlineStr"/>
      <c r="J36" s="27" t="inlineStr">
        <is>
          <t>boolean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TAX-00317</t>
        </is>
      </c>
      <c r="B37" s="27" t="inlineStr">
        <is>
          <t>Contract modification, SSP, and revenue bridge</t>
        </is>
      </c>
      <c r="C37" s="27" t="inlineStr">
        <is>
          <t>Contract performance obligations</t>
        </is>
      </c>
      <c r="D37" s="27" t="inlineStr">
        <is>
          <t>Three-year monitoring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Original SSP</t>
        </is>
      </c>
      <c r="H37" s="46" t="n">
        <v>741600</v>
      </c>
      <c r="I37" s="27" t="inlineStr"/>
      <c r="J37" s="27" t="inlineStr">
        <is>
          <t>USD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TAX-00318</t>
        </is>
      </c>
      <c r="B38" s="27" t="inlineStr">
        <is>
          <t>Contract modification, SSP, and revenue bridge</t>
        </is>
      </c>
      <c r="C38" s="27" t="inlineStr">
        <is>
          <t>Contract modification facts</t>
        </is>
      </c>
      <c r="D38" s="27" t="inlineStr">
        <is>
          <t>Helix Data Center</t>
        </is>
      </c>
      <c r="E38" s="27" t="inlineStr">
        <is>
          <t>2026-06-30</t>
        </is>
      </c>
      <c r="F38" s="27" t="inlineStr">
        <is>
          <t>Management stretch</t>
        </is>
      </c>
      <c r="G38" s="27" t="inlineStr">
        <is>
          <t>Installation complete percent</t>
        </is>
      </c>
      <c r="H38" s="46" t="n">
        <v>0.5720000000000001</v>
      </c>
      <c r="I38" s="27" t="inlineStr"/>
      <c r="J38" s="27" t="inlineStr">
        <is>
          <t>decimal ratio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TAX-00330</t>
        </is>
      </c>
      <c r="B39" s="27" t="inlineStr">
        <is>
          <t>Contract modification, SSP, and revenue bridge</t>
        </is>
      </c>
      <c r="C39" s="27" t="inlineStr">
        <is>
          <t>Post-modification revenue schedule</t>
        </is>
      </c>
      <c r="D39" s="27" t="inlineStr">
        <is>
          <t>Helix Data Center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Cumulative installation completion</t>
        </is>
      </c>
      <c r="H39" s="46" t="n">
        <v>0.8754999999999999</v>
      </c>
      <c r="I39" s="27" t="inlineStr"/>
      <c r="J39" s="27" t="inlineStr">
        <is>
          <t>decimal ratio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TAX-00331</t>
        </is>
      </c>
      <c r="B40" s="27" t="inlineStr">
        <is>
          <t>Contract modification, SSP, and revenue bridge</t>
        </is>
      </c>
      <c r="C40" s="27" t="inlineStr">
        <is>
          <t>Post-modification revenue schedule</t>
        </is>
      </c>
      <c r="D40" s="27" t="inlineStr">
        <is>
          <t>Helix Data Center</t>
        </is>
      </c>
      <c r="E40" s="27" t="inlineStr">
        <is>
          <t>Q4 FY26</t>
        </is>
      </c>
      <c r="F40" s="27" t="inlineStr">
        <is>
          <t>Management stretch</t>
        </is>
      </c>
      <c r="G40" s="27" t="inlineStr">
        <is>
          <t>Cash billings</t>
        </is>
      </c>
      <c r="H40" s="46" t="n">
        <v>634400</v>
      </c>
      <c r="I40" s="27" t="inlineStr"/>
      <c r="J40" s="27" t="inlineStr">
        <is>
          <t>USD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TAX-00332</t>
        </is>
      </c>
      <c r="B41" s="27" t="inlineStr">
        <is>
          <t>Contract modification, SSP, and revenue bridge</t>
        </is>
      </c>
      <c r="C41" s="27" t="inlineStr">
        <is>
          <t>Post-modification revenue schedule</t>
        </is>
      </c>
      <c r="D41" s="27" t="inlineStr">
        <is>
          <t>Helix Data Center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Cash billings</t>
        </is>
      </c>
      <c r="H41" s="46" t="n">
        <v>546000</v>
      </c>
      <c r="I41" s="27" t="inlineStr"/>
      <c r="J41" s="27" t="inlineStr">
        <is>
          <t>USD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TAX-00333</t>
        </is>
      </c>
      <c r="B42" s="27" t="inlineStr">
        <is>
          <t>Contract modification, SSP, and revenue bridge</t>
        </is>
      </c>
      <c r="C42" s="27" t="inlineStr">
        <is>
          <t>Post-modification variable consideration</t>
        </is>
      </c>
      <c r="D42" s="27" t="inlineStr">
        <is>
          <t>Helix Data Center</t>
        </is>
      </c>
      <c r="E42" s="27" t="inlineStr">
        <is>
          <t>FY26</t>
        </is>
      </c>
      <c r="F42" s="27" t="inlineStr">
        <is>
          <t>Management stretch</t>
        </is>
      </c>
      <c r="G42" s="27" t="inlineStr">
        <is>
          <t>Constraint inclusion threshold</t>
        </is>
      </c>
      <c r="H42" s="46" t="n">
        <v>0.7725</v>
      </c>
      <c r="I42" s="27" t="inlineStr"/>
      <c r="J42" s="27" t="inlineStr">
        <is>
          <t>decimal ratio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TAX-00334</t>
        </is>
      </c>
      <c r="B43" s="27" t="inlineStr">
        <is>
          <t>Contract modification, SSP, and revenue bridge</t>
        </is>
      </c>
      <c r="C43" s="27" t="inlineStr">
        <is>
          <t>Post-modification revenue schedule</t>
        </is>
      </c>
      <c r="D43" s="27" t="inlineStr">
        <is>
          <t>Helix Data Center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Training obligations delivered</t>
        </is>
      </c>
      <c r="H43" s="46" t="n">
        <v>1.04</v>
      </c>
      <c r="I43" s="27" t="inlineStr"/>
      <c r="J43" s="27" t="inlineStr">
        <is>
          <t>count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TAX-00335</t>
        </is>
      </c>
      <c r="B44" s="27" t="inlineStr">
        <is>
          <t>Contract modification, SSP, and revenue bridge</t>
        </is>
      </c>
      <c r="C44" s="27" t="inlineStr">
        <is>
          <t>Post-modification revenue schedule</t>
        </is>
      </c>
      <c r="D44" s="27" t="inlineStr">
        <is>
          <t>Helix Data Center</t>
        </is>
      </c>
      <c r="E44" s="27" t="inlineStr">
        <is>
          <t>Q3 FY26</t>
        </is>
      </c>
      <c r="F44" s="27" t="inlineStr">
        <is>
          <t>Management stretch</t>
        </is>
      </c>
      <c r="G44" s="27" t="inlineStr">
        <is>
          <t>Training obligations delivered</t>
        </is>
      </c>
      <c r="H44" s="46" t="n">
        <v>1.05</v>
      </c>
      <c r="I44" s="27" t="inlineStr"/>
      <c r="J44" s="27" t="inlineStr">
        <is>
          <t>count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  <row r="45">
      <c r="A45" s="36" t="inlineStr">
        <is>
          <t>TAX-00374</t>
        </is>
      </c>
      <c r="B45" s="27" t="inlineStr">
        <is>
          <t>Free-cash-flow and non-GAAP policy reconciliation</t>
        </is>
      </c>
      <c r="C45" s="27" t="inlineStr">
        <is>
          <t>Non-GAAP reconciliation items</t>
        </is>
      </c>
      <c r="D45" s="27" t="inlineStr">
        <is>
          <t>GAAP net income</t>
        </is>
      </c>
      <c r="E45" s="27" t="inlineStr">
        <is>
          <t>2026-05 working copy</t>
        </is>
      </c>
      <c r="F45" s="27" t="inlineStr">
        <is>
          <t>Approved case</t>
        </is>
      </c>
      <c r="G45" s="27" t="inlineStr">
        <is>
          <t>Amount</t>
        </is>
      </c>
      <c r="H45" s="46" t="n">
        <v>3522600</v>
      </c>
      <c r="I45" s="27" t="inlineStr"/>
      <c r="J45" s="27" t="inlineStr">
        <is>
          <t>USD</t>
        </is>
      </c>
      <c r="K45" s="27" t="inlineStr">
        <is>
          <t>Earlier management working export</t>
        </is>
      </c>
      <c r="L45" s="47" t="inlineStr">
        <is>
          <t>2026-06-24</t>
        </is>
      </c>
      <c r="M45" s="27" t="inlineStr"/>
    </row>
    <row r="46">
      <c r="A46" s="36" t="inlineStr">
        <is>
          <t>TAX-00375</t>
        </is>
      </c>
      <c r="B46" s="27" t="inlineStr">
        <is>
          <t>Free-cash-flow and non-GAAP policy reconciliation</t>
        </is>
      </c>
      <c r="C46" s="27" t="inlineStr">
        <is>
          <t>Non-GAAP reconciliation items</t>
        </is>
      </c>
      <c r="D46" s="27" t="inlineStr">
        <is>
          <t>Income tax expense</t>
        </is>
      </c>
      <c r="E46" s="27" t="inlineStr">
        <is>
          <t>LTM 2026-06-30</t>
        </is>
      </c>
      <c r="F46" s="27" t="inlineStr">
        <is>
          <t>Management stretch</t>
        </is>
      </c>
      <c r="G46" s="27" t="inlineStr">
        <is>
          <t>Include in adjusted EBITDA</t>
        </is>
      </c>
      <c r="H46" s="46" t="n">
        <v>1.04</v>
      </c>
      <c r="I46" s="27" t="inlineStr"/>
      <c r="J46" s="27" t="inlineStr">
        <is>
          <t>boolean</t>
        </is>
      </c>
      <c r="K46" s="27" t="inlineStr">
        <is>
          <t>Earlier management working export</t>
        </is>
      </c>
      <c r="L46" s="47" t="inlineStr">
        <is>
          <t>2026-06-24</t>
        </is>
      </c>
      <c r="M46" s="27" t="inlineStr"/>
    </row>
    <row r="47">
      <c r="A47" s="36" t="inlineStr">
        <is>
          <t>TAX-00376</t>
        </is>
      </c>
      <c r="B47" s="27" t="inlineStr">
        <is>
          <t>Free-cash-flow and non-GAAP policy reconciliation</t>
        </is>
      </c>
      <c r="C47" s="27" t="inlineStr">
        <is>
          <t>Non-GAAP reconciliation items</t>
        </is>
      </c>
      <c r="D47" s="27" t="inlineStr">
        <is>
          <t>Restructuring cash cost</t>
        </is>
      </c>
      <c r="E47" s="27" t="inlineStr">
        <is>
          <t>2026-05 working copy</t>
        </is>
      </c>
      <c r="F47" s="27" t="inlineStr">
        <is>
          <t>Approved case</t>
        </is>
      </c>
      <c r="G47" s="27" t="inlineStr">
        <is>
          <t>Amount</t>
        </is>
      </c>
      <c r="H47" s="46" t="n">
        <v>367500</v>
      </c>
      <c r="I47" s="27" t="inlineStr"/>
      <c r="J47" s="27" t="inlineStr">
        <is>
          <t>USD</t>
        </is>
      </c>
      <c r="K47" s="27" t="inlineStr">
        <is>
          <t>Earlier management working export</t>
        </is>
      </c>
      <c r="L47" s="47" t="inlineStr">
        <is>
          <t>2026-06-24</t>
        </is>
      </c>
      <c r="M47" s="27" t="inlineStr"/>
    </row>
    <row r="48">
      <c r="A48" s="36" t="inlineStr">
        <is>
          <t>TAX-00377</t>
        </is>
      </c>
      <c r="B48" s="27" t="inlineStr">
        <is>
          <t>Free-cash-flow and non-GAAP policy reconciliation</t>
        </is>
      </c>
      <c r="C48" s="27" t="inlineStr">
        <is>
          <t>Free cash flow inputs</t>
        </is>
      </c>
      <c r="D48" s="27" t="inlineStr">
        <is>
          <t>Capital expenditures</t>
        </is>
      </c>
      <c r="E48" s="27" t="inlineStr">
        <is>
          <t>LTM 2026-06-30</t>
        </is>
      </c>
      <c r="F48" s="27" t="inlineStr">
        <is>
          <t>Management stretch</t>
        </is>
      </c>
      <c r="G48" s="27" t="inlineStr">
        <is>
          <t>Amount</t>
        </is>
      </c>
      <c r="H48" s="46" t="n">
        <v>2554400</v>
      </c>
      <c r="I48" s="27" t="inlineStr"/>
      <c r="J48" s="27" t="inlineStr">
        <is>
          <t>USD</t>
        </is>
      </c>
      <c r="K48" s="27" t="inlineStr">
        <is>
          <t>Earlier management working export</t>
        </is>
      </c>
      <c r="L48" s="47" t="inlineStr">
        <is>
          <t>2026-06-24</t>
        </is>
      </c>
      <c r="M48" s="27" t="inlineStr"/>
    </row>
    <row r="49">
      <c r="A49" s="36" t="inlineStr">
        <is>
          <t>TAX-00378</t>
        </is>
      </c>
      <c r="B49" s="27" t="inlineStr">
        <is>
          <t>Free-cash-flow and non-GAAP policy reconciliation</t>
        </is>
      </c>
      <c r="C49" s="27" t="inlineStr">
        <is>
          <t>Non-GAAP reconciliation items</t>
        </is>
      </c>
      <c r="D49" s="27" t="inlineStr">
        <is>
          <t>GAAP net income</t>
        </is>
      </c>
      <c r="E49" s="27" t="inlineStr">
        <is>
          <t>2026-05 working copy</t>
        </is>
      </c>
      <c r="F49" s="27" t="inlineStr">
        <is>
          <t>Approved case</t>
        </is>
      </c>
      <c r="G49" s="27" t="inlineStr">
        <is>
          <t>Amount</t>
        </is>
      </c>
      <c r="H49" s="46" t="n">
        <v>3556800</v>
      </c>
      <c r="I49" s="27" t="inlineStr"/>
      <c r="J49" s="27" t="inlineStr">
        <is>
          <t>USD</t>
        </is>
      </c>
      <c r="K49" s="27" t="inlineStr">
        <is>
          <t>Earlier management working export</t>
        </is>
      </c>
      <c r="L49" s="47" t="inlineStr">
        <is>
          <t>2026-06-24</t>
        </is>
      </c>
      <c r="M49" s="27" t="inlineStr"/>
    </row>
    <row r="50">
      <c r="A50" s="36" t="inlineStr">
        <is>
          <t>TAX-00379</t>
        </is>
      </c>
      <c r="B50" s="27" t="inlineStr">
        <is>
          <t>Free-cash-flow and non-GAAP policy reconciliation</t>
        </is>
      </c>
      <c r="C50" s="27" t="inlineStr">
        <is>
          <t>Non-GAAP reconciliation items</t>
        </is>
      </c>
      <c r="D50" s="27" t="inlineStr">
        <is>
          <t>Income tax expense</t>
        </is>
      </c>
      <c r="E50" s="27" t="inlineStr">
        <is>
          <t>LTM 2026-06-30</t>
        </is>
      </c>
      <c r="F50" s="27" t="inlineStr">
        <is>
          <t>Management stretch</t>
        </is>
      </c>
      <c r="G50" s="27" t="inlineStr">
        <is>
          <t>Include in adjusted EBITDA</t>
        </is>
      </c>
      <c r="H50" s="46" t="n">
        <v>1.05</v>
      </c>
      <c r="I50" s="27" t="inlineStr"/>
      <c r="J50" s="27" t="inlineStr">
        <is>
          <t>boolean</t>
        </is>
      </c>
      <c r="K50" s="27" t="inlineStr">
        <is>
          <t>Earlier management working export</t>
        </is>
      </c>
      <c r="L50" s="47" t="inlineStr">
        <is>
          <t>2026-06-24</t>
        </is>
      </c>
      <c r="M50" s="27" t="inlineStr"/>
    </row>
    <row r="51">
      <c r="A51" s="36" t="inlineStr">
        <is>
          <t>TAX-00380</t>
        </is>
      </c>
      <c r="B51" s="27" t="inlineStr">
        <is>
          <t>Free-cash-flow and non-GAAP policy reconciliation</t>
        </is>
      </c>
      <c r="C51" s="27" t="inlineStr">
        <is>
          <t>Non-GAAP reconciliation items</t>
        </is>
      </c>
      <c r="D51" s="27" t="inlineStr">
        <is>
          <t>Restructuring cash cost</t>
        </is>
      </c>
      <c r="E51" s="27" t="inlineStr">
        <is>
          <t>2026-05 working copy</t>
        </is>
      </c>
      <c r="F51" s="27" t="inlineStr">
        <is>
          <t>Approved case</t>
        </is>
      </c>
      <c r="G51" s="27" t="inlineStr">
        <is>
          <t>Amount</t>
        </is>
      </c>
      <c r="H51" s="46" t="n">
        <v>360500</v>
      </c>
      <c r="I51" s="27" t="inlineStr"/>
      <c r="J51" s="27" t="inlineStr">
        <is>
          <t>USD</t>
        </is>
      </c>
      <c r="K51" s="27" t="inlineStr">
        <is>
          <t>Earlier management working export</t>
        </is>
      </c>
      <c r="L51" s="47" t="inlineStr">
        <is>
          <t>2026-06-24</t>
        </is>
      </c>
      <c r="M51" s="27" t="inlineStr"/>
    </row>
    <row r="52">
      <c r="A52" s="36" t="inlineStr">
        <is>
          <t>TAX-00381</t>
        </is>
      </c>
      <c r="B52" s="27" t="inlineStr">
        <is>
          <t>Free-cash-flow and non-GAAP policy reconciliation</t>
        </is>
      </c>
      <c r="C52" s="27" t="inlineStr">
        <is>
          <t>Free cash flow inputs</t>
        </is>
      </c>
      <c r="D52" s="27" t="inlineStr">
        <is>
          <t>Capital expenditures</t>
        </is>
      </c>
      <c r="E52" s="27" t="inlineStr">
        <is>
          <t>LTM 2026-06-30</t>
        </is>
      </c>
      <c r="F52" s="27" t="inlineStr">
        <is>
          <t>Management stretch</t>
        </is>
      </c>
      <c r="G52" s="27" t="inlineStr">
        <is>
          <t>Amount</t>
        </is>
      </c>
      <c r="H52" s="46" t="n">
        <v>2579200</v>
      </c>
      <c r="I52" s="27" t="inlineStr"/>
      <c r="J52" s="27" t="inlineStr">
        <is>
          <t>USD</t>
        </is>
      </c>
      <c r="K52" s="27" t="inlineStr">
        <is>
          <t>Earlier management working export</t>
        </is>
      </c>
      <c r="L52" s="47" t="inlineStr">
        <is>
          <t>2026-06-24</t>
        </is>
      </c>
      <c r="M52" s="27" t="inlineStr"/>
    </row>
    <row r="53">
      <c r="A53" s="36" t="inlineStr">
        <is>
          <t>TAX-00382</t>
        </is>
      </c>
      <c r="B53" s="27" t="inlineStr">
        <is>
          <t>Free-cash-flow and non-GAAP policy reconciliation</t>
        </is>
      </c>
      <c r="C53" s="27" t="inlineStr">
        <is>
          <t>Non-GAAP reconciliation items</t>
        </is>
      </c>
      <c r="D53" s="27" t="inlineStr">
        <is>
          <t>GAAP net income</t>
        </is>
      </c>
      <c r="E53" s="27" t="inlineStr">
        <is>
          <t>2026-05 working copy</t>
        </is>
      </c>
      <c r="F53" s="27" t="inlineStr">
        <is>
          <t>Approved case</t>
        </is>
      </c>
      <c r="G53" s="27" t="inlineStr">
        <is>
          <t>Amount</t>
        </is>
      </c>
      <c r="H53" s="46" t="n">
        <v>3591000</v>
      </c>
      <c r="I53" s="27" t="inlineStr"/>
      <c r="J53" s="27" t="inlineStr">
        <is>
          <t>USD</t>
        </is>
      </c>
      <c r="K53" s="27" t="inlineStr">
        <is>
          <t>Earlier management working export</t>
        </is>
      </c>
      <c r="L53" s="47" t="inlineStr">
        <is>
          <t>2026-06-24</t>
        </is>
      </c>
      <c r="M53" s="27" t="inlineStr"/>
    </row>
    <row r="54">
      <c r="A54" s="36" t="inlineStr">
        <is>
          <t>TAX-00383</t>
        </is>
      </c>
      <c r="B54" s="27" t="inlineStr">
        <is>
          <t>Free-cash-flow and non-GAAP policy reconciliation</t>
        </is>
      </c>
      <c r="C54" s="27" t="inlineStr">
        <is>
          <t>Non-GAAP reconciliation items</t>
        </is>
      </c>
      <c r="D54" s="27" t="inlineStr">
        <is>
          <t>Income tax expense</t>
        </is>
      </c>
      <c r="E54" s="27" t="inlineStr">
        <is>
          <t>LTM 2026-06-30</t>
        </is>
      </c>
      <c r="F54" s="27" t="inlineStr">
        <is>
          <t>Management stretch</t>
        </is>
      </c>
      <c r="G54" s="27" t="inlineStr">
        <is>
          <t>Include in adjusted EBITDA</t>
        </is>
      </c>
      <c r="H54" s="46" t="n">
        <v>1.03</v>
      </c>
      <c r="I54" s="27" t="inlineStr"/>
      <c r="J54" s="27" t="inlineStr">
        <is>
          <t>boolean</t>
        </is>
      </c>
      <c r="K54" s="27" t="inlineStr">
        <is>
          <t>Earlier management working export</t>
        </is>
      </c>
      <c r="L54" s="47" t="inlineStr">
        <is>
          <t>2026-06-24</t>
        </is>
      </c>
      <c r="M54" s="27" t="inlineStr"/>
    </row>
    <row r="55">
      <c r="A55" s="36" t="inlineStr">
        <is>
          <t>TAX-00384</t>
        </is>
      </c>
      <c r="B55" s="27" t="inlineStr">
        <is>
          <t>Free-cash-flow and non-GAAP policy reconciliation</t>
        </is>
      </c>
      <c r="C55" s="27" t="inlineStr">
        <is>
          <t>Non-GAAP reconciliation items</t>
        </is>
      </c>
      <c r="D55" s="27" t="inlineStr">
        <is>
          <t>Restructuring cash cost</t>
        </is>
      </c>
      <c r="E55" s="27" t="inlineStr">
        <is>
          <t>2026-05 working copy</t>
        </is>
      </c>
      <c r="F55" s="27" t="inlineStr">
        <is>
          <t>Approved case</t>
        </is>
      </c>
      <c r="G55" s="27" t="inlineStr">
        <is>
          <t>Amount</t>
        </is>
      </c>
      <c r="H55" s="46" t="n">
        <v>364000</v>
      </c>
      <c r="I55" s="27" t="inlineStr"/>
      <c r="J55" s="27" t="inlineStr">
        <is>
          <t>USD</t>
        </is>
      </c>
      <c r="K55" s="27" t="inlineStr">
        <is>
          <t>Earlier management working export</t>
        </is>
      </c>
      <c r="L55" s="47" t="inlineStr">
        <is>
          <t>2026-06-24</t>
        </is>
      </c>
      <c r="M55" s="27" t="inlineStr"/>
    </row>
    <row r="56">
      <c r="A56" s="36" t="inlineStr">
        <is>
          <t>TAX-00385</t>
        </is>
      </c>
      <c r="B56" s="27" t="inlineStr">
        <is>
          <t>Free-cash-flow and non-GAAP policy reconciliation</t>
        </is>
      </c>
      <c r="C56" s="27" t="inlineStr">
        <is>
          <t>Free cash flow inputs</t>
        </is>
      </c>
      <c r="D56" s="27" t="inlineStr">
        <is>
          <t>Capital expenditures</t>
        </is>
      </c>
      <c r="E56" s="27" t="inlineStr">
        <is>
          <t>LTM 2026-06-30</t>
        </is>
      </c>
      <c r="F56" s="27" t="inlineStr">
        <is>
          <t>Management stretch</t>
        </is>
      </c>
      <c r="G56" s="27" t="inlineStr">
        <is>
          <t>Amount</t>
        </is>
      </c>
      <c r="H56" s="46" t="n">
        <v>2604000</v>
      </c>
      <c r="I56" s="27" t="inlineStr"/>
      <c r="J56" s="27" t="inlineStr">
        <is>
          <t>USD</t>
        </is>
      </c>
      <c r="K56" s="27" t="inlineStr">
        <is>
          <t>Earlier management working export</t>
        </is>
      </c>
      <c r="L56" s="47" t="inlineStr">
        <is>
          <t>2026-06-24</t>
        </is>
      </c>
      <c r="M56" s="27" t="inlineStr"/>
    </row>
    <row r="57">
      <c r="A57" s="36" t="inlineStr">
        <is>
          <t>TAX-00386</t>
        </is>
      </c>
      <c r="B57" s="27" t="inlineStr">
        <is>
          <t>Free-cash-flow and non-GAAP policy reconciliation</t>
        </is>
      </c>
      <c r="C57" s="27" t="inlineStr">
        <is>
          <t>Non-GAAP reconciliation items</t>
        </is>
      </c>
      <c r="D57" s="27" t="inlineStr">
        <is>
          <t>GAAP net income</t>
        </is>
      </c>
      <c r="E57" s="27" t="inlineStr">
        <is>
          <t>2026-05 working copy</t>
        </is>
      </c>
      <c r="F57" s="27" t="inlineStr">
        <is>
          <t>Approved case</t>
        </is>
      </c>
      <c r="G57" s="27" t="inlineStr">
        <is>
          <t>Amount</t>
        </is>
      </c>
      <c r="H57" s="46" t="n">
        <v>3522600</v>
      </c>
      <c r="I57" s="27" t="inlineStr"/>
      <c r="J57" s="27" t="inlineStr">
        <is>
          <t>USD</t>
        </is>
      </c>
      <c r="K57" s="27" t="inlineStr">
        <is>
          <t>Earlier management working export</t>
        </is>
      </c>
      <c r="L57" s="47" t="inlineStr">
        <is>
          <t>2026-06-24</t>
        </is>
      </c>
      <c r="M57" s="27" t="inlineStr"/>
    </row>
    <row r="58">
      <c r="A58" s="36" t="inlineStr">
        <is>
          <t>TAX-00387</t>
        </is>
      </c>
      <c r="B58" s="27" t="inlineStr">
        <is>
          <t>Free-cash-flow and non-GAAP policy reconciliation</t>
        </is>
      </c>
      <c r="C58" s="27" t="inlineStr">
        <is>
          <t>Non-GAAP reconciliation items</t>
        </is>
      </c>
      <c r="D58" s="27" t="inlineStr">
        <is>
          <t>Income tax expense</t>
        </is>
      </c>
      <c r="E58" s="27" t="inlineStr">
        <is>
          <t>LTM 2026-06-30</t>
        </is>
      </c>
      <c r="F58" s="27" t="inlineStr">
        <is>
          <t>Management stretch</t>
        </is>
      </c>
      <c r="G58" s="27" t="inlineStr">
        <is>
          <t>Include in adjusted EBITDA</t>
        </is>
      </c>
      <c r="H58" s="46" t="n">
        <v>1.04</v>
      </c>
      <c r="I58" s="27" t="inlineStr"/>
      <c r="J58" s="27" t="inlineStr">
        <is>
          <t>boolean</t>
        </is>
      </c>
      <c r="K58" s="27" t="inlineStr">
        <is>
          <t>Earlier management working export</t>
        </is>
      </c>
      <c r="L58" s="47" t="inlineStr">
        <is>
          <t>2026-06-24</t>
        </is>
      </c>
      <c r="M58" s="27" t="inlineStr"/>
    </row>
    <row r="59">
      <c r="A59" s="36" t="inlineStr">
        <is>
          <t>TAX-00395</t>
        </is>
      </c>
      <c r="B59" s="27" t="inlineStr">
        <is>
          <t>Free-cash-flow and non-GAAP policy reconciliation</t>
        </is>
      </c>
      <c r="C59" s="27" t="inlineStr">
        <is>
          <t>Downside definition forecast</t>
        </is>
      </c>
      <c r="D59" s="27" t="inlineStr">
        <is>
          <t>Acquisition integration cost</t>
        </is>
      </c>
      <c r="E59" s="27" t="inlineStr">
        <is>
          <t>2026-05 working copy</t>
        </is>
      </c>
      <c r="F59" s="27" t="inlineStr">
        <is>
          <t>Approved case</t>
        </is>
      </c>
      <c r="G59" s="27" t="inlineStr">
        <is>
          <t>Remaining addback factor</t>
        </is>
      </c>
      <c r="H59" s="46" t="n">
        <v>0.6695000000000001</v>
      </c>
      <c r="I59" s="27" t="inlineStr"/>
      <c r="J59" s="27" t="inlineStr">
        <is>
          <t>decimal ratio</t>
        </is>
      </c>
      <c r="K59" s="27" t="inlineStr">
        <is>
          <t>Earlier management working export</t>
        </is>
      </c>
      <c r="L59" s="47" t="inlineStr">
        <is>
          <t>2026-06-24</t>
        </is>
      </c>
      <c r="M59" s="27" t="inlineStr"/>
    </row>
    <row r="60">
      <c r="A60" s="36" t="inlineStr">
        <is>
          <t>TAX-00396</t>
        </is>
      </c>
      <c r="B60" s="27" t="inlineStr">
        <is>
          <t>Free-cash-flow and non-GAAP policy reconciliation</t>
        </is>
      </c>
      <c r="C60" s="27" t="inlineStr">
        <is>
          <t>Downside definition forecast</t>
        </is>
      </c>
      <c r="D60" s="27" t="inlineStr">
        <is>
          <t>Acquisition integration cost</t>
        </is>
      </c>
      <c r="E60" s="27" t="inlineStr">
        <is>
          <t>FY27</t>
        </is>
      </c>
      <c r="F60" s="27" t="inlineStr">
        <is>
          <t>Management stretch</t>
        </is>
      </c>
      <c r="G60" s="27" t="inlineStr">
        <is>
          <t>Remaining addback factor</t>
        </is>
      </c>
      <c r="H60" s="46" t="n">
        <v>0.676</v>
      </c>
      <c r="I60" s="27" t="inlineStr"/>
      <c r="J60" s="27" t="inlineStr">
        <is>
          <t>decimal ratio</t>
        </is>
      </c>
      <c r="K60" s="27" t="inlineStr">
        <is>
          <t>Earlier management working export</t>
        </is>
      </c>
      <c r="L60" s="47" t="inlineStr">
        <is>
          <t>2026-06-24</t>
        </is>
      </c>
      <c r="M60" s="27" t="inlineStr"/>
    </row>
    <row r="61">
      <c r="A61" s="36" t="inlineStr">
        <is>
          <t>TAX-00397</t>
        </is>
      </c>
      <c r="B61" s="27" t="inlineStr">
        <is>
          <t>Free-cash-flow and non-GAAP policy reconciliation</t>
        </is>
      </c>
      <c r="C61" s="27" t="inlineStr">
        <is>
          <t>Downside definition forecast</t>
        </is>
      </c>
      <c r="D61" s="27" t="inlineStr">
        <is>
          <t>Acquisition integration cost</t>
        </is>
      </c>
      <c r="E61" s="27" t="inlineStr">
        <is>
          <t>2026-05 working copy</t>
        </is>
      </c>
      <c r="F61" s="27" t="inlineStr">
        <is>
          <t>Approved case</t>
        </is>
      </c>
      <c r="G61" s="27" t="inlineStr">
        <is>
          <t>Remaining addback factor</t>
        </is>
      </c>
      <c r="H61" s="46" t="n">
        <v>0.6825000000000001</v>
      </c>
      <c r="I61" s="27" t="inlineStr"/>
      <c r="J61" s="27" t="inlineStr">
        <is>
          <t>decimal ratio</t>
        </is>
      </c>
      <c r="K61" s="27" t="inlineStr">
        <is>
          <t>Earlier management working export</t>
        </is>
      </c>
      <c r="L61" s="47" t="inlineStr">
        <is>
          <t>2026-06-24</t>
        </is>
      </c>
      <c r="M61" s="27" t="inlineStr"/>
    </row>
    <row r="62">
      <c r="A62" s="36" t="inlineStr">
        <is>
          <t>TAX-00398</t>
        </is>
      </c>
      <c r="B62" s="27" t="inlineStr">
        <is>
          <t>Free-cash-flow and non-GAAP policy reconciliation</t>
        </is>
      </c>
      <c r="C62" s="27" t="inlineStr">
        <is>
          <t>Downside definition forecast</t>
        </is>
      </c>
      <c r="D62" s="27" t="inlineStr">
        <is>
          <t>Acquisition integration cost</t>
        </is>
      </c>
      <c r="E62" s="27" t="inlineStr">
        <is>
          <t>FY27</t>
        </is>
      </c>
      <c r="F62" s="27" t="inlineStr">
        <is>
          <t>Management stretch</t>
        </is>
      </c>
      <c r="G62" s="27" t="inlineStr">
        <is>
          <t>Remaining addback factor</t>
        </is>
      </c>
      <c r="H62" s="46" t="n">
        <v>0.6695000000000001</v>
      </c>
      <c r="I62" s="27" t="inlineStr"/>
      <c r="J62" s="27" t="inlineStr">
        <is>
          <t>decimal ratio</t>
        </is>
      </c>
      <c r="K62" s="27" t="inlineStr">
        <is>
          <t>Earlier management working export</t>
        </is>
      </c>
      <c r="L62" s="47" t="inlineStr">
        <is>
          <t>2026-06-24</t>
        </is>
      </c>
      <c r="M62" s="27" t="inlineStr"/>
    </row>
    <row r="63">
      <c r="A63" s="36" t="inlineStr">
        <is>
          <t>TAX-00399</t>
        </is>
      </c>
      <c r="B63" s="27" t="inlineStr">
        <is>
          <t>Free-cash-flow and non-GAAP policy reconciliation</t>
        </is>
      </c>
      <c r="C63" s="27" t="inlineStr">
        <is>
          <t>Downside definition forecast</t>
        </is>
      </c>
      <c r="D63" s="27" t="inlineStr">
        <is>
          <t>Acquisition integration cost</t>
        </is>
      </c>
      <c r="E63" s="27" t="inlineStr">
        <is>
          <t>2026-05 working copy</t>
        </is>
      </c>
      <c r="F63" s="27" t="inlineStr">
        <is>
          <t>Approved case</t>
        </is>
      </c>
      <c r="G63" s="27" t="inlineStr">
        <is>
          <t>Remaining addback factor</t>
        </is>
      </c>
      <c r="H63" s="46" t="n">
        <v>0.676</v>
      </c>
      <c r="I63" s="27" t="inlineStr"/>
      <c r="J63" s="27" t="inlineStr">
        <is>
          <t>decimal ratio</t>
        </is>
      </c>
      <c r="K63" s="27" t="inlineStr">
        <is>
          <t>Earlier management working export</t>
        </is>
      </c>
      <c r="L63" s="47" t="inlineStr">
        <is>
          <t>2026-06-24</t>
        </is>
      </c>
      <c r="M63" s="27" t="inlineStr"/>
    </row>
    <row r="64">
      <c r="A64" s="36" t="inlineStr">
        <is>
          <t>TAX-00400</t>
        </is>
      </c>
      <c r="B64" s="27" t="inlineStr">
        <is>
          <t>Free-cash-flow and non-GAAP policy reconciliation</t>
        </is>
      </c>
      <c r="C64" s="27" t="inlineStr">
        <is>
          <t>Downside definition forecast</t>
        </is>
      </c>
      <c r="D64" s="27" t="inlineStr">
        <is>
          <t>Acquisition integration cost</t>
        </is>
      </c>
      <c r="E64" s="27" t="inlineStr">
        <is>
          <t>FY27</t>
        </is>
      </c>
      <c r="F64" s="27" t="inlineStr">
        <is>
          <t>Management stretch</t>
        </is>
      </c>
      <c r="G64" s="27" t="inlineStr">
        <is>
          <t>Remaining addback factor</t>
        </is>
      </c>
      <c r="H64" s="46" t="n">
        <v>0.6825000000000001</v>
      </c>
      <c r="I64" s="27" t="inlineStr"/>
      <c r="J64" s="27" t="inlineStr">
        <is>
          <t>decimal ratio</t>
        </is>
      </c>
      <c r="K64" s="27" t="inlineStr">
        <is>
          <t>Earlier management working export</t>
        </is>
      </c>
      <c r="L64" s="47" t="inlineStr">
        <is>
          <t>2026-06-24</t>
        </is>
      </c>
      <c r="M64" s="27" t="inlineStr"/>
    </row>
  </sheetData>
  <autoFilter ref="A4:M64"/>
  <mergeCells count="2">
    <mergeCell ref="A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FY26 tax provision and controllership definitions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Provision and Cash Tax</t>
        </is>
      </c>
      <c r="B5" s="40" t="n">
        <v>40</v>
      </c>
      <c r="C5" s="40">
        <f>COUNTA('Provision and Cash Tax'!$A$5:$A$44)</f>
        <v/>
      </c>
      <c r="D5" s="40">
        <f>C5-B5</f>
        <v/>
      </c>
      <c r="E5" s="43">
        <f>IF(D5=0,"OK","CHECK")</f>
        <v/>
      </c>
      <c r="F5" s="40" t="inlineStr">
        <is>
          <t>PRIOR REVIEW COPY • NOT CURRENT</t>
        </is>
      </c>
    </row>
    <row r="6">
      <c r="A6" s="41" t="inlineStr">
        <is>
          <t>State Tax</t>
        </is>
      </c>
      <c r="B6" s="41" t="n">
        <v>28</v>
      </c>
      <c r="C6" s="41">
        <f>COUNTA('State Tax'!$A$5:$A$32)</f>
        <v/>
      </c>
      <c r="D6" s="41">
        <f>C6-B6</f>
        <v/>
      </c>
      <c r="E6" s="44">
        <f>IF(D6=0,"OK","CHECK")</f>
        <v/>
      </c>
      <c r="F6" s="41" t="inlineStr">
        <is>
          <t>PRIOR REVIEW COPY • NOT CURRENT</t>
        </is>
      </c>
    </row>
    <row r="7">
      <c r="A7" s="42" t="inlineStr">
        <is>
          <t>Non-GAAP and Revenue</t>
        </is>
      </c>
      <c r="B7" s="42" t="n">
        <v>60</v>
      </c>
      <c r="C7" s="42">
        <f>COUNTA('Non-GAAP and Revenue'!$A$5:$A$64)</f>
        <v/>
      </c>
      <c r="D7" s="42">
        <f>C7-B7</f>
        <v/>
      </c>
      <c r="E7" s="45">
        <f>IF(D7=0,"OK","CHECK")</f>
        <v/>
      </c>
      <c r="F7" s="42" t="inlineStr">
        <is>
          <t>PRIOR REVIEW COPY • NOT CURRENT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2026-08-01T05:21:43Z</dcterms:created>
  <dcterms:modified xmlns:dcterms="http://purl.org/dc/terms/" xmlns:xsi="http://www.w3.org/2001/XMLSchema-instance" xsi:type="dcterms:W3CDTF">2026-08-01T05:21:43Z</dcterms:modified>
</cp:coreProperties>
</file>