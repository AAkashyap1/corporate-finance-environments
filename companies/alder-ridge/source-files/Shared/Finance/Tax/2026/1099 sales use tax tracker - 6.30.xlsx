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1099, sales/use-tax and filing tracker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Taxability flags came from vendor setup and include unresolved exceptions.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V-2432</t>
        </is>
      </c>
      <c r="B6" s="6" t="inlineStr">
        <is>
          <t>2026-06-30</t>
        </is>
      </c>
      <c r="C6" s="6" t="inlineStr">
        <is>
          <t>Professional Services</t>
        </is>
      </c>
      <c r="D6" s="6" t="inlineStr">
        <is>
          <t>1099-NEC</t>
        </is>
      </c>
      <c r="E6" s="6" t="inlineStr">
        <is>
          <t>Blue Mountain Construction Advisory - Bend Company; 1 YTD bills; 1099-NEC mapping review</t>
        </is>
      </c>
      <c r="F6" s="7" t="n">
        <v>0</v>
      </c>
      <c r="G6" s="7" t="n">
        <v>0</v>
      </c>
      <c r="H6" s="7">
        <f>F6+G6</f>
        <v/>
      </c>
      <c r="I6" s="6" t="inlineStr">
        <is>
          <t>review open</t>
        </is>
      </c>
      <c r="J6" s="6" t="inlineStr">
        <is>
          <t>vendor master + AP subledger</t>
        </is>
      </c>
    </row>
    <row r="7">
      <c r="A7" s="6" t="inlineStr">
        <is>
          <t>V-2332</t>
        </is>
      </c>
      <c r="B7" s="6" t="inlineStr">
        <is>
          <t>2026-06-30</t>
        </is>
      </c>
      <c r="C7" s="6" t="inlineStr">
        <is>
          <t>Commissioning</t>
        </is>
      </c>
      <c r="D7" s="6" t="inlineStr">
        <is>
          <t>1099-NEC</t>
        </is>
      </c>
      <c r="E7" s="6" t="inlineStr">
        <is>
          <t>Blue Mountain Testing and Balancing - Gresham Company; 4 YTD bills; 1099-NEC mapping review</t>
        </is>
      </c>
      <c r="F7" s="7" t="n">
        <v>24011.12</v>
      </c>
      <c r="G7" s="7" t="n">
        <v>0</v>
      </c>
      <c r="H7" s="7">
        <f>F7+G7</f>
        <v/>
      </c>
      <c r="I7" s="6" t="inlineStr">
        <is>
          <t>review open</t>
        </is>
      </c>
      <c r="J7" s="6" t="inlineStr">
        <is>
          <t>vendor master + AP subledger</t>
        </is>
      </c>
    </row>
    <row r="8">
      <c r="A8" s="6" t="inlineStr">
        <is>
          <t>V-2394</t>
        </is>
      </c>
      <c r="B8" s="6" t="inlineStr">
        <is>
          <t>2026-06-30</t>
        </is>
      </c>
      <c r="C8" s="6" t="inlineStr">
        <is>
          <t>Professional Services</t>
        </is>
      </c>
      <c r="D8" s="6" t="inlineStr">
        <is>
          <t>1099-NEC</t>
        </is>
      </c>
      <c r="E8" s="6" t="inlineStr">
        <is>
          <t>Bridge City Construction Advisory - Beaverton Group; 3 YTD bills; 1099-NEC mapping review</t>
        </is>
      </c>
      <c r="F8" s="7" t="n">
        <v>50882.17</v>
      </c>
      <c r="G8" s="7" t="n">
        <v>0</v>
      </c>
      <c r="H8" s="7">
        <f>F8+G8</f>
        <v/>
      </c>
      <c r="I8" s="6" t="inlineStr">
        <is>
          <t>review open</t>
        </is>
      </c>
      <c r="J8" s="6" t="inlineStr">
        <is>
          <t>vendor master + AP subledger</t>
        </is>
      </c>
    </row>
    <row r="9">
      <c r="A9" s="6" t="inlineStr">
        <is>
          <t>V-2534</t>
        </is>
      </c>
      <c r="B9" s="6" t="inlineStr">
        <is>
          <t>2026-06-30</t>
        </is>
      </c>
      <c r="C9" s="6" t="inlineStr">
        <is>
          <t>Commissioning</t>
        </is>
      </c>
      <c r="D9" s="6" t="inlineStr">
        <is>
          <t>1099-NEC</t>
        </is>
      </c>
      <c r="E9" s="6" t="inlineStr">
        <is>
          <t>Bridge City Testing and Balancing - Beaverton Group; 10 YTD bills; 1099-NEC mapping review</t>
        </is>
      </c>
      <c r="F9" s="7" t="n">
        <v>57028.46</v>
      </c>
      <c r="G9" s="7" t="n">
        <v>0</v>
      </c>
      <c r="H9" s="7">
        <f>F9+G9</f>
        <v/>
      </c>
      <c r="I9" s="6" t="inlineStr">
        <is>
          <t>review open</t>
        </is>
      </c>
      <c r="J9" s="6" t="inlineStr">
        <is>
          <t>vendor master + AP subledger</t>
        </is>
      </c>
    </row>
    <row r="10">
      <c r="A10" s="6" t="inlineStr">
        <is>
          <t>V-2294</t>
        </is>
      </c>
      <c r="B10" s="6" t="inlineStr">
        <is>
          <t>2026-06-30</t>
        </is>
      </c>
      <c r="C10" s="6" t="inlineStr">
        <is>
          <t>Commissioning</t>
        </is>
      </c>
      <c r="D10" s="6" t="inlineStr">
        <is>
          <t>1099-NEC</t>
        </is>
      </c>
      <c r="E10" s="6" t="inlineStr">
        <is>
          <t>Bridge City Testing and Balancing - Vancouver Group; 3 YTD bills; 1099-NEC mapping review</t>
        </is>
      </c>
      <c r="F10" s="7" t="n">
        <v>17767.58</v>
      </c>
      <c r="G10" s="7" t="n">
        <v>0</v>
      </c>
      <c r="H10" s="7">
        <f>F10+G10</f>
        <v/>
      </c>
      <c r="I10" s="6" t="inlineStr">
        <is>
          <t>review open</t>
        </is>
      </c>
      <c r="J10" s="6" t="inlineStr">
        <is>
          <t>vendor master + AP subledger</t>
        </is>
      </c>
    </row>
    <row r="11">
      <c r="A11" s="6" t="inlineStr">
        <is>
          <t>V-2420</t>
        </is>
      </c>
      <c r="B11" s="6" t="inlineStr">
        <is>
          <t>2026-06-30</t>
        </is>
      </c>
      <c r="C11" s="6" t="inlineStr">
        <is>
          <t>Professional Services</t>
        </is>
      </c>
      <c r="D11" s="6" t="inlineStr">
        <is>
          <t>1099-NEC</t>
        </is>
      </c>
      <c r="E11" s="6" t="inlineStr">
        <is>
          <t>Cascade Construction Advisory - Vancouver LLC; 1 YTD bills; 1099-NEC mapping review</t>
        </is>
      </c>
      <c r="F11" s="7" t="n">
        <v>13058.46</v>
      </c>
      <c r="G11" s="7" t="n">
        <v>0</v>
      </c>
      <c r="H11" s="7">
        <f>F11+G11</f>
        <v/>
      </c>
      <c r="I11" s="6" t="inlineStr">
        <is>
          <t>review open</t>
        </is>
      </c>
      <c r="J11" s="6" t="inlineStr">
        <is>
          <t>vendor master + AP subledger</t>
        </is>
      </c>
    </row>
    <row r="12">
      <c r="A12" s="6" t="inlineStr">
        <is>
          <t>V-2320</t>
        </is>
      </c>
      <c r="B12" s="6" t="inlineStr">
        <is>
          <t>2026-06-30</t>
        </is>
      </c>
      <c r="C12" s="6" t="inlineStr">
        <is>
          <t>Commissioning</t>
        </is>
      </c>
      <c r="D12" s="6" t="inlineStr">
        <is>
          <t>1099-NEC</t>
        </is>
      </c>
      <c r="E12" s="6" t="inlineStr">
        <is>
          <t>Cascade Testing and Balancing - Bend LLC; 6 YTD bills; 1099-NEC mapping review</t>
        </is>
      </c>
      <c r="F12" s="7" t="n">
        <v>68216.67999999999</v>
      </c>
      <c r="G12" s="7" t="n">
        <v>0</v>
      </c>
      <c r="H12" s="7">
        <f>F12+G12</f>
        <v/>
      </c>
      <c r="I12" s="6" t="inlineStr">
        <is>
          <t>review open</t>
        </is>
      </c>
      <c r="J12" s="6" t="inlineStr">
        <is>
          <t>vendor master + AP subledger</t>
        </is>
      </c>
    </row>
    <row r="13">
      <c r="A13" s="6" t="inlineStr">
        <is>
          <t>V-2413</t>
        </is>
      </c>
      <c r="B13" s="6" t="inlineStr">
        <is>
          <t>2026-06-30</t>
        </is>
      </c>
      <c r="C13" s="6" t="inlineStr">
        <is>
          <t>Professional Services</t>
        </is>
      </c>
      <c r="D13" s="6" t="inlineStr">
        <is>
          <t>1099-NEC</t>
        </is>
      </c>
      <c r="E13" s="6" t="inlineStr">
        <is>
          <t>Cedar Mill Construction Advisory - Vancouver Services, LLC; 3 YTD bills; 1099-NEC mapping review</t>
        </is>
      </c>
      <c r="F13" s="7" t="n">
        <v>23609.9</v>
      </c>
      <c r="G13" s="7" t="n">
        <v>0</v>
      </c>
      <c r="H13" s="7">
        <f>F13+G13</f>
        <v/>
      </c>
      <c r="I13" s="6" t="inlineStr">
        <is>
          <t>review open</t>
        </is>
      </c>
      <c r="J13" s="6" t="inlineStr">
        <is>
          <t>vendor master + AP subledger</t>
        </is>
      </c>
    </row>
    <row r="14">
      <c r="A14" s="6" t="inlineStr">
        <is>
          <t>V-2313</t>
        </is>
      </c>
      <c r="B14" s="6" t="inlineStr">
        <is>
          <t>2026-06-30</t>
        </is>
      </c>
      <c r="C14" s="6" t="inlineStr">
        <is>
          <t>Commissioning</t>
        </is>
      </c>
      <c r="D14" s="6" t="inlineStr">
        <is>
          <t>1099-NEC</t>
        </is>
      </c>
      <c r="E14" s="6" t="inlineStr">
        <is>
          <t>Cedar Mill Testing and Balancing - Bend Services, LLC; 6 YTD bills; 1099-NEC mapping review</t>
        </is>
      </c>
      <c r="F14" s="7" t="n">
        <v>42652.45</v>
      </c>
      <c r="G14" s="7" t="n">
        <v>0</v>
      </c>
      <c r="H14" s="7">
        <f>F14+G14</f>
        <v/>
      </c>
      <c r="I14" s="6" t="inlineStr">
        <is>
          <t>review open</t>
        </is>
      </c>
      <c r="J14" s="6" t="inlineStr">
        <is>
          <t>vendor master + AP subledger</t>
        </is>
      </c>
    </row>
    <row r="15">
      <c r="A15" s="6" t="inlineStr">
        <is>
          <t>V-2401</t>
        </is>
      </c>
      <c r="B15" s="6" t="inlineStr">
        <is>
          <t>2026-06-30</t>
        </is>
      </c>
      <c r="C15" s="6" t="inlineStr">
        <is>
          <t>Professional Services</t>
        </is>
      </c>
      <c r="D15" s="6" t="inlineStr">
        <is>
          <t>1099-NEC</t>
        </is>
      </c>
      <c r="E15" s="6" t="inlineStr">
        <is>
          <t>Columbia Construction Advisory - Beaverton Inc.; 3 YTD bills; 1099-NEC mapping review</t>
        </is>
      </c>
      <c r="F15" s="7" t="n">
        <v>14243.3</v>
      </c>
      <c r="G15" s="7" t="n">
        <v>0</v>
      </c>
      <c r="H15" s="7">
        <f>F15+G15</f>
        <v/>
      </c>
      <c r="I15" s="6" t="inlineStr">
        <is>
          <t>review open</t>
        </is>
      </c>
      <c r="J15" s="6" t="inlineStr">
        <is>
          <t>vendor master + AP subledger</t>
        </is>
      </c>
    </row>
    <row r="16">
      <c r="A16" s="6" t="inlineStr">
        <is>
          <t>V-2301</t>
        </is>
      </c>
      <c r="B16" s="6" t="inlineStr">
        <is>
          <t>2026-06-30</t>
        </is>
      </c>
      <c r="C16" s="6" t="inlineStr">
        <is>
          <t>Commissioning</t>
        </is>
      </c>
      <c r="D16" s="6" t="inlineStr">
        <is>
          <t>1099-NEC</t>
        </is>
      </c>
      <c r="E16" s="6" t="inlineStr">
        <is>
          <t>Columbia Testing and Balancing - Vancouver Inc.; 7 YTD bills; 1099-NEC mapping review</t>
        </is>
      </c>
      <c r="F16" s="7" t="n">
        <v>65168.69</v>
      </c>
      <c r="G16" s="7" t="n">
        <v>0</v>
      </c>
      <c r="H16" s="7">
        <f>F16+G16</f>
        <v/>
      </c>
      <c r="I16" s="6" t="inlineStr">
        <is>
          <t>review open</t>
        </is>
      </c>
      <c r="J16" s="6" t="inlineStr">
        <is>
          <t>vendor master + AP subledger</t>
        </is>
      </c>
    </row>
    <row r="17">
      <c r="A17" s="6" t="inlineStr">
        <is>
          <t>V-2382</t>
        </is>
      </c>
      <c r="B17" s="6" t="inlineStr">
        <is>
          <t>2026-06-30</t>
        </is>
      </c>
      <c r="C17" s="6" t="inlineStr">
        <is>
          <t>Professional Services</t>
        </is>
      </c>
      <c r="D17" s="6" t="inlineStr">
        <is>
          <t>1099-NEC</t>
        </is>
      </c>
      <c r="E17" s="6" t="inlineStr">
        <is>
          <t>Evergreen Construction Advisory - Portland Company; 1 YTD bills; 1099-NEC mapping review</t>
        </is>
      </c>
      <c r="F17" s="7" t="n">
        <v>4740.66</v>
      </c>
      <c r="G17" s="7" t="n">
        <v>0</v>
      </c>
      <c r="H17" s="7">
        <f>F17+G17</f>
        <v/>
      </c>
      <c r="I17" s="6" t="inlineStr">
        <is>
          <t>review open</t>
        </is>
      </c>
      <c r="J17" s="6" t="inlineStr">
        <is>
          <t>vendor master + AP subledger</t>
        </is>
      </c>
    </row>
    <row r="18">
      <c r="A18" s="6" t="inlineStr">
        <is>
          <t>V-2056</t>
        </is>
      </c>
      <c r="B18" s="6" t="inlineStr">
        <is>
          <t>2026-06-30</t>
        </is>
      </c>
      <c r="C18" s="6" t="inlineStr">
        <is>
          <t>Commissioning</t>
        </is>
      </c>
      <c r="D18" s="6" t="inlineStr">
        <is>
          <t>1099-NEC</t>
        </is>
      </c>
      <c r="E18" s="6" t="inlineStr">
        <is>
          <t>Evergreen Testing &amp; Balancing, Inc.; 3 YTD bills; 1099-NEC mapping review</t>
        </is>
      </c>
      <c r="F18" s="7" t="n">
        <v>6362.44</v>
      </c>
      <c r="G18" s="7" t="n">
        <v>0</v>
      </c>
      <c r="H18" s="7">
        <f>F18+G18</f>
        <v/>
      </c>
      <c r="I18" s="6" t="inlineStr">
        <is>
          <t>review open</t>
        </is>
      </c>
      <c r="J18" s="6" t="inlineStr">
        <is>
          <t>vendor master / MWBE</t>
        </is>
      </c>
    </row>
    <row r="19">
      <c r="A19" s="6" t="inlineStr">
        <is>
          <t>V-2282</t>
        </is>
      </c>
      <c r="B19" s="6" t="inlineStr">
        <is>
          <t>2026-06-30</t>
        </is>
      </c>
      <c r="C19" s="6" t="inlineStr">
        <is>
          <t>Commissioning</t>
        </is>
      </c>
      <c r="D19" s="6" t="inlineStr">
        <is>
          <t>1099-NEC</t>
        </is>
      </c>
      <c r="E19" s="6" t="inlineStr">
        <is>
          <t>Evergreen Testing and Balancing - Beaverton Company; 3 YTD bills; 1099-NEC mapping review</t>
        </is>
      </c>
      <c r="F19" s="7" t="n">
        <v>57837.87</v>
      </c>
      <c r="G19" s="7" t="n">
        <v>0</v>
      </c>
      <c r="H19" s="7">
        <f>F19+G19</f>
        <v/>
      </c>
      <c r="I19" s="6" t="inlineStr">
        <is>
          <t>review open</t>
        </is>
      </c>
      <c r="J19" s="6" t="inlineStr">
        <is>
          <t>vendor master + AP subledger</t>
        </is>
      </c>
    </row>
    <row r="20">
      <c r="A20" s="6" t="inlineStr">
        <is>
          <t>V-2522</t>
        </is>
      </c>
      <c r="B20" s="6" t="inlineStr">
        <is>
          <t>2026-06-30</t>
        </is>
      </c>
      <c r="C20" s="6" t="inlineStr">
        <is>
          <t>Commissioning</t>
        </is>
      </c>
      <c r="D20" s="6" t="inlineStr">
        <is>
          <t>1099-NEC</t>
        </is>
      </c>
      <c r="E20" s="6" t="inlineStr">
        <is>
          <t>Evergreen Testing and Balancing - Portland Company; 4 YTD bills; 1099-NEC mapping review</t>
        </is>
      </c>
      <c r="F20" s="7" t="n">
        <v>27056.86</v>
      </c>
      <c r="G20" s="7" t="n">
        <v>0</v>
      </c>
      <c r="H20" s="7">
        <f>F20+G20</f>
        <v/>
      </c>
      <c r="I20" s="6" t="inlineStr">
        <is>
          <t>review open</t>
        </is>
      </c>
      <c r="J20" s="6" t="inlineStr">
        <is>
          <t>vendor master + AP subledger</t>
        </is>
      </c>
    </row>
    <row r="21">
      <c r="A21" s="6" t="inlineStr">
        <is>
          <t>V-2363</t>
        </is>
      </c>
      <c r="B21" s="6" t="inlineStr">
        <is>
          <t>2026-06-30</t>
        </is>
      </c>
      <c r="C21" s="6" t="inlineStr">
        <is>
          <t>Professional Services</t>
        </is>
      </c>
      <c r="D21" s="6" t="inlineStr">
        <is>
          <t>1099-NEC</t>
        </is>
      </c>
      <c r="E21" s="6" t="inlineStr">
        <is>
          <t>High Desert Construction Advisory - Salem Services, LLC; 4 YTD bills; 1099-NEC mapping review</t>
        </is>
      </c>
      <c r="F21" s="7" t="n">
        <v>16347.24</v>
      </c>
      <c r="G21" s="7" t="n">
        <v>0</v>
      </c>
      <c r="H21" s="7">
        <f>F21+G21</f>
        <v/>
      </c>
      <c r="I21" s="6" t="inlineStr">
        <is>
          <t>review open</t>
        </is>
      </c>
      <c r="J21" s="6" t="inlineStr">
        <is>
          <t>vendor master + AP subledger</t>
        </is>
      </c>
    </row>
    <row r="22">
      <c r="A22" s="6" t="inlineStr">
        <is>
          <t>V-2263</t>
        </is>
      </c>
      <c r="B22" s="6" t="inlineStr">
        <is>
          <t>2026-06-30</t>
        </is>
      </c>
      <c r="C22" s="6" t="inlineStr">
        <is>
          <t>Commissioning</t>
        </is>
      </c>
      <c r="D22" s="6" t="inlineStr">
        <is>
          <t>1099-NEC</t>
        </is>
      </c>
      <c r="E22" s="6" t="inlineStr">
        <is>
          <t>High Desert Testing and Balancing - Portland Services, LLC; 0 YTD bills; 1099-NEC mapping review</t>
        </is>
      </c>
      <c r="F22" s="7" t="n">
        <v>0</v>
      </c>
      <c r="G22" s="7" t="n">
        <v>0</v>
      </c>
      <c r="H22" s="7">
        <f>F22+G22</f>
        <v/>
      </c>
      <c r="I22" s="6" t="inlineStr">
        <is>
          <t>review open</t>
        </is>
      </c>
      <c r="J22" s="6" t="inlineStr">
        <is>
          <t>vendor master + AP subledger</t>
        </is>
      </c>
    </row>
    <row r="23">
      <c r="A23" s="6" t="inlineStr">
        <is>
          <t>V-2503</t>
        </is>
      </c>
      <c r="B23" s="6" t="inlineStr">
        <is>
          <t>2026-06-30</t>
        </is>
      </c>
      <c r="C23" s="6" t="inlineStr">
        <is>
          <t>Commissioning</t>
        </is>
      </c>
      <c r="D23" s="6" t="inlineStr">
        <is>
          <t>1099-NEC</t>
        </is>
      </c>
      <c r="E23" s="6" t="inlineStr">
        <is>
          <t>High Desert Testing and Balancing - Salem Services, LLC; 5 YTD bills; 1099-NEC mapping review</t>
        </is>
      </c>
      <c r="F23" s="7" t="n">
        <v>46090.37</v>
      </c>
      <c r="G23" s="7" t="n">
        <v>0</v>
      </c>
      <c r="H23" s="7">
        <f>F23+G23</f>
        <v/>
      </c>
      <c r="I23" s="6" t="inlineStr">
        <is>
          <t>review open</t>
        </is>
      </c>
      <c r="J23" s="6" t="inlineStr">
        <is>
          <t>vendor master + AP subledger</t>
        </is>
      </c>
    </row>
    <row r="24">
      <c r="A24" s="6" t="inlineStr">
        <is>
          <t>V-2318</t>
        </is>
      </c>
      <c r="B24" s="6" t="inlineStr">
        <is>
          <t>2026-06-30</t>
        </is>
      </c>
      <c r="C24" s="6" t="inlineStr">
        <is>
          <t>Professional Services</t>
        </is>
      </c>
      <c r="D24" s="6" t="inlineStr">
        <is>
          <t>1099-NEC</t>
        </is>
      </c>
      <c r="E24" s="6" t="inlineStr">
        <is>
          <t>Interstate Construction Advisory - Gresham Services, LLC; 3 YTD bills; 1099-NEC mapping review</t>
        </is>
      </c>
      <c r="F24" s="7" t="n">
        <v>23081.71</v>
      </c>
      <c r="G24" s="7" t="n">
        <v>0</v>
      </c>
      <c r="H24" s="7">
        <f>F24+G24</f>
        <v/>
      </c>
      <c r="I24" s="6" t="inlineStr">
        <is>
          <t>review open</t>
        </is>
      </c>
      <c r="J24" s="6" t="inlineStr">
        <is>
          <t>vendor master + AP subledger</t>
        </is>
      </c>
    </row>
    <row r="25">
      <c r="A25" s="6" t="inlineStr">
        <is>
          <t>V-2218</t>
        </is>
      </c>
      <c r="B25" s="6" t="inlineStr">
        <is>
          <t>2026-06-30</t>
        </is>
      </c>
      <c r="C25" s="6" t="inlineStr">
        <is>
          <t>Commissioning</t>
        </is>
      </c>
      <c r="D25" s="6" t="inlineStr">
        <is>
          <t>1099-NEC</t>
        </is>
      </c>
      <c r="E25" s="6" t="inlineStr">
        <is>
          <t>Interstate Testing and Balancing - Eugene Services, LLC; 0 YTD bills; 1099-NEC mapping review</t>
        </is>
      </c>
      <c r="F25" s="7" t="n">
        <v>0</v>
      </c>
      <c r="G25" s="7" t="n">
        <v>0</v>
      </c>
      <c r="H25" s="7">
        <f>F25+G25</f>
        <v/>
      </c>
      <c r="I25" s="6" t="inlineStr">
        <is>
          <t>review open</t>
        </is>
      </c>
      <c r="J25" s="6" t="inlineStr">
        <is>
          <t>vendor master + AP subledger</t>
        </is>
      </c>
    </row>
    <row r="26">
      <c r="A26" s="6" t="inlineStr">
        <is>
          <t>V-2458</t>
        </is>
      </c>
      <c r="B26" s="6" t="inlineStr">
        <is>
          <t>2026-06-30</t>
        </is>
      </c>
      <c r="C26" s="6" t="inlineStr">
        <is>
          <t>Commissioning</t>
        </is>
      </c>
      <c r="D26" s="6" t="inlineStr">
        <is>
          <t>1099-NEC</t>
        </is>
      </c>
      <c r="E26" s="6" t="inlineStr">
        <is>
          <t>Interstate Testing and Balancing - Gresham Services, LLC; 4 YTD bills; 1099-NEC mapping review</t>
        </is>
      </c>
      <c r="F26" s="7" t="n">
        <v>58605.68</v>
      </c>
      <c r="G26" s="7" t="n">
        <v>0</v>
      </c>
      <c r="H26" s="7">
        <f>F26+G26</f>
        <v/>
      </c>
      <c r="I26" s="6" t="inlineStr">
        <is>
          <t>review open</t>
        </is>
      </c>
      <c r="J26" s="6" t="inlineStr">
        <is>
          <t>vendor master + AP subledger</t>
        </is>
      </c>
    </row>
    <row r="27">
      <c r="A27" s="6" t="inlineStr">
        <is>
          <t>V-2065</t>
        </is>
      </c>
      <c r="B27" s="6" t="inlineStr">
        <is>
          <t>2026-06-30</t>
        </is>
      </c>
      <c r="C27" s="6" t="inlineStr">
        <is>
          <t>Professional Services</t>
        </is>
      </c>
      <c r="D27" s="6" t="inlineStr">
        <is>
          <t>1099-NEC</t>
        </is>
      </c>
      <c r="E27" s="6" t="inlineStr">
        <is>
          <t>Kittelson Construction Law Group; 4 YTD bills; 1099-NEC mapping review</t>
        </is>
      </c>
      <c r="F27" s="7" t="n">
        <v>22274.79</v>
      </c>
      <c r="G27" s="7" t="n">
        <v>0</v>
      </c>
      <c r="H27" s="7">
        <f>F27+G27</f>
        <v/>
      </c>
      <c r="I27" s="6" t="inlineStr">
        <is>
          <t>review open</t>
        </is>
      </c>
      <c r="J27" s="6" t="inlineStr">
        <is>
          <t>vendor master + AP subledger</t>
        </is>
      </c>
    </row>
    <row r="28">
      <c r="A28" s="6" t="inlineStr">
        <is>
          <t>V-2299</t>
        </is>
      </c>
      <c r="B28" s="6" t="inlineStr">
        <is>
          <t>2026-06-30</t>
        </is>
      </c>
      <c r="C28" s="6" t="inlineStr">
        <is>
          <t>Professional Services</t>
        </is>
      </c>
      <c r="D28" s="6" t="inlineStr">
        <is>
          <t>1099-NEC</t>
        </is>
      </c>
      <c r="E28" s="6" t="inlineStr">
        <is>
          <t>Metro Construction Advisory - Bend Group; 1 YTD bills; 1099-NEC mapping review</t>
        </is>
      </c>
      <c r="F28" s="7" t="n">
        <v>8601.370000000001</v>
      </c>
      <c r="G28" s="7" t="n">
        <v>0</v>
      </c>
      <c r="H28" s="7">
        <f>F28+G28</f>
        <v/>
      </c>
      <c r="I28" s="6" t="inlineStr">
        <is>
          <t>review open</t>
        </is>
      </c>
      <c r="J28" s="6" t="inlineStr">
        <is>
          <t>vendor master + AP subledger</t>
        </is>
      </c>
    </row>
    <row r="29">
      <c r="A29" s="6" t="inlineStr">
        <is>
          <t>V-2439</t>
        </is>
      </c>
      <c r="B29" s="6" t="inlineStr">
        <is>
          <t>2026-06-30</t>
        </is>
      </c>
      <c r="C29" s="6" t="inlineStr">
        <is>
          <t>Commissioning</t>
        </is>
      </c>
      <c r="D29" s="6" t="inlineStr">
        <is>
          <t>1099-NEC</t>
        </is>
      </c>
      <c r="E29" s="6" t="inlineStr">
        <is>
          <t>Metro Testing and Balancing - Bend Group; 3 YTD bills; 1099-NEC mapping review</t>
        </is>
      </c>
      <c r="F29" s="7" t="n">
        <v>15911.69</v>
      </c>
      <c r="G29" s="7" t="n">
        <v>0</v>
      </c>
      <c r="H29" s="7">
        <f>F29+G29</f>
        <v/>
      </c>
      <c r="I29" s="6" t="inlineStr">
        <is>
          <t>review open</t>
        </is>
      </c>
      <c r="J29" s="6" t="inlineStr">
        <is>
          <t>vendor master + AP subledger</t>
        </is>
      </c>
    </row>
    <row r="30">
      <c r="A30" s="6" t="inlineStr">
        <is>
          <t>V-2070</t>
        </is>
      </c>
      <c r="B30" s="6" t="inlineStr">
        <is>
          <t>2026-06-30</t>
        </is>
      </c>
      <c r="C30" s="6" t="inlineStr">
        <is>
          <t>Professional Services</t>
        </is>
      </c>
      <c r="D30" s="6" t="inlineStr">
        <is>
          <t>1099-NEC</t>
        </is>
      </c>
      <c r="E30" s="6" t="inlineStr">
        <is>
          <t>Moss Adams LLP; 4 YTD bills; 1099-NEC mapping review</t>
        </is>
      </c>
      <c r="F30" s="7" t="n">
        <v>34973.06</v>
      </c>
      <c r="G30" s="7" t="n">
        <v>0</v>
      </c>
      <c r="H30" s="7">
        <f>F30+G30</f>
        <v/>
      </c>
      <c r="I30" s="6" t="inlineStr">
        <is>
          <t>review open</t>
        </is>
      </c>
      <c r="J30" s="6" t="inlineStr">
        <is>
          <t>vendor master + AP subledger</t>
        </is>
      </c>
    </row>
    <row r="31">
      <c r="A31" s="6" t="inlineStr">
        <is>
          <t>V-2344</t>
        </is>
      </c>
      <c r="B31" s="6" t="inlineStr">
        <is>
          <t>2026-06-30</t>
        </is>
      </c>
      <c r="C31" s="6" t="inlineStr">
        <is>
          <t>Professional Services</t>
        </is>
      </c>
      <c r="D31" s="6" t="inlineStr">
        <is>
          <t>1099-NEC</t>
        </is>
      </c>
      <c r="E31" s="6" t="inlineStr">
        <is>
          <t>Northwest Construction Advisory - Eugene Group; 2 YTD bills; 1099-NEC mapping review</t>
        </is>
      </c>
      <c r="F31" s="7" t="n">
        <v>4756.04</v>
      </c>
      <c r="G31" s="7" t="n">
        <v>0</v>
      </c>
      <c r="H31" s="7">
        <f>F31+G31</f>
        <v/>
      </c>
      <c r="I31" s="6" t="inlineStr">
        <is>
          <t>review open</t>
        </is>
      </c>
      <c r="J31" s="6" t="inlineStr">
        <is>
          <t>vendor master + AP subledger</t>
        </is>
      </c>
    </row>
    <row r="32">
      <c r="A32" s="6" t="inlineStr">
        <is>
          <t>V-2484</t>
        </is>
      </c>
      <c r="B32" s="6" t="inlineStr">
        <is>
          <t>2026-06-30</t>
        </is>
      </c>
      <c r="C32" s="6" t="inlineStr">
        <is>
          <t>Commissioning</t>
        </is>
      </c>
      <c r="D32" s="6" t="inlineStr">
        <is>
          <t>1099-NEC</t>
        </is>
      </c>
      <c r="E32" s="6" t="inlineStr">
        <is>
          <t>Northwest Testing and Balancing - Eugene Group; 5 YTD bills; 1099-NEC mapping review</t>
        </is>
      </c>
      <c r="F32" s="7" t="n">
        <v>23688.88</v>
      </c>
      <c r="G32" s="7" t="n">
        <v>0</v>
      </c>
      <c r="H32" s="7">
        <f>F32+G32</f>
        <v/>
      </c>
      <c r="I32" s="6" t="inlineStr">
        <is>
          <t>review open</t>
        </is>
      </c>
      <c r="J32" s="6" t="inlineStr">
        <is>
          <t>vendor master + AP subledger</t>
        </is>
      </c>
    </row>
    <row r="33">
      <c r="A33" s="6" t="inlineStr">
        <is>
          <t>V-2244</t>
        </is>
      </c>
      <c r="B33" s="6" t="inlineStr">
        <is>
          <t>2026-06-30</t>
        </is>
      </c>
      <c r="C33" s="6" t="inlineStr">
        <is>
          <t>Commissioning</t>
        </is>
      </c>
      <c r="D33" s="6" t="inlineStr">
        <is>
          <t>1099-NEC</t>
        </is>
      </c>
      <c r="E33" s="6" t="inlineStr">
        <is>
          <t>Northwest Testing and Balancing - Salem Group; 4 YTD bills; 1099-NEC mapping review</t>
        </is>
      </c>
      <c r="F33" s="7" t="n">
        <v>43011.07</v>
      </c>
      <c r="G33" s="7" t="n">
        <v>0</v>
      </c>
      <c r="H33" s="7">
        <f>F33+G33</f>
        <v/>
      </c>
      <c r="I33" s="6" t="inlineStr">
        <is>
          <t>review open</t>
        </is>
      </c>
      <c r="J33" s="6" t="inlineStr">
        <is>
          <t>vendor master + AP subledger</t>
        </is>
      </c>
    </row>
    <row r="34">
      <c r="A34" s="6" t="inlineStr">
        <is>
          <t>V-2325</t>
        </is>
      </c>
      <c r="B34" s="6" t="inlineStr">
        <is>
          <t>2026-06-30</t>
        </is>
      </c>
      <c r="C34" s="6" t="inlineStr">
        <is>
          <t>Professional Services</t>
        </is>
      </c>
      <c r="D34" s="6" t="inlineStr">
        <is>
          <t>1099-NEC</t>
        </is>
      </c>
      <c r="E34" s="6" t="inlineStr">
        <is>
          <t>Pacific Construction Advisory - Gresham LLC; 3 YTD bills; 1099-NEC mapping review</t>
        </is>
      </c>
      <c r="F34" s="7" t="n">
        <v>21628.29</v>
      </c>
      <c r="G34" s="7" t="n">
        <v>0</v>
      </c>
      <c r="H34" s="7">
        <f>F34+G34</f>
        <v/>
      </c>
      <c r="I34" s="6" t="inlineStr">
        <is>
          <t>review open</t>
        </is>
      </c>
      <c r="J34" s="6" t="inlineStr">
        <is>
          <t>vendor master + AP subledger</t>
        </is>
      </c>
    </row>
    <row r="35">
      <c r="A35" s="6" t="inlineStr">
        <is>
          <t>V-2060</t>
        </is>
      </c>
      <c r="B35" s="6" t="inlineStr">
        <is>
          <t>2026-06-30</t>
        </is>
      </c>
      <c r="C35" s="6" t="inlineStr">
        <is>
          <t>Commissioning</t>
        </is>
      </c>
      <c r="D35" s="6" t="inlineStr">
        <is>
          <t>1099-NEC</t>
        </is>
      </c>
      <c r="E35" s="6" t="inlineStr">
        <is>
          <t>Pacific Power Systems Commissioning; 3 YTD bills; 1099-NEC mapping review</t>
        </is>
      </c>
      <c r="F35" s="7" t="n">
        <v>45330.91</v>
      </c>
      <c r="G35" s="7" t="n">
        <v>0</v>
      </c>
      <c r="H35" s="7">
        <f>F35+G35</f>
        <v/>
      </c>
      <c r="I35" s="6" t="inlineStr">
        <is>
          <t>review open</t>
        </is>
      </c>
      <c r="J35" s="6" t="inlineStr">
        <is>
          <t>vendor master + AP subledger</t>
        </is>
      </c>
    </row>
    <row r="36">
      <c r="A36" s="6" t="inlineStr">
        <is>
          <t>V-2225</t>
        </is>
      </c>
      <c r="B36" s="6" t="inlineStr">
        <is>
          <t>2026-06-30</t>
        </is>
      </c>
      <c r="C36" s="6" t="inlineStr">
        <is>
          <t>Commissioning</t>
        </is>
      </c>
      <c r="D36" s="6" t="inlineStr">
        <is>
          <t>1099-NEC</t>
        </is>
      </c>
      <c r="E36" s="6" t="inlineStr">
        <is>
          <t>Pacific Testing and Balancing - Eugene LLC; 4 YTD bills; 1099-NEC mapping review</t>
        </is>
      </c>
      <c r="F36" s="7" t="n">
        <v>52700.23</v>
      </c>
      <c r="G36" s="7" t="n">
        <v>0</v>
      </c>
      <c r="H36" s="7">
        <f>F36+G36</f>
        <v/>
      </c>
      <c r="I36" s="6" t="inlineStr">
        <is>
          <t>review open</t>
        </is>
      </c>
      <c r="J36" s="6" t="inlineStr">
        <is>
          <t>vendor master + AP subledger</t>
        </is>
      </c>
    </row>
    <row r="37">
      <c r="A37" s="6" t="inlineStr">
        <is>
          <t>V-2465</t>
        </is>
      </c>
      <c r="B37" s="6" t="inlineStr">
        <is>
          <t>2026-06-30</t>
        </is>
      </c>
      <c r="C37" s="6" t="inlineStr">
        <is>
          <t>Commissioning</t>
        </is>
      </c>
      <c r="D37" s="6" t="inlineStr">
        <is>
          <t>1099-NEC</t>
        </is>
      </c>
      <c r="E37" s="6" t="inlineStr">
        <is>
          <t>Pacific Testing and Balancing - Gresham LLC; 3 YTD bills; 1099-NEC mapping review</t>
        </is>
      </c>
      <c r="F37" s="7" t="n">
        <v>43511.94</v>
      </c>
      <c r="G37" s="7" t="n">
        <v>0</v>
      </c>
      <c r="H37" s="7">
        <f>F37+G37</f>
        <v/>
      </c>
      <c r="I37" s="6" t="inlineStr">
        <is>
          <t>review open</t>
        </is>
      </c>
      <c r="J37" s="6" t="inlineStr">
        <is>
          <t>vendor master + AP subledger</t>
        </is>
      </c>
    </row>
    <row r="38">
      <c r="A38" s="6" t="inlineStr">
        <is>
          <t>V-2306</t>
        </is>
      </c>
      <c r="B38" s="6" t="inlineStr">
        <is>
          <t>2026-06-30</t>
        </is>
      </c>
      <c r="C38" s="6" t="inlineStr">
        <is>
          <t>Professional Services</t>
        </is>
      </c>
      <c r="D38" s="6" t="inlineStr">
        <is>
          <t>1099-NEC</t>
        </is>
      </c>
      <c r="E38" s="6" t="inlineStr">
        <is>
          <t>Pioneer Construction Advisory - Bend Inc.; 1 YTD bills; 1099-NEC mapping review</t>
        </is>
      </c>
      <c r="F38" s="7" t="n">
        <v>7864.46</v>
      </c>
      <c r="G38" s="7" t="n">
        <v>0</v>
      </c>
      <c r="H38" s="7">
        <f>F38+G38</f>
        <v/>
      </c>
      <c r="I38" s="6" t="inlineStr">
        <is>
          <t>review open</t>
        </is>
      </c>
      <c r="J38" s="6" t="inlineStr">
        <is>
          <t>vendor master + AP subledger</t>
        </is>
      </c>
    </row>
    <row r="39">
      <c r="A39" s="6" t="inlineStr">
        <is>
          <t>V-2446</t>
        </is>
      </c>
      <c r="B39" s="6" t="inlineStr">
        <is>
          <t>2026-06-30</t>
        </is>
      </c>
      <c r="C39" s="6" t="inlineStr">
        <is>
          <t>Commissioning</t>
        </is>
      </c>
      <c r="D39" s="6" t="inlineStr">
        <is>
          <t>1099-NEC</t>
        </is>
      </c>
      <c r="E39" s="6" t="inlineStr">
        <is>
          <t>Pioneer Testing and Balancing - Bend Inc.; 3 YTD bills; 1099-NEC mapping review</t>
        </is>
      </c>
      <c r="F39" s="7" t="n">
        <v>21267.3</v>
      </c>
      <c r="G39" s="7" t="n">
        <v>0</v>
      </c>
      <c r="H39" s="7">
        <f>F39+G39</f>
        <v/>
      </c>
      <c r="I39" s="6" t="inlineStr">
        <is>
          <t>review open</t>
        </is>
      </c>
      <c r="J39" s="6" t="inlineStr">
        <is>
          <t>vendor master + AP subledger</t>
        </is>
      </c>
    </row>
    <row r="40">
      <c r="A40" s="6" t="inlineStr">
        <is>
          <t>V-2206</t>
        </is>
      </c>
      <c r="B40" s="6" t="inlineStr">
        <is>
          <t>2026-06-30</t>
        </is>
      </c>
      <c r="C40" s="6" t="inlineStr">
        <is>
          <t>Commissioning</t>
        </is>
      </c>
      <c r="D40" s="6" t="inlineStr">
        <is>
          <t>1099-NEC</t>
        </is>
      </c>
      <c r="E40" s="6" t="inlineStr">
        <is>
          <t>Pioneer Testing and Balancing - Gresham Inc.; 0 YTD bills; 1099-NEC mapping review</t>
        </is>
      </c>
      <c r="F40" s="7" t="n">
        <v>0</v>
      </c>
      <c r="G40" s="7" t="n">
        <v>0</v>
      </c>
      <c r="H40" s="7">
        <f>F40+G40</f>
        <v/>
      </c>
      <c r="I40" s="6" t="inlineStr">
        <is>
          <t>review open</t>
        </is>
      </c>
      <c r="J40" s="6" t="inlineStr">
        <is>
          <t>vendor master + AP subledger</t>
        </is>
      </c>
    </row>
    <row r="41">
      <c r="A41" s="6" t="inlineStr">
        <is>
          <t>V-2527</t>
        </is>
      </c>
      <c r="B41" s="6" t="inlineStr">
        <is>
          <t>2026-06-30</t>
        </is>
      </c>
      <c r="C41" s="6" t="inlineStr">
        <is>
          <t>Professional Services</t>
        </is>
      </c>
      <c r="D41" s="6" t="inlineStr">
        <is>
          <t>1099-NEC</t>
        </is>
      </c>
      <c r="E41" s="6" t="inlineStr">
        <is>
          <t>Rainier Construction Advisory - Beaverton Company; 4 YTD bills; 1099-NEC mapping review</t>
        </is>
      </c>
      <c r="F41" s="7" t="n">
        <v>26667.34</v>
      </c>
      <c r="G41" s="7" t="n">
        <v>0</v>
      </c>
      <c r="H41" s="7">
        <f>F41+G41</f>
        <v/>
      </c>
      <c r="I41" s="6" t="inlineStr">
        <is>
          <t>review open</t>
        </is>
      </c>
      <c r="J41" s="6" t="inlineStr">
        <is>
          <t>vendor master + AP subledger</t>
        </is>
      </c>
    </row>
    <row r="42">
      <c r="A42" s="6" t="inlineStr">
        <is>
          <t>V-2287</t>
        </is>
      </c>
      <c r="B42" s="6" t="inlineStr">
        <is>
          <t>2026-06-30</t>
        </is>
      </c>
      <c r="C42" s="6" t="inlineStr">
        <is>
          <t>Professional Services</t>
        </is>
      </c>
      <c r="D42" s="6" t="inlineStr">
        <is>
          <t>1099-NEC</t>
        </is>
      </c>
      <c r="E42" s="6" t="inlineStr">
        <is>
          <t>Rainier Construction Advisory - Vancouver Company; 3 YTD bills; 1099-NEC mapping review</t>
        </is>
      </c>
      <c r="F42" s="7" t="n">
        <v>48313.44</v>
      </c>
      <c r="G42" s="7" t="n">
        <v>0</v>
      </c>
      <c r="H42" s="7">
        <f>F42+G42</f>
        <v/>
      </c>
      <c r="I42" s="6" t="inlineStr">
        <is>
          <t>review open</t>
        </is>
      </c>
      <c r="J42" s="6" t="inlineStr">
        <is>
          <t>vendor master + AP subledger</t>
        </is>
      </c>
    </row>
    <row r="43">
      <c r="A43" s="6" t="inlineStr">
        <is>
          <t>V-2427</t>
        </is>
      </c>
      <c r="B43" s="6" t="inlineStr">
        <is>
          <t>2026-06-30</t>
        </is>
      </c>
      <c r="C43" s="6" t="inlineStr">
        <is>
          <t>Commissioning</t>
        </is>
      </c>
      <c r="D43" s="6" t="inlineStr">
        <is>
          <t>1099-NEC</t>
        </is>
      </c>
      <c r="E43" s="6" t="inlineStr">
        <is>
          <t>Rainier Testing and Balancing - Vancouver Company; 4 YTD bills; 1099-NEC mapping review</t>
        </is>
      </c>
      <c r="F43" s="7" t="n">
        <v>33980.81</v>
      </c>
      <c r="G43" s="7" t="n">
        <v>0</v>
      </c>
      <c r="H43" s="7">
        <f>F43+G43</f>
        <v/>
      </c>
      <c r="I43" s="6" t="inlineStr">
        <is>
          <t>review open</t>
        </is>
      </c>
      <c r="J43" s="6" t="inlineStr">
        <is>
          <t>vendor master + AP subledger</t>
        </is>
      </c>
    </row>
    <row r="44">
      <c r="A44" s="6" t="inlineStr">
        <is>
          <t>V-2375</t>
        </is>
      </c>
      <c r="B44" s="6" t="inlineStr">
        <is>
          <t>2026-06-30</t>
        </is>
      </c>
      <c r="C44" s="6" t="inlineStr">
        <is>
          <t>Professional Services</t>
        </is>
      </c>
      <c r="D44" s="6" t="inlineStr">
        <is>
          <t>1099-NEC</t>
        </is>
      </c>
      <c r="E44" s="6" t="inlineStr">
        <is>
          <t>Rogue Valley Construction Advisory - Portland LLC; 3 YTD bills; 1099-NEC mapping review</t>
        </is>
      </c>
      <c r="F44" s="7" t="n">
        <v>27219.77</v>
      </c>
      <c r="G44" s="7" t="n">
        <v>0</v>
      </c>
      <c r="H44" s="7">
        <f>F44+G44</f>
        <v/>
      </c>
      <c r="I44" s="6" t="inlineStr">
        <is>
          <t>review open</t>
        </is>
      </c>
      <c r="J44" s="6" t="inlineStr">
        <is>
          <t>vendor master + AP subledger</t>
        </is>
      </c>
    </row>
    <row r="45">
      <c r="A45" s="6" t="inlineStr">
        <is>
          <t>V-2275</t>
        </is>
      </c>
      <c r="B45" s="6" t="inlineStr">
        <is>
          <t>2026-06-30</t>
        </is>
      </c>
      <c r="C45" s="6" t="inlineStr">
        <is>
          <t>Commissioning</t>
        </is>
      </c>
      <c r="D45" s="6" t="inlineStr">
        <is>
          <t>1099-NEC</t>
        </is>
      </c>
      <c r="E45" s="6" t="inlineStr">
        <is>
          <t>Rogue Valley Testing and Balancing - Beaverton LLC; 5 YTD bills; 1099-NEC mapping review</t>
        </is>
      </c>
      <c r="F45" s="7" t="n">
        <v>66500.62</v>
      </c>
      <c r="G45" s="7" t="n">
        <v>0</v>
      </c>
      <c r="H45" s="7">
        <f>F45+G45</f>
        <v/>
      </c>
      <c r="I45" s="6" t="inlineStr">
        <is>
          <t>review open</t>
        </is>
      </c>
      <c r="J45" s="6" t="inlineStr">
        <is>
          <t>vendor master + AP subledger</t>
        </is>
      </c>
    </row>
    <row r="46">
      <c r="A46" s="6" t="inlineStr">
        <is>
          <t>V-2515</t>
        </is>
      </c>
      <c r="B46" s="6" t="inlineStr">
        <is>
          <t>2026-06-30</t>
        </is>
      </c>
      <c r="C46" s="6" t="inlineStr">
        <is>
          <t>Commissioning</t>
        </is>
      </c>
      <c r="D46" s="6" t="inlineStr">
        <is>
          <t>1099-NEC</t>
        </is>
      </c>
      <c r="E46" s="6" t="inlineStr">
        <is>
          <t>Rogue Valley Testing and Balancing - Portland LLC; 5 YTD bills; 1099-NEC mapping review</t>
        </is>
      </c>
      <c r="F46" s="7" t="n">
        <v>50029.23</v>
      </c>
      <c r="G46" s="7" t="n">
        <v>0</v>
      </c>
      <c r="H46" s="7">
        <f>F46+G46</f>
        <v/>
      </c>
      <c r="I46" s="6" t="inlineStr">
        <is>
          <t>review open</t>
        </is>
      </c>
      <c r="J46" s="6" t="inlineStr">
        <is>
          <t>vendor master + AP subledger</t>
        </is>
      </c>
    </row>
    <row r="47">
      <c r="A47" s="6" t="inlineStr">
        <is>
          <t>V-2268</t>
        </is>
      </c>
      <c r="B47" s="6" t="inlineStr">
        <is>
          <t>2026-06-30</t>
        </is>
      </c>
      <c r="C47" s="6" t="inlineStr">
        <is>
          <t>Professional Services</t>
        </is>
      </c>
      <c r="D47" s="6" t="inlineStr">
        <is>
          <t>1099-NEC</t>
        </is>
      </c>
      <c r="E47" s="6" t="inlineStr">
        <is>
          <t>Rose City Construction Advisory - Beaverton Services, LLC; 1 YTD bills; 1099-NEC mapping review</t>
        </is>
      </c>
      <c r="F47" s="7" t="n">
        <v>9263.17</v>
      </c>
      <c r="G47" s="7" t="n">
        <v>0</v>
      </c>
      <c r="H47" s="7">
        <f>F47+G47</f>
        <v/>
      </c>
      <c r="I47" s="6" t="inlineStr">
        <is>
          <t>review open</t>
        </is>
      </c>
      <c r="J47" s="6" t="inlineStr">
        <is>
          <t>vendor master / MWBE</t>
        </is>
      </c>
    </row>
    <row r="48">
      <c r="A48" s="6" t="inlineStr">
        <is>
          <t>V-2508</t>
        </is>
      </c>
      <c r="B48" s="6" t="inlineStr">
        <is>
          <t>2026-06-30</t>
        </is>
      </c>
      <c r="C48" s="6" t="inlineStr">
        <is>
          <t>Professional Services</t>
        </is>
      </c>
      <c r="D48" s="6" t="inlineStr">
        <is>
          <t>1099-NEC</t>
        </is>
      </c>
      <c r="E48" s="6" t="inlineStr">
        <is>
          <t>Rose City Construction Advisory - Portland Services, LLC; 2 YTD bills; 1099-NEC mapping review</t>
        </is>
      </c>
      <c r="F48" s="7" t="n">
        <v>10179.51</v>
      </c>
      <c r="G48" s="7" t="n">
        <v>0</v>
      </c>
      <c r="H48" s="7">
        <f>F48+G48</f>
        <v/>
      </c>
      <c r="I48" s="6" t="inlineStr">
        <is>
          <t>review open</t>
        </is>
      </c>
      <c r="J48" s="6" t="inlineStr">
        <is>
          <t>vendor master + AP subledger</t>
        </is>
      </c>
    </row>
    <row r="49">
      <c r="A49" s="6" t="inlineStr">
        <is>
          <t>V-2408</t>
        </is>
      </c>
      <c r="B49" s="6" t="inlineStr">
        <is>
          <t>2026-06-30</t>
        </is>
      </c>
      <c r="C49" s="6" t="inlineStr">
        <is>
          <t>Commissioning</t>
        </is>
      </c>
      <c r="D49" s="6" t="inlineStr">
        <is>
          <t>1099-NEC</t>
        </is>
      </c>
      <c r="E49" s="6" t="inlineStr">
        <is>
          <t>Rose City Testing and Balancing - Beaverton Services, LLC; 5 YTD bills; 1099-NEC mapping review</t>
        </is>
      </c>
      <c r="F49" s="7" t="n">
        <v>38670.5</v>
      </c>
      <c r="G49" s="7" t="n">
        <v>0</v>
      </c>
      <c r="H49" s="7">
        <f>F49+G49</f>
        <v/>
      </c>
      <c r="I49" s="6" t="inlineStr">
        <is>
          <t>review open</t>
        </is>
      </c>
      <c r="J49" s="6" t="inlineStr">
        <is>
          <t>vendor master + AP subledger</t>
        </is>
      </c>
    </row>
    <row r="50">
      <c r="A50" s="6" t="inlineStr">
        <is>
          <t>V-2249</t>
        </is>
      </c>
      <c r="B50" s="6" t="inlineStr">
        <is>
          <t>2026-06-30</t>
        </is>
      </c>
      <c r="C50" s="6" t="inlineStr">
        <is>
          <t>Professional Services</t>
        </is>
      </c>
      <c r="D50" s="6" t="inlineStr">
        <is>
          <t>1099-NEC</t>
        </is>
      </c>
      <c r="E50" s="6" t="inlineStr">
        <is>
          <t>Summit Construction Advisory - Portland Group; 0 YTD bills; 1099-NEC mapping review</t>
        </is>
      </c>
      <c r="F50" s="7" t="n">
        <v>0</v>
      </c>
      <c r="G50" s="7" t="n">
        <v>0</v>
      </c>
      <c r="H50" s="7">
        <f>F50+G50</f>
        <v/>
      </c>
      <c r="I50" s="6" t="inlineStr">
        <is>
          <t>review open</t>
        </is>
      </c>
      <c r="J50" s="6" t="inlineStr">
        <is>
          <t>vendor master + AP subledger</t>
        </is>
      </c>
    </row>
    <row r="51">
      <c r="A51" s="6" t="inlineStr">
        <is>
          <t>V-2489</t>
        </is>
      </c>
      <c r="B51" s="6" t="inlineStr">
        <is>
          <t>2026-06-30</t>
        </is>
      </c>
      <c r="C51" s="6" t="inlineStr">
        <is>
          <t>Professional Services</t>
        </is>
      </c>
      <c r="D51" s="6" t="inlineStr">
        <is>
          <t>1099-NEC</t>
        </is>
      </c>
      <c r="E51" s="6" t="inlineStr">
        <is>
          <t>Summit Construction Advisory - Salem Group; 2 YTD bills; 1099-NEC mapping review</t>
        </is>
      </c>
      <c r="F51" s="7" t="n">
        <v>26032.59</v>
      </c>
      <c r="G51" s="7" t="n">
        <v>0</v>
      </c>
      <c r="H51" s="7">
        <f>F51+G51</f>
        <v/>
      </c>
      <c r="I51" s="6" t="inlineStr">
        <is>
          <t>review open</t>
        </is>
      </c>
      <c r="J51" s="6" t="inlineStr">
        <is>
          <t>vendor master / MWBE</t>
        </is>
      </c>
    </row>
    <row r="52">
      <c r="A52" s="6" t="inlineStr">
        <is>
          <t>V-2389</t>
        </is>
      </c>
      <c r="B52" s="6" t="inlineStr">
        <is>
          <t>2026-06-30</t>
        </is>
      </c>
      <c r="C52" s="6" t="inlineStr">
        <is>
          <t>Commissioning</t>
        </is>
      </c>
      <c r="D52" s="6" t="inlineStr">
        <is>
          <t>1099-NEC</t>
        </is>
      </c>
      <c r="E52" s="6" t="inlineStr">
        <is>
          <t>Summit Testing and Balancing - Portland Group; 6 YTD bills; 1099-NEC mapping review</t>
        </is>
      </c>
      <c r="F52" s="7" t="n">
        <v>59720.89</v>
      </c>
      <c r="G52" s="7" t="n">
        <v>0</v>
      </c>
      <c r="H52" s="7">
        <f>F52+G52</f>
        <v/>
      </c>
      <c r="I52" s="6" t="inlineStr">
        <is>
          <t>review open</t>
        </is>
      </c>
      <c r="J52" s="6" t="inlineStr">
        <is>
          <t>vendor master + AP subledger</t>
        </is>
      </c>
    </row>
    <row r="53">
      <c r="A53" s="6" t="inlineStr">
        <is>
          <t>V-2470</t>
        </is>
      </c>
      <c r="B53" s="6" t="inlineStr">
        <is>
          <t>2026-06-30</t>
        </is>
      </c>
      <c r="C53" s="6" t="inlineStr">
        <is>
          <t>Professional Services</t>
        </is>
      </c>
      <c r="D53" s="6" t="inlineStr">
        <is>
          <t>1099-NEC</t>
        </is>
      </c>
      <c r="E53" s="6" t="inlineStr">
        <is>
          <t>Tri-County Construction Advisory - Eugene LLC; 4 YTD bills; 1099-NEC mapping review</t>
        </is>
      </c>
      <c r="F53" s="7" t="n">
        <v>32627.9</v>
      </c>
      <c r="G53" s="7" t="n">
        <v>0</v>
      </c>
      <c r="H53" s="7">
        <f>F53+G53</f>
        <v/>
      </c>
      <c r="I53" s="6" t="inlineStr">
        <is>
          <t>review open</t>
        </is>
      </c>
      <c r="J53" s="6" t="inlineStr">
        <is>
          <t>vendor master + AP subledger</t>
        </is>
      </c>
    </row>
    <row r="54">
      <c r="A54" s="6" t="inlineStr">
        <is>
          <t>V-2230</t>
        </is>
      </c>
      <c r="B54" s="6" t="inlineStr">
        <is>
          <t>2026-06-30</t>
        </is>
      </c>
      <c r="C54" s="6" t="inlineStr">
        <is>
          <t>Professional Services</t>
        </is>
      </c>
      <c r="D54" s="6" t="inlineStr">
        <is>
          <t>1099-NEC</t>
        </is>
      </c>
      <c r="E54" s="6" t="inlineStr">
        <is>
          <t>Tri-County Construction Advisory - Salem LLC; 0 YTD bills; 1099-NEC mapping review</t>
        </is>
      </c>
      <c r="F54" s="7" t="n">
        <v>0</v>
      </c>
      <c r="G54" s="7" t="n">
        <v>0</v>
      </c>
      <c r="H54" s="7">
        <f>F54+G54</f>
        <v/>
      </c>
      <c r="I54" s="6" t="inlineStr">
        <is>
          <t>review open</t>
        </is>
      </c>
      <c r="J54" s="6" t="inlineStr">
        <is>
          <t>vendor master + AP subledger</t>
        </is>
      </c>
    </row>
    <row r="55">
      <c r="A55" s="6" t="inlineStr">
        <is>
          <t>V-2370</t>
        </is>
      </c>
      <c r="B55" s="6" t="inlineStr">
        <is>
          <t>2026-06-30</t>
        </is>
      </c>
      <c r="C55" s="6" t="inlineStr">
        <is>
          <t>Commissioning</t>
        </is>
      </c>
      <c r="D55" s="6" t="inlineStr">
        <is>
          <t>1099-NEC</t>
        </is>
      </c>
      <c r="E55" s="6" t="inlineStr">
        <is>
          <t>Tri-County Testing and Balancing - Salem LLC; 8 YTD bills; 1099-NEC mapping review</t>
        </is>
      </c>
      <c r="F55" s="7" t="n">
        <v>37483.16</v>
      </c>
      <c r="G55" s="7" t="n">
        <v>0</v>
      </c>
      <c r="H55" s="7">
        <f>F55+G55</f>
        <v/>
      </c>
      <c r="I55" s="6" t="inlineStr">
        <is>
          <t>review open</t>
        </is>
      </c>
      <c r="J55" s="6" t="inlineStr">
        <is>
          <t>vendor master / MWBE</t>
        </is>
      </c>
    </row>
    <row r="56">
      <c r="A56" s="6" t="inlineStr">
        <is>
          <t>V-2356</t>
        </is>
      </c>
      <c r="B56" s="6" t="inlineStr">
        <is>
          <t>2026-06-30</t>
        </is>
      </c>
      <c r="C56" s="6" t="inlineStr">
        <is>
          <t>Professional Services</t>
        </is>
      </c>
      <c r="D56" s="6" t="inlineStr">
        <is>
          <t>1099-NEC</t>
        </is>
      </c>
      <c r="E56" s="6" t="inlineStr">
        <is>
          <t>Tualatin Construction Advisory - Salem Inc.; 2 YTD bills; 1099-NEC mapping review</t>
        </is>
      </c>
      <c r="F56" s="7" t="n">
        <v>13533.53</v>
      </c>
      <c r="G56" s="7" t="n">
        <v>0</v>
      </c>
      <c r="H56" s="7">
        <f>F56+G56</f>
        <v/>
      </c>
      <c r="I56" s="6" t="inlineStr">
        <is>
          <t>review open</t>
        </is>
      </c>
      <c r="J56" s="6" t="inlineStr">
        <is>
          <t>vendor master + AP subledger</t>
        </is>
      </c>
    </row>
    <row r="57">
      <c r="A57" s="6" t="inlineStr">
        <is>
          <t>V-2256</t>
        </is>
      </c>
      <c r="B57" s="6" t="inlineStr">
        <is>
          <t>2026-06-30</t>
        </is>
      </c>
      <c r="C57" s="6" t="inlineStr">
        <is>
          <t>Commissioning</t>
        </is>
      </c>
      <c r="D57" s="6" t="inlineStr">
        <is>
          <t>1099-NEC</t>
        </is>
      </c>
      <c r="E57" s="6" t="inlineStr">
        <is>
          <t>Tualatin Testing and Balancing - Portland Inc.; 4 YTD bills; 1099-NEC mapping review</t>
        </is>
      </c>
      <c r="F57" s="7" t="n">
        <v>43582.67</v>
      </c>
      <c r="G57" s="7" t="n">
        <v>0</v>
      </c>
      <c r="H57" s="7">
        <f>F57+G57</f>
        <v/>
      </c>
      <c r="I57" s="6" t="inlineStr">
        <is>
          <t>review open</t>
        </is>
      </c>
      <c r="J57" s="6" t="inlineStr">
        <is>
          <t>vendor master + AP subledger</t>
        </is>
      </c>
    </row>
    <row r="58">
      <c r="A58" s="6" t="inlineStr">
        <is>
          <t>V-2496</t>
        </is>
      </c>
      <c r="B58" s="6" t="inlineStr">
        <is>
          <t>2026-06-30</t>
        </is>
      </c>
      <c r="C58" s="6" t="inlineStr">
        <is>
          <t>Commissioning</t>
        </is>
      </c>
      <c r="D58" s="6" t="inlineStr">
        <is>
          <t>1099-NEC</t>
        </is>
      </c>
      <c r="E58" s="6" t="inlineStr">
        <is>
          <t>Tualatin Testing and Balancing - Salem Inc.; 3 YTD bills; 1099-NEC mapping review</t>
        </is>
      </c>
      <c r="F58" s="7" t="n">
        <v>50314.97</v>
      </c>
      <c r="G58" s="7" t="n">
        <v>0</v>
      </c>
      <c r="H58" s="7">
        <f>F58+G58</f>
        <v/>
      </c>
      <c r="I58" s="6" t="inlineStr">
        <is>
          <t>review open</t>
        </is>
      </c>
      <c r="J58" s="6" t="inlineStr">
        <is>
          <t>vendor master + AP subledger</t>
        </is>
      </c>
    </row>
    <row r="59">
      <c r="A59" s="6" t="inlineStr">
        <is>
          <t>V-2337</t>
        </is>
      </c>
      <c r="B59" s="6" t="inlineStr">
        <is>
          <t>2026-06-30</t>
        </is>
      </c>
      <c r="C59" s="6" t="inlineStr">
        <is>
          <t>Professional Services</t>
        </is>
      </c>
      <c r="D59" s="6" t="inlineStr">
        <is>
          <t>1099-NEC</t>
        </is>
      </c>
      <c r="E59" s="6" t="inlineStr">
        <is>
          <t>West Coast Construction Advisory - Eugene Company; 3 YTD bills; 1099-NEC mapping review</t>
        </is>
      </c>
      <c r="F59" s="7" t="n">
        <v>30075.82</v>
      </c>
      <c r="G59" s="7" t="n">
        <v>0</v>
      </c>
      <c r="H59" s="7">
        <f>F59+G59</f>
        <v/>
      </c>
      <c r="I59" s="6" t="inlineStr">
        <is>
          <t>review open</t>
        </is>
      </c>
      <c r="J59" s="6" t="inlineStr">
        <is>
          <t>vendor master + AP subledger</t>
        </is>
      </c>
    </row>
    <row r="60">
      <c r="A60" s="6" t="inlineStr">
        <is>
          <t>V-2477</t>
        </is>
      </c>
      <c r="B60" s="6" t="inlineStr">
        <is>
          <t>2026-06-30</t>
        </is>
      </c>
      <c r="C60" s="6" t="inlineStr">
        <is>
          <t>Commissioning</t>
        </is>
      </c>
      <c r="D60" s="6" t="inlineStr">
        <is>
          <t>1099-NEC</t>
        </is>
      </c>
      <c r="E60" s="6" t="inlineStr">
        <is>
          <t>West Coast Testing and Balancing - Eugene Company; 5 YTD bills; 1099-NEC mapping review</t>
        </is>
      </c>
      <c r="F60" s="7" t="n">
        <v>32883.11</v>
      </c>
      <c r="G60" s="7" t="n">
        <v>0</v>
      </c>
      <c r="H60" s="7">
        <f>F60+G60</f>
        <v/>
      </c>
      <c r="I60" s="6" t="inlineStr">
        <is>
          <t>review open</t>
        </is>
      </c>
      <c r="J60" s="6" t="inlineStr">
        <is>
          <t>vendor master + AP subledger</t>
        </is>
      </c>
    </row>
    <row r="61">
      <c r="A61" s="6" t="inlineStr">
        <is>
          <t>V-2237</t>
        </is>
      </c>
      <c r="B61" s="6" t="inlineStr">
        <is>
          <t>2026-06-30</t>
        </is>
      </c>
      <c r="C61" s="6" t="inlineStr">
        <is>
          <t>Commissioning</t>
        </is>
      </c>
      <c r="D61" s="6" t="inlineStr">
        <is>
          <t>1099-NEC</t>
        </is>
      </c>
      <c r="E61" s="6" t="inlineStr">
        <is>
          <t>West Coast Testing and Balancing - Salem Company; 6 YTD bills; 1099-NEC mapping review</t>
        </is>
      </c>
      <c r="F61" s="7" t="n">
        <v>48844.81</v>
      </c>
      <c r="G61" s="7" t="n">
        <v>0</v>
      </c>
      <c r="H61" s="7">
        <f>F61+G61</f>
        <v/>
      </c>
      <c r="I61" s="6" t="inlineStr">
        <is>
          <t>review open</t>
        </is>
      </c>
      <c r="J61" s="6" t="inlineStr">
        <is>
          <t>vendor master + AP subledger</t>
        </is>
      </c>
    </row>
    <row r="62">
      <c r="A62" s="6" t="inlineStr">
        <is>
          <t>V-2211</t>
        </is>
      </c>
      <c r="B62" s="6" t="inlineStr">
        <is>
          <t>2026-06-30</t>
        </is>
      </c>
      <c r="C62" s="6" t="inlineStr">
        <is>
          <t>Professional Services</t>
        </is>
      </c>
      <c r="D62" s="6" t="inlineStr">
        <is>
          <t>1099-NEC</t>
        </is>
      </c>
      <c r="E62" s="6" t="inlineStr">
        <is>
          <t>Willamette Construction Advisory - Eugene Inc.; 1 YTD bills; 1099-NEC mapping review</t>
        </is>
      </c>
      <c r="F62" s="7" t="n">
        <v>41219.57</v>
      </c>
      <c r="G62" s="7" t="n">
        <v>0</v>
      </c>
      <c r="H62" s="7">
        <f>F62+G62</f>
        <v/>
      </c>
      <c r="I62" s="6" t="inlineStr">
        <is>
          <t>review open</t>
        </is>
      </c>
      <c r="J62" s="6" t="inlineStr">
        <is>
          <t>vendor master + AP subledger</t>
        </is>
      </c>
    </row>
    <row r="63">
      <c r="A63" s="6" t="inlineStr">
        <is>
          <t>V-2451</t>
        </is>
      </c>
      <c r="B63" s="6" t="inlineStr">
        <is>
          <t>2026-06-30</t>
        </is>
      </c>
      <c r="C63" s="6" t="inlineStr">
        <is>
          <t>Professional Services</t>
        </is>
      </c>
      <c r="D63" s="6" t="inlineStr">
        <is>
          <t>1099-NEC</t>
        </is>
      </c>
      <c r="E63" s="6" t="inlineStr">
        <is>
          <t>Willamette Construction Advisory - Gresham Inc.; 2 YTD bills; 1099-NEC mapping review</t>
        </is>
      </c>
      <c r="F63" s="7" t="n">
        <v>7145.86</v>
      </c>
      <c r="G63" s="7" t="n">
        <v>0</v>
      </c>
      <c r="H63" s="7">
        <f>F63+G63</f>
        <v/>
      </c>
      <c r="I63" s="6" t="inlineStr">
        <is>
          <t>review open</t>
        </is>
      </c>
      <c r="J63" s="6" t="inlineStr">
        <is>
          <t>vendor master + AP subledger</t>
        </is>
      </c>
    </row>
    <row r="64">
      <c r="A64" s="6" t="inlineStr">
        <is>
          <t>V-2351</t>
        </is>
      </c>
      <c r="B64" s="6" t="inlineStr">
        <is>
          <t>2026-06-30</t>
        </is>
      </c>
      <c r="C64" s="6" t="inlineStr">
        <is>
          <t>Commissioning</t>
        </is>
      </c>
      <c r="D64" s="6" t="inlineStr">
        <is>
          <t>1099-NEC</t>
        </is>
      </c>
      <c r="E64" s="6" t="inlineStr">
        <is>
          <t>Willamette Testing and Balancing - Eugene Inc.; 3 YTD bills; 1099-NEC mapping review</t>
        </is>
      </c>
      <c r="F64" s="7" t="n">
        <v>36289.29</v>
      </c>
      <c r="G64" s="7" t="n">
        <v>0</v>
      </c>
      <c r="H64" s="7">
        <f>F64+G64</f>
        <v/>
      </c>
      <c r="I64" s="6" t="inlineStr">
        <is>
          <t>review open</t>
        </is>
      </c>
      <c r="J64" s="6" t="inlineStr">
        <is>
          <t>vendor master + AP subledger</t>
        </is>
      </c>
    </row>
    <row r="65">
      <c r="A65" s="6" t="inlineStr">
        <is>
          <t>V-2078</t>
        </is>
      </c>
      <c r="B65" s="6" t="inlineStr">
        <is>
          <t>2026-06-30</t>
        </is>
      </c>
      <c r="C65" s="6" t="inlineStr">
        <is>
          <t>Software</t>
        </is>
      </c>
      <c r="D65" s="6" t="inlineStr">
        <is>
          <t>use-tax review</t>
        </is>
      </c>
      <c r="E65" s="6" t="inlineStr">
        <is>
          <t>Autodesk, Inc.; 4 YTD bills; Review use-tax treatment</t>
        </is>
      </c>
      <c r="F65" s="7" t="n">
        <v>13832.22</v>
      </c>
      <c r="G65" s="7" t="n">
        <v>0</v>
      </c>
      <c r="H65" s="7">
        <f>F65+G65</f>
        <v/>
      </c>
      <c r="I65" s="6" t="inlineStr">
        <is>
          <t>review open</t>
        </is>
      </c>
      <c r="J65" s="6" t="inlineStr">
        <is>
          <t>vendor master + AP subledger</t>
        </is>
      </c>
    </row>
    <row r="66">
      <c r="A66" s="6" t="inlineStr">
        <is>
          <t>V-2352</t>
        </is>
      </c>
      <c r="B66" s="6" t="inlineStr">
        <is>
          <t>2026-06-30</t>
        </is>
      </c>
      <c r="C66" s="6" t="inlineStr">
        <is>
          <t>Facilities</t>
        </is>
      </c>
      <c r="D66" s="6" t="inlineStr">
        <is>
          <t>use-tax review</t>
        </is>
      </c>
      <c r="E66" s="6" t="inlineStr">
        <is>
          <t>Blue Mountain Building Services - Beaverton Company; 1 YTD bills; Review use-tax treatment</t>
        </is>
      </c>
      <c r="F66" s="7" t="n">
        <v>38942.49</v>
      </c>
      <c r="G66" s="7" t="n">
        <v>0</v>
      </c>
      <c r="H66" s="7">
        <f>F66+G66</f>
        <v/>
      </c>
      <c r="I66" s="6" t="inlineStr">
        <is>
          <t>review open</t>
        </is>
      </c>
      <c r="J66" s="6" t="inlineStr">
        <is>
          <t>vendor master + AP subledger</t>
        </is>
      </c>
    </row>
    <row r="67">
      <c r="A67" s="6" t="inlineStr">
        <is>
          <t>V-2492</t>
        </is>
      </c>
      <c r="B67" s="6" t="inlineStr">
        <is>
          <t>2026-06-30</t>
        </is>
      </c>
      <c r="C67" s="6" t="inlineStr">
        <is>
          <t>Software</t>
        </is>
      </c>
      <c r="D67" s="6" t="inlineStr">
        <is>
          <t>use-tax review</t>
        </is>
      </c>
      <c r="E67" s="6" t="inlineStr">
        <is>
          <t>Blue Mountain Business Systems - Beaverton Company; 2 YTD bills; Review use-tax treatment</t>
        </is>
      </c>
      <c r="F67" s="7" t="n">
        <v>5641.98</v>
      </c>
      <c r="G67" s="7" t="n">
        <v>0</v>
      </c>
      <c r="H67" s="7">
        <f>F67+G67</f>
        <v/>
      </c>
      <c r="I67" s="6" t="inlineStr">
        <is>
          <t>review open</t>
        </is>
      </c>
      <c r="J67" s="6" t="inlineStr">
        <is>
          <t>vendor master + AP subledger</t>
        </is>
      </c>
    </row>
    <row r="68">
      <c r="A68" s="6" t="inlineStr">
        <is>
          <t>V-2252</t>
        </is>
      </c>
      <c r="B68" s="6" t="inlineStr">
        <is>
          <t>2026-06-30</t>
        </is>
      </c>
      <c r="C68" s="6" t="inlineStr">
        <is>
          <t>Software</t>
        </is>
      </c>
      <c r="D68" s="6" t="inlineStr">
        <is>
          <t>use-tax review</t>
        </is>
      </c>
      <c r="E68" s="6" t="inlineStr">
        <is>
          <t>Blue Mountain Business Systems - Vancouver Company; 4 YTD bills; Review use-tax treatment</t>
        </is>
      </c>
      <c r="F68" s="7" t="n">
        <v>13330.55</v>
      </c>
      <c r="G68" s="7" t="n">
        <v>0</v>
      </c>
      <c r="H68" s="7">
        <f>F68+G68</f>
        <v/>
      </c>
      <c r="I68" s="6" t="inlineStr">
        <is>
          <t>review open</t>
        </is>
      </c>
      <c r="J68" s="6" t="inlineStr">
        <is>
          <t>vendor master + AP subledger</t>
        </is>
      </c>
    </row>
    <row r="69">
      <c r="A69" s="6" t="inlineStr">
        <is>
          <t>V-2372</t>
        </is>
      </c>
      <c r="B69" s="6" t="inlineStr">
        <is>
          <t>2026-06-30</t>
        </is>
      </c>
      <c r="C69" s="6" t="inlineStr">
        <is>
          <t>Equipment Rental</t>
        </is>
      </c>
      <c r="D69" s="6" t="inlineStr">
        <is>
          <t>use-tax review</t>
        </is>
      </c>
      <c r="E69" s="6" t="inlineStr">
        <is>
          <t>Blue Mountain Equipment Rental &amp; Services - Eugene Company; 3 YTD bills; Review use-tax treatment</t>
        </is>
      </c>
      <c r="F69" s="7" t="n">
        <v>29802.35</v>
      </c>
      <c r="G69" s="7" t="n">
        <v>0</v>
      </c>
      <c r="H69" s="7">
        <f>F69+G69</f>
        <v/>
      </c>
      <c r="I69" s="6" t="inlineStr">
        <is>
          <t>review open</t>
        </is>
      </c>
      <c r="J69" s="6" t="inlineStr">
        <is>
          <t>vendor master + AP subledger</t>
        </is>
      </c>
    </row>
    <row r="70">
      <c r="A70" s="6" t="inlineStr">
        <is>
          <t>V-2314</t>
        </is>
      </c>
      <c r="B70" s="6" t="inlineStr">
        <is>
          <t>2026-06-30</t>
        </is>
      </c>
      <c r="C70" s="6" t="inlineStr">
        <is>
          <t>Facilities</t>
        </is>
      </c>
      <c r="D70" s="6" t="inlineStr">
        <is>
          <t>use-tax review</t>
        </is>
      </c>
      <c r="E70" s="6" t="inlineStr">
        <is>
          <t>Bridge City Building Services - Salem Group; 1 YTD bills; Review use-tax treatment</t>
        </is>
      </c>
      <c r="F70" s="7" t="n">
        <v>28160.78</v>
      </c>
      <c r="G70" s="7" t="n">
        <v>0</v>
      </c>
      <c r="H70" s="7">
        <f>F70+G70</f>
        <v/>
      </c>
      <c r="I70" s="6" t="inlineStr">
        <is>
          <t>review open</t>
        </is>
      </c>
      <c r="J70" s="6" t="inlineStr">
        <is>
          <t>vendor master + AP subledger</t>
        </is>
      </c>
    </row>
    <row r="71">
      <c r="A71" s="6" t="inlineStr">
        <is>
          <t>V-2214</t>
        </is>
      </c>
      <c r="B71" s="6" t="inlineStr">
        <is>
          <t>2026-06-30</t>
        </is>
      </c>
      <c r="C71" s="6" t="inlineStr">
        <is>
          <t>Software</t>
        </is>
      </c>
      <c r="D71" s="6" t="inlineStr">
        <is>
          <t>use-tax review</t>
        </is>
      </c>
      <c r="E71" s="6" t="inlineStr">
        <is>
          <t>Bridge City Business Systems - Portland Group; 4 YTD bills; Review use-tax treatment</t>
        </is>
      </c>
      <c r="F71" s="7" t="n">
        <v>6227.29</v>
      </c>
      <c r="G71" s="7" t="n">
        <v>0</v>
      </c>
      <c r="H71" s="7">
        <f>F71+G71</f>
        <v/>
      </c>
      <c r="I71" s="6" t="inlineStr">
        <is>
          <t>review open</t>
        </is>
      </c>
      <c r="J71" s="6" t="inlineStr">
        <is>
          <t>vendor master + AP subledger</t>
        </is>
      </c>
    </row>
    <row r="72">
      <c r="A72" s="6" t="inlineStr">
        <is>
          <t>V-2454</t>
        </is>
      </c>
      <c r="B72" s="6" t="inlineStr">
        <is>
          <t>2026-06-30</t>
        </is>
      </c>
      <c r="C72" s="6" t="inlineStr">
        <is>
          <t>Software</t>
        </is>
      </c>
      <c r="D72" s="6" t="inlineStr">
        <is>
          <t>use-tax review</t>
        </is>
      </c>
      <c r="E72" s="6" t="inlineStr">
        <is>
          <t>Bridge City Business Systems - Salem Group; 0 YTD bills; Review use-tax treatment</t>
        </is>
      </c>
      <c r="F72" s="7" t="n">
        <v>0</v>
      </c>
      <c r="G72" s="7" t="n">
        <v>0</v>
      </c>
      <c r="H72" s="7">
        <f>F72+G72</f>
        <v/>
      </c>
      <c r="I72" s="6" t="inlineStr">
        <is>
          <t>review open</t>
        </is>
      </c>
      <c r="J72" s="6" t="inlineStr">
        <is>
          <t>vendor master + AP subledger</t>
        </is>
      </c>
    </row>
    <row r="73">
      <c r="A73" s="6" t="inlineStr">
        <is>
          <t>V-2334</t>
        </is>
      </c>
      <c r="B73" s="6" t="inlineStr">
        <is>
          <t>2026-06-30</t>
        </is>
      </c>
      <c r="C73" s="6" t="inlineStr">
        <is>
          <t>Equipment Rental</t>
        </is>
      </c>
      <c r="D73" s="6" t="inlineStr">
        <is>
          <t>use-tax review</t>
        </is>
      </c>
      <c r="E73" s="6" t="inlineStr">
        <is>
          <t>Bridge City Equipment Rental &amp; Services - Bend Group; 7 YTD bills; Review use-tax treatment</t>
        </is>
      </c>
      <c r="F73" s="7" t="n">
        <v>34406.79</v>
      </c>
      <c r="G73" s="7" t="n">
        <v>0</v>
      </c>
      <c r="H73" s="7">
        <f>F73+G73</f>
        <v/>
      </c>
      <c r="I73" s="6" t="inlineStr">
        <is>
          <t>review open</t>
        </is>
      </c>
      <c r="J73" s="6" t="inlineStr">
        <is>
          <t>vendor master + AP subledger</t>
        </is>
      </c>
    </row>
    <row r="74">
      <c r="A74" s="6" t="inlineStr">
        <is>
          <t>V-2340</t>
        </is>
      </c>
      <c r="B74" s="6" t="inlineStr">
        <is>
          <t>2026-06-30</t>
        </is>
      </c>
      <c r="C74" s="6" t="inlineStr">
        <is>
          <t>Facilities</t>
        </is>
      </c>
      <c r="D74" s="6" t="inlineStr">
        <is>
          <t>use-tax review</t>
        </is>
      </c>
      <c r="E74" s="6" t="inlineStr">
        <is>
          <t>Cascade Building Services - Portland LLC; 0 YTD bills; Review use-tax treatment</t>
        </is>
      </c>
      <c r="F74" s="7" t="n">
        <v>0</v>
      </c>
      <c r="G74" s="7" t="n">
        <v>0</v>
      </c>
      <c r="H74" s="7">
        <f>F74+G74</f>
        <v/>
      </c>
      <c r="I74" s="6" t="inlineStr">
        <is>
          <t>review open</t>
        </is>
      </c>
      <c r="J74" s="6" t="inlineStr">
        <is>
          <t>vendor master + AP subledger</t>
        </is>
      </c>
    </row>
    <row r="75">
      <c r="A75" s="6" t="inlineStr">
        <is>
          <t>V-2240</t>
        </is>
      </c>
      <c r="B75" s="6" t="inlineStr">
        <is>
          <t>2026-06-30</t>
        </is>
      </c>
      <c r="C75" s="6" t="inlineStr">
        <is>
          <t>Software</t>
        </is>
      </c>
      <c r="D75" s="6" t="inlineStr">
        <is>
          <t>use-tax review</t>
        </is>
      </c>
      <c r="E75" s="6" t="inlineStr">
        <is>
          <t>Cascade Business Systems - Beaverton LLC; 4 YTD bills; Review use-tax treatment</t>
        </is>
      </c>
      <c r="F75" s="7" t="n">
        <v>11196.96</v>
      </c>
      <c r="G75" s="7" t="n">
        <v>0</v>
      </c>
      <c r="H75" s="7">
        <f>F75+G75</f>
        <v/>
      </c>
      <c r="I75" s="6" t="inlineStr">
        <is>
          <t>review open</t>
        </is>
      </c>
      <c r="J75" s="6" t="inlineStr">
        <is>
          <t>vendor master + AP subledger</t>
        </is>
      </c>
    </row>
    <row r="76">
      <c r="A76" s="6" t="inlineStr">
        <is>
          <t>V-2480</t>
        </is>
      </c>
      <c r="B76" s="6" t="inlineStr">
        <is>
          <t>2026-06-30</t>
        </is>
      </c>
      <c r="C76" s="6" t="inlineStr">
        <is>
          <t>Software</t>
        </is>
      </c>
      <c r="D76" s="6" t="inlineStr">
        <is>
          <t>use-tax review</t>
        </is>
      </c>
      <c r="E76" s="6" t="inlineStr">
        <is>
          <t>Cascade Business Systems - Portland LLC; 3 YTD bills; Review use-tax treatment</t>
        </is>
      </c>
      <c r="F76" s="7" t="n">
        <v>71454.62</v>
      </c>
      <c r="G76" s="7" t="n">
        <v>0</v>
      </c>
      <c r="H76" s="7">
        <f>F76+G76</f>
        <v/>
      </c>
      <c r="I76" s="6" t="inlineStr">
        <is>
          <t>review open</t>
        </is>
      </c>
      <c r="J76" s="6" t="inlineStr">
        <is>
          <t>vendor master + AP subledger</t>
        </is>
      </c>
    </row>
    <row r="77">
      <c r="A77" s="6" t="inlineStr">
        <is>
          <t>V-2360</t>
        </is>
      </c>
      <c r="B77" s="6" t="inlineStr">
        <is>
          <t>2026-06-30</t>
        </is>
      </c>
      <c r="C77" s="6" t="inlineStr">
        <is>
          <t>Equipment Rental</t>
        </is>
      </c>
      <c r="D77" s="6" t="inlineStr">
        <is>
          <t>use-tax review</t>
        </is>
      </c>
      <c r="E77" s="6" t="inlineStr">
        <is>
          <t>Cascade Equipment Rental &amp; Services - Gresham LLC; 4 YTD bills; Review use-tax treatment</t>
        </is>
      </c>
      <c r="F77" s="7" t="n">
        <v>56962.06</v>
      </c>
      <c r="G77" s="7" t="n">
        <v>0</v>
      </c>
      <c r="H77" s="7">
        <f>F77+G77</f>
        <v/>
      </c>
      <c r="I77" s="6" t="inlineStr">
        <is>
          <t>review open</t>
        </is>
      </c>
      <c r="J77" s="6" t="inlineStr">
        <is>
          <t>vendor master + AP subledger</t>
        </is>
      </c>
    </row>
    <row r="78">
      <c r="A78" s="6" t="inlineStr">
        <is>
          <t>V-2333</t>
        </is>
      </c>
      <c r="B78" s="6" t="inlineStr">
        <is>
          <t>2026-06-30</t>
        </is>
      </c>
      <c r="C78" s="6" t="inlineStr">
        <is>
          <t>Facilities</t>
        </is>
      </c>
      <c r="D78" s="6" t="inlineStr">
        <is>
          <t>use-tax review</t>
        </is>
      </c>
      <c r="E78" s="6" t="inlineStr">
        <is>
          <t>Cedar Mill Building Services - Portland Services, LLC; 0 YTD bills; Review use-tax treatment</t>
        </is>
      </c>
      <c r="F78" s="7" t="n">
        <v>0</v>
      </c>
      <c r="G78" s="7" t="n">
        <v>0</v>
      </c>
      <c r="H78" s="7">
        <f>F78+G78</f>
        <v/>
      </c>
      <c r="I78" s="6" t="inlineStr">
        <is>
          <t>review open</t>
        </is>
      </c>
      <c r="J78" s="6" t="inlineStr">
        <is>
          <t>vendor master + AP subledger</t>
        </is>
      </c>
    </row>
    <row r="79">
      <c r="A79" s="6" t="inlineStr">
        <is>
          <t>V-2233</t>
        </is>
      </c>
      <c r="B79" s="6" t="inlineStr">
        <is>
          <t>2026-06-30</t>
        </is>
      </c>
      <c r="C79" s="6" t="inlineStr">
        <is>
          <t>Software</t>
        </is>
      </c>
      <c r="D79" s="6" t="inlineStr">
        <is>
          <t>use-tax review</t>
        </is>
      </c>
      <c r="E79" s="6" t="inlineStr">
        <is>
          <t>Cedar Mill Business Systems - Beaverton Services, LLC; 0 YTD bills; Review use-tax treatment</t>
        </is>
      </c>
      <c r="F79" s="7" t="n">
        <v>0</v>
      </c>
      <c r="G79" s="7" t="n">
        <v>0</v>
      </c>
      <c r="H79" s="7">
        <f>F79+G79</f>
        <v/>
      </c>
      <c r="I79" s="6" t="inlineStr">
        <is>
          <t>review open</t>
        </is>
      </c>
      <c r="J79" s="6" t="inlineStr">
        <is>
          <t>vendor master + AP subledger</t>
        </is>
      </c>
    </row>
    <row r="80">
      <c r="A80" s="6" t="inlineStr">
        <is>
          <t>V-2473</t>
        </is>
      </c>
      <c r="B80" s="6" t="inlineStr">
        <is>
          <t>2026-06-30</t>
        </is>
      </c>
      <c r="C80" s="6" t="inlineStr">
        <is>
          <t>Software</t>
        </is>
      </c>
      <c r="D80" s="6" t="inlineStr">
        <is>
          <t>use-tax review</t>
        </is>
      </c>
      <c r="E80" s="6" t="inlineStr">
        <is>
          <t>Cedar Mill Business Systems - Portland Services, LLC; 0 YTD bills; Review use-tax treatment</t>
        </is>
      </c>
      <c r="F80" s="7" t="n">
        <v>0</v>
      </c>
      <c r="G80" s="7" t="n">
        <v>0</v>
      </c>
      <c r="H80" s="7">
        <f>F80+G80</f>
        <v/>
      </c>
      <c r="I80" s="6" t="inlineStr">
        <is>
          <t>review open</t>
        </is>
      </c>
      <c r="J80" s="6" t="inlineStr">
        <is>
          <t>vendor master + AP subledger</t>
        </is>
      </c>
    </row>
    <row r="81">
      <c r="A81" s="6" t="inlineStr">
        <is>
          <t>V-2353</t>
        </is>
      </c>
      <c r="B81" s="6" t="inlineStr">
        <is>
          <t>2026-06-30</t>
        </is>
      </c>
      <c r="C81" s="6" t="inlineStr">
        <is>
          <t>Equipment Rental</t>
        </is>
      </c>
      <c r="D81" s="6" t="inlineStr">
        <is>
          <t>use-tax review</t>
        </is>
      </c>
      <c r="E81" s="6" t="inlineStr">
        <is>
          <t>Cedar Mill Equipment Rental &amp; Services - Gresham Services, LLC; 1 YTD bills; Review use-tax treatment</t>
        </is>
      </c>
      <c r="F81" s="7" t="n">
        <v>0</v>
      </c>
      <c r="G81" s="7" t="n">
        <v>0</v>
      </c>
      <c r="H81" s="7">
        <f>F81+G81</f>
        <v/>
      </c>
      <c r="I81" s="6" t="inlineStr">
        <is>
          <t>review open</t>
        </is>
      </c>
      <c r="J81" s="6" t="inlineStr">
        <is>
          <t>vendor master / MWBE</t>
        </is>
      </c>
    </row>
    <row r="82">
      <c r="A82" s="6" t="inlineStr">
        <is>
          <t>V-2321</t>
        </is>
      </c>
      <c r="B82" s="6" t="inlineStr">
        <is>
          <t>2026-06-30</t>
        </is>
      </c>
      <c r="C82" s="6" t="inlineStr">
        <is>
          <t>Facilities</t>
        </is>
      </c>
      <c r="D82" s="6" t="inlineStr">
        <is>
          <t>use-tax review</t>
        </is>
      </c>
      <c r="E82" s="6" t="inlineStr">
        <is>
          <t>Columbia Building Services - Salem Inc.; 1 YTD bills; Review use-tax treatment</t>
        </is>
      </c>
      <c r="F82" s="7" t="n">
        <v>72630.05</v>
      </c>
      <c r="G82" s="7" t="n">
        <v>0</v>
      </c>
      <c r="H82" s="7">
        <f>F82+G82</f>
        <v/>
      </c>
      <c r="I82" s="6" t="inlineStr">
        <is>
          <t>review open</t>
        </is>
      </c>
      <c r="J82" s="6" t="inlineStr">
        <is>
          <t>vendor master + AP subledger</t>
        </is>
      </c>
    </row>
    <row r="83">
      <c r="A83" s="6" t="inlineStr">
        <is>
          <t>V-2221</t>
        </is>
      </c>
      <c r="B83" s="6" t="inlineStr">
        <is>
          <t>2026-06-30</t>
        </is>
      </c>
      <c r="C83" s="6" t="inlineStr">
        <is>
          <t>Software</t>
        </is>
      </c>
      <c r="D83" s="6" t="inlineStr">
        <is>
          <t>use-tax review</t>
        </is>
      </c>
      <c r="E83" s="6" t="inlineStr">
        <is>
          <t>Columbia Business Systems - Portland Inc.; 0 YTD bills; Review use-tax treatment</t>
        </is>
      </c>
      <c r="F83" s="7" t="n">
        <v>0</v>
      </c>
      <c r="G83" s="7" t="n">
        <v>0</v>
      </c>
      <c r="H83" s="7">
        <f>F83+G83</f>
        <v/>
      </c>
      <c r="I83" s="6" t="inlineStr">
        <is>
          <t>review open</t>
        </is>
      </c>
      <c r="J83" s="6" t="inlineStr">
        <is>
          <t>vendor master + AP subledger</t>
        </is>
      </c>
    </row>
    <row r="84">
      <c r="A84" s="6" t="inlineStr">
        <is>
          <t>V-2461</t>
        </is>
      </c>
      <c r="B84" s="6" t="inlineStr">
        <is>
          <t>2026-06-30</t>
        </is>
      </c>
      <c r="C84" s="6" t="inlineStr">
        <is>
          <t>Software</t>
        </is>
      </c>
      <c r="D84" s="6" t="inlineStr">
        <is>
          <t>use-tax review</t>
        </is>
      </c>
      <c r="E84" s="6" t="inlineStr">
        <is>
          <t>Columbia Business Systems - Salem Inc.; 2 YTD bills; Review use-tax treatment</t>
        </is>
      </c>
      <c r="F84" s="7" t="n">
        <v>8495.85</v>
      </c>
      <c r="G84" s="7" t="n">
        <v>0</v>
      </c>
      <c r="H84" s="7">
        <f>F84+G84</f>
        <v/>
      </c>
      <c r="I84" s="6" t="inlineStr">
        <is>
          <t>review open</t>
        </is>
      </c>
      <c r="J84" s="6" t="inlineStr">
        <is>
          <t>vendor master + AP subledger</t>
        </is>
      </c>
    </row>
    <row r="85">
      <c r="A85" s="6" t="inlineStr">
        <is>
          <t>V-2341</t>
        </is>
      </c>
      <c r="B85" s="6" t="inlineStr">
        <is>
          <t>2026-06-30</t>
        </is>
      </c>
      <c r="C85" s="6" t="inlineStr">
        <is>
          <t>Equipment Rental</t>
        </is>
      </c>
      <c r="D85" s="6" t="inlineStr">
        <is>
          <t>use-tax review</t>
        </is>
      </c>
      <c r="E85" s="6" t="inlineStr">
        <is>
          <t>Columbia Equipment Rental &amp; Services - Bend Inc.; 5 YTD bills; Review use-tax treatment</t>
        </is>
      </c>
      <c r="F85" s="7" t="n">
        <v>33071.41</v>
      </c>
      <c r="G85" s="7" t="n">
        <v>0</v>
      </c>
      <c r="H85" s="7">
        <f>F85+G85</f>
        <v/>
      </c>
      <c r="I85" s="6" t="inlineStr">
        <is>
          <t>review open</t>
        </is>
      </c>
      <c r="J85" s="6" t="inlineStr">
        <is>
          <t>vendor master + AP subledger</t>
        </is>
      </c>
    </row>
    <row r="86">
      <c r="A86" s="6" t="inlineStr">
        <is>
          <t>V-2302</t>
        </is>
      </c>
      <c r="B86" s="6" t="inlineStr">
        <is>
          <t>2026-06-30</t>
        </is>
      </c>
      <c r="C86" s="6" t="inlineStr">
        <is>
          <t>Facilities</t>
        </is>
      </c>
      <c r="D86" s="6" t="inlineStr">
        <is>
          <t>use-tax review</t>
        </is>
      </c>
      <c r="E86" s="6" t="inlineStr">
        <is>
          <t>Evergreen Building Services - Eugene Company; 1 YTD bills; Review use-tax treatment</t>
        </is>
      </c>
      <c r="F86" s="7" t="n">
        <v>20441.15</v>
      </c>
      <c r="G86" s="7" t="n">
        <v>0</v>
      </c>
      <c r="H86" s="7">
        <f>F86+G86</f>
        <v/>
      </c>
      <c r="I86" s="6" t="inlineStr">
        <is>
          <t>review open</t>
        </is>
      </c>
      <c r="J86" s="6" t="inlineStr">
        <is>
          <t>vendor master / MWBE</t>
        </is>
      </c>
    </row>
    <row r="87">
      <c r="A87" s="6" t="inlineStr">
        <is>
          <t>V-2442</t>
        </is>
      </c>
      <c r="B87" s="6" t="inlineStr">
        <is>
          <t>2026-06-30</t>
        </is>
      </c>
      <c r="C87" s="6" t="inlineStr">
        <is>
          <t>Software</t>
        </is>
      </c>
      <c r="D87" s="6" t="inlineStr">
        <is>
          <t>use-tax review</t>
        </is>
      </c>
      <c r="E87" s="6" t="inlineStr">
        <is>
          <t>Evergreen Business Systems - Eugene Company; 1 YTD bills; Review use-tax treatment</t>
        </is>
      </c>
      <c r="F87" s="7" t="n">
        <v>207100</v>
      </c>
      <c r="G87" s="7" t="n">
        <v>0</v>
      </c>
      <c r="H87" s="7">
        <f>F87+G87</f>
        <v/>
      </c>
      <c r="I87" s="6" t="inlineStr">
        <is>
          <t>review open</t>
        </is>
      </c>
      <c r="J87" s="6" t="inlineStr">
        <is>
          <t>vendor master + AP subledger</t>
        </is>
      </c>
    </row>
    <row r="88">
      <c r="A88" s="6" t="inlineStr">
        <is>
          <t>V-2202</t>
        </is>
      </c>
      <c r="B88" s="6" t="inlineStr">
        <is>
          <t>2026-06-30</t>
        </is>
      </c>
      <c r="C88" s="6" t="inlineStr">
        <is>
          <t>Software</t>
        </is>
      </c>
      <c r="D88" s="6" t="inlineStr">
        <is>
          <t>use-tax review</t>
        </is>
      </c>
      <c r="E88" s="6" t="inlineStr">
        <is>
          <t>Evergreen Business Systems - Salem Company; 4 YTD bills; Review use-tax treatment</t>
        </is>
      </c>
      <c r="F88" s="7" t="n">
        <v>9606.08</v>
      </c>
      <c r="G88" s="7" t="n">
        <v>0</v>
      </c>
      <c r="H88" s="7">
        <f>F88+G88</f>
        <v/>
      </c>
      <c r="I88" s="6" t="inlineStr">
        <is>
          <t>review open</t>
        </is>
      </c>
      <c r="J88" s="6" t="inlineStr">
        <is>
          <t>vendor master + AP subledger</t>
        </is>
      </c>
    </row>
    <row r="89">
      <c r="A89" s="6" t="inlineStr">
        <is>
          <t>V-2322</t>
        </is>
      </c>
      <c r="B89" s="6" t="inlineStr">
        <is>
          <t>2026-06-30</t>
        </is>
      </c>
      <c r="C89" s="6" t="inlineStr">
        <is>
          <t>Equipment Rental</t>
        </is>
      </c>
      <c r="D89" s="6" t="inlineStr">
        <is>
          <t>use-tax review</t>
        </is>
      </c>
      <c r="E89" s="6" t="inlineStr">
        <is>
          <t>Evergreen Equipment Rental &amp; Services - Vancouver Company; 7 YTD bills; Review use-tax treatment</t>
        </is>
      </c>
      <c r="F89" s="7" t="n">
        <v>46831.32</v>
      </c>
      <c r="G89" s="7" t="n">
        <v>0</v>
      </c>
      <c r="H89" s="7">
        <f>F89+G89</f>
        <v/>
      </c>
      <c r="I89" s="6" t="inlineStr">
        <is>
          <t>review open</t>
        </is>
      </c>
      <c r="J89" s="6" t="inlineStr">
        <is>
          <t>vendor master + AP subledger</t>
        </is>
      </c>
    </row>
    <row r="90">
      <c r="A90" s="6" t="inlineStr">
        <is>
          <t>V-2098</t>
        </is>
      </c>
      <c r="B90" s="6" t="inlineStr">
        <is>
          <t>2026-06-30</t>
        </is>
      </c>
      <c r="C90" s="6" t="inlineStr">
        <is>
          <t>Equipment Rental</t>
        </is>
      </c>
      <c r="D90" s="6" t="inlineStr">
        <is>
          <t>use-tax review</t>
        </is>
      </c>
      <c r="E90" s="6" t="inlineStr">
        <is>
          <t>H&amp;E Equipment Services - Portland; 7 YTD bills; Review use-tax treatment</t>
        </is>
      </c>
      <c r="F90" s="7" t="n">
        <v>42532.16</v>
      </c>
      <c r="G90" s="7" t="n">
        <v>0</v>
      </c>
      <c r="H90" s="7">
        <f>F90+G90</f>
        <v/>
      </c>
      <c r="I90" s="6" t="inlineStr">
        <is>
          <t>review open</t>
        </is>
      </c>
      <c r="J90" s="6" t="inlineStr">
        <is>
          <t>vendor master + AP subledger</t>
        </is>
      </c>
    </row>
    <row r="91">
      <c r="A91" s="6" t="inlineStr">
        <is>
          <t>V-2523</t>
        </is>
      </c>
      <c r="B91" s="6" t="inlineStr">
        <is>
          <t>2026-06-30</t>
        </is>
      </c>
      <c r="C91" s="6" t="inlineStr">
        <is>
          <t>Facilities</t>
        </is>
      </c>
      <c r="D91" s="6" t="inlineStr">
        <is>
          <t>use-tax review</t>
        </is>
      </c>
      <c r="E91" s="6" t="inlineStr">
        <is>
          <t>High Desert Building Services - Bend Services, LLC; 0 YTD bills; Review use-tax treatment</t>
        </is>
      </c>
      <c r="F91" s="7" t="n">
        <v>0</v>
      </c>
      <c r="G91" s="7" t="n">
        <v>0</v>
      </c>
      <c r="H91" s="7">
        <f>F91+G91</f>
        <v/>
      </c>
      <c r="I91" s="6" t="inlineStr">
        <is>
          <t>review open</t>
        </is>
      </c>
      <c r="J91" s="6" t="inlineStr">
        <is>
          <t>vendor master / MWBE</t>
        </is>
      </c>
    </row>
    <row r="92">
      <c r="A92" s="6" t="inlineStr">
        <is>
          <t>V-2283</t>
        </is>
      </c>
      <c r="B92" s="6" t="inlineStr">
        <is>
          <t>2026-06-30</t>
        </is>
      </c>
      <c r="C92" s="6" t="inlineStr">
        <is>
          <t>Facilities</t>
        </is>
      </c>
      <c r="D92" s="6" t="inlineStr">
        <is>
          <t>use-tax review</t>
        </is>
      </c>
      <c r="E92" s="6" t="inlineStr">
        <is>
          <t>High Desert Building Services - Gresham Services, LLC; 1 YTD bills; Review use-tax treatment</t>
        </is>
      </c>
      <c r="F92" s="7" t="n">
        <v>2281.49</v>
      </c>
      <c r="G92" s="7" t="n">
        <v>0</v>
      </c>
      <c r="H92" s="7">
        <f>F92+G92</f>
        <v/>
      </c>
      <c r="I92" s="6" t="inlineStr">
        <is>
          <t>review open</t>
        </is>
      </c>
      <c r="J92" s="6" t="inlineStr">
        <is>
          <t>vendor master + AP subledger</t>
        </is>
      </c>
    </row>
    <row r="93">
      <c r="A93" s="6" t="inlineStr">
        <is>
          <t>V-2423</t>
        </is>
      </c>
      <c r="B93" s="6" t="inlineStr">
        <is>
          <t>2026-06-30</t>
        </is>
      </c>
      <c r="C93" s="6" t="inlineStr">
        <is>
          <t>Software</t>
        </is>
      </c>
      <c r="D93" s="6" t="inlineStr">
        <is>
          <t>use-tax review</t>
        </is>
      </c>
      <c r="E93" s="6" t="inlineStr">
        <is>
          <t>High Desert Business Systems - Gresham Services, LLC; 0 YTD bills; Review use-tax treatment</t>
        </is>
      </c>
      <c r="F93" s="7" t="n">
        <v>0</v>
      </c>
      <c r="G93" s="7" t="n">
        <v>0</v>
      </c>
      <c r="H93" s="7">
        <f>F93+G93</f>
        <v/>
      </c>
      <c r="I93" s="6" t="inlineStr">
        <is>
          <t>review open</t>
        </is>
      </c>
      <c r="J93" s="6" t="inlineStr">
        <is>
          <t>vendor master + AP subledger</t>
        </is>
      </c>
    </row>
    <row r="94">
      <c r="A94" s="6" t="inlineStr">
        <is>
          <t>V-2303</t>
        </is>
      </c>
      <c r="B94" s="6" t="inlineStr">
        <is>
          <t>2026-06-30</t>
        </is>
      </c>
      <c r="C94" s="6" t="inlineStr">
        <is>
          <t>Equipment Rental</t>
        </is>
      </c>
      <c r="D94" s="6" t="inlineStr">
        <is>
          <t>use-tax review</t>
        </is>
      </c>
      <c r="E94" s="6" t="inlineStr">
        <is>
          <t>High Desert Equipment Rental &amp; Services - Beaverton Services, LLC; 6 YTD bills; Review use-tax treatment</t>
        </is>
      </c>
      <c r="F94" s="7" t="n">
        <v>55793.94</v>
      </c>
      <c r="G94" s="7" t="n">
        <v>0</v>
      </c>
      <c r="H94" s="7">
        <f>F94+G94</f>
        <v/>
      </c>
      <c r="I94" s="6" t="inlineStr">
        <is>
          <t>review open</t>
        </is>
      </c>
      <c r="J94" s="6" t="inlineStr">
        <is>
          <t>vendor master + AP subledger</t>
        </is>
      </c>
    </row>
    <row r="95">
      <c r="A95" s="6" t="inlineStr">
        <is>
          <t>V-2478</t>
        </is>
      </c>
      <c r="B95" s="6" t="inlineStr">
        <is>
          <t>2026-06-30</t>
        </is>
      </c>
      <c r="C95" s="6" t="inlineStr">
        <is>
          <t>Facilities</t>
        </is>
      </c>
      <c r="D95" s="6" t="inlineStr">
        <is>
          <t>use-tax review</t>
        </is>
      </c>
      <c r="E95" s="6" t="inlineStr">
        <is>
          <t>Interstate Building Services - Beaverton Services, LLC; 0 YTD bills; Review use-tax treatment</t>
        </is>
      </c>
      <c r="F95" s="7" t="n">
        <v>0</v>
      </c>
      <c r="G95" s="7" t="n">
        <v>0</v>
      </c>
      <c r="H95" s="7">
        <f>F95+G95</f>
        <v/>
      </c>
      <c r="I95" s="6" t="inlineStr">
        <is>
          <t>review open</t>
        </is>
      </c>
      <c r="J95" s="6" t="inlineStr">
        <is>
          <t>vendor master + AP subledger</t>
        </is>
      </c>
    </row>
    <row r="96">
      <c r="A96" s="6" t="inlineStr">
        <is>
          <t>V-2238</t>
        </is>
      </c>
      <c r="B96" s="6" t="inlineStr">
        <is>
          <t>2026-06-30</t>
        </is>
      </c>
      <c r="C96" s="6" t="inlineStr">
        <is>
          <t>Facilities</t>
        </is>
      </c>
      <c r="D96" s="6" t="inlineStr">
        <is>
          <t>use-tax review</t>
        </is>
      </c>
      <c r="E96" s="6" t="inlineStr">
        <is>
          <t>Interstate Building Services - Vancouver Services, LLC; 0 YTD bills; Review use-tax treatment</t>
        </is>
      </c>
      <c r="F96" s="7" t="n">
        <v>0</v>
      </c>
      <c r="G96" s="7" t="n">
        <v>0</v>
      </c>
      <c r="H96" s="7">
        <f>F96+G96</f>
        <v/>
      </c>
      <c r="I96" s="6" t="inlineStr">
        <is>
          <t>review open</t>
        </is>
      </c>
      <c r="J96" s="6" t="inlineStr">
        <is>
          <t>vendor master + AP subledger</t>
        </is>
      </c>
    </row>
    <row r="97">
      <c r="A97" s="6" t="inlineStr">
        <is>
          <t>V-2378</t>
        </is>
      </c>
      <c r="B97" s="6" t="inlineStr">
        <is>
          <t>2026-06-30</t>
        </is>
      </c>
      <c r="C97" s="6" t="inlineStr">
        <is>
          <t>Software</t>
        </is>
      </c>
      <c r="D97" s="6" t="inlineStr">
        <is>
          <t>use-tax review</t>
        </is>
      </c>
      <c r="E97" s="6" t="inlineStr">
        <is>
          <t>Interstate Business Systems - Vancouver Services, LLC; 0 YTD bills; Review use-tax treatment</t>
        </is>
      </c>
      <c r="F97" s="7" t="n">
        <v>0</v>
      </c>
      <c r="G97" s="7" t="n">
        <v>0</v>
      </c>
      <c r="H97" s="7">
        <f>F97+G97</f>
        <v/>
      </c>
      <c r="I97" s="6" t="inlineStr">
        <is>
          <t>review open</t>
        </is>
      </c>
      <c r="J97" s="6" t="inlineStr">
        <is>
          <t>vendor master + AP subledger</t>
        </is>
      </c>
    </row>
    <row r="98">
      <c r="A98" s="6" t="inlineStr">
        <is>
          <t>V-2498</t>
        </is>
      </c>
      <c r="B98" s="6" t="inlineStr">
        <is>
          <t>2026-06-30</t>
        </is>
      </c>
      <c r="C98" s="6" t="inlineStr">
        <is>
          <t>Equipment Rental</t>
        </is>
      </c>
      <c r="D98" s="6" t="inlineStr">
        <is>
          <t>use-tax review</t>
        </is>
      </c>
      <c r="E98" s="6" t="inlineStr">
        <is>
          <t>Interstate Equipment Rental &amp; Services - Eugene Services, LLC; 8 YTD bills; Review use-tax treatment</t>
        </is>
      </c>
      <c r="F98" s="7" t="n">
        <v>40666.8</v>
      </c>
      <c r="G98" s="7" t="n">
        <v>0</v>
      </c>
      <c r="H98" s="7">
        <f>F98+G98</f>
        <v/>
      </c>
      <c r="I98" s="6" t="inlineStr">
        <is>
          <t>review open</t>
        </is>
      </c>
      <c r="J98" s="6" t="inlineStr">
        <is>
          <t>vendor master + AP subledger</t>
        </is>
      </c>
    </row>
    <row r="99">
      <c r="A99" s="6" t="inlineStr">
        <is>
          <t>V-2258</t>
        </is>
      </c>
      <c r="B99" s="6" t="inlineStr">
        <is>
          <t>2026-06-30</t>
        </is>
      </c>
      <c r="C99" s="6" t="inlineStr">
        <is>
          <t>Equipment Rental</t>
        </is>
      </c>
      <c r="D99" s="6" t="inlineStr">
        <is>
          <t>use-tax review</t>
        </is>
      </c>
      <c r="E99" s="6" t="inlineStr">
        <is>
          <t>Interstate Equipment Rental &amp; Services - Salem Services, LLC; 7 YTD bills; Review use-tax treatment</t>
        </is>
      </c>
      <c r="F99" s="7" t="n">
        <v>45100.51</v>
      </c>
      <c r="G99" s="7" t="n">
        <v>0</v>
      </c>
      <c r="H99" s="7">
        <f>F99+G99</f>
        <v/>
      </c>
      <c r="I99" s="6" t="inlineStr">
        <is>
          <t>review open</t>
        </is>
      </c>
      <c r="J99" s="6" t="inlineStr">
        <is>
          <t>vendor master + AP subledger</t>
        </is>
      </c>
    </row>
    <row r="100">
      <c r="A100" s="6" t="inlineStr">
        <is>
          <t>V-2219</t>
        </is>
      </c>
      <c r="B100" s="6" t="inlineStr">
        <is>
          <t>2026-06-30</t>
        </is>
      </c>
      <c r="C100" s="6" t="inlineStr">
        <is>
          <t>Facilities</t>
        </is>
      </c>
      <c r="D100" s="6" t="inlineStr">
        <is>
          <t>use-tax review</t>
        </is>
      </c>
      <c r="E100" s="6" t="inlineStr">
        <is>
          <t>Metro Building Services - Beaverton Group; 1 YTD bills; Review use-tax treatment</t>
        </is>
      </c>
      <c r="F100" s="7" t="n">
        <v>5622.88</v>
      </c>
      <c r="G100" s="7" t="n">
        <v>0</v>
      </c>
      <c r="H100" s="7">
        <f>F100+G100</f>
        <v/>
      </c>
      <c r="I100" s="6" t="inlineStr">
        <is>
          <t>review open</t>
        </is>
      </c>
      <c r="J100" s="6" t="inlineStr">
        <is>
          <t>vendor master + AP subledger</t>
        </is>
      </c>
    </row>
    <row r="101">
      <c r="A101" s="6" t="inlineStr">
        <is>
          <t>V-2459</t>
        </is>
      </c>
      <c r="B101" s="6" t="inlineStr">
        <is>
          <t>2026-06-30</t>
        </is>
      </c>
      <c r="C101" s="6" t="inlineStr">
        <is>
          <t>Facilities</t>
        </is>
      </c>
      <c r="D101" s="6" t="inlineStr">
        <is>
          <t>use-tax review</t>
        </is>
      </c>
      <c r="E101" s="6" t="inlineStr">
        <is>
          <t>Metro Building Services - Portland Group; 2 YTD bills; Review use-tax treatment</t>
        </is>
      </c>
      <c r="F101" s="7" t="n">
        <v>9653.469999999999</v>
      </c>
      <c r="G101" s="7" t="n">
        <v>0</v>
      </c>
      <c r="H101" s="7">
        <f>F101+G101</f>
        <v/>
      </c>
      <c r="I101" s="6" t="inlineStr">
        <is>
          <t>review open</t>
        </is>
      </c>
      <c r="J101" s="6" t="inlineStr">
        <is>
          <t>vendor master + AP subledger</t>
        </is>
      </c>
    </row>
    <row r="102">
      <c r="A102" s="6" t="inlineStr">
        <is>
          <t>V-2359</t>
        </is>
      </c>
      <c r="B102" s="6" t="inlineStr">
        <is>
          <t>2026-06-30</t>
        </is>
      </c>
      <c r="C102" s="6" t="inlineStr">
        <is>
          <t>Software</t>
        </is>
      </c>
      <c r="D102" s="6" t="inlineStr">
        <is>
          <t>use-tax review</t>
        </is>
      </c>
      <c r="E102" s="6" t="inlineStr">
        <is>
          <t>Metro Business Systems - Beaverton Group; 0 YTD bills; Review use-tax treatment</t>
        </is>
      </c>
      <c r="F102" s="7" t="n">
        <v>0</v>
      </c>
      <c r="G102" s="7" t="n">
        <v>0</v>
      </c>
      <c r="H102" s="7">
        <f>F102+G102</f>
        <v/>
      </c>
      <c r="I102" s="6" t="inlineStr">
        <is>
          <t>review open</t>
        </is>
      </c>
      <c r="J102" s="6" t="inlineStr">
        <is>
          <t>vendor master + AP subledger</t>
        </is>
      </c>
    </row>
    <row r="103">
      <c r="A103" s="6" t="inlineStr">
        <is>
          <t>V-2239</t>
        </is>
      </c>
      <c r="B103" s="6" t="inlineStr">
        <is>
          <t>2026-06-30</t>
        </is>
      </c>
      <c r="C103" s="6" t="inlineStr">
        <is>
          <t>Equipment Rental</t>
        </is>
      </c>
      <c r="D103" s="6" t="inlineStr">
        <is>
          <t>use-tax review</t>
        </is>
      </c>
      <c r="E103" s="6" t="inlineStr">
        <is>
          <t>Metro Equipment Rental &amp; Services - Eugene Group; 0 YTD bills; Review use-tax treatment</t>
        </is>
      </c>
      <c r="F103" s="7" t="n">
        <v>0</v>
      </c>
      <c r="G103" s="7" t="n">
        <v>0</v>
      </c>
      <c r="H103" s="7">
        <f>F103+G103</f>
        <v/>
      </c>
      <c r="I103" s="6" t="inlineStr">
        <is>
          <t>review open</t>
        </is>
      </c>
      <c r="J103" s="6" t="inlineStr">
        <is>
          <t>vendor master + AP subledger</t>
        </is>
      </c>
    </row>
    <row r="104">
      <c r="A104" s="6" t="inlineStr">
        <is>
          <t>V-2479</t>
        </is>
      </c>
      <c r="B104" s="6" t="inlineStr">
        <is>
          <t>2026-06-30</t>
        </is>
      </c>
      <c r="C104" s="6" t="inlineStr">
        <is>
          <t>Equipment Rental</t>
        </is>
      </c>
      <c r="D104" s="6" t="inlineStr">
        <is>
          <t>use-tax review</t>
        </is>
      </c>
      <c r="E104" s="6" t="inlineStr">
        <is>
          <t>Metro Equipment Rental &amp; Services - Gresham Group; 6 YTD bills; Review use-tax treatment</t>
        </is>
      </c>
      <c r="F104" s="7" t="n">
        <v>51992.4</v>
      </c>
      <c r="G104" s="7" t="n">
        <v>0</v>
      </c>
      <c r="H104" s="7">
        <f>F104+G104</f>
        <v/>
      </c>
      <c r="I104" s="6" t="inlineStr">
        <is>
          <t>review open</t>
        </is>
      </c>
      <c r="J104" s="6" t="inlineStr">
        <is>
          <t>vendor master + AP subledger</t>
        </is>
      </c>
    </row>
    <row r="105">
      <c r="A105" s="6" t="inlineStr">
        <is>
          <t>V-2264</t>
        </is>
      </c>
      <c r="B105" s="6" t="inlineStr">
        <is>
          <t>2026-06-30</t>
        </is>
      </c>
      <c r="C105" s="6" t="inlineStr">
        <is>
          <t>Facilities</t>
        </is>
      </c>
      <c r="D105" s="6" t="inlineStr">
        <is>
          <t>use-tax review</t>
        </is>
      </c>
      <c r="E105" s="6" t="inlineStr">
        <is>
          <t>Northwest Building Services - Bend Group; 2 YTD bills; Review use-tax treatment</t>
        </is>
      </c>
      <c r="F105" s="7" t="n">
        <v>29819.65</v>
      </c>
      <c r="G105" s="7" t="n">
        <v>0</v>
      </c>
      <c r="H105" s="7">
        <f>F105+G105</f>
        <v/>
      </c>
      <c r="I105" s="6" t="inlineStr">
        <is>
          <t>review open</t>
        </is>
      </c>
      <c r="J105" s="6" t="inlineStr">
        <is>
          <t>vendor master + AP subledger</t>
        </is>
      </c>
    </row>
    <row r="106">
      <c r="A106" s="6" t="inlineStr">
        <is>
          <t>V-2504</t>
        </is>
      </c>
      <c r="B106" s="6" t="inlineStr">
        <is>
          <t>2026-06-30</t>
        </is>
      </c>
      <c r="C106" s="6" t="inlineStr">
        <is>
          <t>Facilities</t>
        </is>
      </c>
      <c r="D106" s="6" t="inlineStr">
        <is>
          <t>use-tax review</t>
        </is>
      </c>
      <c r="E106" s="6" t="inlineStr">
        <is>
          <t>Northwest Building Services - Vancouver Group; 1 YTD bills; Review use-tax treatment</t>
        </is>
      </c>
      <c r="F106" s="7" t="n">
        <v>5435.84</v>
      </c>
      <c r="G106" s="7" t="n">
        <v>0</v>
      </c>
      <c r="H106" s="7">
        <f>F106+G106</f>
        <v/>
      </c>
      <c r="I106" s="6" t="inlineStr">
        <is>
          <t>review open</t>
        </is>
      </c>
      <c r="J106" s="6" t="inlineStr">
        <is>
          <t>vendor master + AP subledger</t>
        </is>
      </c>
    </row>
    <row r="107">
      <c r="A107" s="6" t="inlineStr">
        <is>
          <t>V-2404</t>
        </is>
      </c>
      <c r="B107" s="6" t="inlineStr">
        <is>
          <t>2026-06-30</t>
        </is>
      </c>
      <c r="C107" s="6" t="inlineStr">
        <is>
          <t>Software</t>
        </is>
      </c>
      <c r="D107" s="6" t="inlineStr">
        <is>
          <t>use-tax review</t>
        </is>
      </c>
      <c r="E107" s="6" t="inlineStr">
        <is>
          <t>Northwest Business Systems - Bend Group; 0 YTD bills; Review use-tax treatment</t>
        </is>
      </c>
      <c r="F107" s="7" t="n">
        <v>0</v>
      </c>
      <c r="G107" s="7" t="n">
        <v>0</v>
      </c>
      <c r="H107" s="7">
        <f>F107+G107</f>
        <v/>
      </c>
      <c r="I107" s="6" t="inlineStr">
        <is>
          <t>review open</t>
        </is>
      </c>
      <c r="J107" s="6" t="inlineStr">
        <is>
          <t>vendor master / MWBE</t>
        </is>
      </c>
    </row>
    <row r="108">
      <c r="A108" s="6" t="inlineStr">
        <is>
          <t>V-2284</t>
        </is>
      </c>
      <c r="B108" s="6" t="inlineStr">
        <is>
          <t>2026-06-30</t>
        </is>
      </c>
      <c r="C108" s="6" t="inlineStr">
        <is>
          <t>Equipment Rental</t>
        </is>
      </c>
      <c r="D108" s="6" t="inlineStr">
        <is>
          <t>use-tax review</t>
        </is>
      </c>
      <c r="E108" s="6" t="inlineStr">
        <is>
          <t>Northwest Equipment Rental &amp; Services - Portland Group; 4 YTD bills; Review use-tax treatment</t>
        </is>
      </c>
      <c r="F108" s="7" t="n">
        <v>18289.21</v>
      </c>
      <c r="G108" s="7" t="n">
        <v>0</v>
      </c>
      <c r="H108" s="7">
        <f>F108+G108</f>
        <v/>
      </c>
      <c r="I108" s="6" t="inlineStr">
        <is>
          <t>review open</t>
        </is>
      </c>
      <c r="J108" s="6" t="inlineStr">
        <is>
          <t>vendor master + AP subledger</t>
        </is>
      </c>
    </row>
    <row r="109">
      <c r="A109" s="6" t="inlineStr">
        <is>
          <t>V-2524</t>
        </is>
      </c>
      <c r="B109" s="6" t="inlineStr">
        <is>
          <t>2026-06-30</t>
        </is>
      </c>
      <c r="C109" s="6" t="inlineStr">
        <is>
          <t>Equipment Rental</t>
        </is>
      </c>
      <c r="D109" s="6" t="inlineStr">
        <is>
          <t>use-tax review</t>
        </is>
      </c>
      <c r="E109" s="6" t="inlineStr">
        <is>
          <t>Northwest Equipment Rental &amp; Services - Salem Group; 6 YTD bills; Review use-tax treatment</t>
        </is>
      </c>
      <c r="F109" s="7" t="n">
        <v>32381.46</v>
      </c>
      <c r="G109" s="7" t="n">
        <v>0</v>
      </c>
      <c r="H109" s="7">
        <f>F109+G109</f>
        <v/>
      </c>
      <c r="I109" s="6" t="inlineStr">
        <is>
          <t>review open</t>
        </is>
      </c>
      <c r="J109" s="6" t="inlineStr">
        <is>
          <t>vendor master + AP subledger</t>
        </is>
      </c>
    </row>
    <row r="110">
      <c r="A110" s="6" t="inlineStr">
        <is>
          <t>V-2485</t>
        </is>
      </c>
      <c r="B110" s="6" t="inlineStr">
        <is>
          <t>2026-06-30</t>
        </is>
      </c>
      <c r="C110" s="6" t="inlineStr">
        <is>
          <t>Facilities</t>
        </is>
      </c>
      <c r="D110" s="6" t="inlineStr">
        <is>
          <t>use-tax review</t>
        </is>
      </c>
      <c r="E110" s="6" t="inlineStr">
        <is>
          <t>Pacific Building Services - Beaverton LLC; 1 YTD bills; Review use-tax treatment</t>
        </is>
      </c>
      <c r="F110" s="7" t="n">
        <v>7153.06</v>
      </c>
      <c r="G110" s="7" t="n">
        <v>0</v>
      </c>
      <c r="H110" s="7">
        <f>F110+G110</f>
        <v/>
      </c>
      <c r="I110" s="6" t="inlineStr">
        <is>
          <t>review open</t>
        </is>
      </c>
      <c r="J110" s="6" t="inlineStr">
        <is>
          <t>vendor master + AP subledger</t>
        </is>
      </c>
    </row>
    <row r="111">
      <c r="A111" s="6" t="inlineStr">
        <is>
          <t>V-2245</t>
        </is>
      </c>
      <c r="B111" s="6" t="inlineStr">
        <is>
          <t>2026-06-30</t>
        </is>
      </c>
      <c r="C111" s="6" t="inlineStr">
        <is>
          <t>Facilities</t>
        </is>
      </c>
      <c r="D111" s="6" t="inlineStr">
        <is>
          <t>use-tax review</t>
        </is>
      </c>
      <c r="E111" s="6" t="inlineStr">
        <is>
          <t>Pacific Building Services - Vancouver LLC; 0 YTD bills; Review use-tax treatment</t>
        </is>
      </c>
      <c r="F111" s="7" t="n">
        <v>0</v>
      </c>
      <c r="G111" s="7" t="n">
        <v>0</v>
      </c>
      <c r="H111" s="7">
        <f>F111+G111</f>
        <v/>
      </c>
      <c r="I111" s="6" t="inlineStr">
        <is>
          <t>review open</t>
        </is>
      </c>
      <c r="J111" s="6" t="inlineStr">
        <is>
          <t>vendor master + AP subledger</t>
        </is>
      </c>
    </row>
    <row r="112">
      <c r="A112" s="6" t="inlineStr">
        <is>
          <t>V-2385</t>
        </is>
      </c>
      <c r="B112" s="6" t="inlineStr">
        <is>
          <t>2026-06-30</t>
        </is>
      </c>
      <c r="C112" s="6" t="inlineStr">
        <is>
          <t>Software</t>
        </is>
      </c>
      <c r="D112" s="6" t="inlineStr">
        <is>
          <t>use-tax review</t>
        </is>
      </c>
      <c r="E112" s="6" t="inlineStr">
        <is>
          <t>Pacific Business Systems - Vancouver LLC; 0 YTD bills; Review use-tax treatment</t>
        </is>
      </c>
      <c r="F112" s="7" t="n">
        <v>0</v>
      </c>
      <c r="G112" s="7" t="n">
        <v>0</v>
      </c>
      <c r="H112" s="7">
        <f>F112+G112</f>
        <v/>
      </c>
      <c r="I112" s="6" t="inlineStr">
        <is>
          <t>review open</t>
        </is>
      </c>
      <c r="J112" s="6" t="inlineStr">
        <is>
          <t>vendor master + AP subledger</t>
        </is>
      </c>
    </row>
    <row r="113">
      <c r="A113" s="6" t="inlineStr">
        <is>
          <t>V-2505</t>
        </is>
      </c>
      <c r="B113" s="6" t="inlineStr">
        <is>
          <t>2026-06-30</t>
        </is>
      </c>
      <c r="C113" s="6" t="inlineStr">
        <is>
          <t>Equipment Rental</t>
        </is>
      </c>
      <c r="D113" s="6" t="inlineStr">
        <is>
          <t>use-tax review</t>
        </is>
      </c>
      <c r="E113" s="6" t="inlineStr">
        <is>
          <t>Pacific Equipment Rental &amp; Services - Eugene LLC; 9 YTD bills; Review use-tax treatment</t>
        </is>
      </c>
      <c r="F113" s="7" t="n">
        <v>52322.95</v>
      </c>
      <c r="G113" s="7" t="n">
        <v>0</v>
      </c>
      <c r="H113" s="7">
        <f>F113+G113</f>
        <v/>
      </c>
      <c r="I113" s="6" t="inlineStr">
        <is>
          <t>review open</t>
        </is>
      </c>
      <c r="J113" s="6" t="inlineStr">
        <is>
          <t>vendor master + AP subledger</t>
        </is>
      </c>
    </row>
    <row r="114">
      <c r="A114" s="6" t="inlineStr">
        <is>
          <t>V-2265</t>
        </is>
      </c>
      <c r="B114" s="6" t="inlineStr">
        <is>
          <t>2026-06-30</t>
        </is>
      </c>
      <c r="C114" s="6" t="inlineStr">
        <is>
          <t>Equipment Rental</t>
        </is>
      </c>
      <c r="D114" s="6" t="inlineStr">
        <is>
          <t>use-tax review</t>
        </is>
      </c>
      <c r="E114" s="6" t="inlineStr">
        <is>
          <t>Pacific Equipment Rental &amp; Services - Salem LLC; 11 YTD bills; Review use-tax treatment</t>
        </is>
      </c>
      <c r="F114" s="7" t="n">
        <v>107790.06</v>
      </c>
      <c r="G114" s="7" t="n">
        <v>0</v>
      </c>
      <c r="H114" s="7">
        <f>F114+G114</f>
        <v/>
      </c>
      <c r="I114" s="6" t="inlineStr">
        <is>
          <t>review open</t>
        </is>
      </c>
      <c r="J114" s="6" t="inlineStr">
        <is>
          <t>vendor master + AP subledger</t>
        </is>
      </c>
    </row>
    <row r="115">
      <c r="A115" s="6" t="inlineStr">
        <is>
          <t>V-2094</t>
        </is>
      </c>
      <c r="B115" s="6" t="inlineStr">
        <is>
          <t>2026-06-30</t>
        </is>
      </c>
      <c r="C115" s="6" t="inlineStr">
        <is>
          <t>Equipment Rental</t>
        </is>
      </c>
      <c r="D115" s="6" t="inlineStr">
        <is>
          <t>use-tax review</t>
        </is>
      </c>
      <c r="E115" s="6" t="inlineStr">
        <is>
          <t>Peterson Cat - Rental Services; 8 YTD bills; Review use-tax treatment</t>
        </is>
      </c>
      <c r="F115" s="7" t="n">
        <v>63587.14</v>
      </c>
      <c r="G115" s="7" t="n">
        <v>0</v>
      </c>
      <c r="H115" s="7">
        <f>F115+G115</f>
        <v/>
      </c>
      <c r="I115" s="6" t="inlineStr">
        <is>
          <t>review open</t>
        </is>
      </c>
      <c r="J115" s="6" t="inlineStr">
        <is>
          <t>vendor master + AP subledger</t>
        </is>
      </c>
    </row>
    <row r="116">
      <c r="A116" s="6" t="inlineStr">
        <is>
          <t>V-2226</t>
        </is>
      </c>
      <c r="B116" s="6" t="inlineStr">
        <is>
          <t>2026-06-30</t>
        </is>
      </c>
      <c r="C116" s="6" t="inlineStr">
        <is>
          <t>Facilities</t>
        </is>
      </c>
      <c r="D116" s="6" t="inlineStr">
        <is>
          <t>use-tax review</t>
        </is>
      </c>
      <c r="E116" s="6" t="inlineStr">
        <is>
          <t>Pioneer Building Services - Beaverton Inc.; 1 YTD bills; Review use-tax treatment</t>
        </is>
      </c>
      <c r="F116" s="7" t="n">
        <v>7082.34</v>
      </c>
      <c r="G116" s="7" t="n">
        <v>0</v>
      </c>
      <c r="H116" s="7">
        <f>F116+G116</f>
        <v/>
      </c>
      <c r="I116" s="6" t="inlineStr">
        <is>
          <t>review open</t>
        </is>
      </c>
      <c r="J116" s="6" t="inlineStr">
        <is>
          <t>vendor master + AP subledger</t>
        </is>
      </c>
    </row>
    <row r="117">
      <c r="A117" s="6" t="inlineStr">
        <is>
          <t>V-2466</t>
        </is>
      </c>
      <c r="B117" s="6" t="inlineStr">
        <is>
          <t>2026-06-30</t>
        </is>
      </c>
      <c r="C117" s="6" t="inlineStr">
        <is>
          <t>Facilities</t>
        </is>
      </c>
      <c r="D117" s="6" t="inlineStr">
        <is>
          <t>use-tax review</t>
        </is>
      </c>
      <c r="E117" s="6" t="inlineStr">
        <is>
          <t>Pioneer Building Services - Portland Inc.; 1 YTD bills; Review use-tax treatment</t>
        </is>
      </c>
      <c r="F117" s="7" t="n">
        <v>8652.780000000001</v>
      </c>
      <c r="G117" s="7" t="n">
        <v>0</v>
      </c>
      <c r="H117" s="7">
        <f>F117+G117</f>
        <v/>
      </c>
      <c r="I117" s="6" t="inlineStr">
        <is>
          <t>review open</t>
        </is>
      </c>
      <c r="J117" s="6" t="inlineStr">
        <is>
          <t>vendor master + AP subledger</t>
        </is>
      </c>
    </row>
    <row r="118">
      <c r="A118" s="6" t="inlineStr">
        <is>
          <t>V-2366</t>
        </is>
      </c>
      <c r="B118" s="6" t="inlineStr">
        <is>
          <t>2026-06-30</t>
        </is>
      </c>
      <c r="C118" s="6" t="inlineStr">
        <is>
          <t>Software</t>
        </is>
      </c>
      <c r="D118" s="6" t="inlineStr">
        <is>
          <t>use-tax review</t>
        </is>
      </c>
      <c r="E118" s="6" t="inlineStr">
        <is>
          <t>Pioneer Business Systems - Beaverton Inc.; 0 YTD bills; Review use-tax treatment</t>
        </is>
      </c>
      <c r="F118" s="7" t="n">
        <v>0</v>
      </c>
      <c r="G118" s="7" t="n">
        <v>0</v>
      </c>
      <c r="H118" s="7">
        <f>F118+G118</f>
        <v/>
      </c>
      <c r="I118" s="6" t="inlineStr">
        <is>
          <t>review open</t>
        </is>
      </c>
      <c r="J118" s="6" t="inlineStr">
        <is>
          <t>vendor master + AP subledger</t>
        </is>
      </c>
    </row>
    <row r="119">
      <c r="A119" s="6" t="inlineStr">
        <is>
          <t>V-2246</t>
        </is>
      </c>
      <c r="B119" s="6" t="inlineStr">
        <is>
          <t>2026-06-30</t>
        </is>
      </c>
      <c r="C119" s="6" t="inlineStr">
        <is>
          <t>Equipment Rental</t>
        </is>
      </c>
      <c r="D119" s="6" t="inlineStr">
        <is>
          <t>use-tax review</t>
        </is>
      </c>
      <c r="E119" s="6" t="inlineStr">
        <is>
          <t>Pioneer Equipment Rental &amp; Services - Eugene Inc.; 8 YTD bills; Review use-tax treatment</t>
        </is>
      </c>
      <c r="F119" s="7" t="n">
        <v>61900.88</v>
      </c>
      <c r="G119" s="7" t="n">
        <v>0</v>
      </c>
      <c r="H119" s="7">
        <f>F119+G119</f>
        <v/>
      </c>
      <c r="I119" s="6" t="inlineStr">
        <is>
          <t>review open</t>
        </is>
      </c>
      <c r="J119" s="6" t="inlineStr">
        <is>
          <t>vendor master + AP subledger</t>
        </is>
      </c>
    </row>
    <row r="120">
      <c r="A120" s="6" t="inlineStr">
        <is>
          <t>V-2486</t>
        </is>
      </c>
      <c r="B120" s="6" t="inlineStr">
        <is>
          <t>2026-06-30</t>
        </is>
      </c>
      <c r="C120" s="6" t="inlineStr">
        <is>
          <t>Equipment Rental</t>
        </is>
      </c>
      <c r="D120" s="6" t="inlineStr">
        <is>
          <t>use-tax review</t>
        </is>
      </c>
      <c r="E120" s="6" t="inlineStr">
        <is>
          <t>Pioneer Equipment Rental &amp; Services - Gresham Inc.; 4 YTD bills; Review use-tax treatment</t>
        </is>
      </c>
      <c r="F120" s="7" t="n">
        <v>32556.81</v>
      </c>
      <c r="G120" s="7" t="n">
        <v>0</v>
      </c>
      <c r="H120" s="7">
        <f>F120+G120</f>
        <v/>
      </c>
      <c r="I120" s="6" t="inlineStr">
        <is>
          <t>review open</t>
        </is>
      </c>
      <c r="J120" s="6" t="inlineStr">
        <is>
          <t>vendor master + AP subledger</t>
        </is>
      </c>
    </row>
    <row r="121">
      <c r="A121" s="6" t="inlineStr">
        <is>
          <t>V-2207</t>
        </is>
      </c>
      <c r="B121" s="6" t="inlineStr">
        <is>
          <t>2026-06-30</t>
        </is>
      </c>
      <c r="C121" s="6" t="inlineStr">
        <is>
          <t>Facilities</t>
        </is>
      </c>
      <c r="D121" s="6" t="inlineStr">
        <is>
          <t>use-tax review</t>
        </is>
      </c>
      <c r="E121" s="6" t="inlineStr">
        <is>
          <t>Rainier Building Services - Portland Company; 0 YTD bills; Review use-tax treatment</t>
        </is>
      </c>
      <c r="F121" s="7" t="n">
        <v>0</v>
      </c>
      <c r="G121" s="7" t="n">
        <v>0</v>
      </c>
      <c r="H121" s="7">
        <f>F121+G121</f>
        <v/>
      </c>
      <c r="I121" s="6" t="inlineStr">
        <is>
          <t>review open</t>
        </is>
      </c>
      <c r="J121" s="6" t="inlineStr">
        <is>
          <t>vendor master + AP subledger</t>
        </is>
      </c>
    </row>
    <row r="122">
      <c r="A122" s="6" t="inlineStr">
        <is>
          <t>V-2447</t>
        </is>
      </c>
      <c r="B122" s="6" t="inlineStr">
        <is>
          <t>2026-06-30</t>
        </is>
      </c>
      <c r="C122" s="6" t="inlineStr">
        <is>
          <t>Facilities</t>
        </is>
      </c>
      <c r="D122" s="6" t="inlineStr">
        <is>
          <t>use-tax review</t>
        </is>
      </c>
      <c r="E122" s="6" t="inlineStr">
        <is>
          <t>Rainier Building Services - Salem Company; 1 YTD bills; Review use-tax treatment</t>
        </is>
      </c>
      <c r="F122" s="7" t="n">
        <v>11398.27</v>
      </c>
      <c r="G122" s="7" t="n">
        <v>0</v>
      </c>
      <c r="H122" s="7">
        <f>F122+G122</f>
        <v/>
      </c>
      <c r="I122" s="6" t="inlineStr">
        <is>
          <t>review open</t>
        </is>
      </c>
      <c r="J122" s="6" t="inlineStr">
        <is>
          <t>vendor master + AP subledger</t>
        </is>
      </c>
    </row>
    <row r="123">
      <c r="A123" s="6" t="inlineStr">
        <is>
          <t>V-2347</t>
        </is>
      </c>
      <c r="B123" s="6" t="inlineStr">
        <is>
          <t>2026-06-30</t>
        </is>
      </c>
      <c r="C123" s="6" t="inlineStr">
        <is>
          <t>Software</t>
        </is>
      </c>
      <c r="D123" s="6" t="inlineStr">
        <is>
          <t>use-tax review</t>
        </is>
      </c>
      <c r="E123" s="6" t="inlineStr">
        <is>
          <t>Rainier Business Systems - Portland Company; 0 YTD bills; Review use-tax treatment</t>
        </is>
      </c>
      <c r="F123" s="7" t="n">
        <v>0</v>
      </c>
      <c r="G123" s="7" t="n">
        <v>0</v>
      </c>
      <c r="H123" s="7">
        <f>F123+G123</f>
        <v/>
      </c>
      <c r="I123" s="6" t="inlineStr">
        <is>
          <t>review open</t>
        </is>
      </c>
      <c r="J123" s="6" t="inlineStr">
        <is>
          <t>vendor master + AP subledger</t>
        </is>
      </c>
    </row>
    <row r="124">
      <c r="A124" s="6" t="inlineStr">
        <is>
          <t>V-2467</t>
        </is>
      </c>
      <c r="B124" s="6" t="inlineStr">
        <is>
          <t>2026-06-30</t>
        </is>
      </c>
      <c r="C124" s="6" t="inlineStr">
        <is>
          <t>Equipment Rental</t>
        </is>
      </c>
      <c r="D124" s="6" t="inlineStr">
        <is>
          <t>use-tax review</t>
        </is>
      </c>
      <c r="E124" s="6" t="inlineStr">
        <is>
          <t>Rainier Equipment Rental &amp; Services - Bend Company; 5 YTD bills; Review use-tax treatment</t>
        </is>
      </c>
      <c r="F124" s="7" t="n">
        <v>72115.37</v>
      </c>
      <c r="G124" s="7" t="n">
        <v>0</v>
      </c>
      <c r="H124" s="7">
        <f>F124+G124</f>
        <v/>
      </c>
      <c r="I124" s="6" t="inlineStr">
        <is>
          <t>review open</t>
        </is>
      </c>
      <c r="J124" s="6" t="inlineStr">
        <is>
          <t>vendor master + AP subledger</t>
        </is>
      </c>
    </row>
    <row r="125">
      <c r="A125" s="6" t="inlineStr">
        <is>
          <t>V-2227</t>
        </is>
      </c>
      <c r="B125" s="6" t="inlineStr">
        <is>
          <t>2026-06-30</t>
        </is>
      </c>
      <c r="C125" s="6" t="inlineStr">
        <is>
          <t>Equipment Rental</t>
        </is>
      </c>
      <c r="D125" s="6" t="inlineStr">
        <is>
          <t>use-tax review</t>
        </is>
      </c>
      <c r="E125" s="6" t="inlineStr">
        <is>
          <t>Rainier Equipment Rental &amp; Services - Gresham Company; 0 YTD bills; Review use-tax treatment</t>
        </is>
      </c>
      <c r="F125" s="7" t="n">
        <v>0</v>
      </c>
      <c r="G125" s="7" t="n">
        <v>0</v>
      </c>
      <c r="H125" s="7">
        <f>F125+G125</f>
        <v/>
      </c>
      <c r="I125" s="6" t="inlineStr">
        <is>
          <t>review open</t>
        </is>
      </c>
      <c r="J125" s="6" t="inlineStr">
        <is>
          <t>vendor master + AP subledger</t>
        </is>
      </c>
    </row>
    <row r="126">
      <c r="A126" s="6" t="inlineStr">
        <is>
          <t>V-2295</t>
        </is>
      </c>
      <c r="B126" s="6" t="inlineStr">
        <is>
          <t>2026-06-30</t>
        </is>
      </c>
      <c r="C126" s="6" t="inlineStr">
        <is>
          <t>Facilities</t>
        </is>
      </c>
      <c r="D126" s="6" t="inlineStr">
        <is>
          <t>use-tax review</t>
        </is>
      </c>
      <c r="E126" s="6" t="inlineStr">
        <is>
          <t>Rogue Valley Building Services - Eugene LLC; 2 YTD bills; Review use-tax treatment</t>
        </is>
      </c>
      <c r="F126" s="7" t="n">
        <v>21572.03</v>
      </c>
      <c r="G126" s="7" t="n">
        <v>0</v>
      </c>
      <c r="H126" s="7">
        <f>F126+G126</f>
        <v/>
      </c>
      <c r="I126" s="6" t="inlineStr">
        <is>
          <t>review open</t>
        </is>
      </c>
      <c r="J126" s="6" t="inlineStr">
        <is>
          <t>vendor master + AP subledger</t>
        </is>
      </c>
    </row>
    <row r="127">
      <c r="A127" s="6" t="inlineStr">
        <is>
          <t>V-2435</t>
        </is>
      </c>
      <c r="B127" s="6" t="inlineStr">
        <is>
          <t>2026-06-30</t>
        </is>
      </c>
      <c r="C127" s="6" t="inlineStr">
        <is>
          <t>Software</t>
        </is>
      </c>
      <c r="D127" s="6" t="inlineStr">
        <is>
          <t>use-tax review</t>
        </is>
      </c>
      <c r="E127" s="6" t="inlineStr">
        <is>
          <t>Rogue Valley Business Systems - Eugene LLC; 0 YTD bills; Review use-tax treatment</t>
        </is>
      </c>
      <c r="F127" s="7" t="n">
        <v>0</v>
      </c>
      <c r="G127" s="7" t="n">
        <v>0</v>
      </c>
      <c r="H127" s="7">
        <f>F127+G127</f>
        <v/>
      </c>
      <c r="I127" s="6" t="inlineStr">
        <is>
          <t>review open</t>
        </is>
      </c>
      <c r="J127" s="6" t="inlineStr">
        <is>
          <t>vendor master + AP subledger</t>
        </is>
      </c>
    </row>
    <row r="128">
      <c r="A128" s="6" t="inlineStr">
        <is>
          <t>V-2315</t>
        </is>
      </c>
      <c r="B128" s="6" t="inlineStr">
        <is>
          <t>2026-06-30</t>
        </is>
      </c>
      <c r="C128" s="6" t="inlineStr">
        <is>
          <t>Equipment Rental</t>
        </is>
      </c>
      <c r="D128" s="6" t="inlineStr">
        <is>
          <t>use-tax review</t>
        </is>
      </c>
      <c r="E128" s="6" t="inlineStr">
        <is>
          <t>Rogue Valley Equipment Rental &amp; Services - Vancouver LLC; 12 YTD bills; Review use-tax treatment</t>
        </is>
      </c>
      <c r="F128" s="7" t="n">
        <v>89678.53</v>
      </c>
      <c r="G128" s="7" t="n">
        <v>0</v>
      </c>
      <c r="H128" s="7">
        <f>F128+G128</f>
        <v/>
      </c>
      <c r="I128" s="6" t="inlineStr">
        <is>
          <t>review open</t>
        </is>
      </c>
      <c r="J128" s="6" t="inlineStr">
        <is>
          <t>vendor master + AP subledger</t>
        </is>
      </c>
    </row>
    <row r="129">
      <c r="A129" s="6" t="inlineStr">
        <is>
          <t>V-2428</t>
        </is>
      </c>
      <c r="B129" s="6" t="inlineStr">
        <is>
          <t>2026-06-30</t>
        </is>
      </c>
      <c r="C129" s="6" t="inlineStr">
        <is>
          <t>Facilities</t>
        </is>
      </c>
      <c r="D129" s="6" t="inlineStr">
        <is>
          <t>use-tax review</t>
        </is>
      </c>
      <c r="E129" s="6" t="inlineStr">
        <is>
          <t>Rose City Building Services - Eugene Services, LLC; 1 YTD bills; Review use-tax treatment</t>
        </is>
      </c>
      <c r="F129" s="7" t="n">
        <v>10482.34</v>
      </c>
      <c r="G129" s="7" t="n">
        <v>0</v>
      </c>
      <c r="H129" s="7">
        <f>F129+G129</f>
        <v/>
      </c>
      <c r="I129" s="6" t="inlineStr">
        <is>
          <t>review open</t>
        </is>
      </c>
      <c r="J129" s="6" t="inlineStr">
        <is>
          <t>vendor master + AP subledger</t>
        </is>
      </c>
    </row>
    <row r="130">
      <c r="A130" s="6" t="inlineStr">
        <is>
          <t>V-2328</t>
        </is>
      </c>
      <c r="B130" s="6" t="inlineStr">
        <is>
          <t>2026-06-30</t>
        </is>
      </c>
      <c r="C130" s="6" t="inlineStr">
        <is>
          <t>Software</t>
        </is>
      </c>
      <c r="D130" s="6" t="inlineStr">
        <is>
          <t>use-tax review</t>
        </is>
      </c>
      <c r="E130" s="6" t="inlineStr">
        <is>
          <t>Rose City Business Systems - Salem Services, LLC; 2 YTD bills; Review use-tax treatment</t>
        </is>
      </c>
      <c r="F130" s="7" t="n">
        <v>4804.29</v>
      </c>
      <c r="G130" s="7" t="n">
        <v>0</v>
      </c>
      <c r="H130" s="7">
        <f>F130+G130</f>
        <v/>
      </c>
      <c r="I130" s="6" t="inlineStr">
        <is>
          <t>review open</t>
        </is>
      </c>
      <c r="J130" s="6" t="inlineStr">
        <is>
          <t>vendor master + AP subledger</t>
        </is>
      </c>
    </row>
    <row r="131">
      <c r="A131" s="6" t="inlineStr">
        <is>
          <t>V-2208</t>
        </is>
      </c>
      <c r="B131" s="6" t="inlineStr">
        <is>
          <t>2026-06-30</t>
        </is>
      </c>
      <c r="C131" s="6" t="inlineStr">
        <is>
          <t>Equipment Rental</t>
        </is>
      </c>
      <c r="D131" s="6" t="inlineStr">
        <is>
          <t>use-tax review</t>
        </is>
      </c>
      <c r="E131" s="6" t="inlineStr">
        <is>
          <t>Rose City Equipment Rental &amp; Services - Bend Services, LLC; 11 YTD bills; Review use-tax treatment</t>
        </is>
      </c>
      <c r="F131" s="7" t="n">
        <v>75895.21000000001</v>
      </c>
      <c r="G131" s="7" t="n">
        <v>0</v>
      </c>
      <c r="H131" s="7">
        <f>F131+G131</f>
        <v/>
      </c>
      <c r="I131" s="6" t="inlineStr">
        <is>
          <t>review open</t>
        </is>
      </c>
      <c r="J131" s="6" t="inlineStr">
        <is>
          <t>vendor master + AP subledger</t>
        </is>
      </c>
    </row>
    <row r="132">
      <c r="A132" s="6" t="inlineStr">
        <is>
          <t>V-2448</t>
        </is>
      </c>
      <c r="B132" s="6" t="inlineStr">
        <is>
          <t>2026-06-30</t>
        </is>
      </c>
      <c r="C132" s="6" t="inlineStr">
        <is>
          <t>Equipment Rental</t>
        </is>
      </c>
      <c r="D132" s="6" t="inlineStr">
        <is>
          <t>use-tax review</t>
        </is>
      </c>
      <c r="E132" s="6" t="inlineStr">
        <is>
          <t>Rose City Equipment Rental &amp; Services - Vancouver Services, LLC; 9 YTD bills; Review use-tax treatment</t>
        </is>
      </c>
      <c r="F132" s="7" t="n">
        <v>97495.56</v>
      </c>
      <c r="G132" s="7" t="n">
        <v>0</v>
      </c>
      <c r="H132" s="7">
        <f>F132+G132</f>
        <v/>
      </c>
      <c r="I132" s="6" t="inlineStr">
        <is>
          <t>review open</t>
        </is>
      </c>
      <c r="J132" s="6" t="inlineStr">
        <is>
          <t>vendor master + AP subledger</t>
        </is>
      </c>
    </row>
    <row r="133">
      <c r="A133" s="6" t="inlineStr">
        <is>
          <t>V-2082</t>
        </is>
      </c>
      <c r="B133" s="6" t="inlineStr">
        <is>
          <t>2026-06-30</t>
        </is>
      </c>
      <c r="C133" s="6" t="inlineStr">
        <is>
          <t>Software</t>
        </is>
      </c>
      <c r="D133" s="6" t="inlineStr">
        <is>
          <t>use-tax review</t>
        </is>
      </c>
      <c r="E133" s="6" t="inlineStr">
        <is>
          <t>Sage Software, Inc.; 4 YTD bills; Review use-tax treatment</t>
        </is>
      </c>
      <c r="F133" s="7" t="n">
        <v>7941.62</v>
      </c>
      <c r="G133" s="7" t="n">
        <v>0</v>
      </c>
      <c r="H133" s="7">
        <f>F133+G133</f>
        <v/>
      </c>
      <c r="I133" s="6" t="inlineStr">
        <is>
          <t>review open</t>
        </is>
      </c>
      <c r="J133" s="6" t="inlineStr">
        <is>
          <t>vendor master + AP subledger</t>
        </is>
      </c>
    </row>
    <row r="134">
      <c r="A134" s="6" t="inlineStr">
        <is>
          <t>V-2409</t>
        </is>
      </c>
      <c r="B134" s="6" t="inlineStr">
        <is>
          <t>2026-06-30</t>
        </is>
      </c>
      <c r="C134" s="6" t="inlineStr">
        <is>
          <t>Facilities</t>
        </is>
      </c>
      <c r="D134" s="6" t="inlineStr">
        <is>
          <t>use-tax review</t>
        </is>
      </c>
      <c r="E134" s="6" t="inlineStr">
        <is>
          <t>Summit Building Services - Gresham Group; 1 YTD bills; Review use-tax treatment</t>
        </is>
      </c>
      <c r="F134" s="7" t="n">
        <v>11135.54</v>
      </c>
      <c r="G134" s="7" t="n">
        <v>0</v>
      </c>
      <c r="H134" s="7">
        <f>F134+G134</f>
        <v/>
      </c>
      <c r="I134" s="6" t="inlineStr">
        <is>
          <t>review open</t>
        </is>
      </c>
      <c r="J134" s="6" t="inlineStr">
        <is>
          <t>vendor master + AP subledger</t>
        </is>
      </c>
    </row>
    <row r="135">
      <c r="A135" s="6" t="inlineStr">
        <is>
          <t>V-2309</t>
        </is>
      </c>
      <c r="B135" s="6" t="inlineStr">
        <is>
          <t>2026-06-30</t>
        </is>
      </c>
      <c r="C135" s="6" t="inlineStr">
        <is>
          <t>Software</t>
        </is>
      </c>
      <c r="D135" s="6" t="inlineStr">
        <is>
          <t>use-tax review</t>
        </is>
      </c>
      <c r="E135" s="6" t="inlineStr">
        <is>
          <t>Summit Business Systems - Eugene Group; 2 YTD bills; Review use-tax treatment</t>
        </is>
      </c>
      <c r="F135" s="7" t="n">
        <v>0</v>
      </c>
      <c r="G135" s="7" t="n">
        <v>0</v>
      </c>
      <c r="H135" s="7">
        <f>F135+G135</f>
        <v/>
      </c>
      <c r="I135" s="6" t="inlineStr">
        <is>
          <t>review open</t>
        </is>
      </c>
      <c r="J135" s="6" t="inlineStr">
        <is>
          <t>vendor master + AP subledger</t>
        </is>
      </c>
    </row>
    <row r="136">
      <c r="A136" s="6" t="inlineStr">
        <is>
          <t>V-2429</t>
        </is>
      </c>
      <c r="B136" s="6" t="inlineStr">
        <is>
          <t>2026-06-30</t>
        </is>
      </c>
      <c r="C136" s="6" t="inlineStr">
        <is>
          <t>Equipment Rental</t>
        </is>
      </c>
      <c r="D136" s="6" t="inlineStr">
        <is>
          <t>use-tax review</t>
        </is>
      </c>
      <c r="E136" s="6" t="inlineStr">
        <is>
          <t>Summit Equipment Rental &amp; Services - Beaverton Group; 4 YTD bills; Review use-tax treatment</t>
        </is>
      </c>
      <c r="F136" s="7" t="n">
        <v>45833.43</v>
      </c>
      <c r="G136" s="7" t="n">
        <v>0</v>
      </c>
      <c r="H136" s="7">
        <f>F136+G136</f>
        <v/>
      </c>
      <c r="I136" s="6" t="inlineStr">
        <is>
          <t>review open</t>
        </is>
      </c>
      <c r="J136" s="6" t="inlineStr">
        <is>
          <t>vendor master + AP subledger</t>
        </is>
      </c>
    </row>
    <row r="137">
      <c r="A137" s="6" t="inlineStr">
        <is>
          <t>V-2037</t>
        </is>
      </c>
      <c r="B137" s="6" t="inlineStr">
        <is>
          <t>2026-06-30</t>
        </is>
      </c>
      <c r="C137" s="6" t="inlineStr">
        <is>
          <t>Equipment Rental</t>
        </is>
      </c>
      <c r="D137" s="6" t="inlineStr">
        <is>
          <t>use-tax review</t>
        </is>
      </c>
      <c r="E137" s="6" t="inlineStr">
        <is>
          <t>Sunbelt Rentals - Oregon District; 11 YTD bills; Review use-tax treatment</t>
        </is>
      </c>
      <c r="F137" s="7" t="n">
        <v>63780.81</v>
      </c>
      <c r="G137" s="7" t="n">
        <v>0</v>
      </c>
      <c r="H137" s="7">
        <f>F137+G137</f>
        <v/>
      </c>
      <c r="I137" s="6" t="inlineStr">
        <is>
          <t>review open</t>
        </is>
      </c>
      <c r="J137" s="6" t="inlineStr">
        <is>
          <t>vendor master + AP subledger</t>
        </is>
      </c>
    </row>
    <row r="138">
      <c r="A138" s="6" t="inlineStr">
        <is>
          <t>V-2390</t>
        </is>
      </c>
      <c r="B138" s="6" t="inlineStr">
        <is>
          <t>2026-06-30</t>
        </is>
      </c>
      <c r="C138" s="6" t="inlineStr">
        <is>
          <t>Facilities</t>
        </is>
      </c>
      <c r="D138" s="6" t="inlineStr">
        <is>
          <t>use-tax review</t>
        </is>
      </c>
      <c r="E138" s="6" t="inlineStr">
        <is>
          <t>Tri-County Building Services - Bend LLC; 0 YTD bills; Review use-tax treatment</t>
        </is>
      </c>
      <c r="F138" s="7" t="n">
        <v>0</v>
      </c>
      <c r="G138" s="7" t="n">
        <v>0</v>
      </c>
      <c r="H138" s="7">
        <f>F138+G138</f>
        <v/>
      </c>
      <c r="I138" s="6" t="inlineStr">
        <is>
          <t>review open</t>
        </is>
      </c>
      <c r="J138" s="6" t="inlineStr">
        <is>
          <t>vendor master + AP subledger</t>
        </is>
      </c>
    </row>
    <row r="139">
      <c r="A139" s="6" t="inlineStr">
        <is>
          <t>V-2530</t>
        </is>
      </c>
      <c r="B139" s="6" t="inlineStr">
        <is>
          <t>2026-06-30</t>
        </is>
      </c>
      <c r="C139" s="6" t="inlineStr">
        <is>
          <t>Software</t>
        </is>
      </c>
      <c r="D139" s="6" t="inlineStr">
        <is>
          <t>use-tax review</t>
        </is>
      </c>
      <c r="E139" s="6" t="inlineStr">
        <is>
          <t>Tri-County Business Systems - Bend LLC; 4 YTD bills; Review use-tax treatment</t>
        </is>
      </c>
      <c r="F139" s="7" t="n">
        <v>10770.4</v>
      </c>
      <c r="G139" s="7" t="n">
        <v>0</v>
      </c>
      <c r="H139" s="7">
        <f>F139+G139</f>
        <v/>
      </c>
      <c r="I139" s="6" t="inlineStr">
        <is>
          <t>review open</t>
        </is>
      </c>
      <c r="J139" s="6" t="inlineStr">
        <is>
          <t>vendor master + AP subledger</t>
        </is>
      </c>
    </row>
    <row r="140">
      <c r="A140" s="6" t="inlineStr">
        <is>
          <t>V-2290</t>
        </is>
      </c>
      <c r="B140" s="6" t="inlineStr">
        <is>
          <t>2026-06-30</t>
        </is>
      </c>
      <c r="C140" s="6" t="inlineStr">
        <is>
          <t>Software</t>
        </is>
      </c>
      <c r="D140" s="6" t="inlineStr">
        <is>
          <t>use-tax review</t>
        </is>
      </c>
      <c r="E140" s="6" t="inlineStr">
        <is>
          <t>Tri-County Business Systems - Gresham LLC; 2 YTD bills; Review use-tax treatment</t>
        </is>
      </c>
      <c r="F140" s="7" t="n">
        <v>9242.389999999999</v>
      </c>
      <c r="G140" s="7" t="n">
        <v>0</v>
      </c>
      <c r="H140" s="7">
        <f>F140+G140</f>
        <v/>
      </c>
      <c r="I140" s="6" t="inlineStr">
        <is>
          <t>review open</t>
        </is>
      </c>
      <c r="J140" s="6" t="inlineStr">
        <is>
          <t>vendor master + AP subledger</t>
        </is>
      </c>
    </row>
    <row r="141">
      <c r="A141" s="6" t="inlineStr">
        <is>
          <t>V-2410</t>
        </is>
      </c>
      <c r="B141" s="6" t="inlineStr">
        <is>
          <t>2026-06-30</t>
        </is>
      </c>
      <c r="C141" s="6" t="inlineStr">
        <is>
          <t>Equipment Rental</t>
        </is>
      </c>
      <c r="D141" s="6" t="inlineStr">
        <is>
          <t>use-tax review</t>
        </is>
      </c>
      <c r="E141" s="6" t="inlineStr">
        <is>
          <t>Tri-County Equipment Rental &amp; Services - Portland LLC; 5 YTD bills; Review use-tax treatment</t>
        </is>
      </c>
      <c r="F141" s="7" t="n">
        <v>68295.17999999999</v>
      </c>
      <c r="G141" s="7" t="n">
        <v>0</v>
      </c>
      <c r="H141" s="7">
        <f>F141+G141</f>
        <v/>
      </c>
      <c r="I141" s="6" t="inlineStr">
        <is>
          <t>review open</t>
        </is>
      </c>
      <c r="J141" s="6" t="inlineStr">
        <is>
          <t>vendor master + AP subledger</t>
        </is>
      </c>
    </row>
    <row r="142">
      <c r="A142" s="6" t="inlineStr">
        <is>
          <t>V-2516</t>
        </is>
      </c>
      <c r="B142" s="6" t="inlineStr">
        <is>
          <t>2026-06-30</t>
        </is>
      </c>
      <c r="C142" s="6" t="inlineStr">
        <is>
          <t>Facilities</t>
        </is>
      </c>
      <c r="D142" s="6" t="inlineStr">
        <is>
          <t>use-tax review</t>
        </is>
      </c>
      <c r="E142" s="6" t="inlineStr">
        <is>
          <t>Tualatin Building Services - Bend Inc.; 1 YTD bills; Review use-tax treatment</t>
        </is>
      </c>
      <c r="F142" s="7" t="n">
        <v>19587.69</v>
      </c>
      <c r="G142" s="7" t="n">
        <v>0</v>
      </c>
      <c r="H142" s="7">
        <f>F142+G142</f>
        <v/>
      </c>
      <c r="I142" s="6" t="inlineStr">
        <is>
          <t>review open</t>
        </is>
      </c>
      <c r="J142" s="6" t="inlineStr">
        <is>
          <t>vendor master + AP subledger</t>
        </is>
      </c>
    </row>
    <row r="143">
      <c r="A143" s="6" t="inlineStr">
        <is>
          <t>V-2276</t>
        </is>
      </c>
      <c r="B143" s="6" t="inlineStr">
        <is>
          <t>2026-06-30</t>
        </is>
      </c>
      <c r="C143" s="6" t="inlineStr">
        <is>
          <t>Facilities</t>
        </is>
      </c>
      <c r="D143" s="6" t="inlineStr">
        <is>
          <t>use-tax review</t>
        </is>
      </c>
      <c r="E143" s="6" t="inlineStr">
        <is>
          <t>Tualatin Building Services - Gresham Inc.; 2 YTD bills; Review use-tax treatment</t>
        </is>
      </c>
      <c r="F143" s="7" t="n">
        <v>42284.57</v>
      </c>
      <c r="G143" s="7" t="n">
        <v>0</v>
      </c>
      <c r="H143" s="7">
        <f>F143+G143</f>
        <v/>
      </c>
      <c r="I143" s="6" t="inlineStr">
        <is>
          <t>review open</t>
        </is>
      </c>
      <c r="J143" s="6" t="inlineStr">
        <is>
          <t>vendor master + AP subledger</t>
        </is>
      </c>
    </row>
    <row r="144">
      <c r="A144" s="6" t="inlineStr">
        <is>
          <t>V-2416</t>
        </is>
      </c>
      <c r="B144" s="6" t="inlineStr">
        <is>
          <t>2026-06-30</t>
        </is>
      </c>
      <c r="C144" s="6" t="inlineStr">
        <is>
          <t>Software</t>
        </is>
      </c>
      <c r="D144" s="6" t="inlineStr">
        <is>
          <t>use-tax review</t>
        </is>
      </c>
      <c r="E144" s="6" t="inlineStr">
        <is>
          <t>Tualatin Business Systems - Gresham Inc.; 1 YTD bills; Review use-tax treatment</t>
        </is>
      </c>
      <c r="F144" s="7" t="n">
        <v>36142.75</v>
      </c>
      <c r="G144" s="7" t="n">
        <v>0</v>
      </c>
      <c r="H144" s="7">
        <f>F144+G144</f>
        <v/>
      </c>
      <c r="I144" s="6" t="inlineStr">
        <is>
          <t>review open</t>
        </is>
      </c>
      <c r="J144" s="6" t="inlineStr">
        <is>
          <t>vendor master + AP subledger</t>
        </is>
      </c>
    </row>
    <row r="145">
      <c r="A145" s="6" t="inlineStr">
        <is>
          <t>V-2296</t>
        </is>
      </c>
      <c r="B145" s="6" t="inlineStr">
        <is>
          <t>2026-06-30</t>
        </is>
      </c>
      <c r="C145" s="6" t="inlineStr">
        <is>
          <t>Equipment Rental</t>
        </is>
      </c>
      <c r="D145" s="6" t="inlineStr">
        <is>
          <t>use-tax review</t>
        </is>
      </c>
      <c r="E145" s="6" t="inlineStr">
        <is>
          <t>Tualatin Equipment Rental &amp; Services - Beaverton Inc.; 6 YTD bills; Review use-tax treatment</t>
        </is>
      </c>
      <c r="F145" s="7" t="n">
        <v>42056.15</v>
      </c>
      <c r="G145" s="7" t="n">
        <v>0</v>
      </c>
      <c r="H145" s="7">
        <f>F145+G145</f>
        <v/>
      </c>
      <c r="I145" s="6" t="inlineStr">
        <is>
          <t>review open</t>
        </is>
      </c>
      <c r="J145" s="6" t="inlineStr">
        <is>
          <t>vendor master + AP subledger</t>
        </is>
      </c>
    </row>
    <row r="146">
      <c r="A146" s="6" t="inlineStr">
        <is>
          <t>V-2033</t>
        </is>
      </c>
      <c r="B146" s="6" t="inlineStr">
        <is>
          <t>2026-06-30</t>
        </is>
      </c>
      <c r="C146" s="6" t="inlineStr">
        <is>
          <t>Equipment Rental</t>
        </is>
      </c>
      <c r="D146" s="6" t="inlineStr">
        <is>
          <t>use-tax review</t>
        </is>
      </c>
      <c r="E146" s="6" t="inlineStr">
        <is>
          <t>United Rentals (North America), Inc.; 10 YTD bills; Review use-tax treatment</t>
        </is>
      </c>
      <c r="F146" s="7" t="n">
        <v>33617.8</v>
      </c>
      <c r="G146" s="7" t="n">
        <v>0</v>
      </c>
      <c r="H146" s="7">
        <f>F146+G146</f>
        <v/>
      </c>
      <c r="I146" s="6" t="inlineStr">
        <is>
          <t>review open</t>
        </is>
      </c>
      <c r="J146" s="6" t="inlineStr">
        <is>
          <t>vendor master + AP subledger</t>
        </is>
      </c>
    </row>
    <row r="147">
      <c r="A147" s="6" t="inlineStr">
        <is>
          <t>V-2257</t>
        </is>
      </c>
      <c r="B147" s="6" t="inlineStr">
        <is>
          <t>2026-06-30</t>
        </is>
      </c>
      <c r="C147" s="6" t="inlineStr">
        <is>
          <t>Facilities</t>
        </is>
      </c>
      <c r="D147" s="6" t="inlineStr">
        <is>
          <t>use-tax review</t>
        </is>
      </c>
      <c r="E147" s="6" t="inlineStr">
        <is>
          <t>West Coast Building Services - Bend Company; 0 YTD bills; Review use-tax treatment</t>
        </is>
      </c>
      <c r="F147" s="7" t="n">
        <v>0</v>
      </c>
      <c r="G147" s="7" t="n">
        <v>0</v>
      </c>
      <c r="H147" s="7">
        <f>F147+G147</f>
        <v/>
      </c>
      <c r="I147" s="6" t="inlineStr">
        <is>
          <t>review open</t>
        </is>
      </c>
      <c r="J147" s="6" t="inlineStr">
        <is>
          <t>vendor master + AP subledger</t>
        </is>
      </c>
    </row>
    <row r="148">
      <c r="A148" s="6" t="inlineStr">
        <is>
          <t>V-2497</t>
        </is>
      </c>
      <c r="B148" s="6" t="inlineStr">
        <is>
          <t>2026-06-30</t>
        </is>
      </c>
      <c r="C148" s="6" t="inlineStr">
        <is>
          <t>Facilities</t>
        </is>
      </c>
      <c r="D148" s="6" t="inlineStr">
        <is>
          <t>use-tax review</t>
        </is>
      </c>
      <c r="E148" s="6" t="inlineStr">
        <is>
          <t>West Coast Building Services - Vancouver Company; 1 YTD bills; Review use-tax treatment</t>
        </is>
      </c>
      <c r="F148" s="7" t="n">
        <v>6358.07</v>
      </c>
      <c r="G148" s="7" t="n">
        <v>0</v>
      </c>
      <c r="H148" s="7">
        <f>F148+G148</f>
        <v/>
      </c>
      <c r="I148" s="6" t="inlineStr">
        <is>
          <t>review open</t>
        </is>
      </c>
      <c r="J148" s="6" t="inlineStr">
        <is>
          <t>vendor master + AP subledger</t>
        </is>
      </c>
    </row>
    <row r="149">
      <c r="A149" s="6" t="inlineStr">
        <is>
          <t>V-2397</t>
        </is>
      </c>
      <c r="B149" s="6" t="inlineStr">
        <is>
          <t>2026-06-30</t>
        </is>
      </c>
      <c r="C149" s="6" t="inlineStr">
        <is>
          <t>Software</t>
        </is>
      </c>
      <c r="D149" s="6" t="inlineStr">
        <is>
          <t>use-tax review</t>
        </is>
      </c>
      <c r="E149" s="6" t="inlineStr">
        <is>
          <t>West Coast Business Systems - Bend Company; 0 YTD bills; Review use-tax treatment</t>
        </is>
      </c>
      <c r="F149" s="7" t="n">
        <v>0</v>
      </c>
      <c r="G149" s="7" t="n">
        <v>0</v>
      </c>
      <c r="H149" s="7">
        <f>F149+G149</f>
        <v/>
      </c>
      <c r="I149" s="6" t="inlineStr">
        <is>
          <t>review open</t>
        </is>
      </c>
      <c r="J149" s="6" t="inlineStr">
        <is>
          <t>vendor master + AP subledger</t>
        </is>
      </c>
    </row>
    <row r="150">
      <c r="A150" s="6" t="inlineStr">
        <is>
          <t>V-2277</t>
        </is>
      </c>
      <c r="B150" s="6" t="inlineStr">
        <is>
          <t>2026-06-30</t>
        </is>
      </c>
      <c r="C150" s="6" t="inlineStr">
        <is>
          <t>Equipment Rental</t>
        </is>
      </c>
      <c r="D150" s="6" t="inlineStr">
        <is>
          <t>use-tax review</t>
        </is>
      </c>
      <c r="E150" s="6" t="inlineStr">
        <is>
          <t>West Coast Equipment Rental &amp; Services - Portland Company; 9 YTD bills; Review use-tax treatment</t>
        </is>
      </c>
      <c r="F150" s="7" t="n">
        <v>81583.94</v>
      </c>
      <c r="G150" s="7" t="n">
        <v>0</v>
      </c>
      <c r="H150" s="7">
        <f>F150+G150</f>
        <v/>
      </c>
      <c r="I150" s="6" t="inlineStr">
        <is>
          <t>review open</t>
        </is>
      </c>
      <c r="J150" s="6" t="inlineStr">
        <is>
          <t>vendor master + AP subledger</t>
        </is>
      </c>
    </row>
    <row r="151">
      <c r="A151" s="6" t="inlineStr">
        <is>
          <t>V-2517</t>
        </is>
      </c>
      <c r="B151" s="6" t="inlineStr">
        <is>
          <t>2026-06-30</t>
        </is>
      </c>
      <c r="C151" s="6" t="inlineStr">
        <is>
          <t>Equipment Rental</t>
        </is>
      </c>
      <c r="D151" s="6" t="inlineStr">
        <is>
          <t>use-tax review</t>
        </is>
      </c>
      <c r="E151" s="6" t="inlineStr">
        <is>
          <t>West Coast Equipment Rental &amp; Services - Salem Company; 6 YTD bills; Review use-tax treatment</t>
        </is>
      </c>
      <c r="F151" s="7" t="n">
        <v>56617.74</v>
      </c>
      <c r="G151" s="7" t="n">
        <v>0</v>
      </c>
      <c r="H151" s="7">
        <f>F151+G151</f>
        <v/>
      </c>
      <c r="I151" s="6" t="inlineStr">
        <is>
          <t>review open</t>
        </is>
      </c>
      <c r="J151" s="6" t="inlineStr">
        <is>
          <t>vendor master + AP subledger</t>
        </is>
      </c>
    </row>
    <row r="152">
      <c r="A152" s="6" t="inlineStr">
        <is>
          <t>V-2371</t>
        </is>
      </c>
      <c r="B152" s="6" t="inlineStr">
        <is>
          <t>2026-06-30</t>
        </is>
      </c>
      <c r="C152" s="6" t="inlineStr">
        <is>
          <t>Facilities</t>
        </is>
      </c>
      <c r="D152" s="6" t="inlineStr">
        <is>
          <t>use-tax review</t>
        </is>
      </c>
      <c r="E152" s="6" t="inlineStr">
        <is>
          <t>Willamette Building Services - Vancouver Inc.; 1 YTD bills; Review use-tax treatment</t>
        </is>
      </c>
      <c r="F152" s="7" t="n">
        <v>36143.65</v>
      </c>
      <c r="G152" s="7" t="n">
        <v>0</v>
      </c>
      <c r="H152" s="7">
        <f>F152+G152</f>
        <v/>
      </c>
      <c r="I152" s="6" t="inlineStr">
        <is>
          <t>review open</t>
        </is>
      </c>
      <c r="J152" s="6" t="inlineStr">
        <is>
          <t>vendor master + AP subledger</t>
        </is>
      </c>
    </row>
    <row r="153">
      <c r="A153" s="6" t="inlineStr">
        <is>
          <t>V-2271</t>
        </is>
      </c>
      <c r="B153" s="6" t="inlineStr">
        <is>
          <t>2026-06-30</t>
        </is>
      </c>
      <c r="C153" s="6" t="inlineStr">
        <is>
          <t>Software</t>
        </is>
      </c>
      <c r="D153" s="6" t="inlineStr">
        <is>
          <t>use-tax review</t>
        </is>
      </c>
      <c r="E153" s="6" t="inlineStr">
        <is>
          <t>Willamette Business Systems - Bend Inc.; 4 YTD bills; Review use-tax treatment</t>
        </is>
      </c>
      <c r="F153" s="7" t="n">
        <v>6878.16</v>
      </c>
      <c r="G153" s="7" t="n">
        <v>0</v>
      </c>
      <c r="H153" s="7">
        <f>F153+G153</f>
        <v/>
      </c>
      <c r="I153" s="6" t="inlineStr">
        <is>
          <t>review open</t>
        </is>
      </c>
      <c r="J153" s="6" t="inlineStr">
        <is>
          <t>vendor master + AP subledger</t>
        </is>
      </c>
    </row>
    <row r="154">
      <c r="A154" s="6" t="inlineStr">
        <is>
          <t>V-2511</t>
        </is>
      </c>
      <c r="B154" s="6" t="inlineStr">
        <is>
          <t>2026-06-30</t>
        </is>
      </c>
      <c r="C154" s="6" t="inlineStr">
        <is>
          <t>Software</t>
        </is>
      </c>
      <c r="D154" s="6" t="inlineStr">
        <is>
          <t>use-tax review</t>
        </is>
      </c>
      <c r="E154" s="6" t="inlineStr">
        <is>
          <t>Willamette Business Systems - Vancouver Inc.; 4 YTD bills; Review use-tax treatment</t>
        </is>
      </c>
      <c r="F154" s="7" t="n">
        <v>16835.75</v>
      </c>
      <c r="G154" s="7" t="n">
        <v>0</v>
      </c>
      <c r="H154" s="7">
        <f>F154+G154</f>
        <v/>
      </c>
      <c r="I154" s="6" t="inlineStr">
        <is>
          <t>review open</t>
        </is>
      </c>
      <c r="J154" s="6" t="inlineStr">
        <is>
          <t>vendor master + AP subledger</t>
        </is>
      </c>
    </row>
    <row r="155">
      <c r="A155" s="6" t="inlineStr">
        <is>
          <t>V-2391</t>
        </is>
      </c>
      <c r="B155" s="6" t="inlineStr">
        <is>
          <t>2026-06-30</t>
        </is>
      </c>
      <c r="C155" s="6" t="inlineStr">
        <is>
          <t>Equipment Rental</t>
        </is>
      </c>
      <c r="D155" s="6" t="inlineStr">
        <is>
          <t>use-tax review</t>
        </is>
      </c>
      <c r="E155" s="6" t="inlineStr">
        <is>
          <t>Willamette Equipment Rental &amp; Services - Salem Inc.; 3 YTD bills; Review use-tax treatment</t>
        </is>
      </c>
      <c r="F155" s="7" t="n">
        <v>44479.49</v>
      </c>
      <c r="G155" s="7" t="n">
        <v>0</v>
      </c>
      <c r="H155" s="7">
        <f>F155+G155</f>
        <v/>
      </c>
      <c r="I155" s="6" t="inlineStr">
        <is>
          <t>review open</t>
        </is>
      </c>
      <c r="J155" s="6" t="inlineStr">
        <is>
          <t>vendor master + AP subledger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1099, sales/use-tax and filing tracker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3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Professional Services</t>
        </is>
      </c>
      <c r="B6" s="8">
        <f>COUNTIF('detail - working'!C6:C155,A6)</f>
        <v/>
      </c>
      <c r="C6" s="9">
        <f>SUMIF('detail - working'!C6:C155,A6,'detail - working'!F6:F155)</f>
        <v/>
      </c>
      <c r="D6" s="9">
        <f>SUMIF('detail - working'!C6:C155,A6,'detail - working'!G6:G155)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Commissioning</t>
        </is>
      </c>
      <c r="B7" s="8">
        <f>COUNTIF('detail - working'!C6:C155,A7)</f>
        <v/>
      </c>
      <c r="C7" s="9">
        <f>SUMIF('detail - working'!C6:C155,A7,'detail - working'!F6:F155)</f>
        <v/>
      </c>
      <c r="D7" s="9">
        <f>SUMIF('detail - working'!C6:C155,A7,'detail - working'!G6:G155)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Software</t>
        </is>
      </c>
      <c r="B8" s="8">
        <f>COUNTIF('detail - working'!C6:C155,A8)</f>
        <v/>
      </c>
      <c r="C8" s="9">
        <f>SUMIF('detail - working'!C6:C155,A8,'detail - working'!F6:F155)</f>
        <v/>
      </c>
      <c r="D8" s="9">
        <f>SUMIF('detail - working'!C6:C155,A8,'detail - working'!G6:G155)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Facilities</t>
        </is>
      </c>
      <c r="B9" s="8">
        <f>COUNTIF('detail - working'!C6:C155,A9)</f>
        <v/>
      </c>
      <c r="C9" s="9">
        <f>SUMIF('detail - working'!C6:C155,A9,'detail - working'!F6:F155)</f>
        <v/>
      </c>
      <c r="D9" s="9">
        <f>SUMIF('detail - working'!C6:C155,A9,'detail - working'!G6:G155)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Equipment Rental</t>
        </is>
      </c>
      <c r="B10" s="8">
        <f>COUNTIF('detail - working'!C6:C155,A10)</f>
        <v/>
      </c>
      <c r="C10" s="9">
        <f>SUMIF('detail - working'!C6:C155,A10,'detail - working'!F6:F155)</f>
        <v/>
      </c>
      <c r="D10" s="9">
        <f>SUMIF('detail - working'!C6:C155,A10,'detail - working'!G6:G155)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AP cutoff + accrual list_7.1 OL.xlsx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working'!H6:H155)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working'!F6:F155)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working'!G6:G155)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1099, sales/use-tax and filing tracker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working'!H6:H155)-SUM('detail - working'!F6:F155)-SUM('detail - working'!G6:G155)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150</v>
      </c>
      <c r="C7" s="8">
        <f>COUNTA('detail - working'!A6:A155)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150</v>
      </c>
      <c r="C8" s="8">
        <f>COUNTA('detail - working'!J6:J155)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working'!G6:G155)-COUNTBLANK('detail - working'!A6:A155)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2026-07-28T10:45:31Z</dcterms:modified>
  <cp:lastModifiedBy>Unknown</cp:lastModifiedBy>
</cp:coreProperties>
</file>