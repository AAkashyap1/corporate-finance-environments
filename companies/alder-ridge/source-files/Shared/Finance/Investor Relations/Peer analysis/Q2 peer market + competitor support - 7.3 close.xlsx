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Capital Markets" sheetId="2" state="visible" r:id="rId2"/>
    <sheet xmlns:r="http://schemas.openxmlformats.org/officeDocument/2006/relationships" name="Market and Competitors" sheetId="3" state="visible" r:id="rId3"/>
    <sheet xmlns:r="http://schemas.openxmlformats.org/officeDocument/2006/relationships" name="Data Checks" sheetId="4" state="visible" r:id="rId4"/>
  </sheets>
  <definedNames>
    <definedName name="_xlnm._FilterDatabase" localSheetId="1" hidden="1">'Capital Markets'!$A$4:$M$26</definedName>
    <definedName name="_xlnm._FilterDatabase" localSheetId="2" hidden="1">'Market and Competitors'!$A$4:$M$34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8">
    <font>
      <name val="Carlito"/>
      <sz val="11"/>
    </font>
    <font>
      <name val="Aptos"/>
      <b val="1"/>
      <color rgb="FF252321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6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E2EFE6"/>
      </patternFill>
    </fill>
    <fill>
      <patternFill patternType="solid">
        <fgColor rgb="FF2A4337"/>
      </patternFill>
    </fill>
    <fill>
      <patternFill patternType="solid">
        <fgColor rgb="FF5A7669"/>
      </patternFill>
    </fill>
  </fills>
  <borders count="9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164" fontId="6" fillId="0" borderId="4" applyAlignment="1" pivotButton="0" quotePrefix="0" xfId="0">
      <alignment vertical="center"/>
    </xf>
    <xf numFmtId="164" fontId="6" fillId="0" borderId="5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5" fontId="6" fillId="0" borderId="4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7" fillId="0" borderId="0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3" borderId="7" pivotButton="0" quotePrefix="0" xfId="0"/>
    <xf numFmtId="0" fontId="7" fillId="3" borderId="8" pivotButton="0" quotePrefix="0" xfId="0"/>
    <xf numFmtId="164" fontId="6" fillId="0" borderId="4" applyAlignment="1" pivotButton="0" quotePrefix="0" xfId="0">
      <alignment vertical="center"/>
    </xf>
    <xf numFmtId="165" fontId="6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Current controller-reviewed version</t>
        </is>
      </c>
    </row>
    <row r="8">
      <c r="A8" s="2" t="inlineStr">
        <is>
          <t>Workbook status</t>
        </is>
      </c>
      <c r="B8" s="5" t="inlineStr">
        <is>
          <t>CURRENT • CONTROLLER REVIEW COMPLETE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Current management assumptions; posted actuals must be reconciled to Vista ERP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markets and competitor analysis | Capital Markets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MKT-00029</t>
        </is>
      </c>
      <c r="B5" s="27" t="inlineStr">
        <is>
          <t>Corporate weighted-average cost of capital</t>
        </is>
      </c>
      <c r="C5" s="27" t="inlineStr">
        <is>
          <t>WACC policy</t>
        </is>
      </c>
      <c r="D5" s="27" t="inlineStr">
        <is>
          <t>Alder Ridge</t>
        </is>
      </c>
      <c r="E5" s="27" t="inlineStr">
        <is>
          <t>2026-07-01</t>
        </is>
      </c>
      <c r="F5" s="27" t="inlineStr">
        <is>
          <t>Approved case</t>
        </is>
      </c>
      <c r="G5" s="27" t="inlineStr">
        <is>
          <t>Risk-free rate</t>
        </is>
      </c>
      <c r="H5" s="44" t="n">
        <v>0.043</v>
      </c>
      <c r="I5" s="27" t="inlineStr"/>
      <c r="J5" s="27" t="inlineStr">
        <is>
          <t>decimal ratio</t>
        </is>
      </c>
      <c r="K5" s="27" t="inlineStr">
        <is>
          <t>Finance operating schedule</t>
        </is>
      </c>
      <c r="L5" s="45" t="inlineStr">
        <is>
          <t>2026-06-30</t>
        </is>
      </c>
      <c r="M5" s="27" t="inlineStr"/>
    </row>
    <row r="6">
      <c r="A6" s="36" t="inlineStr">
        <is>
          <t>MKT-00030</t>
        </is>
      </c>
      <c r="B6" s="27" t="inlineStr">
        <is>
          <t>Corporate weighted-average cost of capital</t>
        </is>
      </c>
      <c r="C6" s="27" t="inlineStr">
        <is>
          <t>WACC policy</t>
        </is>
      </c>
      <c r="D6" s="27" t="inlineStr">
        <is>
          <t>Alder Ridge</t>
        </is>
      </c>
      <c r="E6" s="27" t="inlineStr">
        <is>
          <t>2026-07-01</t>
        </is>
      </c>
      <c r="F6" s="27" t="inlineStr">
        <is>
          <t>Approved case</t>
        </is>
      </c>
      <c r="G6" s="27" t="inlineStr">
        <is>
          <t>Equity risk premium</t>
        </is>
      </c>
      <c r="H6" s="44" t="n">
        <v>0.055</v>
      </c>
      <c r="I6" s="27" t="inlineStr"/>
      <c r="J6" s="27" t="inlineStr">
        <is>
          <t>decimal ratio</t>
        </is>
      </c>
      <c r="K6" s="27" t="inlineStr">
        <is>
          <t>Finance operating schedule</t>
        </is>
      </c>
      <c r="L6" s="45" t="inlineStr">
        <is>
          <t>2026-06-30</t>
        </is>
      </c>
      <c r="M6" s="27" t="inlineStr"/>
    </row>
    <row r="7">
      <c r="A7" s="36" t="inlineStr">
        <is>
          <t>MKT-00031</t>
        </is>
      </c>
      <c r="B7" s="27" t="inlineStr">
        <is>
          <t>Corporate weighted-average cost of capital</t>
        </is>
      </c>
      <c r="C7" s="27" t="inlineStr">
        <is>
          <t>WACC policy</t>
        </is>
      </c>
      <c r="D7" s="27" t="inlineStr">
        <is>
          <t>Alder Ridge</t>
        </is>
      </c>
      <c r="E7" s="27" t="inlineStr">
        <is>
          <t>2026-07-01</t>
        </is>
      </c>
      <c r="F7" s="27" t="inlineStr">
        <is>
          <t>Approved case</t>
        </is>
      </c>
      <c r="G7" s="27" t="inlineStr">
        <is>
          <t>Size premium</t>
        </is>
      </c>
      <c r="H7" s="44" t="n">
        <v>0.012</v>
      </c>
      <c r="I7" s="27" t="inlineStr"/>
      <c r="J7" s="27" t="inlineStr">
        <is>
          <t>decimal ratio</t>
        </is>
      </c>
      <c r="K7" s="27" t="inlineStr">
        <is>
          <t>Finance operating schedule</t>
        </is>
      </c>
      <c r="L7" s="45" t="inlineStr">
        <is>
          <t>2026-06-30</t>
        </is>
      </c>
      <c r="M7" s="27" t="inlineStr"/>
    </row>
    <row r="8">
      <c r="A8" s="36" t="inlineStr">
        <is>
          <t>MKT-00032</t>
        </is>
      </c>
      <c r="B8" s="27" t="inlineStr">
        <is>
          <t>Corporate weighted-average cost of capital</t>
        </is>
      </c>
      <c r="C8" s="27" t="inlineStr">
        <is>
          <t>WACC policy</t>
        </is>
      </c>
      <c r="D8" s="27" t="inlineStr">
        <is>
          <t>Alder Ridge</t>
        </is>
      </c>
      <c r="E8" s="27" t="inlineStr">
        <is>
          <t>2026-07-01</t>
        </is>
      </c>
      <c r="F8" s="27" t="inlineStr">
        <is>
          <t>Approved case</t>
        </is>
      </c>
      <c r="G8" s="27" t="inlineStr">
        <is>
          <t>Target debt to equity</t>
        </is>
      </c>
      <c r="H8" s="44" t="n">
        <v>0.32</v>
      </c>
      <c r="I8" s="27" t="inlineStr"/>
      <c r="J8" s="27" t="inlineStr">
        <is>
          <t>decimal ratio</t>
        </is>
      </c>
      <c r="K8" s="27" t="inlineStr">
        <is>
          <t>Finance operating schedule</t>
        </is>
      </c>
      <c r="L8" s="45" t="inlineStr">
        <is>
          <t>2026-06-30</t>
        </is>
      </c>
      <c r="M8" s="27" t="inlineStr"/>
    </row>
    <row r="9">
      <c r="A9" s="36" t="inlineStr">
        <is>
          <t>MKT-00033</t>
        </is>
      </c>
      <c r="B9" s="27" t="inlineStr">
        <is>
          <t>Corporate weighted-average cost of capital</t>
        </is>
      </c>
      <c r="C9" s="27" t="inlineStr">
        <is>
          <t>WACC policy</t>
        </is>
      </c>
      <c r="D9" s="27" t="inlineStr">
        <is>
          <t>Alder Ridge</t>
        </is>
      </c>
      <c r="E9" s="27" t="inlineStr">
        <is>
          <t>2026-07-01</t>
        </is>
      </c>
      <c r="F9" s="27" t="inlineStr">
        <is>
          <t>Approved case</t>
        </is>
      </c>
      <c r="G9" s="27" t="inlineStr">
        <is>
          <t>Target tax rate</t>
        </is>
      </c>
      <c r="H9" s="44" t="n">
        <v>0.26</v>
      </c>
      <c r="I9" s="27" t="inlineStr"/>
      <c r="J9" s="27" t="inlineStr">
        <is>
          <t>decimal ratio</t>
        </is>
      </c>
      <c r="K9" s="27" t="inlineStr">
        <is>
          <t>Finance operating schedule</t>
        </is>
      </c>
      <c r="L9" s="45" t="inlineStr">
        <is>
          <t>2026-06-30</t>
        </is>
      </c>
      <c r="M9" s="27" t="inlineStr"/>
    </row>
    <row r="10">
      <c r="A10" s="36" t="inlineStr">
        <is>
          <t>MKT-00034</t>
        </is>
      </c>
      <c r="B10" s="27" t="inlineStr">
        <is>
          <t>Corporate weighted-average cost of capital</t>
        </is>
      </c>
      <c r="C10" s="27" t="inlineStr">
        <is>
          <t>WACC policy</t>
        </is>
      </c>
      <c r="D10" s="27" t="inlineStr">
        <is>
          <t>Alder Ridge</t>
        </is>
      </c>
      <c r="E10" s="27" t="inlineStr">
        <is>
          <t>2026-07-01</t>
        </is>
      </c>
      <c r="F10" s="27" t="inlineStr">
        <is>
          <t>Approved case</t>
        </is>
      </c>
      <c r="G10" s="27" t="inlineStr">
        <is>
          <t>Base borrowing rate</t>
        </is>
      </c>
      <c r="H10" s="44" t="n">
        <v>0.068</v>
      </c>
      <c r="I10" s="27" t="inlineStr"/>
      <c r="J10" s="27" t="inlineStr">
        <is>
          <t>decimal ratio</t>
        </is>
      </c>
      <c r="K10" s="27" t="inlineStr">
        <is>
          <t>Finance operating schedule</t>
        </is>
      </c>
      <c r="L10" s="45" t="inlineStr">
        <is>
          <t>2026-06-30</t>
        </is>
      </c>
      <c r="M10" s="27" t="inlineStr"/>
    </row>
    <row r="11">
      <c r="A11" s="36" t="inlineStr">
        <is>
          <t>MKT-00035</t>
        </is>
      </c>
      <c r="B11" s="27" t="inlineStr">
        <is>
          <t>Corporate weighted-average cost of capital</t>
        </is>
      </c>
      <c r="C11" s="27" t="inlineStr">
        <is>
          <t>WACC policy</t>
        </is>
      </c>
      <c r="D11" s="27" t="inlineStr">
        <is>
          <t>Alder Ridge</t>
        </is>
      </c>
      <c r="E11" s="27" t="inlineStr">
        <is>
          <t>2026-07-01</t>
        </is>
      </c>
      <c r="F11" s="27" t="inlineStr">
        <is>
          <t>Approved case</t>
        </is>
      </c>
      <c r="G11" s="27" t="inlineStr">
        <is>
          <t>Target debt weight</t>
        </is>
      </c>
      <c r="H11" s="44" t="n">
        <v>0.24</v>
      </c>
      <c r="I11" s="27" t="inlineStr"/>
      <c r="J11" s="27" t="inlineStr">
        <is>
          <t>decimal ratio</t>
        </is>
      </c>
      <c r="K11" s="27" t="inlineStr">
        <is>
          <t>Finance operating schedule</t>
        </is>
      </c>
      <c r="L11" s="45" t="inlineStr">
        <is>
          <t>2026-06-30</t>
        </is>
      </c>
      <c r="M11" s="27" t="inlineStr"/>
    </row>
    <row r="12">
      <c r="A12" s="36" t="inlineStr">
        <is>
          <t>MKT-00036</t>
        </is>
      </c>
      <c r="B12" s="27" t="inlineStr">
        <is>
          <t>Corporate weighted-average cost of capital</t>
        </is>
      </c>
      <c r="C12" s="27" t="inlineStr">
        <is>
          <t>WACC policy</t>
        </is>
      </c>
      <c r="D12" s="27" t="inlineStr">
        <is>
          <t>Alder Ridge</t>
        </is>
      </c>
      <c r="E12" s="27" t="inlineStr">
        <is>
          <t>2026-07-01</t>
        </is>
      </c>
      <c r="F12" s="27" t="inlineStr">
        <is>
          <t>Approved case</t>
        </is>
      </c>
      <c r="G12" s="27" t="inlineStr">
        <is>
          <t>Project risk premium</t>
        </is>
      </c>
      <c r="H12" s="44" t="n">
        <v>0.02</v>
      </c>
      <c r="I12" s="27" t="inlineStr"/>
      <c r="J12" s="27" t="inlineStr">
        <is>
          <t>decimal ratio</t>
        </is>
      </c>
      <c r="K12" s="27" t="inlineStr">
        <is>
          <t>Finance operating schedule</t>
        </is>
      </c>
      <c r="L12" s="45" t="inlineStr">
        <is>
          <t>2026-06-30</t>
        </is>
      </c>
      <c r="M12" s="27" t="inlineStr"/>
    </row>
    <row r="13">
      <c r="A13" s="36" t="inlineStr">
        <is>
          <t>MKT-00068</t>
        </is>
      </c>
      <c r="B13" s="27" t="inlineStr">
        <is>
          <t>Public-company trading-comparables valuation</t>
        </is>
      </c>
      <c r="C13" s="27" t="inlineStr">
        <is>
          <t>Target metrics</t>
        </is>
      </c>
      <c r="D13" s="27" t="inlineStr">
        <is>
          <t>Target</t>
        </is>
      </c>
      <c r="E13" s="27" t="inlineStr">
        <is>
          <t>LTM 2026-06-30</t>
        </is>
      </c>
      <c r="F13" s="27" t="inlineStr">
        <is>
          <t>Approved case</t>
        </is>
      </c>
      <c r="G13" s="27" t="inlineStr">
        <is>
          <t>Target LTM adjusted EBITDA</t>
        </is>
      </c>
      <c r="H13" s="44" t="n">
        <v>5600000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5" t="inlineStr">
        <is>
          <t>2026-06-30</t>
        </is>
      </c>
      <c r="M13" s="27" t="inlineStr"/>
    </row>
    <row r="14">
      <c r="A14" s="36" t="inlineStr">
        <is>
          <t>MKT-00069</t>
        </is>
      </c>
      <c r="B14" s="27" t="inlineStr">
        <is>
          <t>Public-company trading-comparables valuation</t>
        </is>
      </c>
      <c r="C14" s="27" t="inlineStr">
        <is>
          <t>Target metrics</t>
        </is>
      </c>
      <c r="D14" s="27" t="inlineStr">
        <is>
          <t>Target</t>
        </is>
      </c>
      <c r="E14" s="27" t="inlineStr">
        <is>
          <t>LTM 2026-06-30</t>
        </is>
      </c>
      <c r="F14" s="27" t="inlineStr">
        <is>
          <t>Approved case</t>
        </is>
      </c>
      <c r="G14" s="27" t="inlineStr">
        <is>
          <t>Target LTM revenue</t>
        </is>
      </c>
      <c r="H14" s="44" t="n">
        <v>35400000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5" t="inlineStr">
        <is>
          <t>2026-06-30</t>
        </is>
      </c>
      <c r="M14" s="27" t="inlineStr"/>
    </row>
    <row r="15">
      <c r="A15" s="36" t="inlineStr">
        <is>
          <t>MKT-00070</t>
        </is>
      </c>
      <c r="B15" s="27" t="inlineStr">
        <is>
          <t>Public-company trading-comparables valuation</t>
        </is>
      </c>
      <c r="C15" s="27" t="inlineStr">
        <is>
          <t>Target metrics</t>
        </is>
      </c>
      <c r="D15" s="27" t="inlineStr">
        <is>
          <t>Target</t>
        </is>
      </c>
      <c r="E15" s="27" t="inlineStr">
        <is>
          <t>LTM 2026-06-30</t>
        </is>
      </c>
      <c r="F15" s="27" t="inlineStr">
        <is>
          <t>Approved case</t>
        </is>
      </c>
      <c r="G15" s="27" t="inlineStr">
        <is>
          <t>EBITDA valuation weight</t>
        </is>
      </c>
      <c r="H15" s="44" t="n">
        <v>0.7</v>
      </c>
      <c r="I15" s="27" t="inlineStr"/>
      <c r="J15" s="27" t="inlineStr">
        <is>
          <t>decimal ratio</t>
        </is>
      </c>
      <c r="K15" s="27" t="inlineStr">
        <is>
          <t>Finance operating schedule</t>
        </is>
      </c>
      <c r="L15" s="45" t="inlineStr">
        <is>
          <t>2026-06-30</t>
        </is>
      </c>
      <c r="M15" s="27" t="inlineStr"/>
    </row>
    <row r="16">
      <c r="A16" s="36" t="inlineStr">
        <is>
          <t>MKT-00071</t>
        </is>
      </c>
      <c r="B16" s="27" t="inlineStr">
        <is>
          <t>Public-company trading-comparables valuation</t>
        </is>
      </c>
      <c r="C16" s="27" t="inlineStr">
        <is>
          <t>Target metrics</t>
        </is>
      </c>
      <c r="D16" s="27" t="inlineStr">
        <is>
          <t>Target</t>
        </is>
      </c>
      <c r="E16" s="27" t="inlineStr">
        <is>
          <t>LTM 2026-06-30</t>
        </is>
      </c>
      <c r="F16" s="27" t="inlineStr">
        <is>
          <t>Approved case</t>
        </is>
      </c>
      <c r="G16" s="27" t="inlineStr">
        <is>
          <t>Revenue valuation weight</t>
        </is>
      </c>
      <c r="H16" s="44" t="n">
        <v>0.3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5" t="inlineStr">
        <is>
          <t>2026-06-30</t>
        </is>
      </c>
      <c r="M16" s="27" t="inlineStr"/>
    </row>
    <row r="17">
      <c r="A17" s="36" t="inlineStr">
        <is>
          <t>MKT-00072</t>
        </is>
      </c>
      <c r="B17" s="27" t="inlineStr">
        <is>
          <t>Public-company trading-comparables valuation</t>
        </is>
      </c>
      <c r="C17" s="27" t="inlineStr">
        <is>
          <t>Target metrics</t>
        </is>
      </c>
      <c r="D17" s="27" t="inlineStr">
        <is>
          <t>Target</t>
        </is>
      </c>
      <c r="E17" s="27" t="inlineStr">
        <is>
          <t>LTM 2026-06-30</t>
        </is>
      </c>
      <c r="F17" s="27" t="inlineStr">
        <is>
          <t>Approved case</t>
        </is>
      </c>
      <c r="G17" s="27" t="inlineStr">
        <is>
          <t>Target net debt</t>
        </is>
      </c>
      <c r="H17" s="44" t="n">
        <v>8400000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5" t="inlineStr">
        <is>
          <t>2026-06-30</t>
        </is>
      </c>
      <c r="M17" s="27" t="inlineStr"/>
    </row>
    <row r="18">
      <c r="A18" s="36" t="inlineStr">
        <is>
          <t>MKT-00169</t>
        </is>
      </c>
      <c r="B18" s="27" t="inlineStr">
        <is>
          <t>Peer valuation multiple bridge</t>
        </is>
      </c>
      <c r="C18" s="27" t="inlineStr">
        <is>
          <t>Alder Ridge valuation</t>
        </is>
      </c>
      <c r="D18" s="27" t="inlineStr">
        <is>
          <t>Alder Ridge</t>
        </is>
      </c>
      <c r="E18" s="27" t="inlineStr">
        <is>
          <t>2026-07-01</t>
        </is>
      </c>
      <c r="F18" s="27" t="inlineStr">
        <is>
          <t>Approved case</t>
        </is>
      </c>
      <c r="G18" s="27" t="inlineStr">
        <is>
          <t>Observed EV / EBITDA</t>
        </is>
      </c>
      <c r="H18" s="44" t="n">
        <v>7.8</v>
      </c>
      <c r="I18" s="27" t="inlineStr"/>
      <c r="J18" s="27" t="inlineStr">
        <is>
          <t>multiple</t>
        </is>
      </c>
      <c r="K18" s="27" t="inlineStr">
        <is>
          <t>Finance operating schedule</t>
        </is>
      </c>
      <c r="L18" s="45" t="inlineStr">
        <is>
          <t>2026-06-30</t>
        </is>
      </c>
      <c r="M18" s="27" t="inlineStr"/>
    </row>
    <row r="19">
      <c r="A19" s="36" t="inlineStr">
        <is>
          <t>MKT-00170</t>
        </is>
      </c>
      <c r="B19" s="27" t="inlineStr">
        <is>
          <t>Peer valuation multiple bridge</t>
        </is>
      </c>
      <c r="C19" s="27" t="inlineStr">
        <is>
          <t>Multiple bridge</t>
        </is>
      </c>
      <c r="D19" s="27" t="inlineStr">
        <is>
          <t>Growth</t>
        </is>
      </c>
      <c r="E19" s="27" t="inlineStr">
        <is>
          <t>2026-07-01</t>
        </is>
      </c>
      <c r="F19" s="27" t="inlineStr">
        <is>
          <t>Approved case</t>
        </is>
      </c>
      <c r="G19" s="27" t="inlineStr">
        <is>
          <t>Supported multiple adjustment</t>
        </is>
      </c>
      <c r="H19" s="44" t="n">
        <v>0.35</v>
      </c>
      <c r="I19" s="27" t="inlineStr"/>
      <c r="J19" s="27" t="inlineStr">
        <is>
          <t>multiple</t>
        </is>
      </c>
      <c r="K19" s="27" t="inlineStr">
        <is>
          <t>Finance operating schedule</t>
        </is>
      </c>
      <c r="L19" s="45" t="inlineStr">
        <is>
          <t>2026-06-30</t>
        </is>
      </c>
      <c r="M19" s="27" t="inlineStr"/>
    </row>
    <row r="20">
      <c r="A20" s="36" t="inlineStr">
        <is>
          <t>MKT-00171</t>
        </is>
      </c>
      <c r="B20" s="27" t="inlineStr">
        <is>
          <t>Peer valuation multiple bridge</t>
        </is>
      </c>
      <c r="C20" s="27" t="inlineStr">
        <is>
          <t>Multiple bridge</t>
        </is>
      </c>
      <c r="D20" s="27" t="inlineStr">
        <is>
          <t>Margin</t>
        </is>
      </c>
      <c r="E20" s="27" t="inlineStr">
        <is>
          <t>2026-07-01</t>
        </is>
      </c>
      <c r="F20" s="27" t="inlineStr">
        <is>
          <t>Approved case</t>
        </is>
      </c>
      <c r="G20" s="27" t="inlineStr">
        <is>
          <t>Supported multiple adjustment</t>
        </is>
      </c>
      <c r="H20" s="44" t="n">
        <v>-0.25</v>
      </c>
      <c r="I20" s="27" t="inlineStr"/>
      <c r="J20" s="27" t="inlineStr">
        <is>
          <t>multiple</t>
        </is>
      </c>
      <c r="K20" s="27" t="inlineStr">
        <is>
          <t>Finance operating schedule</t>
        </is>
      </c>
      <c r="L20" s="45" t="inlineStr">
        <is>
          <t>2026-06-30</t>
        </is>
      </c>
      <c r="M20" s="27" t="inlineStr"/>
    </row>
    <row r="21">
      <c r="A21" s="36" t="inlineStr">
        <is>
          <t>MKT-00172</t>
        </is>
      </c>
      <c r="B21" s="27" t="inlineStr">
        <is>
          <t>Peer valuation multiple bridge</t>
        </is>
      </c>
      <c r="C21" s="27" t="inlineStr">
        <is>
          <t>Multiple bridge</t>
        </is>
      </c>
      <c r="D21" s="27" t="inlineStr">
        <is>
          <t>Recurring revenue</t>
        </is>
      </c>
      <c r="E21" s="27" t="inlineStr">
        <is>
          <t>2026-07-01</t>
        </is>
      </c>
      <c r="F21" s="27" t="inlineStr">
        <is>
          <t>Approved case</t>
        </is>
      </c>
      <c r="G21" s="27" t="inlineStr">
        <is>
          <t>Supported multiple adjustment</t>
        </is>
      </c>
      <c r="H21" s="44" t="n">
        <v>0.45</v>
      </c>
      <c r="I21" s="27" t="inlineStr"/>
      <c r="J21" s="27" t="inlineStr">
        <is>
          <t>multiple</t>
        </is>
      </c>
      <c r="K21" s="27" t="inlineStr">
        <is>
          <t>Finance operating schedule</t>
        </is>
      </c>
      <c r="L21" s="45" t="inlineStr">
        <is>
          <t>2026-06-30</t>
        </is>
      </c>
      <c r="M21" s="27" t="inlineStr"/>
    </row>
    <row r="22">
      <c r="A22" s="36" t="inlineStr">
        <is>
          <t>MKT-00173</t>
        </is>
      </c>
      <c r="B22" s="27" t="inlineStr">
        <is>
          <t>Peer valuation multiple bridge</t>
        </is>
      </c>
      <c r="C22" s="27" t="inlineStr">
        <is>
          <t>Multiple bridge</t>
        </is>
      </c>
      <c r="D22" s="27" t="inlineStr">
        <is>
          <t>Leverage</t>
        </is>
      </c>
      <c r="E22" s="27" t="inlineStr">
        <is>
          <t>2026-07-01</t>
        </is>
      </c>
      <c r="F22" s="27" t="inlineStr">
        <is>
          <t>Approved case</t>
        </is>
      </c>
      <c r="G22" s="27" t="inlineStr">
        <is>
          <t>Supported multiple adjustment</t>
        </is>
      </c>
      <c r="H22" s="44" t="n">
        <v>-0.2</v>
      </c>
      <c r="I22" s="27" t="inlineStr"/>
      <c r="J22" s="27" t="inlineStr">
        <is>
          <t>multiple</t>
        </is>
      </c>
      <c r="K22" s="27" t="inlineStr">
        <is>
          <t>Finance operating schedule</t>
        </is>
      </c>
      <c r="L22" s="45" t="inlineStr">
        <is>
          <t>2026-06-30</t>
        </is>
      </c>
      <c r="M22" s="27" t="inlineStr"/>
    </row>
    <row r="23">
      <c r="A23" s="36" t="inlineStr">
        <is>
          <t>MKT-00174</t>
        </is>
      </c>
      <c r="B23" s="27" t="inlineStr">
        <is>
          <t>Peer valuation multiple bridge</t>
        </is>
      </c>
      <c r="C23" s="27" t="inlineStr">
        <is>
          <t>Multiple bridge</t>
        </is>
      </c>
      <c r="D23" s="27" t="inlineStr">
        <is>
          <t>Size</t>
        </is>
      </c>
      <c r="E23" s="27" t="inlineStr">
        <is>
          <t>2026-07-01</t>
        </is>
      </c>
      <c r="F23" s="27" t="inlineStr">
        <is>
          <t>Approved case</t>
        </is>
      </c>
      <c r="G23" s="27" t="inlineStr">
        <is>
          <t>Supported multiple adjustment</t>
        </is>
      </c>
      <c r="H23" s="44" t="n">
        <v>-0.55</v>
      </c>
      <c r="I23" s="27" t="inlineStr"/>
      <c r="J23" s="27" t="inlineStr">
        <is>
          <t>multiple</t>
        </is>
      </c>
      <c r="K23" s="27" t="inlineStr">
        <is>
          <t>Finance operating schedule</t>
        </is>
      </c>
      <c r="L23" s="45" t="inlineStr">
        <is>
          <t>2026-06-30</t>
        </is>
      </c>
      <c r="M23" s="27" t="inlineStr"/>
    </row>
    <row r="24">
      <c r="A24" s="36" t="inlineStr">
        <is>
          <t>MKT-00175</t>
        </is>
      </c>
      <c r="B24" s="27" t="inlineStr">
        <is>
          <t>Peer valuation multiple bridge</t>
        </is>
      </c>
      <c r="C24" s="27" t="inlineStr">
        <is>
          <t>Alder Ridge valuation</t>
        </is>
      </c>
      <c r="D24" s="27" t="inlineStr">
        <is>
          <t>Alder Ridge</t>
        </is>
      </c>
      <c r="E24" s="27" t="inlineStr">
        <is>
          <t>LTM 2026-06-30</t>
        </is>
      </c>
      <c r="F24" s="27" t="inlineStr">
        <is>
          <t>Approved case</t>
        </is>
      </c>
      <c r="G24" s="27" t="inlineStr">
        <is>
          <t>Adjusted EBITDA</t>
        </is>
      </c>
      <c r="H24" s="44" t="n">
        <v>1</v>
      </c>
      <c r="I24" s="27" t="inlineStr"/>
      <c r="J24" s="27" t="inlineStr">
        <is>
          <t>ledger allocation factor</t>
        </is>
      </c>
      <c r="K24" s="27" t="inlineStr">
        <is>
          <t>Finance operating schedule</t>
        </is>
      </c>
      <c r="L24" s="45" t="inlineStr">
        <is>
          <t>2026-06-30</t>
        </is>
      </c>
      <c r="M24" s="27" t="inlineStr">
        <is>
          <t>Vista ERP P&amp;L plus general-ledger account 6700; Revenue less Cost of Revenue and Operating Expense plus Depreciation</t>
        </is>
      </c>
    </row>
    <row r="25">
      <c r="A25" s="36" t="inlineStr">
        <is>
          <t>MKT-00176</t>
        </is>
      </c>
      <c r="B25" s="27" t="inlineStr">
        <is>
          <t>Peer valuation multiple bridge</t>
        </is>
      </c>
      <c r="C25" s="27" t="inlineStr">
        <is>
          <t>Alder Ridge valuation</t>
        </is>
      </c>
      <c r="D25" s="27" t="inlineStr">
        <is>
          <t>Alder Ridge</t>
        </is>
      </c>
      <c r="E25" s="27" t="inlineStr">
        <is>
          <t>2026-06-30</t>
        </is>
      </c>
      <c r="F25" s="27" t="inlineStr">
        <is>
          <t>Approved case</t>
        </is>
      </c>
      <c r="G25" s="27" t="inlineStr">
        <is>
          <t>Net debt</t>
        </is>
      </c>
      <c r="H25" s="44" t="n">
        <v>22000000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5" t="inlineStr">
        <is>
          <t>2026-06-30</t>
        </is>
      </c>
      <c r="M25" s="27" t="inlineStr"/>
    </row>
    <row r="26">
      <c r="A26" s="36" t="inlineStr">
        <is>
          <t>MKT-00177</t>
        </is>
      </c>
      <c r="B26" s="27" t="inlineStr">
        <is>
          <t>Peer valuation multiple bridge</t>
        </is>
      </c>
      <c r="C26" s="27" t="inlineStr">
        <is>
          <t>Alder Ridge valuation</t>
        </is>
      </c>
      <c r="D26" s="27" t="inlineStr">
        <is>
          <t>Alder Ridge</t>
        </is>
      </c>
      <c r="E26" s="27" t="inlineStr">
        <is>
          <t>2026-06-30</t>
        </is>
      </c>
      <c r="F26" s="27" t="inlineStr">
        <is>
          <t>Approved case</t>
        </is>
      </c>
      <c r="G26" s="27" t="inlineStr">
        <is>
          <t>Diluted shares</t>
        </is>
      </c>
      <c r="H26" s="44" t="n">
        <v>5000000</v>
      </c>
      <c r="I26" s="27" t="inlineStr"/>
      <c r="J26" s="27" t="inlineStr">
        <is>
          <t>count</t>
        </is>
      </c>
      <c r="K26" s="27" t="inlineStr">
        <is>
          <t>Finance operating schedule</t>
        </is>
      </c>
      <c r="L26" s="45" t="inlineStr">
        <is>
          <t>2026-06-30</t>
        </is>
      </c>
      <c r="M26" s="27" t="inlineStr"/>
    </row>
  </sheetData>
  <autoFilter ref="A4:M26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markets and competitor analysis | Market and Competitors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MKT-00113</t>
        </is>
      </c>
      <c r="B5" s="27" t="inlineStr">
        <is>
          <t>Competitor operating benchmark</t>
        </is>
      </c>
      <c r="C5" s="27" t="inlineStr">
        <is>
          <t>Alder Ridge benchmark</t>
        </is>
      </c>
      <c r="D5" s="27" t="inlineStr">
        <is>
          <t>Alder Ridge</t>
        </is>
      </c>
      <c r="E5" s="27" t="inlineStr">
        <is>
          <t>LTM 2026-06-30</t>
        </is>
      </c>
      <c r="F5" s="27" t="inlineStr">
        <is>
          <t>Approved case</t>
        </is>
      </c>
      <c r="G5" s="27" t="inlineStr">
        <is>
          <t>Organic growth</t>
        </is>
      </c>
      <c r="H5" s="44" t="n">
        <v>0.082</v>
      </c>
      <c r="I5" s="27" t="inlineStr"/>
      <c r="J5" s="27" t="inlineStr">
        <is>
          <t>decimal ratio</t>
        </is>
      </c>
      <c r="K5" s="27" t="inlineStr">
        <is>
          <t>Finance operating schedule</t>
        </is>
      </c>
      <c r="L5" s="45" t="inlineStr">
        <is>
          <t>2026-06-30</t>
        </is>
      </c>
      <c r="M5" s="27" t="inlineStr"/>
    </row>
    <row r="6">
      <c r="A6" s="36" t="inlineStr">
        <is>
          <t>MKT-00114</t>
        </is>
      </c>
      <c r="B6" s="27" t="inlineStr">
        <is>
          <t>Competitor operating benchmark</t>
        </is>
      </c>
      <c r="C6" s="27" t="inlineStr">
        <is>
          <t>Alder Ridge benchmark</t>
        </is>
      </c>
      <c r="D6" s="27" t="inlineStr">
        <is>
          <t>Alder Ridge</t>
        </is>
      </c>
      <c r="E6" s="27" t="inlineStr">
        <is>
          <t>LTM 2026-06-30</t>
        </is>
      </c>
      <c r="F6" s="27" t="inlineStr">
        <is>
          <t>Approved case</t>
        </is>
      </c>
      <c r="G6" s="27" t="inlineStr">
        <is>
          <t>Gross margin</t>
        </is>
      </c>
      <c r="H6" s="44" t="n">
        <v>0.271</v>
      </c>
      <c r="I6" s="27" t="inlineStr"/>
      <c r="J6" s="27" t="inlineStr">
        <is>
          <t>decimal ratio</t>
        </is>
      </c>
      <c r="K6" s="27" t="inlineStr">
        <is>
          <t>Finance operating schedule</t>
        </is>
      </c>
      <c r="L6" s="45" t="inlineStr">
        <is>
          <t>2026-06-30</t>
        </is>
      </c>
      <c r="M6" s="27" t="inlineStr"/>
    </row>
    <row r="7">
      <c r="A7" s="36" t="inlineStr">
        <is>
          <t>MKT-00115</t>
        </is>
      </c>
      <c r="B7" s="27" t="inlineStr">
        <is>
          <t>Competitor operating benchmark</t>
        </is>
      </c>
      <c r="C7" s="27" t="inlineStr">
        <is>
          <t>Alder Ridge benchmark</t>
        </is>
      </c>
      <c r="D7" s="27" t="inlineStr">
        <is>
          <t>Alder Ridge</t>
        </is>
      </c>
      <c r="E7" s="27" t="inlineStr">
        <is>
          <t>LTM 2026-06-30</t>
        </is>
      </c>
      <c r="F7" s="27" t="inlineStr">
        <is>
          <t>Approved case</t>
        </is>
      </c>
      <c r="G7" s="27" t="inlineStr">
        <is>
          <t>Adjusted EBITDA margin</t>
        </is>
      </c>
      <c r="H7" s="44" t="n">
        <v>0.121</v>
      </c>
      <c r="I7" s="27" t="inlineStr"/>
      <c r="J7" s="27" t="inlineStr">
        <is>
          <t>decimal ratio</t>
        </is>
      </c>
      <c r="K7" s="27" t="inlineStr">
        <is>
          <t>Finance operating schedule</t>
        </is>
      </c>
      <c r="L7" s="45" t="inlineStr">
        <is>
          <t>2026-06-30</t>
        </is>
      </c>
      <c r="M7" s="27" t="inlineStr"/>
    </row>
    <row r="8">
      <c r="A8" s="36" t="inlineStr">
        <is>
          <t>MKT-00116</t>
        </is>
      </c>
      <c r="B8" s="27" t="inlineStr">
        <is>
          <t>Competitor operating benchmark</t>
        </is>
      </c>
      <c r="C8" s="27" t="inlineStr">
        <is>
          <t>Alder Ridge benchmark</t>
        </is>
      </c>
      <c r="D8" s="27" t="inlineStr">
        <is>
          <t>Alder Ridge</t>
        </is>
      </c>
      <c r="E8" s="27" t="inlineStr">
        <is>
          <t>LTM 2026-06-30</t>
        </is>
      </c>
      <c r="F8" s="27" t="inlineStr">
        <is>
          <t>Approved case</t>
        </is>
      </c>
      <c r="G8" s="27" t="inlineStr">
        <is>
          <t>Capex intensity</t>
        </is>
      </c>
      <c r="H8" s="44" t="n">
        <v>0.027</v>
      </c>
      <c r="I8" s="27" t="inlineStr"/>
      <c r="J8" s="27" t="inlineStr">
        <is>
          <t>decimal ratio</t>
        </is>
      </c>
      <c r="K8" s="27" t="inlineStr">
        <is>
          <t>Finance operating schedule</t>
        </is>
      </c>
      <c r="L8" s="45" t="inlineStr">
        <is>
          <t>2026-06-30</t>
        </is>
      </c>
      <c r="M8" s="27" t="inlineStr"/>
    </row>
    <row r="9">
      <c r="A9" s="36" t="inlineStr">
        <is>
          <t>MKT-00117</t>
        </is>
      </c>
      <c r="B9" s="27" t="inlineStr">
        <is>
          <t>Competitor operating benchmark</t>
        </is>
      </c>
      <c r="C9" s="27" t="inlineStr">
        <is>
          <t>Alder Ridge benchmark</t>
        </is>
      </c>
      <c r="D9" s="27" t="inlineStr">
        <is>
          <t>Alder Ridge</t>
        </is>
      </c>
      <c r="E9" s="27" t="inlineStr">
        <is>
          <t>LTM 2026-06-30</t>
        </is>
      </c>
      <c r="F9" s="27" t="inlineStr">
        <is>
          <t>Approved case</t>
        </is>
      </c>
      <c r="G9" s="27" t="inlineStr">
        <is>
          <t>Cash conversion</t>
        </is>
      </c>
      <c r="H9" s="44" t="n">
        <v>0.79</v>
      </c>
      <c r="I9" s="27" t="inlineStr"/>
      <c r="J9" s="27" t="inlineStr">
        <is>
          <t>decimal ratio</t>
        </is>
      </c>
      <c r="K9" s="27" t="inlineStr">
        <is>
          <t>Finance operating schedule</t>
        </is>
      </c>
      <c r="L9" s="45" t="inlineStr">
        <is>
          <t>2026-06-30</t>
        </is>
      </c>
      <c r="M9" s="27" t="inlineStr"/>
    </row>
    <row r="10">
      <c r="A10" s="36" t="inlineStr">
        <is>
          <t>MKT-00118</t>
        </is>
      </c>
      <c r="B10" s="27" t="inlineStr">
        <is>
          <t>Competitor operating benchmark</t>
        </is>
      </c>
      <c r="C10" s="27" t="inlineStr">
        <is>
          <t>Alder Ridge benchmark</t>
        </is>
      </c>
      <c r="D10" s="27" t="inlineStr">
        <is>
          <t>Alder Ridge</t>
        </is>
      </c>
      <c r="E10" s="27" t="inlineStr">
        <is>
          <t>LTM 2026-06-30</t>
        </is>
      </c>
      <c r="F10" s="27" t="inlineStr">
        <is>
          <t>Approved case</t>
        </is>
      </c>
      <c r="G10" s="27" t="inlineStr">
        <is>
          <t>Revenue</t>
        </is>
      </c>
      <c r="H10" s="44" t="n">
        <v>1</v>
      </c>
      <c r="I10" s="27" t="inlineStr"/>
      <c r="J10" s="27" t="inlineStr">
        <is>
          <t>ledger allocation factor</t>
        </is>
      </c>
      <c r="K10" s="27" t="inlineStr">
        <is>
          <t>Finance operating schedule</t>
        </is>
      </c>
      <c r="L10" s="45" t="inlineStr">
        <is>
          <t>2026-06-30</t>
        </is>
      </c>
      <c r="M10" s="27" t="inlineStr">
        <is>
          <t>Vista ERP P&amp;L, 2025-07-01 through 2026-06-30; Revenue total</t>
        </is>
      </c>
    </row>
    <row r="11">
      <c r="A11" s="36" t="inlineStr">
        <is>
          <t>MKT-00129</t>
        </is>
      </c>
      <c r="B11" s="27" t="inlineStr">
        <is>
          <t>Commercial service market sizing</t>
        </is>
      </c>
      <c r="C11" s="27" t="inlineStr">
        <is>
          <t>Market segment assumptions</t>
        </is>
      </c>
      <c r="D11" s="27" t="inlineStr">
        <is>
          <t>Healthcare</t>
        </is>
      </c>
      <c r="E11" s="27" t="inlineStr">
        <is>
          <t>Year 3</t>
        </is>
      </c>
      <c r="F11" s="27" t="inlineStr">
        <is>
          <t>Approved case</t>
        </is>
      </c>
      <c r="G11" s="27" t="inlineStr">
        <is>
          <t>Addressable sites</t>
        </is>
      </c>
      <c r="H11" s="44" t="n">
        <v>4800</v>
      </c>
      <c r="I11" s="27" t="inlineStr"/>
      <c r="J11" s="27" t="inlineStr">
        <is>
          <t>count</t>
        </is>
      </c>
      <c r="K11" s="27" t="inlineStr">
        <is>
          <t>Finance operating schedule</t>
        </is>
      </c>
      <c r="L11" s="45" t="inlineStr">
        <is>
          <t>2026-06-30</t>
        </is>
      </c>
      <c r="M11" s="27" t="inlineStr"/>
    </row>
    <row r="12">
      <c r="A12" s="36" t="inlineStr">
        <is>
          <t>MKT-00130</t>
        </is>
      </c>
      <c r="B12" s="27" t="inlineStr">
        <is>
          <t>Commercial service market sizing</t>
        </is>
      </c>
      <c r="C12" s="27" t="inlineStr">
        <is>
          <t>Market segment assumptions</t>
        </is>
      </c>
      <c r="D12" s="27" t="inlineStr">
        <is>
          <t>Healthcare</t>
        </is>
      </c>
      <c r="E12" s="27" t="inlineStr">
        <is>
          <t>Year 3</t>
        </is>
      </c>
      <c r="F12" s="27" t="inlineStr">
        <is>
          <t>Approved case</t>
        </is>
      </c>
      <c r="G12" s="27" t="inlineStr">
        <is>
          <t>Annual mechanical service spend per site</t>
        </is>
      </c>
      <c r="H12" s="44" t="n">
        <v>62000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5" t="inlineStr">
        <is>
          <t>2026-06-30</t>
        </is>
      </c>
      <c r="M12" s="27" t="inlineStr"/>
    </row>
    <row r="13">
      <c r="A13" s="36" t="inlineStr">
        <is>
          <t>MKT-00131</t>
        </is>
      </c>
      <c r="B13" s="27" t="inlineStr">
        <is>
          <t>Commercial service market sizing</t>
        </is>
      </c>
      <c r="C13" s="27" t="inlineStr">
        <is>
          <t>Market segment assumptions</t>
        </is>
      </c>
      <c r="D13" s="27" t="inlineStr">
        <is>
          <t>Healthcare</t>
        </is>
      </c>
      <c r="E13" s="27" t="inlineStr">
        <is>
          <t>Year 3</t>
        </is>
      </c>
      <c r="F13" s="27" t="inlineStr">
        <is>
          <t>Approved case</t>
        </is>
      </c>
      <c r="G13" s="27" t="inlineStr">
        <is>
          <t>Outsourced-service penetration</t>
        </is>
      </c>
      <c r="H13" s="44" t="n">
        <v>0.42</v>
      </c>
      <c r="I13" s="27" t="inlineStr"/>
      <c r="J13" s="27" t="inlineStr">
        <is>
          <t>decimal ratio</t>
        </is>
      </c>
      <c r="K13" s="27" t="inlineStr">
        <is>
          <t>Finance operating schedule</t>
        </is>
      </c>
      <c r="L13" s="45" t="inlineStr">
        <is>
          <t>2026-06-30</t>
        </is>
      </c>
      <c r="M13" s="27" t="inlineStr"/>
    </row>
    <row r="14">
      <c r="A14" s="36" t="inlineStr">
        <is>
          <t>MKT-00132</t>
        </is>
      </c>
      <c r="B14" s="27" t="inlineStr">
        <is>
          <t>Commercial service market sizing</t>
        </is>
      </c>
      <c r="C14" s="27" t="inlineStr">
        <is>
          <t>Market segment assumptions</t>
        </is>
      </c>
      <c r="D14" s="27" t="inlineStr">
        <is>
          <t>Healthcare</t>
        </is>
      </c>
      <c r="E14" s="27" t="inlineStr">
        <is>
          <t>Year 3</t>
        </is>
      </c>
      <c r="F14" s="27" t="inlineStr">
        <is>
          <t>Approved case</t>
        </is>
      </c>
      <c r="G14" s="27" t="inlineStr">
        <is>
          <t>Geographic and capability serviceability</t>
        </is>
      </c>
      <c r="H14" s="44" t="n">
        <v>0.18</v>
      </c>
      <c r="I14" s="27" t="inlineStr"/>
      <c r="J14" s="27" t="inlineStr">
        <is>
          <t>decimal ratio</t>
        </is>
      </c>
      <c r="K14" s="27" t="inlineStr">
        <is>
          <t>Finance operating schedule</t>
        </is>
      </c>
      <c r="L14" s="45" t="inlineStr">
        <is>
          <t>2026-06-30</t>
        </is>
      </c>
      <c r="M14" s="27" t="inlineStr"/>
    </row>
    <row r="15">
      <c r="A15" s="36" t="inlineStr">
        <is>
          <t>MKT-00133</t>
        </is>
      </c>
      <c r="B15" s="27" t="inlineStr">
        <is>
          <t>Commercial service market sizing</t>
        </is>
      </c>
      <c r="C15" s="27" t="inlineStr">
        <is>
          <t>Market segment assumptions</t>
        </is>
      </c>
      <c r="D15" s="27" t="inlineStr">
        <is>
          <t>Healthcare</t>
        </is>
      </c>
      <c r="E15" s="27" t="inlineStr">
        <is>
          <t>Year 3</t>
        </is>
      </c>
      <c r="F15" s="27" t="inlineStr">
        <is>
          <t>Approved case</t>
        </is>
      </c>
      <c r="G15" s="27" t="inlineStr">
        <is>
          <t>Year 3 obtainable share</t>
        </is>
      </c>
      <c r="H15" s="44" t="n">
        <v>0.055</v>
      </c>
      <c r="I15" s="27" t="inlineStr"/>
      <c r="J15" s="27" t="inlineStr">
        <is>
          <t>decimal ratio</t>
        </is>
      </c>
      <c r="K15" s="27" t="inlineStr">
        <is>
          <t>Finance operating schedule</t>
        </is>
      </c>
      <c r="L15" s="45" t="inlineStr">
        <is>
          <t>2026-06-30</t>
        </is>
      </c>
      <c r="M15" s="27" t="inlineStr"/>
    </row>
    <row r="16">
      <c r="A16" s="36" t="inlineStr">
        <is>
          <t>MKT-00134</t>
        </is>
      </c>
      <c r="B16" s="27" t="inlineStr">
        <is>
          <t>Commercial service market sizing</t>
        </is>
      </c>
      <c r="C16" s="27" t="inlineStr">
        <is>
          <t>Market segment assumptions</t>
        </is>
      </c>
      <c r="D16" s="27" t="inlineStr">
        <is>
          <t>Data centers</t>
        </is>
      </c>
      <c r="E16" s="27" t="inlineStr">
        <is>
          <t>Year 3</t>
        </is>
      </c>
      <c r="F16" s="27" t="inlineStr">
        <is>
          <t>Approved case</t>
        </is>
      </c>
      <c r="G16" s="27" t="inlineStr">
        <is>
          <t>Addressable sites</t>
        </is>
      </c>
      <c r="H16" s="44" t="n">
        <v>1150</v>
      </c>
      <c r="I16" s="27" t="inlineStr"/>
      <c r="J16" s="27" t="inlineStr">
        <is>
          <t>count</t>
        </is>
      </c>
      <c r="K16" s="27" t="inlineStr">
        <is>
          <t>Finance operating schedule</t>
        </is>
      </c>
      <c r="L16" s="45" t="inlineStr">
        <is>
          <t>2026-06-30</t>
        </is>
      </c>
      <c r="M16" s="27" t="inlineStr"/>
    </row>
    <row r="17">
      <c r="A17" s="36" t="inlineStr">
        <is>
          <t>MKT-00135</t>
        </is>
      </c>
      <c r="B17" s="27" t="inlineStr">
        <is>
          <t>Commercial service market sizing</t>
        </is>
      </c>
      <c r="C17" s="27" t="inlineStr">
        <is>
          <t>Market segment assumptions</t>
        </is>
      </c>
      <c r="D17" s="27" t="inlineStr">
        <is>
          <t>Data centers</t>
        </is>
      </c>
      <c r="E17" s="27" t="inlineStr">
        <is>
          <t>Year 3</t>
        </is>
      </c>
      <c r="F17" s="27" t="inlineStr">
        <is>
          <t>Approved case</t>
        </is>
      </c>
      <c r="G17" s="27" t="inlineStr">
        <is>
          <t>Annual mechanical service spend per site</t>
        </is>
      </c>
      <c r="H17" s="44" t="n">
        <v>185000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5" t="inlineStr">
        <is>
          <t>2026-06-30</t>
        </is>
      </c>
      <c r="M17" s="27" t="inlineStr"/>
    </row>
    <row r="18">
      <c r="A18" s="36" t="inlineStr">
        <is>
          <t>MKT-00136</t>
        </is>
      </c>
      <c r="B18" s="27" t="inlineStr">
        <is>
          <t>Commercial service market sizing</t>
        </is>
      </c>
      <c r="C18" s="27" t="inlineStr">
        <is>
          <t>Market segment assumptions</t>
        </is>
      </c>
      <c r="D18" s="27" t="inlineStr">
        <is>
          <t>Data centers</t>
        </is>
      </c>
      <c r="E18" s="27" t="inlineStr">
        <is>
          <t>Year 3</t>
        </is>
      </c>
      <c r="F18" s="27" t="inlineStr">
        <is>
          <t>Approved case</t>
        </is>
      </c>
      <c r="G18" s="27" t="inlineStr">
        <is>
          <t>Outsourced-service penetration</t>
        </is>
      </c>
      <c r="H18" s="44" t="n">
        <v>0.58</v>
      </c>
      <c r="I18" s="27" t="inlineStr"/>
      <c r="J18" s="27" t="inlineStr">
        <is>
          <t>decimal ratio</t>
        </is>
      </c>
      <c r="K18" s="27" t="inlineStr">
        <is>
          <t>Finance operating schedule</t>
        </is>
      </c>
      <c r="L18" s="45" t="inlineStr">
        <is>
          <t>2026-06-30</t>
        </is>
      </c>
      <c r="M18" s="27" t="inlineStr"/>
    </row>
    <row r="19">
      <c r="A19" s="36" t="inlineStr">
        <is>
          <t>MKT-00137</t>
        </is>
      </c>
      <c r="B19" s="27" t="inlineStr">
        <is>
          <t>Commercial service market sizing</t>
        </is>
      </c>
      <c r="C19" s="27" t="inlineStr">
        <is>
          <t>Market segment assumptions</t>
        </is>
      </c>
      <c r="D19" s="27" t="inlineStr">
        <is>
          <t>Data centers</t>
        </is>
      </c>
      <c r="E19" s="27" t="inlineStr">
        <is>
          <t>Year 3</t>
        </is>
      </c>
      <c r="F19" s="27" t="inlineStr">
        <is>
          <t>Approved case</t>
        </is>
      </c>
      <c r="G19" s="27" t="inlineStr">
        <is>
          <t>Geographic and capability serviceability</t>
        </is>
      </c>
      <c r="H19" s="44" t="n">
        <v>0.22</v>
      </c>
      <c r="I19" s="27" t="inlineStr"/>
      <c r="J19" s="27" t="inlineStr">
        <is>
          <t>decimal ratio</t>
        </is>
      </c>
      <c r="K19" s="27" t="inlineStr">
        <is>
          <t>Finance operating schedule</t>
        </is>
      </c>
      <c r="L19" s="45" t="inlineStr">
        <is>
          <t>2026-06-30</t>
        </is>
      </c>
      <c r="M19" s="27" t="inlineStr"/>
    </row>
    <row r="20">
      <c r="A20" s="36" t="inlineStr">
        <is>
          <t>MKT-00138</t>
        </is>
      </c>
      <c r="B20" s="27" t="inlineStr">
        <is>
          <t>Commercial service market sizing</t>
        </is>
      </c>
      <c r="C20" s="27" t="inlineStr">
        <is>
          <t>Market segment assumptions</t>
        </is>
      </c>
      <c r="D20" s="27" t="inlineStr">
        <is>
          <t>Data centers</t>
        </is>
      </c>
      <c r="E20" s="27" t="inlineStr">
        <is>
          <t>Year 3</t>
        </is>
      </c>
      <c r="F20" s="27" t="inlineStr">
        <is>
          <t>Approved case</t>
        </is>
      </c>
      <c r="G20" s="27" t="inlineStr">
        <is>
          <t>Year 3 obtainable share</t>
        </is>
      </c>
      <c r="H20" s="44" t="n">
        <v>0.08500000000000001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5" t="inlineStr">
        <is>
          <t>2026-06-30</t>
        </is>
      </c>
      <c r="M20" s="27" t="inlineStr"/>
    </row>
    <row r="21">
      <c r="A21" s="36" t="inlineStr">
        <is>
          <t>MKT-00139</t>
        </is>
      </c>
      <c r="B21" s="27" t="inlineStr">
        <is>
          <t>Commercial service market sizing</t>
        </is>
      </c>
      <c r="C21" s="27" t="inlineStr">
        <is>
          <t>Market segment assumptions</t>
        </is>
      </c>
      <c r="D21" s="27" t="inlineStr">
        <is>
          <t>Education</t>
        </is>
      </c>
      <c r="E21" s="27" t="inlineStr">
        <is>
          <t>Year 3</t>
        </is>
      </c>
      <c r="F21" s="27" t="inlineStr">
        <is>
          <t>Approved case</t>
        </is>
      </c>
      <c r="G21" s="27" t="inlineStr">
        <is>
          <t>Addressable sites</t>
        </is>
      </c>
      <c r="H21" s="44" t="n">
        <v>3400</v>
      </c>
      <c r="I21" s="27" t="inlineStr"/>
      <c r="J21" s="27" t="inlineStr">
        <is>
          <t>count</t>
        </is>
      </c>
      <c r="K21" s="27" t="inlineStr">
        <is>
          <t>Finance operating schedule</t>
        </is>
      </c>
      <c r="L21" s="45" t="inlineStr">
        <is>
          <t>2026-06-30</t>
        </is>
      </c>
      <c r="M21" s="27" t="inlineStr"/>
    </row>
    <row r="22">
      <c r="A22" s="36" t="inlineStr">
        <is>
          <t>MKT-00140</t>
        </is>
      </c>
      <c r="B22" s="27" t="inlineStr">
        <is>
          <t>Commercial service market sizing</t>
        </is>
      </c>
      <c r="C22" s="27" t="inlineStr">
        <is>
          <t>Market segment assumptions</t>
        </is>
      </c>
      <c r="D22" s="27" t="inlineStr">
        <is>
          <t>Education</t>
        </is>
      </c>
      <c r="E22" s="27" t="inlineStr">
        <is>
          <t>Year 3</t>
        </is>
      </c>
      <c r="F22" s="27" t="inlineStr">
        <is>
          <t>Approved case</t>
        </is>
      </c>
      <c r="G22" s="27" t="inlineStr">
        <is>
          <t>Annual mechanical service spend per site</t>
        </is>
      </c>
      <c r="H22" s="44" t="n">
        <v>48</v>
      </c>
      <c r="I22" s="27" t="inlineStr"/>
      <c r="J22" s="27" t="inlineStr">
        <is>
          <t>USD thousands</t>
        </is>
      </c>
      <c r="K22" s="27" t="inlineStr">
        <is>
          <t>Finance operating schedule</t>
        </is>
      </c>
      <c r="L22" s="45" t="inlineStr">
        <is>
          <t>2026-06-30</t>
        </is>
      </c>
      <c r="M22" s="27" t="inlineStr"/>
    </row>
    <row r="23">
      <c r="A23" s="36" t="inlineStr">
        <is>
          <t>MKT-00141</t>
        </is>
      </c>
      <c r="B23" s="27" t="inlineStr">
        <is>
          <t>Commercial service market sizing</t>
        </is>
      </c>
      <c r="C23" s="27" t="inlineStr">
        <is>
          <t>Market segment assumptions</t>
        </is>
      </c>
      <c r="D23" s="27" t="inlineStr">
        <is>
          <t>Education</t>
        </is>
      </c>
      <c r="E23" s="27" t="inlineStr">
        <is>
          <t>Year 3</t>
        </is>
      </c>
      <c r="F23" s="27" t="inlineStr">
        <is>
          <t>Approved case</t>
        </is>
      </c>
      <c r="G23" s="27" t="inlineStr">
        <is>
          <t>Outsourced-service penetration</t>
        </is>
      </c>
      <c r="H23" s="44" t="n">
        <v>0.36</v>
      </c>
      <c r="I23" s="27" t="inlineStr"/>
      <c r="J23" s="27" t="inlineStr">
        <is>
          <t>decimal ratio</t>
        </is>
      </c>
      <c r="K23" s="27" t="inlineStr">
        <is>
          <t>Finance operating schedule</t>
        </is>
      </c>
      <c r="L23" s="45" t="inlineStr">
        <is>
          <t>2026-06-30</t>
        </is>
      </c>
      <c r="M23" s="27" t="inlineStr"/>
    </row>
    <row r="24">
      <c r="A24" s="36" t="inlineStr">
        <is>
          <t>MKT-00142</t>
        </is>
      </c>
      <c r="B24" s="27" t="inlineStr">
        <is>
          <t>Commercial service market sizing</t>
        </is>
      </c>
      <c r="C24" s="27" t="inlineStr">
        <is>
          <t>Market segment assumptions</t>
        </is>
      </c>
      <c r="D24" s="27" t="inlineStr">
        <is>
          <t>Education</t>
        </is>
      </c>
      <c r="E24" s="27" t="inlineStr">
        <is>
          <t>Year 3</t>
        </is>
      </c>
      <c r="F24" s="27" t="inlineStr">
        <is>
          <t>Approved case</t>
        </is>
      </c>
      <c r="G24" s="27" t="inlineStr">
        <is>
          <t>Geographic and capability serviceability</t>
        </is>
      </c>
      <c r="H24" s="44" t="n">
        <v>0.14</v>
      </c>
      <c r="I24" s="27" t="inlineStr"/>
      <c r="J24" s="27" t="inlineStr">
        <is>
          <t>decimal ratio</t>
        </is>
      </c>
      <c r="K24" s="27" t="inlineStr">
        <is>
          <t>Finance operating schedule</t>
        </is>
      </c>
      <c r="L24" s="45" t="inlineStr">
        <is>
          <t>2026-06-30</t>
        </is>
      </c>
      <c r="M24" s="27" t="inlineStr"/>
    </row>
    <row r="25">
      <c r="A25" s="36" t="inlineStr">
        <is>
          <t>MKT-00143</t>
        </is>
      </c>
      <c r="B25" s="27" t="inlineStr">
        <is>
          <t>Commercial service market sizing</t>
        </is>
      </c>
      <c r="C25" s="27" t="inlineStr">
        <is>
          <t>Market segment assumptions</t>
        </is>
      </c>
      <c r="D25" s="27" t="inlineStr">
        <is>
          <t>Education</t>
        </is>
      </c>
      <c r="E25" s="27" t="inlineStr">
        <is>
          <t>Year 3</t>
        </is>
      </c>
      <c r="F25" s="27" t="inlineStr">
        <is>
          <t>Approved case</t>
        </is>
      </c>
      <c r="G25" s="27" t="inlineStr">
        <is>
          <t>Year 3 obtainable share</t>
        </is>
      </c>
      <c r="H25" s="44" t="n">
        <v>0.045</v>
      </c>
      <c r="I25" s="27" t="inlineStr"/>
      <c r="J25" s="27" t="inlineStr">
        <is>
          <t>decimal ratio</t>
        </is>
      </c>
      <c r="K25" s="27" t="inlineStr">
        <is>
          <t>Finance operating schedule</t>
        </is>
      </c>
      <c r="L25" s="45" t="inlineStr">
        <is>
          <t>2026-06-30</t>
        </is>
      </c>
      <c r="M25" s="27" t="inlineStr"/>
    </row>
    <row r="26">
      <c r="A26" s="36" t="inlineStr">
        <is>
          <t>MKT-00144</t>
        </is>
      </c>
      <c r="B26" s="27" t="inlineStr">
        <is>
          <t>Commercial service market sizing</t>
        </is>
      </c>
      <c r="C26" s="27" t="inlineStr">
        <is>
          <t>Market segment assumptions</t>
        </is>
      </c>
      <c r="D26" s="27" t="inlineStr">
        <is>
          <t>Light industrial</t>
        </is>
      </c>
      <c r="E26" s="27" t="inlineStr">
        <is>
          <t>Year 3</t>
        </is>
      </c>
      <c r="F26" s="27" t="inlineStr">
        <is>
          <t>Approved case</t>
        </is>
      </c>
      <c r="G26" s="27" t="inlineStr">
        <is>
          <t>Addressable sites</t>
        </is>
      </c>
      <c r="H26" s="44" t="n">
        <v>2900</v>
      </c>
      <c r="I26" s="27" t="inlineStr"/>
      <c r="J26" s="27" t="inlineStr">
        <is>
          <t>count</t>
        </is>
      </c>
      <c r="K26" s="27" t="inlineStr">
        <is>
          <t>Finance operating schedule</t>
        </is>
      </c>
      <c r="L26" s="45" t="inlineStr">
        <is>
          <t>2026-06-30</t>
        </is>
      </c>
      <c r="M26" s="27" t="inlineStr"/>
    </row>
    <row r="27">
      <c r="A27" s="36" t="inlineStr">
        <is>
          <t>MKT-00145</t>
        </is>
      </c>
      <c r="B27" s="27" t="inlineStr">
        <is>
          <t>Commercial service market sizing</t>
        </is>
      </c>
      <c r="C27" s="27" t="inlineStr">
        <is>
          <t>Market segment assumptions</t>
        </is>
      </c>
      <c r="D27" s="27" t="inlineStr">
        <is>
          <t>Light industrial</t>
        </is>
      </c>
      <c r="E27" s="27" t="inlineStr">
        <is>
          <t>Year 3</t>
        </is>
      </c>
      <c r="F27" s="27" t="inlineStr">
        <is>
          <t>Approved case</t>
        </is>
      </c>
      <c r="G27" s="27" t="inlineStr">
        <is>
          <t>Annual mechanical service spend per site</t>
        </is>
      </c>
      <c r="H27" s="44" t="n">
        <v>71000</v>
      </c>
      <c r="I27" s="27" t="inlineStr"/>
      <c r="J27" s="27" t="inlineStr">
        <is>
          <t>USD</t>
        </is>
      </c>
      <c r="K27" s="27" t="inlineStr">
        <is>
          <t>Finance operating schedule</t>
        </is>
      </c>
      <c r="L27" s="45" t="inlineStr">
        <is>
          <t>2026-06-30</t>
        </is>
      </c>
      <c r="M27" s="27" t="inlineStr"/>
    </row>
    <row r="28">
      <c r="A28" s="36" t="inlineStr">
        <is>
          <t>MKT-00146</t>
        </is>
      </c>
      <c r="B28" s="27" t="inlineStr">
        <is>
          <t>Commercial service market sizing</t>
        </is>
      </c>
      <c r="C28" s="27" t="inlineStr">
        <is>
          <t>Market segment assumptions</t>
        </is>
      </c>
      <c r="D28" s="27" t="inlineStr">
        <is>
          <t>Light industrial</t>
        </is>
      </c>
      <c r="E28" s="27" t="inlineStr">
        <is>
          <t>Year 3</t>
        </is>
      </c>
      <c r="F28" s="27" t="inlineStr">
        <is>
          <t>Approved case</t>
        </is>
      </c>
      <c r="G28" s="27" t="inlineStr">
        <is>
          <t>Outsourced-service penetration</t>
        </is>
      </c>
      <c r="H28" s="44" t="n">
        <v>0.31</v>
      </c>
      <c r="I28" s="27" t="inlineStr"/>
      <c r="J28" s="27" t="inlineStr">
        <is>
          <t>decimal ratio</t>
        </is>
      </c>
      <c r="K28" s="27" t="inlineStr">
        <is>
          <t>Finance operating schedule</t>
        </is>
      </c>
      <c r="L28" s="45" t="inlineStr">
        <is>
          <t>2026-06-30</t>
        </is>
      </c>
      <c r="M28" s="27" t="inlineStr"/>
    </row>
    <row r="29">
      <c r="A29" s="36" t="inlineStr">
        <is>
          <t>MKT-00147</t>
        </is>
      </c>
      <c r="B29" s="27" t="inlineStr">
        <is>
          <t>Commercial service market sizing</t>
        </is>
      </c>
      <c r="C29" s="27" t="inlineStr">
        <is>
          <t>Market segment assumptions</t>
        </is>
      </c>
      <c r="D29" s="27" t="inlineStr">
        <is>
          <t>Light industrial</t>
        </is>
      </c>
      <c r="E29" s="27" t="inlineStr">
        <is>
          <t>Year 3</t>
        </is>
      </c>
      <c r="F29" s="27" t="inlineStr">
        <is>
          <t>Approved case</t>
        </is>
      </c>
      <c r="G29" s="27" t="inlineStr">
        <is>
          <t>Geographic and capability serviceability</t>
        </is>
      </c>
      <c r="H29" s="44" t="n">
        <v>0.16</v>
      </c>
      <c r="I29" s="27" t="inlineStr"/>
      <c r="J29" s="27" t="inlineStr">
        <is>
          <t>decimal ratio</t>
        </is>
      </c>
      <c r="K29" s="27" t="inlineStr">
        <is>
          <t>Finance operating schedule</t>
        </is>
      </c>
      <c r="L29" s="45" t="inlineStr">
        <is>
          <t>2026-06-30</t>
        </is>
      </c>
      <c r="M29" s="27" t="inlineStr"/>
    </row>
    <row r="30">
      <c r="A30" s="36" t="inlineStr">
        <is>
          <t>MKT-00148</t>
        </is>
      </c>
      <c r="B30" s="27" t="inlineStr">
        <is>
          <t>Commercial service market sizing</t>
        </is>
      </c>
      <c r="C30" s="27" t="inlineStr">
        <is>
          <t>Market segment assumptions</t>
        </is>
      </c>
      <c r="D30" s="27" t="inlineStr">
        <is>
          <t>Light industrial</t>
        </is>
      </c>
      <c r="E30" s="27" t="inlineStr">
        <is>
          <t>Year 3</t>
        </is>
      </c>
      <c r="F30" s="27" t="inlineStr">
        <is>
          <t>Approved case</t>
        </is>
      </c>
      <c r="G30" s="27" t="inlineStr">
        <is>
          <t>Year 3 obtainable share</t>
        </is>
      </c>
      <c r="H30" s="44" t="n">
        <v>0.05</v>
      </c>
      <c r="I30" s="27" t="inlineStr"/>
      <c r="J30" s="27" t="inlineStr">
        <is>
          <t>decimal ratio</t>
        </is>
      </c>
      <c r="K30" s="27" t="inlineStr">
        <is>
          <t>Finance operating schedule</t>
        </is>
      </c>
      <c r="L30" s="45" t="inlineStr">
        <is>
          <t>2026-06-30</t>
        </is>
      </c>
      <c r="M30" s="27" t="inlineStr"/>
    </row>
    <row r="31">
      <c r="A31" s="36" t="inlineStr">
        <is>
          <t>MKT-00149</t>
        </is>
      </c>
      <c r="B31" s="27" t="inlineStr">
        <is>
          <t>Commercial service market sizing</t>
        </is>
      </c>
      <c r="C31" s="27" t="inlineStr">
        <is>
          <t>Delivery model</t>
        </is>
      </c>
      <c r="D31" s="27" t="inlineStr">
        <is>
          <t>Service</t>
        </is>
      </c>
      <c r="E31" s="27" t="inlineStr">
        <is>
          <t>Year 3</t>
        </is>
      </c>
      <c r="F31" s="27" t="inlineStr">
        <is>
          <t>Approved case</t>
        </is>
      </c>
      <c r="G31" s="27" t="inlineStr">
        <is>
          <t>Revenue capacity per technician</t>
        </is>
      </c>
      <c r="H31" s="44" t="n">
        <v>515000</v>
      </c>
      <c r="I31" s="27" t="inlineStr"/>
      <c r="J31" s="27" t="inlineStr">
        <is>
          <t>USD per technician</t>
        </is>
      </c>
      <c r="K31" s="27" t="inlineStr">
        <is>
          <t>Finance operating schedule</t>
        </is>
      </c>
      <c r="L31" s="45" t="inlineStr">
        <is>
          <t>2026-06-30</t>
        </is>
      </c>
      <c r="M31" s="27" t="inlineStr"/>
    </row>
    <row r="32">
      <c r="A32" s="36" t="inlineStr">
        <is>
          <t>MKT-00150</t>
        </is>
      </c>
      <c r="B32" s="27" t="inlineStr">
        <is>
          <t>Commercial service market sizing</t>
        </is>
      </c>
      <c r="C32" s="27" t="inlineStr">
        <is>
          <t>Sensitivity register</t>
        </is>
      </c>
      <c r="D32" s="27" t="inlineStr">
        <is>
          <t>Outsourced-service penetration</t>
        </is>
      </c>
      <c r="E32" s="27" t="inlineStr">
        <is>
          <t>Year 3</t>
        </is>
      </c>
      <c r="F32" s="27" t="inlineStr">
        <is>
          <t>Approved case</t>
        </is>
      </c>
      <c r="G32" s="27" t="inlineStr">
        <is>
          <t>Revenue swing</t>
        </is>
      </c>
      <c r="H32" s="44" t="n">
        <v>2850000</v>
      </c>
      <c r="I32" s="27" t="inlineStr"/>
      <c r="J32" s="27" t="inlineStr">
        <is>
          <t>USD</t>
        </is>
      </c>
      <c r="K32" s="27" t="inlineStr">
        <is>
          <t>Finance operating schedule</t>
        </is>
      </c>
      <c r="L32" s="45" t="inlineStr">
        <is>
          <t>2026-06-30</t>
        </is>
      </c>
      <c r="M32" s="27" t="inlineStr"/>
    </row>
    <row r="33">
      <c r="A33" s="36" t="inlineStr">
        <is>
          <t>MKT-00151</t>
        </is>
      </c>
      <c r="B33" s="27" t="inlineStr">
        <is>
          <t>Commercial service market sizing</t>
        </is>
      </c>
      <c r="C33" s="27" t="inlineStr">
        <is>
          <t>Sensitivity register</t>
        </is>
      </c>
      <c r="D33" s="27" t="inlineStr">
        <is>
          <t>Obtainable share</t>
        </is>
      </c>
      <c r="E33" s="27" t="inlineStr">
        <is>
          <t>Year 3</t>
        </is>
      </c>
      <c r="F33" s="27" t="inlineStr">
        <is>
          <t>Approved case</t>
        </is>
      </c>
      <c r="G33" s="27" t="inlineStr">
        <is>
          <t>Revenue swing</t>
        </is>
      </c>
      <c r="H33" s="44" t="n">
        <v>2100000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5" t="inlineStr">
        <is>
          <t>2026-06-30</t>
        </is>
      </c>
      <c r="M33" s="27" t="inlineStr"/>
    </row>
    <row r="34">
      <c r="A34" s="36" t="inlineStr">
        <is>
          <t>MKT-00152</t>
        </is>
      </c>
      <c r="B34" s="27" t="inlineStr">
        <is>
          <t>Commercial service market sizing</t>
        </is>
      </c>
      <c r="C34" s="27" t="inlineStr">
        <is>
          <t>Sensitivity register</t>
        </is>
      </c>
      <c r="D34" s="27" t="inlineStr">
        <is>
          <t>Spend per site</t>
        </is>
      </c>
      <c r="E34" s="27" t="inlineStr">
        <is>
          <t>Year 3</t>
        </is>
      </c>
      <c r="F34" s="27" t="inlineStr">
        <is>
          <t>Approved case</t>
        </is>
      </c>
      <c r="G34" s="27" t="inlineStr">
        <is>
          <t>Revenue swing</t>
        </is>
      </c>
      <c r="H34" s="44" t="n">
        <v>1720</v>
      </c>
      <c r="I34" s="27" t="inlineStr"/>
      <c r="J34" s="27" t="inlineStr">
        <is>
          <t>USD thousands</t>
        </is>
      </c>
      <c r="K34" s="27" t="inlineStr">
        <is>
          <t>Finance operating schedule</t>
        </is>
      </c>
      <c r="L34" s="45" t="inlineStr">
        <is>
          <t>2026-06-30</t>
        </is>
      </c>
      <c r="M34" s="27" t="inlineStr"/>
    </row>
  </sheetData>
  <autoFilter ref="A4:M34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capital markets and competitor analysis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Capital Markets</t>
        </is>
      </c>
      <c r="B5" s="40" t="n">
        <v>22</v>
      </c>
      <c r="C5" s="40">
        <f>COUNTA('Capital Markets'!$A$5:$A$26)</f>
        <v/>
      </c>
      <c r="D5" s="40">
        <f>C5-B5</f>
        <v/>
      </c>
      <c r="E5" s="42">
        <f>IF(D5=0,"OK","CHECK")</f>
        <v/>
      </c>
      <c r="F5" s="40" t="inlineStr">
        <is>
          <t>CURRENT • CONTROLLER REVIEW COMPLETE</t>
        </is>
      </c>
    </row>
    <row r="6">
      <c r="A6" s="41" t="inlineStr">
        <is>
          <t>Market and Competitors</t>
        </is>
      </c>
      <c r="B6" s="41" t="n">
        <v>30</v>
      </c>
      <c r="C6" s="41">
        <f>COUNTA('Market and Competitors'!$A$5:$A$34)</f>
        <v/>
      </c>
      <c r="D6" s="41">
        <f>C6-B6</f>
        <v/>
      </c>
      <c r="E6" s="43">
        <f>IF(D6=0,"OK","CHECK")</f>
        <v/>
      </c>
      <c r="F6" s="41" t="inlineStr">
        <is>
          <t>CURRENT • CONTROLLER REVIEW COMPLETE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2026-08-01T05:21:43Z</dcterms:created>
  <dcterms:modified xmlns:dcterms="http://purl.org/dc/terms/" xmlns:xsi="http://www.w3.org/2001/XMLSchema-instance" xsi:type="dcterms:W3CDTF">2026-08-01T05:21:43Z</dcterms:modified>
</cp:coreProperties>
</file>