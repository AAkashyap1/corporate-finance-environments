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 ME first" sheetId="1" state="visible" r:id="rId1"/>
    <sheet xmlns:r="http://schemas.openxmlformats.org/officeDocument/2006/relationships" name="Risk Review" sheetId="2" state="visible" r:id="rId2"/>
    <sheet xmlns:r="http://schemas.openxmlformats.org/officeDocument/2006/relationships" name="Evidence Map" sheetId="3" state="visible" r:id="rId3"/>
  </sheets>
  <definedNames/>
  <calcPr calcId="171027" fullCalcOnLoad="1"/>
</workbook>
</file>

<file path=xl/styles.xml><?xml version="1.0" encoding="utf-8"?>
<styleSheet xmlns="http://schemas.openxmlformats.org/spreadsheetml/2006/main">
  <numFmts count="2">
    <numFmt numFmtId="164" formatCode="$#,##0;[Red]($#,##0);-"/>
    <numFmt numFmtId="165" formatCode="0.0%;[Red](0.0%);-"/>
  </numFmts>
  <fonts count="10">
    <font>
      <name val="Carlito"/>
      <sz val="11"/>
    </font>
    <font>
      <name val="Arial"/>
      <b val="1"/>
      <color rgb="FF2A4337"/>
      <sz val="15"/>
    </font>
    <font>
      <name val="Arial"/>
      <i val="1"/>
      <color rgb="FF5E5A55"/>
      <sz val="9"/>
    </font>
    <font>
      <name val="Carlito"/>
      <b val="1"/>
      <color rgb="FF2A4337"/>
      <sz val="11"/>
    </font>
    <font>
      <name val="Carlito"/>
      <color rgb="FF252321"/>
      <sz val="11"/>
    </font>
    <font>
      <name val="Carlito"/>
      <sz val="11"/>
    </font>
    <font>
      <name val="Arial"/>
      <b val="1"/>
      <color rgb="FFFFFFFF"/>
      <sz val="9"/>
    </font>
    <font>
      <name val="Arial"/>
      <color rgb="FF252321"/>
      <sz val="9"/>
    </font>
    <font>
      <name val="Arial"/>
      <color rgb="FF8B5E3C"/>
      <sz val="9"/>
    </font>
    <font>
      <name val="Arial"/>
      <b val="1"/>
      <color rgb="FF2A4337"/>
      <sz val="11"/>
    </font>
  </fonts>
  <fills count="7">
    <fill>
      <patternFill/>
    </fill>
    <fill>
      <patternFill patternType="gray125"/>
    </fill>
    <fill>
      <patternFill patternType="solid">
        <fgColor rgb="FFF8F5EF"/>
      </patternFill>
    </fill>
    <fill>
      <patternFill patternType="solid">
        <fgColor rgb="FFF3E6D5"/>
      </patternFill>
    </fill>
    <fill>
      <patternFill patternType="solid">
        <fgColor rgb="FF2A4337"/>
      </patternFill>
    </fill>
    <fill>
      <patternFill patternType="solid">
        <fgColor rgb="FFE9F2F8"/>
      </patternFill>
    </fill>
    <fill>
      <patternFill patternType="solid">
        <fgColor rgb="FFE4ECE7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8B5E3C"/>
      </bottom>
      <diagonal/>
    </border>
    <border>
      <left style="thin">
        <color rgb="FF2A4337"/>
      </left>
      <right/>
      <top style="thin">
        <color rgb="FF2A4337"/>
      </top>
      <bottom style="thin">
        <color rgb="FF2A4337"/>
      </bottom>
      <diagonal/>
    </border>
    <border>
      <left/>
      <right/>
      <top style="thin">
        <color rgb="FF2A4337"/>
      </top>
      <bottom style="thin">
        <color rgb="FF2A4337"/>
      </bottom>
      <diagonal/>
    </border>
    <border>
      <left/>
      <right style="thin">
        <color rgb="FF2A4337"/>
      </right>
      <top style="thin">
        <color rgb="FF2A4337"/>
      </top>
      <bottom style="thin">
        <color rgb="FF2A4337"/>
      </bottom>
      <diagonal/>
    </border>
    <border>
      <left/>
      <right/>
      <top/>
      <bottom style="thin">
        <color rgb="FFD8D0C6"/>
      </bottom>
      <diagonal/>
    </border>
  </borders>
  <cellStyleXfs count="1">
    <xf numFmtId="0" fontId="5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4" borderId="2" applyAlignment="1" pivotButton="0" quotePrefix="0" xfId="0">
      <alignment vertical="center" wrapText="1"/>
    </xf>
    <xf numFmtId="0" fontId="6" fillId="4" borderId="3" applyAlignment="1" pivotButton="0" quotePrefix="0" xfId="0">
      <alignment vertical="center" wrapText="1"/>
    </xf>
    <xf numFmtId="0" fontId="6" fillId="4" borderId="4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164" fontId="8" fillId="5" borderId="0" applyAlignment="1" pivotButton="0" quotePrefix="0" xfId="0">
      <alignment vertical="center"/>
    </xf>
    <xf numFmtId="165" fontId="8" fillId="5" borderId="0" applyAlignment="1" pivotButton="0" quotePrefix="0" xfId="0">
      <alignment vertical="center"/>
    </xf>
    <xf numFmtId="0" fontId="9" fillId="6" borderId="5" pivotButton="0" quotePrefix="0" xfId="0"/>
    <xf numFmtId="0" fontId="7" fillId="0" borderId="0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 outlineLevelRow="0"/>
  <cols>
    <col width="34" customWidth="1" min="1" max="1"/>
    <col width="82" customWidth="1" min="2" max="2"/>
  </cols>
  <sheetData>
    <row r="1" ht="23" customHeight="1">
      <c r="A1" s="1" t="inlineStr">
        <is>
          <t>June WIP — risk-case review copy</t>
        </is>
      </c>
      <c r="B1" s="14" t="n"/>
      <c r="C1" s="14" t="n"/>
      <c r="D1" s="14" t="n"/>
      <c r="E1" s="14" t="n"/>
      <c r="F1" s="14" t="n"/>
      <c r="G1" s="14" t="n"/>
      <c r="H1" s="14" t="n"/>
    </row>
    <row r="2" ht="23" customHeight="1">
      <c r="A2" s="2" t="inlineStr">
        <is>
          <t>Controller working file created 7/1/26 8:47am | not a posted close schedule</t>
        </is>
      </c>
    </row>
    <row r="3"/>
    <row r="4"/>
    <row r="5">
      <c r="A5" s="3" t="inlineStr">
        <is>
          <t>Purpose</t>
        </is>
      </c>
      <c r="B5" s="4" t="inlineStr">
        <is>
          <t>Refresh the four judgment-heavy jobs after reconciling posted actuals to Vista ERP.</t>
        </is>
      </c>
    </row>
    <row r="6">
      <c r="A6" s="3" t="inlineStr">
        <is>
          <t>Current contract</t>
        </is>
      </c>
      <c r="B6" s="4" t="inlineStr">
        <is>
          <t>Executed base contract plus approved bilateral change orders only.</t>
        </is>
      </c>
    </row>
    <row r="7">
      <c r="A7" s="3" t="inlineStr">
        <is>
          <t>Cost / billings</t>
        </is>
      </c>
      <c r="B7" s="4" t="inlineStr">
        <is>
          <t>Accounting-system actuals through 2026-06-30 control.</t>
        </is>
      </c>
    </row>
    <row r="8">
      <c r="A8" s="3" t="inlineStr">
        <is>
          <t>PM ETC</t>
        </is>
      </c>
      <c r="B8" s="4" t="inlineStr">
        <is>
          <t>Latest PM submission before finance policy overlays.</t>
        </is>
      </c>
    </row>
    <row r="9">
      <c r="A9" s="3" t="inlineStr">
        <is>
          <t>Finance overlay</t>
        </is>
      </c>
      <c r="B9" s="4" t="inlineStr">
        <is>
          <t>Probable unavoidable cost is added even when related recovery remains unapproved.</t>
        </is>
      </c>
    </row>
    <row r="10">
      <c r="A10" s="3" t="inlineStr">
        <is>
          <t>Do not use</t>
        </is>
      </c>
      <c r="B10" s="4" t="inlineStr">
        <is>
          <t>Pending revenue, disputed recoveries, or unsupported netting to improve margin.</t>
        </is>
      </c>
    </row>
    <row r="11">
      <c r="A11" s="3" t="inlineStr">
        <is>
          <t>Required formulas</t>
        </is>
      </c>
      <c r="B11" s="4" t="inlineStr">
        <is>
          <t>Close ETC, EAC, percent complete, earned revenue, WIP position and margin must remain formula-driven.</t>
        </is>
      </c>
    </row>
    <row r="12">
      <c r="A12" s="3" t="inlineStr">
        <is>
          <t>Status</t>
        </is>
      </c>
      <c r="B12" s="4" t="inlineStr">
        <is>
          <t>WORKING / REVIEW — blank calculation columns are intentional.</t>
        </is>
      </c>
    </row>
    <row r="13">
      <c r="A13" s="3" t="inlineStr">
        <is>
          <t>Sign-off</t>
        </is>
      </c>
      <c r="B13" s="4" t="inlineStr">
        <is>
          <t>Controller review required before values are copied into the close schedule.</t>
        </is>
      </c>
    </row>
    <row r="14"/>
    <row r="15">
      <c r="A15" s="3" t="inlineStr">
        <is>
          <t>Control — project rows</t>
        </is>
      </c>
      <c r="B15" s="5">
        <f>COUNTA('Risk Review'!A6:A9)</f>
        <v/>
      </c>
    </row>
    <row r="16">
      <c r="A16" s="3" t="inlineStr">
        <is>
          <t>Control — named evidence rows</t>
        </is>
      </c>
      <c r="B16" s="5">
        <f>COUNTA('Evidence Map'!A6:A9)</f>
        <v/>
      </c>
    </row>
    <row r="17">
      <c r="A17" s="3" t="inlineStr">
        <is>
          <t>Control — blank formula cells</t>
        </is>
      </c>
      <c r="B17" s="5">
        <f>COUNTBLANK('Risk Review'!G6:J9)+COUNTBLANK('Risk Review'!L6:O9)</f>
        <v/>
      </c>
    </row>
  </sheetData>
  <mergeCells count="2">
    <mergeCell ref="A2:H2"/>
    <mergeCell ref="A1:H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selection activeCell="A1" sqref="A1"/>
    </sheetView>
  </sheetViews>
  <sheetFormatPr baseColWidth="8" defaultRowHeight="15" outlineLevelRow="0"/>
  <cols>
    <col width="14" customWidth="1" min="1" max="1"/>
    <col width="36" customWidth="1" min="2" max="2"/>
    <col width="18" customWidth="1" min="3" max="4"/>
    <col width="16" customWidth="1" min="5" max="5"/>
    <col width="20" customWidth="1" min="6" max="6"/>
    <col width="16" customWidth="1" min="7" max="8"/>
    <col width="13" customWidth="1" min="9" max="9"/>
    <col width="18" customWidth="1" min="10" max="11"/>
    <col width="17" customWidth="1" min="12" max="13"/>
    <col width="18" customWidth="1" min="14" max="14"/>
    <col width="13" customWidth="1" min="15" max="15"/>
  </cols>
  <sheetData>
    <row r="1" ht="23" customHeight="1">
      <c r="A1" s="1" t="inlineStr">
        <is>
          <t>June project estimate risk review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</row>
    <row r="2" ht="23" customHeight="1">
      <c r="A2" s="2" t="inlineStr">
        <is>
          <t>Blue cells require a current-source refresh or a referenced finance formula</t>
        </is>
      </c>
    </row>
    <row r="3"/>
    <row r="4"/>
    <row r="5" ht="30" customHeight="1">
      <c r="A5" s="6" t="inlineStr">
        <is>
          <t>Project ID</t>
        </is>
      </c>
      <c r="B5" s="7" t="inlineStr">
        <is>
          <t>Project</t>
        </is>
      </c>
      <c r="C5" s="7" t="inlineStr">
        <is>
          <t>Current contract</t>
        </is>
      </c>
      <c r="D5" s="7" t="inlineStr">
        <is>
          <t>Posted cost to date</t>
        </is>
      </c>
      <c r="E5" s="7" t="inlineStr">
        <is>
          <t>PM ETC</t>
        </is>
      </c>
      <c r="F5" s="7" t="inlineStr">
        <is>
          <t>Documented ETC overlay</t>
        </is>
      </c>
      <c r="G5" s="7" t="inlineStr">
        <is>
          <t>Close ETC</t>
        </is>
      </c>
      <c r="H5" s="7" t="inlineStr">
        <is>
          <t>EAC</t>
        </is>
      </c>
      <c r="I5" s="7" t="inlineStr">
        <is>
          <t>% complete</t>
        </is>
      </c>
      <c r="J5" s="7" t="inlineStr">
        <is>
          <t>Earned revenue</t>
        </is>
      </c>
      <c r="K5" s="7" t="inlineStr">
        <is>
          <t>Billings to date</t>
        </is>
      </c>
      <c r="L5" s="7" t="inlineStr">
        <is>
          <t>Contract asset</t>
        </is>
      </c>
      <c r="M5" s="7" t="inlineStr">
        <is>
          <t>Contract liability</t>
        </is>
      </c>
      <c r="N5" s="7" t="inlineStr">
        <is>
          <t>Estimated margin</t>
        </is>
      </c>
      <c r="O5" s="8" t="inlineStr">
        <is>
          <t>Margin %</t>
        </is>
      </c>
    </row>
    <row r="6">
      <c r="A6" s="9" t="inlineStr">
        <is>
          <t>ARM-2318</t>
        </is>
      </c>
      <c r="B6" s="9" t="inlineStr">
        <is>
          <t>Columbia Biologics Clean Utilities</t>
        </is>
      </c>
      <c r="C6" s="10" t="n"/>
      <c r="D6" s="10" t="n"/>
      <c r="E6" s="10" t="n"/>
      <c r="F6" s="10" t="n"/>
      <c r="G6" s="10" t="n"/>
      <c r="H6" s="10" t="n"/>
      <c r="I6" s="11" t="n"/>
      <c r="J6" s="10" t="n"/>
      <c r="K6" s="10" t="n"/>
      <c r="L6" s="10" t="n"/>
      <c r="M6" s="10" t="n"/>
      <c r="N6" s="10" t="n"/>
      <c r="O6" s="11" t="n"/>
    </row>
    <row r="7">
      <c r="A7" s="9" t="inlineStr">
        <is>
          <t>ARM-2409</t>
        </is>
      </c>
      <c r="B7" s="9" t="inlineStr">
        <is>
          <t>Northline Cold Storage Expansion</t>
        </is>
      </c>
      <c r="C7" s="10" t="n"/>
      <c r="D7" s="10" t="n"/>
      <c r="E7" s="10" t="n"/>
      <c r="F7" s="10" t="n"/>
      <c r="G7" s="10" t="n"/>
      <c r="H7" s="10" t="n"/>
      <c r="I7" s="11" t="n"/>
      <c r="J7" s="10" t="n"/>
      <c r="K7" s="10" t="n"/>
      <c r="L7" s="10" t="n"/>
      <c r="M7" s="10" t="n"/>
      <c r="N7" s="10" t="n"/>
      <c r="O7" s="11" t="n"/>
    </row>
    <row r="8">
      <c r="A8" s="9" t="inlineStr">
        <is>
          <t>ARM-2417</t>
        </is>
      </c>
      <c r="B8" s="9" t="inlineStr">
        <is>
          <t>Cascade Health Ambulatory Pavilion</t>
        </is>
      </c>
      <c r="C8" s="10" t="n"/>
      <c r="D8" s="10" t="n"/>
      <c r="E8" s="10" t="n"/>
      <c r="F8" s="10" t="n"/>
      <c r="G8" s="10" t="n"/>
      <c r="H8" s="10" t="n"/>
      <c r="I8" s="11" t="n"/>
      <c r="J8" s="10" t="n"/>
      <c r="K8" s="10" t="n"/>
      <c r="L8" s="10" t="n"/>
      <c r="M8" s="10" t="n"/>
      <c r="N8" s="10" t="n"/>
      <c r="O8" s="11" t="n"/>
    </row>
    <row r="9">
      <c r="A9" s="9" t="inlineStr">
        <is>
          <t>ARM-2506</t>
        </is>
      </c>
      <c r="B9" s="9" t="inlineStr">
        <is>
          <t>Eastbank Data Hall Cooling Expansion</t>
        </is>
      </c>
      <c r="C9" s="10" t="n"/>
      <c r="D9" s="10" t="n"/>
      <c r="E9" s="10" t="n"/>
      <c r="F9" s="10" t="n"/>
      <c r="G9" s="10" t="n"/>
      <c r="H9" s="10" t="n"/>
      <c r="I9" s="11" t="n"/>
      <c r="J9" s="10" t="n"/>
      <c r="K9" s="10" t="n"/>
      <c r="L9" s="10" t="n"/>
      <c r="M9" s="10" t="n"/>
      <c r="N9" s="10" t="n"/>
      <c r="O9" s="11" t="n"/>
    </row>
    <row r="10"/>
    <row r="11">
      <c r="A11" s="12" t="inlineStr">
        <is>
          <t>TOTAL / CONTROL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</row>
  </sheetData>
  <mergeCells count="2">
    <mergeCell ref="A1:O1"/>
    <mergeCell ref="A2:O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 outlineLevelRow="0"/>
  <cols>
    <col width="14" customWidth="1" min="1" max="1"/>
    <col width="38" customWidth="1" min="2" max="2"/>
    <col width="32" customWidth="1" min="3" max="3"/>
    <col width="48" customWidth="1" min="4" max="4"/>
    <col width="30" customWidth="1" min="5" max="5"/>
    <col width="46" customWidth="1" min="6" max="6"/>
    <col width="34" customWidth="1" min="7" max="7"/>
  </cols>
  <sheetData>
    <row r="1" ht="23" customHeight="1">
      <c r="A1" s="1" t="inlineStr">
        <is>
          <t>Risk-case evidence map</t>
        </is>
      </c>
      <c r="B1" s="14" t="n"/>
      <c r="C1" s="14" t="n"/>
      <c r="D1" s="14" t="n"/>
      <c r="E1" s="14" t="n"/>
      <c r="F1" s="14" t="n"/>
      <c r="G1" s="14" t="n"/>
    </row>
    <row r="2" ht="23" customHeight="1">
      <c r="A2" s="2" t="inlineStr">
        <is>
          <t>Paths are intentionally messy because they mirror the active shared-drive close folder</t>
        </is>
      </c>
    </row>
    <row r="3"/>
    <row r="4"/>
    <row r="5" ht="30" customHeight="1">
      <c r="A5" s="6" t="inlineStr">
        <is>
          <t>Project</t>
        </is>
      </c>
      <c r="B5" s="7" t="inlineStr">
        <is>
          <t>Forecast evidence role</t>
        </is>
      </c>
      <c r="C5" s="7" t="inlineStr">
        <is>
          <t>Commercial evidence role</t>
        </is>
      </c>
      <c r="D5" s="7" t="inlineStr">
        <is>
          <t>Support clue</t>
        </is>
      </c>
      <c r="E5" s="7" t="inlineStr">
        <is>
          <t>Accounting population</t>
        </is>
      </c>
      <c r="F5" s="7" t="inlineStr">
        <is>
          <t>Policy question</t>
        </is>
      </c>
      <c r="G5" s="8" t="inlineStr">
        <is>
          <t>Reviewer note</t>
        </is>
      </c>
    </row>
    <row r="6" ht="44" customHeight="1">
      <c r="A6" s="13" t="inlineStr">
        <is>
          <t>ARM-2318</t>
        </is>
      </c>
      <c r="B6" s="13" t="inlineStr">
        <is>
          <t>Latest consolidated June PM submission</t>
        </is>
      </c>
      <c r="C6" s="13" t="inlineStr">
        <is>
          <t>Current commercial master / retest item</t>
        </is>
      </c>
      <c r="D6" s="13" t="inlineStr">
        <is>
          <t>PM comment and commercial backup; no standalone packet retained</t>
        </is>
      </c>
      <c r="E6" s="13" t="inlineStr">
        <is>
          <t>Current project summary through 6/30</t>
        </is>
      </c>
      <c r="F6" s="13" t="inlineStr">
        <is>
          <t>Can a recovery be recognized, and what unavoidable retest cost remains?</t>
        </is>
      </c>
      <c r="G6" s="13" t="inlineStr">
        <is>
          <t>Closeout evidence incomplete</t>
        </is>
      </c>
    </row>
    <row r="7" ht="44" customHeight="1">
      <c r="A7" s="13" t="inlineStr">
        <is>
          <t>ARM-2409</t>
        </is>
      </c>
      <c r="B7" s="13" t="inlineStr">
        <is>
          <t>Latest consolidated June PM submission</t>
        </is>
      </c>
      <c r="C7" s="13" t="inlineStr">
        <is>
          <t>Current commercial master / concrete backcharge</t>
        </is>
      </c>
      <c r="D7" s="13" t="inlineStr">
        <is>
          <t>Draft project-numbered backcharge packet in commercial support</t>
        </is>
      </c>
      <c r="E7" s="13" t="inlineStr">
        <is>
          <t>Current project summary through 6/30</t>
        </is>
      </c>
      <c r="F7" s="13" t="inlineStr">
        <is>
          <t>Can a disputed recovery be netted against ETC?</t>
        </is>
      </c>
      <c r="G7" s="13" t="inlineStr">
        <is>
          <t>Concrete trade has not accepted</t>
        </is>
      </c>
    </row>
    <row r="8" ht="44" customHeight="1">
      <c r="A8" s="13" t="inlineStr">
        <is>
          <t>ARM-2417</t>
        </is>
      </c>
      <c r="B8" s="13" t="inlineStr">
        <is>
          <t>Latest consolidated June PM submission</t>
        </is>
      </c>
      <c r="C8" s="13" t="inlineStr">
        <is>
          <t>Current commercial master / night-shift directive</t>
        </is>
      </c>
      <c r="D8" s="13" t="inlineStr">
        <is>
          <t>Owner correspondence and field-direction packet</t>
        </is>
      </c>
      <c r="E8" s="13" t="inlineStr">
        <is>
          <t>Current project summary through 6/30</t>
        </is>
      </c>
      <c r="F8" s="13" t="inlineStr">
        <is>
          <t>How should unexecuted revenue and probable after-hours cost be treated?</t>
        </is>
      </c>
      <c r="G8" s="13" t="inlineStr">
        <is>
          <t>Owner directive not executed</t>
        </is>
      </c>
    </row>
    <row r="9" ht="44" customHeight="1">
      <c r="A9" s="13" t="inlineStr">
        <is>
          <t>ARM-2506</t>
        </is>
      </c>
      <c r="B9" s="13" t="inlineStr">
        <is>
          <t>Latest consolidated June PM submission</t>
        </is>
      </c>
      <c r="C9" s="13" t="inlineStr">
        <is>
          <t>Current commercial master / design bulletin</t>
        </is>
      </c>
      <c r="D9" s="13" t="inlineStr">
        <is>
          <t>Project-numbered design-bulletin cost estimate</t>
        </is>
      </c>
      <c r="E9" s="13" t="inlineStr">
        <is>
          <t>Current project summary through 6/30</t>
        </is>
      </c>
      <c r="F9" s="13" t="inlineStr">
        <is>
          <t>How should technical direction without executed price be treated?</t>
        </is>
      </c>
      <c r="G9" s="13" t="inlineStr">
        <is>
          <t>Technical direction only</t>
        </is>
      </c>
    </row>
  </sheetData>
  <mergeCells count="2">
    <mergeCell ref="A2:G2"/>
    <mergeCell ref="A1:G1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Alder Ridge Finance</dc:creator>
  <dcterms:created xmlns:dcterms="http://purl.org/dc/terms/" xmlns:xsi="http://www.w3.org/2001/XMLSchema-instance" xsi:type="dcterms:W3CDTF">2026-07-01T00:00:00Z</dcterms:created>
  <dcterms:modified xmlns:dcterms="http://purl.org/dc/terms/" xmlns:xsi="http://www.w3.org/2001/XMLSchema-instance" xsi:type="dcterms:W3CDTF">2026-07-28T10:45:26Z</dcterms:modified>
  <cp:lastModifiedBy>Unknown</cp:lastModifiedBy>
</cp:coreProperties>
</file>