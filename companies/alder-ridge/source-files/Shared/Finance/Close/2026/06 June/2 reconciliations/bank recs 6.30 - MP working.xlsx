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6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June bank reconciliations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Bank-feed detail through 6/30 is retained by account with clearing flags and journal references.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1000-0001</t>
        </is>
      </c>
      <c r="B6" s="6" t="inlineStr">
        <is>
          <t>2026-06-20</t>
        </is>
      </c>
      <c r="C6" s="6" t="inlineStr">
        <is>
          <t>ACH DEBIT</t>
        </is>
      </c>
      <c r="D6" s="6" t="inlineStr">
        <is>
          <t>1000</t>
        </is>
      </c>
      <c r="E6" s="6" t="inlineStr">
        <is>
          <t>Northwest Crane and Rigging - Salem Group; Vendor payment applied to AP-0004693</t>
        </is>
      </c>
      <c r="F6" s="7" t="n">
        <v>-2405.61</v>
      </c>
      <c r="G6" s="7" t="n">
        <v>0</v>
      </c>
      <c r="H6" s="7">
        <f>F6+G6</f>
        <v/>
      </c>
      <c r="I6" s="6" t="inlineStr">
        <is>
          <t>cleared</t>
        </is>
      </c>
      <c r="J6" s="6" t="inlineStr">
        <is>
          <t>bank feed / ACH-AP-0004693</t>
        </is>
      </c>
    </row>
    <row r="7">
      <c r="A7" s="6" t="inlineStr">
        <is>
          <t>1000-0002</t>
        </is>
      </c>
      <c r="B7" s="6" t="inlineStr">
        <is>
          <t>2026-06-20</t>
        </is>
      </c>
      <c r="C7" s="6" t="inlineStr">
        <is>
          <t>ACH/CHECK DEPOSIT</t>
        </is>
      </c>
      <c r="D7" s="6" t="inlineStr">
        <is>
          <t>1000</t>
        </is>
      </c>
      <c r="E7" s="6" t="inlineStr">
        <is>
          <t>Port of Portland Aviation; Customer receipt applied to PAYAPP-ARM-2501-202604</t>
        </is>
      </c>
      <c r="F7" s="7" t="n">
        <v>149815.85</v>
      </c>
      <c r="G7" s="7" t="n">
        <v>0</v>
      </c>
      <c r="H7" s="7">
        <f>F7+G7</f>
        <v/>
      </c>
      <c r="I7" s="6" t="inlineStr">
        <is>
          <t>cleared</t>
        </is>
      </c>
      <c r="J7" s="6" t="inlineStr">
        <is>
          <t>bank feed / RCPT-PAYAPP-ARM-2501-202604</t>
        </is>
      </c>
    </row>
    <row r="8">
      <c r="A8" s="6" t="inlineStr">
        <is>
          <t>1000-0003</t>
        </is>
      </c>
      <c r="B8" s="6" t="inlineStr">
        <is>
          <t>2026-06-20</t>
        </is>
      </c>
      <c r="C8" s="6" t="inlineStr">
        <is>
          <t>ACH DEBIT</t>
        </is>
      </c>
      <c r="D8" s="6" t="inlineStr">
        <is>
          <t>1000</t>
        </is>
      </c>
      <c r="E8" s="6" t="inlineStr">
        <is>
          <t>Rose City Equipment Rental &amp; Services - Vancouver Services, LLC; Vendor payment applied to AP-0005089</t>
        </is>
      </c>
      <c r="F8" s="7" t="n">
        <v>-2646.84</v>
      </c>
      <c r="G8" s="7" t="n">
        <v>0</v>
      </c>
      <c r="H8" s="7">
        <f>F8+G8</f>
        <v/>
      </c>
      <c r="I8" s="6" t="inlineStr">
        <is>
          <t>cleared</t>
        </is>
      </c>
      <c r="J8" s="6" t="inlineStr">
        <is>
          <t>bank feed / ACH-AP-0005089</t>
        </is>
      </c>
    </row>
    <row r="9">
      <c r="A9" s="6" t="inlineStr">
        <is>
          <t>1000-0004</t>
        </is>
      </c>
      <c r="B9" s="6" t="inlineStr">
        <is>
          <t>2026-06-20</t>
        </is>
      </c>
      <c r="C9" s="6" t="inlineStr">
        <is>
          <t>ACH/CHECK DEPOSIT</t>
        </is>
      </c>
      <c r="D9" s="6" t="inlineStr">
        <is>
          <t>1000</t>
        </is>
      </c>
      <c r="E9" s="6" t="inlineStr">
        <is>
          <t>Sunrise Hospitality - East Development Company; Customer receipt applied to AR-0030920</t>
        </is>
      </c>
      <c r="F9" s="7" t="n">
        <v>792.46</v>
      </c>
      <c r="G9" s="7" t="n">
        <v>0</v>
      </c>
      <c r="H9" s="7">
        <f>F9+G9</f>
        <v/>
      </c>
      <c r="I9" s="6" t="inlineStr">
        <is>
          <t>cleared</t>
        </is>
      </c>
      <c r="J9" s="6" t="inlineStr">
        <is>
          <t>bank feed / RCPT-AR-0030920</t>
        </is>
      </c>
    </row>
    <row r="10">
      <c r="A10" s="6" t="inlineStr">
        <is>
          <t>1000-0005</t>
        </is>
      </c>
      <c r="B10" s="6" t="inlineStr">
        <is>
          <t>2026-06-20</t>
        </is>
      </c>
      <c r="C10" s="6" t="inlineStr">
        <is>
          <t>ACH/CHECK DEPOSIT</t>
        </is>
      </c>
      <c r="D10" s="6" t="inlineStr">
        <is>
          <t>1000</t>
        </is>
      </c>
      <c r="E10" s="6" t="inlineStr">
        <is>
          <t>Beacon Industrial - South LLC; Customer receipt applied to AR-0030922</t>
        </is>
      </c>
      <c r="F10" s="7" t="n">
        <v>5602.59</v>
      </c>
      <c r="G10" s="7" t="n">
        <v>0</v>
      </c>
      <c r="H10" s="7">
        <f>F10+G10</f>
        <v/>
      </c>
      <c r="I10" s="6" t="inlineStr">
        <is>
          <t>cleared</t>
        </is>
      </c>
      <c r="J10" s="6" t="inlineStr">
        <is>
          <t>bank feed / RCPT-AR-0030922</t>
        </is>
      </c>
    </row>
    <row r="11">
      <c r="A11" s="6" t="inlineStr">
        <is>
          <t>1000-0006</t>
        </is>
      </c>
      <c r="B11" s="6" t="inlineStr">
        <is>
          <t>2026-06-20</t>
        </is>
      </c>
      <c r="C11" s="6" t="inlineStr">
        <is>
          <t>ACH/CHECK DEPOSIT</t>
        </is>
      </c>
      <c r="D11" s="6" t="inlineStr">
        <is>
          <t>1000</t>
        </is>
      </c>
      <c r="E11" s="6" t="inlineStr">
        <is>
          <t>High Desert Manufacturing - Portfolio Holdings, LLC; Customer receipt applied to AR-0030986</t>
        </is>
      </c>
      <c r="F11" s="7" t="n">
        <v>3365.74</v>
      </c>
      <c r="G11" s="7" t="n">
        <v>0</v>
      </c>
      <c r="H11" s="7">
        <f>F11+G11</f>
        <v/>
      </c>
      <c r="I11" s="6" t="inlineStr">
        <is>
          <t>cleared</t>
        </is>
      </c>
      <c r="J11" s="6" t="inlineStr">
        <is>
          <t>bank feed / RCPT-AR-0030986</t>
        </is>
      </c>
    </row>
    <row r="12">
      <c r="A12" s="6" t="inlineStr">
        <is>
          <t>1000-0007</t>
        </is>
      </c>
      <c r="B12" s="6" t="inlineStr">
        <is>
          <t>2026-06-20</t>
        </is>
      </c>
      <c r="C12" s="6" t="inlineStr">
        <is>
          <t>ACH/CHECK DEPOSIT</t>
        </is>
      </c>
      <c r="D12" s="6" t="inlineStr">
        <is>
          <t>1000</t>
        </is>
      </c>
      <c r="E12" s="6" t="inlineStr">
        <is>
          <t>Valley View Food Systems - Operations Holdings, LLC; Customer receipt applied to AR-0031123</t>
        </is>
      </c>
      <c r="F12" s="7" t="n">
        <v>2153.49</v>
      </c>
      <c r="G12" s="7" t="n">
        <v>0</v>
      </c>
      <c r="H12" s="7">
        <f>F12+G12</f>
        <v/>
      </c>
      <c r="I12" s="6" t="inlineStr">
        <is>
          <t>cleared</t>
        </is>
      </c>
      <c r="J12" s="6" t="inlineStr">
        <is>
          <t>bank feed / RCPT-AR-0031123</t>
        </is>
      </c>
    </row>
    <row r="13">
      <c r="A13" s="6" t="inlineStr">
        <is>
          <t>1000-0008</t>
        </is>
      </c>
      <c r="B13" s="6" t="inlineStr">
        <is>
          <t>2026-06-20</t>
        </is>
      </c>
      <c r="C13" s="6" t="inlineStr">
        <is>
          <t>ACH/CHECK DEPOSIT</t>
        </is>
      </c>
      <c r="D13" s="6" t="inlineStr">
        <is>
          <t>1000</t>
        </is>
      </c>
      <c r="E13" s="6" t="inlineStr">
        <is>
          <t>Juniper Ridge Properties - North Partners, LP; Customer receipt applied to AR-0031138</t>
        </is>
      </c>
      <c r="F13" s="7" t="n">
        <v>2295.28</v>
      </c>
      <c r="G13" s="7" t="n">
        <v>0</v>
      </c>
      <c r="H13" s="7">
        <f>F13+G13</f>
        <v/>
      </c>
      <c r="I13" s="6" t="inlineStr">
        <is>
          <t>cleared</t>
        </is>
      </c>
      <c r="J13" s="6" t="inlineStr">
        <is>
          <t>bank feed / RCPT-AR-0031138</t>
        </is>
      </c>
    </row>
    <row r="14">
      <c r="A14" s="6" t="inlineStr">
        <is>
          <t>1000-0009</t>
        </is>
      </c>
      <c r="B14" s="6" t="inlineStr">
        <is>
          <t>2026-06-20</t>
        </is>
      </c>
      <c r="C14" s="6" t="inlineStr">
        <is>
          <t>ACH/CHECK DEPOSIT</t>
        </is>
      </c>
      <c r="D14" s="6" t="inlineStr">
        <is>
          <t>1000</t>
        </is>
      </c>
      <c r="E14" s="6" t="inlineStr">
        <is>
          <t>Tualatin Commerce Center Operating Company; Customer receipt applied to AR-0031178</t>
        </is>
      </c>
      <c r="F14" s="7" t="n">
        <v>3265.36</v>
      </c>
      <c r="G14" s="7" t="n">
        <v>0</v>
      </c>
      <c r="H14" s="7">
        <f>F14+G14</f>
        <v/>
      </c>
      <c r="I14" s="6" t="inlineStr">
        <is>
          <t>cleared</t>
        </is>
      </c>
      <c r="J14" s="6" t="inlineStr">
        <is>
          <t>bank feed / RCPT-AR-0031178</t>
        </is>
      </c>
    </row>
    <row r="15">
      <c r="A15" s="6" t="inlineStr">
        <is>
          <t>1000-0010</t>
        </is>
      </c>
      <c r="B15" s="6" t="inlineStr">
        <is>
          <t>2026-06-20</t>
        </is>
      </c>
      <c r="C15" s="6" t="inlineStr">
        <is>
          <t>ACH DEBIT</t>
        </is>
      </c>
      <c r="D15" s="6" t="inlineStr">
        <is>
          <t>1000</t>
        </is>
      </c>
      <c r="E15" s="6" t="inlineStr">
        <is>
          <t>West Coast Fleet Service Center - Gresham Company; Vendor payment applied to AP-0009877</t>
        </is>
      </c>
      <c r="F15" s="7" t="n">
        <v>-4494.18</v>
      </c>
      <c r="G15" s="7" t="n">
        <v>0</v>
      </c>
      <c r="H15" s="7">
        <f>F15+G15</f>
        <v/>
      </c>
      <c r="I15" s="6" t="inlineStr">
        <is>
          <t>cleared</t>
        </is>
      </c>
      <c r="J15" s="6" t="inlineStr">
        <is>
          <t>bank feed / ACH-AP-0009877</t>
        </is>
      </c>
    </row>
    <row r="16">
      <c r="A16" s="6" t="inlineStr">
        <is>
          <t>1000-0011</t>
        </is>
      </c>
      <c r="B16" s="6" t="inlineStr">
        <is>
          <t>2026-06-20</t>
        </is>
      </c>
      <c r="C16" s="6" t="inlineStr">
        <is>
          <t>ACH/CHECK DEPOSIT</t>
        </is>
      </c>
      <c r="D16" s="6" t="inlineStr">
        <is>
          <t>1000</t>
        </is>
      </c>
      <c r="E16" s="6" t="inlineStr">
        <is>
          <t>Oregon Advanced Materials - South Campus Services; Customer receipt applied to AR-0031313</t>
        </is>
      </c>
      <c r="F16" s="7" t="n">
        <v>2138.53</v>
      </c>
      <c r="G16" s="7" t="n">
        <v>0</v>
      </c>
      <c r="H16" s="7">
        <f>F16+G16</f>
        <v/>
      </c>
      <c r="I16" s="6" t="inlineStr">
        <is>
          <t>cleared</t>
        </is>
      </c>
      <c r="J16" s="6" t="inlineStr">
        <is>
          <t>bank feed / RCPT-AR-0031313</t>
        </is>
      </c>
    </row>
    <row r="17">
      <c r="A17" s="6" t="inlineStr">
        <is>
          <t>1000-0012</t>
        </is>
      </c>
      <c r="B17" s="6" t="inlineStr">
        <is>
          <t>2026-06-20</t>
        </is>
      </c>
      <c r="C17" s="6" t="inlineStr">
        <is>
          <t>ACH DEBIT</t>
        </is>
      </c>
      <c r="D17" s="6" t="inlineStr">
        <is>
          <t>1000</t>
        </is>
      </c>
      <c r="E17" s="6" t="inlineStr">
        <is>
          <t>Tri-County Business Systems - Bend LLC; Vendor payment applied to AP-0009903</t>
        </is>
      </c>
      <c r="F17" s="7" t="n">
        <v>-2699.77</v>
      </c>
      <c r="G17" s="7" t="n">
        <v>0</v>
      </c>
      <c r="H17" s="7">
        <f>F17+G17</f>
        <v/>
      </c>
      <c r="I17" s="6" t="inlineStr">
        <is>
          <t>cleared</t>
        </is>
      </c>
      <c r="J17" s="6" t="inlineStr">
        <is>
          <t>bank feed / ACH-AP-0009903</t>
        </is>
      </c>
    </row>
    <row r="18">
      <c r="A18" s="6" t="inlineStr">
        <is>
          <t>1000-0013</t>
        </is>
      </c>
      <c r="B18" s="6" t="inlineStr">
        <is>
          <t>2026-06-20</t>
        </is>
      </c>
      <c r="C18" s="6" t="inlineStr">
        <is>
          <t>ACH DEBIT</t>
        </is>
      </c>
      <c r="D18" s="6" t="inlineStr">
        <is>
          <t>1000</t>
        </is>
      </c>
      <c r="E18" s="6" t="inlineStr">
        <is>
          <t>High Desert Building Services - Gresham Services, LLC; Vendor payment applied to AP-0011879</t>
        </is>
      </c>
      <c r="F18" s="7" t="n">
        <v>-2281.49</v>
      </c>
      <c r="G18" s="7" t="n">
        <v>0</v>
      </c>
      <c r="H18" s="7">
        <f>F18+G18</f>
        <v/>
      </c>
      <c r="I18" s="6" t="inlineStr">
        <is>
          <t>cleared</t>
        </is>
      </c>
      <c r="J18" s="6" t="inlineStr">
        <is>
          <t>bank feed / ACH-AP-0011879</t>
        </is>
      </c>
    </row>
    <row r="19">
      <c r="A19" s="6" t="inlineStr">
        <is>
          <t>1000-0014</t>
        </is>
      </c>
      <c r="B19" s="6" t="inlineStr">
        <is>
          <t>2026-06-21</t>
        </is>
      </c>
      <c r="C19" s="6" t="inlineStr">
        <is>
          <t>ACH DEBIT</t>
        </is>
      </c>
      <c r="D19" s="6" t="inlineStr">
        <is>
          <t>1000</t>
        </is>
      </c>
      <c r="E19" s="6" t="inlineStr">
        <is>
          <t>Cedar Mill Mechanical Insulation - Eugene Services, LLC; Vendor payment applied to AP-0003873</t>
        </is>
      </c>
      <c r="F19" s="7" t="n">
        <v>-4787.33</v>
      </c>
      <c r="G19" s="7" t="n">
        <v>0</v>
      </c>
      <c r="H19" s="7">
        <f>F19+G19</f>
        <v/>
      </c>
      <c r="I19" s="6" t="inlineStr">
        <is>
          <t>cleared</t>
        </is>
      </c>
      <c r="J19" s="6" t="inlineStr">
        <is>
          <t>bank feed / ACH-AP-0003873</t>
        </is>
      </c>
    </row>
    <row r="20">
      <c r="A20" s="6" t="inlineStr">
        <is>
          <t>1000-0015</t>
        </is>
      </c>
      <c r="B20" s="6" t="inlineStr">
        <is>
          <t>2026-06-21</t>
        </is>
      </c>
      <c r="C20" s="6" t="inlineStr">
        <is>
          <t>INTERNAL TRANSFER</t>
        </is>
      </c>
      <c r="D20" s="6" t="inlineStr">
        <is>
          <t>1000</t>
        </is>
      </c>
      <c r="E20" s="6" t="inlineStr">
        <is>
          <t>Payroll account 7718; Fund field payroll</t>
        </is>
      </c>
      <c r="F20" s="7" t="n">
        <v>-11068.33</v>
      </c>
      <c r="G20" s="7" t="n">
        <v>0</v>
      </c>
      <c r="H20" s="7">
        <f>F20+G20</f>
        <v/>
      </c>
      <c r="I20" s="6" t="inlineStr">
        <is>
          <t>cleared</t>
        </is>
      </c>
      <c r="J20" s="6" t="inlineStr">
        <is>
          <t>bank feed / FUND-PRJ-PAY-ARM-2318-20260621</t>
        </is>
      </c>
    </row>
    <row r="21">
      <c r="A21" s="6" t="inlineStr">
        <is>
          <t>1000-0016</t>
        </is>
      </c>
      <c r="B21" s="6" t="inlineStr">
        <is>
          <t>2026-06-21</t>
        </is>
      </c>
      <c r="C21" s="6" t="inlineStr">
        <is>
          <t>INTERNAL TRANSFER</t>
        </is>
      </c>
      <c r="D21" s="6" t="inlineStr">
        <is>
          <t>1000</t>
        </is>
      </c>
      <c r="E21" s="6" t="inlineStr">
        <is>
          <t>Payroll account 7718; Fund field payroll</t>
        </is>
      </c>
      <c r="F21" s="7" t="n">
        <v>-9359.67</v>
      </c>
      <c r="G21" s="7" t="n">
        <v>0</v>
      </c>
      <c r="H21" s="7">
        <f>F21+G21</f>
        <v/>
      </c>
      <c r="I21" s="6" t="inlineStr">
        <is>
          <t>cleared</t>
        </is>
      </c>
      <c r="J21" s="6" t="inlineStr">
        <is>
          <t>bank feed / FUND-PRJ-PAY-ARM-2403-20260621</t>
        </is>
      </c>
    </row>
    <row r="22">
      <c r="A22" s="6" t="inlineStr">
        <is>
          <t>1000-0017</t>
        </is>
      </c>
      <c r="B22" s="6" t="inlineStr">
        <is>
          <t>2026-06-21</t>
        </is>
      </c>
      <c r="C22" s="6" t="inlineStr">
        <is>
          <t>INTERNAL TRANSFER</t>
        </is>
      </c>
      <c r="D22" s="6" t="inlineStr">
        <is>
          <t>1000</t>
        </is>
      </c>
      <c r="E22" s="6" t="inlineStr">
        <is>
          <t>Payroll account 7718; Fund field payroll</t>
        </is>
      </c>
      <c r="F22" s="7" t="n">
        <v>-11812.12</v>
      </c>
      <c r="G22" s="7" t="n">
        <v>0</v>
      </c>
      <c r="H22" s="7">
        <f>F22+G22</f>
        <v/>
      </c>
      <c r="I22" s="6" t="inlineStr">
        <is>
          <t>cleared</t>
        </is>
      </c>
      <c r="J22" s="6" t="inlineStr">
        <is>
          <t>bank feed / FUND-PRJ-PAY-ARM-2409-20260621</t>
        </is>
      </c>
    </row>
    <row r="23">
      <c r="A23" s="6" t="inlineStr">
        <is>
          <t>1000-0018</t>
        </is>
      </c>
      <c r="B23" s="6" t="inlineStr">
        <is>
          <t>2026-06-21</t>
        </is>
      </c>
      <c r="C23" s="6" t="inlineStr">
        <is>
          <t>INTERNAL TRANSFER</t>
        </is>
      </c>
      <c r="D23" s="6" t="inlineStr">
        <is>
          <t>1000</t>
        </is>
      </c>
      <c r="E23" s="6" t="inlineStr">
        <is>
          <t>Payroll account 7718; Fund field payroll</t>
        </is>
      </c>
      <c r="F23" s="7" t="n">
        <v>-10994.27</v>
      </c>
      <c r="G23" s="7" t="n">
        <v>0</v>
      </c>
      <c r="H23" s="7">
        <f>F23+G23</f>
        <v/>
      </c>
      <c r="I23" s="6" t="inlineStr">
        <is>
          <t>cleared</t>
        </is>
      </c>
      <c r="J23" s="6" t="inlineStr">
        <is>
          <t>bank feed / FUND-PRJ-PAY-ARM-2412-20260621</t>
        </is>
      </c>
    </row>
    <row r="24">
      <c r="A24" s="6" t="inlineStr">
        <is>
          <t>1000-0019</t>
        </is>
      </c>
      <c r="B24" s="6" t="inlineStr">
        <is>
          <t>2026-06-21</t>
        </is>
      </c>
      <c r="C24" s="6" t="inlineStr">
        <is>
          <t>ACH DEBIT</t>
        </is>
      </c>
      <c r="D24" s="6" t="inlineStr">
        <is>
          <t>1000</t>
        </is>
      </c>
      <c r="E24" s="6" t="inlineStr">
        <is>
          <t>Willamette Mechanical Insulation - Portland Inc.; Vendor payment applied to AP-0004685</t>
        </is>
      </c>
      <c r="F24" s="7" t="n">
        <v>-6220.2</v>
      </c>
      <c r="G24" s="7" t="n">
        <v>0</v>
      </c>
      <c r="H24" s="7">
        <f>F24+G24</f>
        <v/>
      </c>
      <c r="I24" s="6" t="inlineStr">
        <is>
          <t>cleared</t>
        </is>
      </c>
      <c r="J24" s="6" t="inlineStr">
        <is>
          <t>bank feed / ACH-AP-0004685</t>
        </is>
      </c>
    </row>
    <row r="25">
      <c r="A25" s="6" t="inlineStr">
        <is>
          <t>1000-0020</t>
        </is>
      </c>
      <c r="B25" s="6" t="inlineStr">
        <is>
          <t>2026-06-21</t>
        </is>
      </c>
      <c r="C25" s="6" t="inlineStr">
        <is>
          <t>INTERNAL TRANSFER</t>
        </is>
      </c>
      <c r="D25" s="6" t="inlineStr">
        <is>
          <t>1000</t>
        </is>
      </c>
      <c r="E25" s="6" t="inlineStr">
        <is>
          <t>Payroll account 7718; Fund field payroll</t>
        </is>
      </c>
      <c r="F25" s="7" t="n">
        <v>-19965.36</v>
      </c>
      <c r="G25" s="7" t="n">
        <v>0</v>
      </c>
      <c r="H25" s="7">
        <f>F25+G25</f>
        <v/>
      </c>
      <c r="I25" s="6" t="inlineStr">
        <is>
          <t>cleared</t>
        </is>
      </c>
      <c r="J25" s="6" t="inlineStr">
        <is>
          <t>bank feed / FUND-PRJ-PAY-ARM-2417-20260621</t>
        </is>
      </c>
    </row>
    <row r="26">
      <c r="A26" s="6" t="inlineStr">
        <is>
          <t>1000-0021</t>
        </is>
      </c>
      <c r="B26" s="6" t="inlineStr">
        <is>
          <t>2026-06-21</t>
        </is>
      </c>
      <c r="C26" s="6" t="inlineStr">
        <is>
          <t>INTERNAL TRANSFER</t>
        </is>
      </c>
      <c r="D26" s="6" t="inlineStr">
        <is>
          <t>1000</t>
        </is>
      </c>
      <c r="E26" s="6" t="inlineStr">
        <is>
          <t>Payroll account 7718; Fund field payroll</t>
        </is>
      </c>
      <c r="F26" s="7" t="n">
        <v>-11761.97</v>
      </c>
      <c r="G26" s="7" t="n">
        <v>0</v>
      </c>
      <c r="H26" s="7">
        <f>F26+G26</f>
        <v/>
      </c>
      <c r="I26" s="6" t="inlineStr">
        <is>
          <t>cleared</t>
        </is>
      </c>
      <c r="J26" s="6" t="inlineStr">
        <is>
          <t>bank feed / FUND-PRJ-PAY-ARM-2501-20260621</t>
        </is>
      </c>
    </row>
    <row r="27">
      <c r="A27" s="6" t="inlineStr">
        <is>
          <t>1000-0022</t>
        </is>
      </c>
      <c r="B27" s="6" t="inlineStr">
        <is>
          <t>2026-06-21</t>
        </is>
      </c>
      <c r="C27" s="6" t="inlineStr">
        <is>
          <t>INTERNAL TRANSFER</t>
        </is>
      </c>
      <c r="D27" s="6" t="inlineStr">
        <is>
          <t>1000</t>
        </is>
      </c>
      <c r="E27" s="6" t="inlineStr">
        <is>
          <t>Payroll account 7718; Fund field payroll</t>
        </is>
      </c>
      <c r="F27" s="7" t="n">
        <v>-24731.48</v>
      </c>
      <c r="G27" s="7" t="n">
        <v>0</v>
      </c>
      <c r="H27" s="7">
        <f>F27+G27</f>
        <v/>
      </c>
      <c r="I27" s="6" t="inlineStr">
        <is>
          <t>cleared</t>
        </is>
      </c>
      <c r="J27" s="6" t="inlineStr">
        <is>
          <t>bank feed / FUND-PRJ-PAY-ARM-2506-20260621</t>
        </is>
      </c>
    </row>
    <row r="28">
      <c r="A28" s="6" t="inlineStr">
        <is>
          <t>1000-0023</t>
        </is>
      </c>
      <c r="B28" s="6" t="inlineStr">
        <is>
          <t>2026-06-21</t>
        </is>
      </c>
      <c r="C28" s="6" t="inlineStr">
        <is>
          <t>INTERNAL TRANSFER</t>
        </is>
      </c>
      <c r="D28" s="6" t="inlineStr">
        <is>
          <t>1000</t>
        </is>
      </c>
      <c r="E28" s="6" t="inlineStr">
        <is>
          <t>Payroll account 7718; Fund field payroll</t>
        </is>
      </c>
      <c r="F28" s="7" t="n">
        <v>-17550.33</v>
      </c>
      <c r="G28" s="7" t="n">
        <v>0</v>
      </c>
      <c r="H28" s="7">
        <f>F28+G28</f>
        <v/>
      </c>
      <c r="I28" s="6" t="inlineStr">
        <is>
          <t>cleared</t>
        </is>
      </c>
      <c r="J28" s="6" t="inlineStr">
        <is>
          <t>bank feed / FUND-PRJ-PAY-ARM-2510-20260621</t>
        </is>
      </c>
    </row>
    <row r="29">
      <c r="A29" s="6" t="inlineStr">
        <is>
          <t>1000-0024</t>
        </is>
      </c>
      <c r="B29" s="6" t="inlineStr">
        <is>
          <t>2026-06-21</t>
        </is>
      </c>
      <c r="C29" s="6" t="inlineStr">
        <is>
          <t>ACH/CHECK DEPOSIT</t>
        </is>
      </c>
      <c r="D29" s="6" t="inlineStr">
        <is>
          <t>1000</t>
        </is>
      </c>
      <c r="E29" s="6" t="inlineStr">
        <is>
          <t>Redmond Unified School District; Customer receipt applied to PAYAPP-ARM-2514-202604</t>
        </is>
      </c>
      <c r="F29" s="7" t="n">
        <v>479822.8</v>
      </c>
      <c r="G29" s="7" t="n">
        <v>0</v>
      </c>
      <c r="H29" s="7">
        <f>F29+G29</f>
        <v/>
      </c>
      <c r="I29" s="6" t="inlineStr">
        <is>
          <t>cleared</t>
        </is>
      </c>
      <c r="J29" s="6" t="inlineStr">
        <is>
          <t>bank feed / RCPT-PAYAPP-ARM-2514-202604</t>
        </is>
      </c>
    </row>
    <row r="30">
      <c r="A30" s="6" t="inlineStr">
        <is>
          <t>1000-0025</t>
        </is>
      </c>
      <c r="B30" s="6" t="inlineStr">
        <is>
          <t>2026-06-21</t>
        </is>
      </c>
      <c r="C30" s="6" t="inlineStr">
        <is>
          <t>ACH DEBIT</t>
        </is>
      </c>
      <c r="D30" s="6" t="inlineStr">
        <is>
          <t>1000</t>
        </is>
      </c>
      <c r="E30" s="6" t="inlineStr">
        <is>
          <t>Rogue Valley Equipment Rental &amp; Services - Vancouver LLC; Vendor payment applied to AP-0005439</t>
        </is>
      </c>
      <c r="F30" s="7" t="n">
        <v>-6565.76</v>
      </c>
      <c r="G30" s="7" t="n">
        <v>0</v>
      </c>
      <c r="H30" s="7">
        <f>F30+G30</f>
        <v/>
      </c>
      <c r="I30" s="6" t="inlineStr">
        <is>
          <t>cleared</t>
        </is>
      </c>
      <c r="J30" s="6" t="inlineStr">
        <is>
          <t>bank feed / ACH-AP-0005439</t>
        </is>
      </c>
    </row>
    <row r="31">
      <c r="A31" s="6" t="inlineStr">
        <is>
          <t>1000-0026</t>
        </is>
      </c>
      <c r="B31" s="6" t="inlineStr">
        <is>
          <t>2026-06-21</t>
        </is>
      </c>
      <c r="C31" s="6" t="inlineStr">
        <is>
          <t>INTERNAL TRANSFER</t>
        </is>
      </c>
      <c r="D31" s="6" t="inlineStr">
        <is>
          <t>1000</t>
        </is>
      </c>
      <c r="E31" s="6" t="inlineStr">
        <is>
          <t>Payroll account 7718; Fund field payroll</t>
        </is>
      </c>
      <c r="F31" s="7" t="n">
        <v>-33471.75</v>
      </c>
      <c r="G31" s="7" t="n">
        <v>0</v>
      </c>
      <c r="H31" s="7">
        <f>F31+G31</f>
        <v/>
      </c>
      <c r="I31" s="6" t="inlineStr">
        <is>
          <t>cleared</t>
        </is>
      </c>
      <c r="J31" s="6" t="inlineStr">
        <is>
          <t>bank feed / FUND-PRJ-PAY-ARM-2514-20260621</t>
        </is>
      </c>
    </row>
    <row r="32">
      <c r="A32" s="6" t="inlineStr">
        <is>
          <t>1000-0027</t>
        </is>
      </c>
      <c r="B32" s="6" t="inlineStr">
        <is>
          <t>2026-06-21</t>
        </is>
      </c>
      <c r="C32" s="6" t="inlineStr">
        <is>
          <t>INTERNAL TRANSFER</t>
        </is>
      </c>
      <c r="D32" s="6" t="inlineStr">
        <is>
          <t>1000</t>
        </is>
      </c>
      <c r="E32" s="6" t="inlineStr">
        <is>
          <t>Payroll account 7718; Fund field payroll</t>
        </is>
      </c>
      <c r="F32" s="7" t="n">
        <v>-13288.34</v>
      </c>
      <c r="G32" s="7" t="n">
        <v>0</v>
      </c>
      <c r="H32" s="7">
        <f>F32+G32</f>
        <v/>
      </c>
      <c r="I32" s="6" t="inlineStr">
        <is>
          <t>cleared</t>
        </is>
      </c>
      <c r="J32" s="6" t="inlineStr">
        <is>
          <t>bank feed / FUND-PRJ-PAY-ARM-2518-20260621</t>
        </is>
      </c>
    </row>
    <row r="33">
      <c r="A33" s="6" t="inlineStr">
        <is>
          <t>1000-0028</t>
        </is>
      </c>
      <c r="B33" s="6" t="inlineStr">
        <is>
          <t>2026-06-21</t>
        </is>
      </c>
      <c r="C33" s="6" t="inlineStr">
        <is>
          <t>ACH DEBIT</t>
        </is>
      </c>
      <c r="D33" s="6" t="inlineStr">
        <is>
          <t>1000</t>
        </is>
      </c>
      <c r="E33" s="6" t="inlineStr">
        <is>
          <t>Pacific Mechanical Insulation - Salem LLC; Vendor payment applied to AP-0005587</t>
        </is>
      </c>
      <c r="F33" s="7" t="n">
        <v>-10428.94</v>
      </c>
      <c r="G33" s="7" t="n">
        <v>0</v>
      </c>
      <c r="H33" s="7">
        <f>F33+G33</f>
        <v/>
      </c>
      <c r="I33" s="6" t="inlineStr">
        <is>
          <t>cleared</t>
        </is>
      </c>
      <c r="J33" s="6" t="inlineStr">
        <is>
          <t>bank feed / ACH-AP-0005587</t>
        </is>
      </c>
    </row>
    <row r="34">
      <c r="A34" s="6" t="inlineStr">
        <is>
          <t>1000-0029</t>
        </is>
      </c>
      <c r="B34" s="6" t="inlineStr">
        <is>
          <t>2026-06-21</t>
        </is>
      </c>
      <c r="C34" s="6" t="inlineStr">
        <is>
          <t>INTERNAL TRANSFER</t>
        </is>
      </c>
      <c r="D34" s="6" t="inlineStr">
        <is>
          <t>1000</t>
        </is>
      </c>
      <c r="E34" s="6" t="inlineStr">
        <is>
          <t>Payroll account 7718; Fund field payroll</t>
        </is>
      </c>
      <c r="F34" s="7" t="n">
        <v>-14808.95</v>
      </c>
      <c r="G34" s="7" t="n">
        <v>0</v>
      </c>
      <c r="H34" s="7">
        <f>F34+G34</f>
        <v/>
      </c>
      <c r="I34" s="6" t="inlineStr">
        <is>
          <t>cleared</t>
        </is>
      </c>
      <c r="J34" s="6" t="inlineStr">
        <is>
          <t>bank feed / FUND-PRJ-PAY-ARM-2522-20260621</t>
        </is>
      </c>
    </row>
    <row r="35">
      <c r="A35" s="6" t="inlineStr">
        <is>
          <t>1000-0030</t>
        </is>
      </c>
      <c r="B35" s="6" t="inlineStr">
        <is>
          <t>2026-06-21</t>
        </is>
      </c>
      <c r="C35" s="6" t="inlineStr">
        <is>
          <t>INTERNAL TRANSFER</t>
        </is>
      </c>
      <c r="D35" s="6" t="inlineStr">
        <is>
          <t>1000</t>
        </is>
      </c>
      <c r="E35" s="6" t="inlineStr">
        <is>
          <t>Payroll account 7718; Fund field payroll</t>
        </is>
      </c>
      <c r="F35" s="7" t="n">
        <v>-12701.53</v>
      </c>
      <c r="G35" s="7" t="n">
        <v>0</v>
      </c>
      <c r="H35" s="7">
        <f>F35+G35</f>
        <v/>
      </c>
      <c r="I35" s="6" t="inlineStr">
        <is>
          <t>cleared</t>
        </is>
      </c>
      <c r="J35" s="6" t="inlineStr">
        <is>
          <t>bank feed / FUND-PRJ-PAY-ARM-2526-20260621</t>
        </is>
      </c>
    </row>
    <row r="36">
      <c r="A36" s="6" t="inlineStr">
        <is>
          <t>1000-0031</t>
        </is>
      </c>
      <c r="B36" s="6" t="inlineStr">
        <is>
          <t>2026-06-21</t>
        </is>
      </c>
      <c r="C36" s="6" t="inlineStr">
        <is>
          <t>INTERNAL TRANSFER</t>
        </is>
      </c>
      <c r="D36" s="6" t="inlineStr">
        <is>
          <t>1000</t>
        </is>
      </c>
      <c r="E36" s="6" t="inlineStr">
        <is>
          <t>Payroll account 7718; Fund field payroll</t>
        </is>
      </c>
      <c r="F36" s="7" t="n">
        <v>-14686.36</v>
      </c>
      <c r="G36" s="7" t="n">
        <v>0</v>
      </c>
      <c r="H36" s="7">
        <f>F36+G36</f>
        <v/>
      </c>
      <c r="I36" s="6" t="inlineStr">
        <is>
          <t>cleared</t>
        </is>
      </c>
      <c r="J36" s="6" t="inlineStr">
        <is>
          <t>bank feed / FUND-PRJ-PAY-ARM-2602-20260621</t>
        </is>
      </c>
    </row>
    <row r="37">
      <c r="A37" s="6" t="inlineStr">
        <is>
          <t>1000-0032</t>
        </is>
      </c>
      <c r="B37" s="6" t="inlineStr">
        <is>
          <t>2026-06-21</t>
        </is>
      </c>
      <c r="C37" s="6" t="inlineStr">
        <is>
          <t>INTERNAL TRANSFER</t>
        </is>
      </c>
      <c r="D37" s="6" t="inlineStr">
        <is>
          <t>1000</t>
        </is>
      </c>
      <c r="E37" s="6" t="inlineStr">
        <is>
          <t>Payroll account 7718; Fund field payroll</t>
        </is>
      </c>
      <c r="F37" s="7" t="n">
        <v>-11570.38</v>
      </c>
      <c r="G37" s="7" t="n">
        <v>0</v>
      </c>
      <c r="H37" s="7">
        <f>F37+G37</f>
        <v/>
      </c>
      <c r="I37" s="6" t="inlineStr">
        <is>
          <t>cleared</t>
        </is>
      </c>
      <c r="J37" s="6" t="inlineStr">
        <is>
          <t>bank feed / FUND-PRJ-PAY-ARM-2605-20260621</t>
        </is>
      </c>
    </row>
    <row r="38">
      <c r="A38" s="6" t="inlineStr">
        <is>
          <t>1000-0033</t>
        </is>
      </c>
      <c r="B38" s="6" t="inlineStr">
        <is>
          <t>2026-06-21</t>
        </is>
      </c>
      <c r="C38" s="6" t="inlineStr">
        <is>
          <t>INTERNAL TRANSFER</t>
        </is>
      </c>
      <c r="D38" s="6" t="inlineStr">
        <is>
          <t>1000</t>
        </is>
      </c>
      <c r="E38" s="6" t="inlineStr">
        <is>
          <t>Payroll account 7718; Fund field payroll</t>
        </is>
      </c>
      <c r="F38" s="7" t="n">
        <v>-9948.120000000001</v>
      </c>
      <c r="G38" s="7" t="n">
        <v>0</v>
      </c>
      <c r="H38" s="7">
        <f>F38+G38</f>
        <v/>
      </c>
      <c r="I38" s="6" t="inlineStr">
        <is>
          <t>cleared</t>
        </is>
      </c>
      <c r="J38" s="6" t="inlineStr">
        <is>
          <t>bank feed / FUND-PRJ-PAY-ARM-2608-20260621</t>
        </is>
      </c>
    </row>
    <row r="39">
      <c r="A39" s="6" t="inlineStr">
        <is>
          <t>1000-0034</t>
        </is>
      </c>
      <c r="B39" s="6" t="inlineStr">
        <is>
          <t>2026-06-21</t>
        </is>
      </c>
      <c r="C39" s="6" t="inlineStr">
        <is>
          <t>ACH/CHECK DEPOSIT</t>
        </is>
      </c>
      <c r="D39" s="6" t="inlineStr">
        <is>
          <t>1000</t>
        </is>
      </c>
      <c r="E39" s="6" t="inlineStr">
        <is>
          <t>Pacific Crest Biotech - East Facilities; Customer receipt applied to AR-0030925</t>
        </is>
      </c>
      <c r="F39" s="7" t="n">
        <v>1472.87</v>
      </c>
      <c r="G39" s="7" t="n">
        <v>0</v>
      </c>
      <c r="H39" s="7">
        <f>F39+G39</f>
        <v/>
      </c>
      <c r="I39" s="6" t="inlineStr">
        <is>
          <t>cleared</t>
        </is>
      </c>
      <c r="J39" s="6" t="inlineStr">
        <is>
          <t>bank feed / RCPT-AR-0030925</t>
        </is>
      </c>
    </row>
    <row r="40">
      <c r="A40" s="6" t="inlineStr">
        <is>
          <t>1000-0035</t>
        </is>
      </c>
      <c r="B40" s="6" t="inlineStr">
        <is>
          <t>2026-06-21</t>
        </is>
      </c>
      <c r="C40" s="6" t="inlineStr">
        <is>
          <t>ACH/CHECK DEPOSIT</t>
        </is>
      </c>
      <c r="D40" s="6" t="inlineStr">
        <is>
          <t>1000</t>
        </is>
      </c>
      <c r="E40" s="6" t="inlineStr">
        <is>
          <t>Portland Arts and Events - Central Campus Services; Customer receipt applied to AR-0030941</t>
        </is>
      </c>
      <c r="F40" s="7" t="n">
        <v>2582.6</v>
      </c>
      <c r="G40" s="7" t="n">
        <v>0</v>
      </c>
      <c r="H40" s="7">
        <f>F40+G40</f>
        <v/>
      </c>
      <c r="I40" s="6" t="inlineStr">
        <is>
          <t>cleared</t>
        </is>
      </c>
      <c r="J40" s="6" t="inlineStr">
        <is>
          <t>bank feed / RCPT-AR-0030941</t>
        </is>
      </c>
    </row>
    <row r="41">
      <c r="A41" s="6" t="inlineStr">
        <is>
          <t>1000-0036</t>
        </is>
      </c>
      <c r="B41" s="6" t="inlineStr">
        <is>
          <t>2026-06-21</t>
        </is>
      </c>
      <c r="C41" s="6" t="inlineStr">
        <is>
          <t>ACH/CHECK DEPOSIT</t>
        </is>
      </c>
      <c r="D41" s="6" t="inlineStr">
        <is>
          <t>1000</t>
        </is>
      </c>
      <c r="E41" s="6" t="inlineStr">
        <is>
          <t>Pacific Crest Biotech - East Partners, LP; Customer receipt applied to AR-0030969</t>
        </is>
      </c>
      <c r="F41" s="7" t="n">
        <v>1326.33</v>
      </c>
      <c r="G41" s="7" t="n">
        <v>0</v>
      </c>
      <c r="H41" s="7">
        <f>F41+G41</f>
        <v/>
      </c>
      <c r="I41" s="6" t="inlineStr">
        <is>
          <t>cleared</t>
        </is>
      </c>
      <c r="J41" s="6" t="inlineStr">
        <is>
          <t>bank feed / RCPT-AR-0030969</t>
        </is>
      </c>
    </row>
    <row r="42">
      <c r="A42" s="6" t="inlineStr">
        <is>
          <t>1000-0037</t>
        </is>
      </c>
      <c r="B42" s="6" t="inlineStr">
        <is>
          <t>2026-06-21</t>
        </is>
      </c>
      <c r="C42" s="6" t="inlineStr">
        <is>
          <t>ACH/CHECK DEPOSIT</t>
        </is>
      </c>
      <c r="D42" s="6" t="inlineStr">
        <is>
          <t>1000</t>
        </is>
      </c>
      <c r="E42" s="6" t="inlineStr">
        <is>
          <t>Forest Park Hospitality - West Development Company; Customer receipt applied to AR-0030979</t>
        </is>
      </c>
      <c r="F42" s="7" t="n">
        <v>2006.52</v>
      </c>
      <c r="G42" s="7" t="n">
        <v>0</v>
      </c>
      <c r="H42" s="7">
        <f>F42+G42</f>
        <v/>
      </c>
      <c r="I42" s="6" t="inlineStr">
        <is>
          <t>cleared</t>
        </is>
      </c>
      <c r="J42" s="6" t="inlineStr">
        <is>
          <t>bank feed / RCPT-AR-0030979</t>
        </is>
      </c>
    </row>
    <row r="43">
      <c r="A43" s="6" t="inlineStr">
        <is>
          <t>1000-0038</t>
        </is>
      </c>
      <c r="B43" s="6" t="inlineStr">
        <is>
          <t>2026-06-21</t>
        </is>
      </c>
      <c r="C43" s="6" t="inlineStr">
        <is>
          <t>ACH/CHECK DEPOSIT</t>
        </is>
      </c>
      <c r="D43" s="6" t="inlineStr">
        <is>
          <t>1000</t>
        </is>
      </c>
      <c r="E43" s="6" t="inlineStr">
        <is>
          <t>Beacon Industrial Campus Services; Customer receipt applied to AR-0031008</t>
        </is>
      </c>
      <c r="F43" s="7" t="n">
        <v>779.98</v>
      </c>
      <c r="G43" s="7" t="n">
        <v>0</v>
      </c>
      <c r="H43" s="7">
        <f>F43+G43</f>
        <v/>
      </c>
      <c r="I43" s="6" t="inlineStr">
        <is>
          <t>cleared</t>
        </is>
      </c>
      <c r="J43" s="6" t="inlineStr">
        <is>
          <t>bank feed / RCPT-AR-0031008</t>
        </is>
      </c>
    </row>
    <row r="44">
      <c r="A44" s="6" t="inlineStr">
        <is>
          <t>1000-0039</t>
        </is>
      </c>
      <c r="B44" s="6" t="inlineStr">
        <is>
          <t>2026-06-21</t>
        </is>
      </c>
      <c r="C44" s="6" t="inlineStr">
        <is>
          <t>ACH/CHECK DEPOSIT</t>
        </is>
      </c>
      <c r="D44" s="6" t="inlineStr">
        <is>
          <t>1000</t>
        </is>
      </c>
      <c r="E44" s="6" t="inlineStr">
        <is>
          <t>Klamath County Facilities - South Property Group; Customer receipt applied to AR-0031055</t>
        </is>
      </c>
      <c r="F44" s="7" t="n">
        <v>320.79</v>
      </c>
      <c r="G44" s="7" t="n">
        <v>0</v>
      </c>
      <c r="H44" s="7">
        <f>F44+G44</f>
        <v/>
      </c>
      <c r="I44" s="6" t="inlineStr">
        <is>
          <t>cleared</t>
        </is>
      </c>
      <c r="J44" s="6" t="inlineStr">
        <is>
          <t>bank feed / RCPT-AR-0031055</t>
        </is>
      </c>
    </row>
    <row r="45">
      <c r="A45" s="6" t="inlineStr">
        <is>
          <t>1000-0040</t>
        </is>
      </c>
      <c r="B45" s="6" t="inlineStr">
        <is>
          <t>2026-06-21</t>
        </is>
      </c>
      <c r="C45" s="6" t="inlineStr">
        <is>
          <t>ACH/CHECK DEPOSIT</t>
        </is>
      </c>
      <c r="D45" s="6" t="inlineStr">
        <is>
          <t>1000</t>
        </is>
      </c>
      <c r="E45" s="6" t="inlineStr">
        <is>
          <t>Columbia River Logistics - Portfolio Operating Company; Customer receipt applied to AR-0031081</t>
        </is>
      </c>
      <c r="F45" s="7" t="n">
        <v>718.21</v>
      </c>
      <c r="G45" s="7" t="n">
        <v>0</v>
      </c>
      <c r="H45" s="7">
        <f>F45+G45</f>
        <v/>
      </c>
      <c r="I45" s="6" t="inlineStr">
        <is>
          <t>cleared</t>
        </is>
      </c>
      <c r="J45" s="6" t="inlineStr">
        <is>
          <t>bank feed / RCPT-AR-0031081</t>
        </is>
      </c>
    </row>
    <row r="46">
      <c r="A46" s="6" t="inlineStr">
        <is>
          <t>1000-0041</t>
        </is>
      </c>
      <c r="B46" s="6" t="inlineStr">
        <is>
          <t>2026-06-21</t>
        </is>
      </c>
      <c r="C46" s="6" t="inlineStr">
        <is>
          <t>ACH/CHECK DEPOSIT</t>
        </is>
      </c>
      <c r="D46" s="6" t="inlineStr">
        <is>
          <t>1000</t>
        </is>
      </c>
      <c r="E46" s="6" t="inlineStr">
        <is>
          <t>Lake Oswego Office Partners - East Campus Services; Customer receipt applied to AR-0031110</t>
        </is>
      </c>
      <c r="F46" s="7" t="n">
        <v>1331.82</v>
      </c>
      <c r="G46" s="7" t="n">
        <v>0</v>
      </c>
      <c r="H46" s="7">
        <f>F46+G46</f>
        <v/>
      </c>
      <c r="I46" s="6" t="inlineStr">
        <is>
          <t>cleared</t>
        </is>
      </c>
      <c r="J46" s="6" t="inlineStr">
        <is>
          <t>bank feed / RCPT-AR-0031110</t>
        </is>
      </c>
    </row>
    <row r="47">
      <c r="A47" s="6" t="inlineStr">
        <is>
          <t>1000-0042</t>
        </is>
      </c>
      <c r="B47" s="6" t="inlineStr">
        <is>
          <t>2026-06-21</t>
        </is>
      </c>
      <c r="C47" s="6" t="inlineStr">
        <is>
          <t>ACH/CHECK DEPOSIT</t>
        </is>
      </c>
      <c r="D47" s="6" t="inlineStr">
        <is>
          <t>1000</t>
        </is>
      </c>
      <c r="E47" s="6" t="inlineStr">
        <is>
          <t>Deschutes Medical Group - North Campus Services; Customer receipt applied to AR-0031189</t>
        </is>
      </c>
      <c r="F47" s="7" t="n">
        <v>5165.82</v>
      </c>
      <c r="G47" s="7" t="n">
        <v>0</v>
      </c>
      <c r="H47" s="7">
        <f>F47+G47</f>
        <v/>
      </c>
      <c r="I47" s="6" t="inlineStr">
        <is>
          <t>cleared</t>
        </is>
      </c>
      <c r="J47" s="6" t="inlineStr">
        <is>
          <t>bank feed / RCPT-AR-0031189</t>
        </is>
      </c>
    </row>
    <row r="48">
      <c r="A48" s="6" t="inlineStr">
        <is>
          <t>1000-0043</t>
        </is>
      </c>
      <c r="B48" s="6" t="inlineStr">
        <is>
          <t>2026-06-21</t>
        </is>
      </c>
      <c r="C48" s="6" t="inlineStr">
        <is>
          <t>ACH/CHECK DEPOSIT</t>
        </is>
      </c>
      <c r="D48" s="6" t="inlineStr">
        <is>
          <t>1000</t>
        </is>
      </c>
      <c r="E48" s="6" t="inlineStr">
        <is>
          <t>Pioneer Medical Properties - West Holdings, LLC; Customer receipt applied to AR-0031202</t>
        </is>
      </c>
      <c r="F48" s="7" t="n">
        <v>1003.67</v>
      </c>
      <c r="G48" s="7" t="n">
        <v>0</v>
      </c>
      <c r="H48" s="7">
        <f>F48+G48</f>
        <v/>
      </c>
      <c r="I48" s="6" t="inlineStr">
        <is>
          <t>cleared</t>
        </is>
      </c>
      <c r="J48" s="6" t="inlineStr">
        <is>
          <t>bank feed / RCPT-AR-0031202</t>
        </is>
      </c>
    </row>
    <row r="49">
      <c r="A49" s="6" t="inlineStr">
        <is>
          <t>1000-0044</t>
        </is>
      </c>
      <c r="B49" s="6" t="inlineStr">
        <is>
          <t>2026-06-21</t>
        </is>
      </c>
      <c r="C49" s="6" t="inlineStr">
        <is>
          <t>ACH/CHECK DEPOSIT</t>
        </is>
      </c>
      <c r="D49" s="6" t="inlineStr">
        <is>
          <t>1000</t>
        </is>
      </c>
      <c r="E49" s="6" t="inlineStr">
        <is>
          <t>Alder Creek Medical - North Property Group; Customer receipt applied to AR-0031222</t>
        </is>
      </c>
      <c r="F49" s="7" t="n">
        <v>1899.6</v>
      </c>
      <c r="G49" s="7" t="n">
        <v>0</v>
      </c>
      <c r="H49" s="7">
        <f>F49+G49</f>
        <v/>
      </c>
      <c r="I49" s="6" t="inlineStr">
        <is>
          <t>cleared</t>
        </is>
      </c>
      <c r="J49" s="6" t="inlineStr">
        <is>
          <t>bank feed / RCPT-AR-0031222</t>
        </is>
      </c>
    </row>
    <row r="50">
      <c r="A50" s="6" t="inlineStr">
        <is>
          <t>1000-0045</t>
        </is>
      </c>
      <c r="B50" s="6" t="inlineStr">
        <is>
          <t>2026-06-21</t>
        </is>
      </c>
      <c r="C50" s="6" t="inlineStr">
        <is>
          <t>ACH/CHECK DEPOSIT</t>
        </is>
      </c>
      <c r="D50" s="6" t="inlineStr">
        <is>
          <t>1000</t>
        </is>
      </c>
      <c r="E50" s="6" t="inlineStr">
        <is>
          <t>Hillsboro Life Sciences - Campus Real Estate, LLC; Customer receipt applied to AR-0031438</t>
        </is>
      </c>
      <c r="F50" s="7" t="n">
        <v>541.39</v>
      </c>
      <c r="G50" s="7" t="n">
        <v>0</v>
      </c>
      <c r="H50" s="7">
        <f>F50+G50</f>
        <v/>
      </c>
      <c r="I50" s="6" t="inlineStr">
        <is>
          <t>cleared</t>
        </is>
      </c>
      <c r="J50" s="6" t="inlineStr">
        <is>
          <t>bank feed / RCPT-AR-0031438</t>
        </is>
      </c>
    </row>
    <row r="51">
      <c r="A51" s="6" t="inlineStr">
        <is>
          <t>1000-0046</t>
        </is>
      </c>
      <c r="B51" s="6" t="inlineStr">
        <is>
          <t>2026-06-21</t>
        </is>
      </c>
      <c r="C51" s="6" t="inlineStr">
        <is>
          <t>ACH/CHECK DEPOSIT</t>
        </is>
      </c>
      <c r="D51" s="6" t="inlineStr">
        <is>
          <t>1000</t>
        </is>
      </c>
      <c r="E51" s="6" t="inlineStr">
        <is>
          <t>McKenzie River Foods - Central Holdings, LLC; Customer receipt applied to AR-0031470</t>
        </is>
      </c>
      <c r="F51" s="7" t="n">
        <v>223.25</v>
      </c>
      <c r="G51" s="7" t="n">
        <v>0</v>
      </c>
      <c r="H51" s="7">
        <f>F51+G51</f>
        <v/>
      </c>
      <c r="I51" s="6" t="inlineStr">
        <is>
          <t>cleared</t>
        </is>
      </c>
      <c r="J51" s="6" t="inlineStr">
        <is>
          <t>bank feed / RCPT-AR-0031470</t>
        </is>
      </c>
    </row>
    <row r="52">
      <c r="A52" s="6" t="inlineStr">
        <is>
          <t>1000-0047</t>
        </is>
      </c>
      <c r="B52" s="6" t="inlineStr">
        <is>
          <t>2026-06-21</t>
        </is>
      </c>
      <c r="C52" s="6" t="inlineStr">
        <is>
          <t>INTERNAL TRANSFER</t>
        </is>
      </c>
      <c r="D52" s="6" t="inlineStr">
        <is>
          <t>1000</t>
        </is>
      </c>
      <c r="E52" s="6" t="inlineStr">
        <is>
          <t>Payroll account 7718; Fund service payroll</t>
        </is>
      </c>
      <c r="F52" s="7" t="n">
        <v>-67018.61</v>
      </c>
      <c r="G52" s="7" t="n">
        <v>0</v>
      </c>
      <c r="H52" s="7">
        <f>F52+G52</f>
        <v/>
      </c>
      <c r="I52" s="6" t="inlineStr">
        <is>
          <t>cleared</t>
        </is>
      </c>
      <c r="J52" s="6" t="inlineStr">
        <is>
          <t>bank feed / FUND-SVC-PAY-30-20260621</t>
        </is>
      </c>
    </row>
    <row r="53">
      <c r="A53" s="6" t="inlineStr">
        <is>
          <t>1000-0048</t>
        </is>
      </c>
      <c r="B53" s="6" t="inlineStr">
        <is>
          <t>2026-06-21</t>
        </is>
      </c>
      <c r="C53" s="6" t="inlineStr">
        <is>
          <t>ACH DEBIT</t>
        </is>
      </c>
      <c r="D53" s="6" t="inlineStr">
        <is>
          <t>1000</t>
        </is>
      </c>
      <c r="E53" s="6" t="inlineStr">
        <is>
          <t>Pacific Fleet Service Center - Bend LLC; Vendor payment applied to AP-0009915</t>
        </is>
      </c>
      <c r="F53" s="7" t="n">
        <v>-2730.44</v>
      </c>
      <c r="G53" s="7" t="n">
        <v>0</v>
      </c>
      <c r="H53" s="7">
        <f>F53+G53</f>
        <v/>
      </c>
      <c r="I53" s="6" t="inlineStr">
        <is>
          <t>cleared</t>
        </is>
      </c>
      <c r="J53" s="6" t="inlineStr">
        <is>
          <t>bank feed / ACH-AP-0009915</t>
        </is>
      </c>
    </row>
    <row r="54">
      <c r="A54" s="6" t="inlineStr">
        <is>
          <t>1000-0049</t>
        </is>
      </c>
      <c r="B54" s="6" t="inlineStr">
        <is>
          <t>2026-06-21</t>
        </is>
      </c>
      <c r="C54" s="6" t="inlineStr">
        <is>
          <t>INTERNAL TRANSFER</t>
        </is>
      </c>
      <c r="D54" s="6" t="inlineStr">
        <is>
          <t>1000</t>
        </is>
      </c>
      <c r="E54" s="6" t="inlineStr">
        <is>
          <t>Payroll account 7718; Fund service payroll</t>
        </is>
      </c>
      <c r="F54" s="7" t="n">
        <v>-20697.06</v>
      </c>
      <c r="G54" s="7" t="n">
        <v>0</v>
      </c>
      <c r="H54" s="7">
        <f>F54+G54</f>
        <v/>
      </c>
      <c r="I54" s="6" t="inlineStr">
        <is>
          <t>cleared</t>
        </is>
      </c>
      <c r="J54" s="6" t="inlineStr">
        <is>
          <t>bank feed / FUND-SVC-PAY-40-20260621</t>
        </is>
      </c>
    </row>
    <row r="55">
      <c r="A55" s="6" t="inlineStr">
        <is>
          <t>1000-0050</t>
        </is>
      </c>
      <c r="B55" s="6" t="inlineStr">
        <is>
          <t>2026-06-22</t>
        </is>
      </c>
      <c r="C55" s="6" t="inlineStr">
        <is>
          <t>ACH/CHECK DEPOSIT</t>
        </is>
      </c>
      <c r="D55" s="6" t="inlineStr">
        <is>
          <t>1000</t>
        </is>
      </c>
      <c r="E55" s="6" t="inlineStr">
        <is>
          <t>Oregon State University - Capital Planning; Customer receipt applied to PAYAPP-ARM-2412-202604</t>
        </is>
      </c>
      <c r="F55" s="7" t="n">
        <v>183430.05</v>
      </c>
      <c r="G55" s="7" t="n">
        <v>0</v>
      </c>
      <c r="H55" s="7">
        <f>F55+G55</f>
        <v/>
      </c>
      <c r="I55" s="6" t="inlineStr">
        <is>
          <t>cleared</t>
        </is>
      </c>
      <c r="J55" s="6" t="inlineStr">
        <is>
          <t>bank feed / RCPT-PAYAPP-ARM-2412-202604</t>
        </is>
      </c>
    </row>
    <row r="56">
      <c r="A56" s="6" t="inlineStr">
        <is>
          <t>1000-0051</t>
        </is>
      </c>
      <c r="B56" s="6" t="inlineStr">
        <is>
          <t>2026-06-22</t>
        </is>
      </c>
      <c r="C56" s="6" t="inlineStr">
        <is>
          <t>ACH DEBIT</t>
        </is>
      </c>
      <c r="D56" s="6" t="inlineStr">
        <is>
          <t>1000</t>
        </is>
      </c>
      <c r="E56" s="6" t="inlineStr">
        <is>
          <t>Rose City Crane and Rigging - Vancouver Services, LLC; Vendor payment applied to AP-0004436</t>
        </is>
      </c>
      <c r="F56" s="7" t="n">
        <v>-6725.96</v>
      </c>
      <c r="G56" s="7" t="n">
        <v>0</v>
      </c>
      <c r="H56" s="7">
        <f>F56+G56</f>
        <v/>
      </c>
      <c r="I56" s="6" t="inlineStr">
        <is>
          <t>cleared</t>
        </is>
      </c>
      <c r="J56" s="6" t="inlineStr">
        <is>
          <t>bank feed / ACH-AP-0004436</t>
        </is>
      </c>
    </row>
    <row r="57">
      <c r="A57" s="6" t="inlineStr">
        <is>
          <t>1000-0052</t>
        </is>
      </c>
      <c r="B57" s="6" t="inlineStr">
        <is>
          <t>2026-06-22</t>
        </is>
      </c>
      <c r="C57" s="6" t="inlineStr">
        <is>
          <t>ACH/CHECK DEPOSIT</t>
        </is>
      </c>
      <c r="D57" s="6" t="inlineStr">
        <is>
          <t>1000</t>
        </is>
      </c>
      <c r="E57" s="6" t="inlineStr">
        <is>
          <t>Cascade Health Properties, LLC; Customer receipt applied to PAYAPP-ARM-2417-202604</t>
        </is>
      </c>
      <c r="F57" s="7" t="n">
        <v>336449.66</v>
      </c>
      <c r="G57" s="7" t="n">
        <v>0</v>
      </c>
      <c r="H57" s="7">
        <f>F57+G57</f>
        <v/>
      </c>
      <c r="I57" s="6" t="inlineStr">
        <is>
          <t>cleared</t>
        </is>
      </c>
      <c r="J57" s="6" t="inlineStr">
        <is>
          <t>bank feed / RCPT-PAYAPP-ARM-2417-202604</t>
        </is>
      </c>
    </row>
    <row r="58">
      <c r="A58" s="6" t="inlineStr">
        <is>
          <t>1000-0053</t>
        </is>
      </c>
      <c r="B58" s="6" t="inlineStr">
        <is>
          <t>2026-06-22</t>
        </is>
      </c>
      <c r="C58" s="6" t="inlineStr">
        <is>
          <t>ACH DEBIT</t>
        </is>
      </c>
      <c r="D58" s="6" t="inlineStr">
        <is>
          <t>1000</t>
        </is>
      </c>
      <c r="E58" s="6" t="inlineStr">
        <is>
          <t>Tualatin Pipe, Valve &amp; Fitting Supply - Bend Inc.; Vendor payment applied to AP-0005418</t>
        </is>
      </c>
      <c r="F58" s="7" t="n">
        <v>-15486.76</v>
      </c>
      <c r="G58" s="7" t="n">
        <v>0</v>
      </c>
      <c r="H58" s="7">
        <f>F58+G58</f>
        <v/>
      </c>
      <c r="I58" s="6" t="inlineStr">
        <is>
          <t>cleared</t>
        </is>
      </c>
      <c r="J58" s="6" t="inlineStr">
        <is>
          <t>bank feed / ACH-AP-0005418</t>
        </is>
      </c>
    </row>
    <row r="59">
      <c r="A59" s="6" t="inlineStr">
        <is>
          <t>1000-0054</t>
        </is>
      </c>
      <c r="B59" s="6" t="inlineStr">
        <is>
          <t>2026-06-22</t>
        </is>
      </c>
      <c r="C59" s="6" t="inlineStr">
        <is>
          <t>ACH DEBIT</t>
        </is>
      </c>
      <c r="D59" s="6" t="inlineStr">
        <is>
          <t>1000</t>
        </is>
      </c>
      <c r="E59" s="6" t="inlineStr">
        <is>
          <t>Trane U.S. Inc. - Pacific Northwest; Vendor payment applied to AP-0005739</t>
        </is>
      </c>
      <c r="F59" s="7" t="n">
        <v>-9403.559999999999</v>
      </c>
      <c r="G59" s="7" t="n">
        <v>0</v>
      </c>
      <c r="H59" s="7">
        <f>F59+G59</f>
        <v/>
      </c>
      <c r="I59" s="6" t="inlineStr">
        <is>
          <t>cleared</t>
        </is>
      </c>
      <c r="J59" s="6" t="inlineStr">
        <is>
          <t>bank feed / ACH-AP-0005739</t>
        </is>
      </c>
    </row>
    <row r="60">
      <c r="A60" s="6" t="inlineStr">
        <is>
          <t>1000-0055</t>
        </is>
      </c>
      <c r="B60" s="6" t="inlineStr">
        <is>
          <t>2026-06-22</t>
        </is>
      </c>
      <c r="C60" s="6" t="inlineStr">
        <is>
          <t>ACH/CHECK DEPOSIT</t>
        </is>
      </c>
      <c r="D60" s="6" t="inlineStr">
        <is>
          <t>1000</t>
        </is>
      </c>
      <c r="E60" s="6" t="inlineStr">
        <is>
          <t>Columbia River Logistics - Portfolio Partners, LP; Customer receipt applied to AR-0030947</t>
        </is>
      </c>
      <c r="F60" s="7" t="n">
        <v>4524.01</v>
      </c>
      <c r="G60" s="7" t="n">
        <v>0</v>
      </c>
      <c r="H60" s="7">
        <f>F60+G60</f>
        <v/>
      </c>
      <c r="I60" s="6" t="inlineStr">
        <is>
          <t>cleared</t>
        </is>
      </c>
      <c r="J60" s="6" t="inlineStr">
        <is>
          <t>bank feed / RCPT-AR-0030947</t>
        </is>
      </c>
    </row>
    <row r="61">
      <c r="A61" s="6" t="inlineStr">
        <is>
          <t>1000-0056</t>
        </is>
      </c>
      <c r="B61" s="6" t="inlineStr">
        <is>
          <t>2026-06-22</t>
        </is>
      </c>
      <c r="C61" s="6" t="inlineStr">
        <is>
          <t>ACH/CHECK DEPOSIT</t>
        </is>
      </c>
      <c r="D61" s="6" t="inlineStr">
        <is>
          <t>1000</t>
        </is>
      </c>
      <c r="E61" s="6" t="inlineStr">
        <is>
          <t>Fairview Property Partners - East Holdings, LLC; Customer receipt applied to AR-0030972</t>
        </is>
      </c>
      <c r="F61" s="7" t="n">
        <v>1055.39</v>
      </c>
      <c r="G61" s="7" t="n">
        <v>0</v>
      </c>
      <c r="H61" s="7">
        <f>F61+G61</f>
        <v/>
      </c>
      <c r="I61" s="6" t="inlineStr">
        <is>
          <t>cleared</t>
        </is>
      </c>
      <c r="J61" s="6" t="inlineStr">
        <is>
          <t>bank feed / RCPT-AR-0030972</t>
        </is>
      </c>
    </row>
    <row r="62">
      <c r="A62" s="6" t="inlineStr">
        <is>
          <t>1000-0057</t>
        </is>
      </c>
      <c r="B62" s="6" t="inlineStr">
        <is>
          <t>2026-06-22</t>
        </is>
      </c>
      <c r="C62" s="6" t="inlineStr">
        <is>
          <t>ACH/CHECK DEPOSIT</t>
        </is>
      </c>
      <c r="D62" s="6" t="inlineStr">
        <is>
          <t>1000</t>
        </is>
      </c>
      <c r="E62" s="6" t="inlineStr">
        <is>
          <t>Portland Arts and Events - Central Asset Management; Customer receipt applied to AR-0030985</t>
        </is>
      </c>
      <c r="F62" s="7" t="n">
        <v>910.28</v>
      </c>
      <c r="G62" s="7" t="n">
        <v>0</v>
      </c>
      <c r="H62" s="7">
        <f>F62+G62</f>
        <v/>
      </c>
      <c r="I62" s="6" t="inlineStr">
        <is>
          <t>cleared</t>
        </is>
      </c>
      <c r="J62" s="6" t="inlineStr">
        <is>
          <t>bank feed / RCPT-AR-0030985</t>
        </is>
      </c>
    </row>
    <row r="63">
      <c r="A63" s="6" t="inlineStr">
        <is>
          <t>1000-0058</t>
        </is>
      </c>
      <c r="B63" s="6" t="inlineStr">
        <is>
          <t>2026-06-22</t>
        </is>
      </c>
      <c r="C63" s="6" t="inlineStr">
        <is>
          <t>ACH/CHECK DEPOSIT</t>
        </is>
      </c>
      <c r="D63" s="6" t="inlineStr">
        <is>
          <t>1000</t>
        </is>
      </c>
      <c r="E63" s="6" t="inlineStr">
        <is>
          <t>Juniper Ridge Properties - North Operating Company; Customer receipt applied to AR-0031092</t>
        </is>
      </c>
      <c r="F63" s="7" t="n">
        <v>1074.76</v>
      </c>
      <c r="G63" s="7" t="n">
        <v>0</v>
      </c>
      <c r="H63" s="7">
        <f>F63+G63</f>
        <v/>
      </c>
      <c r="I63" s="6" t="inlineStr">
        <is>
          <t>cleared</t>
        </is>
      </c>
      <c r="J63" s="6" t="inlineStr">
        <is>
          <t>bank feed / RCPT-AR-0031092</t>
        </is>
      </c>
    </row>
    <row r="64">
      <c r="A64" s="6" t="inlineStr">
        <is>
          <t>1000-0059</t>
        </is>
      </c>
      <c r="B64" s="6" t="inlineStr">
        <is>
          <t>2026-06-22</t>
        </is>
      </c>
      <c r="C64" s="6" t="inlineStr">
        <is>
          <t>ACH/CHECK DEPOSIT</t>
        </is>
      </c>
      <c r="D64" s="6" t="inlineStr">
        <is>
          <t>1000</t>
        </is>
      </c>
      <c r="E64" s="6" t="inlineStr">
        <is>
          <t>Oak Street Development - North LLC; Customer receipt applied to AR-0031133</t>
        </is>
      </c>
      <c r="F64" s="7" t="n">
        <v>1294.54</v>
      </c>
      <c r="G64" s="7" t="n">
        <v>0</v>
      </c>
      <c r="H64" s="7">
        <f>F64+G64</f>
        <v/>
      </c>
      <c r="I64" s="6" t="inlineStr">
        <is>
          <t>cleared</t>
        </is>
      </c>
      <c r="J64" s="6" t="inlineStr">
        <is>
          <t>bank feed / RCPT-AR-0031133</t>
        </is>
      </c>
    </row>
    <row r="65">
      <c r="A65" s="6" t="inlineStr">
        <is>
          <t>1000-0060</t>
        </is>
      </c>
      <c r="B65" s="6" t="inlineStr">
        <is>
          <t>2026-06-22</t>
        </is>
      </c>
      <c r="C65" s="6" t="inlineStr">
        <is>
          <t>ACH/CHECK DEPOSIT</t>
        </is>
      </c>
      <c r="D65" s="6" t="inlineStr">
        <is>
          <t>1000</t>
        </is>
      </c>
      <c r="E65" s="6" t="inlineStr">
        <is>
          <t>Copperline Apartments - Campus LLC; Customer receipt applied to AR-0031136</t>
        </is>
      </c>
      <c r="F65" s="7" t="n">
        <v>839.64</v>
      </c>
      <c r="G65" s="7" t="n">
        <v>0</v>
      </c>
      <c r="H65" s="7">
        <f>F65+G65</f>
        <v/>
      </c>
      <c r="I65" s="6" t="inlineStr">
        <is>
          <t>cleared</t>
        </is>
      </c>
      <c r="J65" s="6" t="inlineStr">
        <is>
          <t>bank feed / RCPT-AR-0031136</t>
        </is>
      </c>
    </row>
    <row r="66">
      <c r="A66" s="6" t="inlineStr">
        <is>
          <t>1000-0061</t>
        </is>
      </c>
      <c r="B66" s="6" t="inlineStr">
        <is>
          <t>2026-06-22</t>
        </is>
      </c>
      <c r="C66" s="6" t="inlineStr">
        <is>
          <t>ACH/CHECK DEPOSIT</t>
        </is>
      </c>
      <c r="D66" s="6" t="inlineStr">
        <is>
          <t>1000</t>
        </is>
      </c>
      <c r="E66" s="6" t="inlineStr">
        <is>
          <t>Beacon Industrial - South Development Company; Customer receipt applied to AR-0031148</t>
        </is>
      </c>
      <c r="F66" s="7" t="n">
        <v>2427.92</v>
      </c>
      <c r="G66" s="7" t="n">
        <v>0</v>
      </c>
      <c r="H66" s="7">
        <f>F66+G66</f>
        <v/>
      </c>
      <c r="I66" s="6" t="inlineStr">
        <is>
          <t>cleared</t>
        </is>
      </c>
      <c r="J66" s="6" t="inlineStr">
        <is>
          <t>bank feed / RCPT-AR-0031148</t>
        </is>
      </c>
    </row>
    <row r="67">
      <c r="A67" s="6" t="inlineStr">
        <is>
          <t>1000-0062</t>
        </is>
      </c>
      <c r="B67" s="6" t="inlineStr">
        <is>
          <t>2026-06-22</t>
        </is>
      </c>
      <c r="C67" s="6" t="inlineStr">
        <is>
          <t>ACH/CHECK DEPOSIT</t>
        </is>
      </c>
      <c r="D67" s="6" t="inlineStr">
        <is>
          <t>1000</t>
        </is>
      </c>
      <c r="E67" s="6" t="inlineStr">
        <is>
          <t>Sunrise Hospitality - East Development Company; Customer receipt applied to AR-0031190</t>
        </is>
      </c>
      <c r="F67" s="7" t="n">
        <v>4365.01</v>
      </c>
      <c r="G67" s="7" t="n">
        <v>0</v>
      </c>
      <c r="H67" s="7">
        <f>F67+G67</f>
        <v/>
      </c>
      <c r="I67" s="6" t="inlineStr">
        <is>
          <t>cleared</t>
        </is>
      </c>
      <c r="J67" s="6" t="inlineStr">
        <is>
          <t>bank feed / RCPT-AR-0031190</t>
        </is>
      </c>
    </row>
    <row r="68">
      <c r="A68" s="6" t="inlineStr">
        <is>
          <t>1000-0063</t>
        </is>
      </c>
      <c r="B68" s="6" t="inlineStr">
        <is>
          <t>2026-06-22</t>
        </is>
      </c>
      <c r="C68" s="6" t="inlineStr">
        <is>
          <t>ACH DEBIT</t>
        </is>
      </c>
      <c r="D68" s="6" t="inlineStr">
        <is>
          <t>1000</t>
        </is>
      </c>
      <c r="E68" s="6" t="inlineStr">
        <is>
          <t>Rose City Pipe, Valve &amp; Fitting Supply - Gresham Services, LLC; Vendor payment applied to AP-0009863</t>
        </is>
      </c>
      <c r="F68" s="7" t="n">
        <v>-1945.32</v>
      </c>
      <c r="G68" s="7" t="n">
        <v>0</v>
      </c>
      <c r="H68" s="7">
        <f>F68+G68</f>
        <v/>
      </c>
      <c r="I68" s="6" t="inlineStr">
        <is>
          <t>cleared</t>
        </is>
      </c>
      <c r="J68" s="6" t="inlineStr">
        <is>
          <t>bank feed / ACH-AP-0009863</t>
        </is>
      </c>
    </row>
    <row r="69">
      <c r="A69" s="6" t="inlineStr">
        <is>
          <t>1000-0064</t>
        </is>
      </c>
      <c r="B69" s="6" t="inlineStr">
        <is>
          <t>2026-06-22</t>
        </is>
      </c>
      <c r="C69" s="6" t="inlineStr">
        <is>
          <t>ACH/CHECK DEPOSIT</t>
        </is>
      </c>
      <c r="D69" s="6" t="inlineStr">
        <is>
          <t>1000</t>
        </is>
      </c>
      <c r="E69" s="6" t="inlineStr">
        <is>
          <t>Oregon Advanced Materials - South Real Estate, LLC; Customer receipt applied to AR-0031269</t>
        </is>
      </c>
      <c r="F69" s="7" t="n">
        <v>1990.15</v>
      </c>
      <c r="G69" s="7" t="n">
        <v>0</v>
      </c>
      <c r="H69" s="7">
        <f>F69+G69</f>
        <v/>
      </c>
      <c r="I69" s="6" t="inlineStr">
        <is>
          <t>cleared</t>
        </is>
      </c>
      <c r="J69" s="6" t="inlineStr">
        <is>
          <t>bank feed / RCPT-AR-0031269</t>
        </is>
      </c>
    </row>
    <row r="70">
      <c r="A70" s="6" t="inlineStr">
        <is>
          <t>1000-0065</t>
        </is>
      </c>
      <c r="B70" s="6" t="inlineStr">
        <is>
          <t>2026-06-22</t>
        </is>
      </c>
      <c r="C70" s="6" t="inlineStr">
        <is>
          <t>ACH DEBIT</t>
        </is>
      </c>
      <c r="D70" s="6" t="inlineStr">
        <is>
          <t>1000</t>
        </is>
      </c>
      <c r="E70" s="6" t="inlineStr">
        <is>
          <t>Rainier Construction Advisory - Beaverton Company; Vendor payment applied to AP-0011884</t>
        </is>
      </c>
      <c r="F70" s="7" t="n">
        <v>-4102.61</v>
      </c>
      <c r="G70" s="7" t="n">
        <v>0</v>
      </c>
      <c r="H70" s="7">
        <f>F70+G70</f>
        <v/>
      </c>
      <c r="I70" s="6" t="inlineStr">
        <is>
          <t>cleared</t>
        </is>
      </c>
      <c r="J70" s="6" t="inlineStr">
        <is>
          <t>bank feed / ACH-AP-0011884</t>
        </is>
      </c>
    </row>
    <row r="71">
      <c r="A71" s="6" t="inlineStr">
        <is>
          <t>1000-0066</t>
        </is>
      </c>
      <c r="B71" s="6" t="inlineStr">
        <is>
          <t>2026-06-23</t>
        </is>
      </c>
      <c r="C71" s="6" t="inlineStr">
        <is>
          <t>ACH DEBIT</t>
        </is>
      </c>
      <c r="D71" s="6" t="inlineStr">
        <is>
          <t>1000</t>
        </is>
      </c>
      <c r="E71" s="6" t="inlineStr">
        <is>
          <t>Evergreen Mechanical Insulation - Vancouver Company; Vendor payment applied to AP-0004281</t>
        </is>
      </c>
      <c r="F71" s="7" t="n">
        <v>-5180.57</v>
      </c>
      <c r="G71" s="7" t="n">
        <v>0</v>
      </c>
      <c r="H71" s="7">
        <f>F71+G71</f>
        <v/>
      </c>
      <c r="I71" s="6" t="inlineStr">
        <is>
          <t>cleared</t>
        </is>
      </c>
      <c r="J71" s="6" t="inlineStr">
        <is>
          <t>bank feed / ACH-AP-0004281</t>
        </is>
      </c>
    </row>
    <row r="72">
      <c r="A72" s="6" t="inlineStr">
        <is>
          <t>1000-0067</t>
        </is>
      </c>
      <c r="B72" s="6" t="inlineStr">
        <is>
          <t>2026-06-23</t>
        </is>
      </c>
      <c r="C72" s="6" t="inlineStr">
        <is>
          <t>ACH DEBIT</t>
        </is>
      </c>
      <c r="D72" s="6" t="inlineStr">
        <is>
          <t>1000</t>
        </is>
      </c>
      <c r="E72" s="6" t="inlineStr">
        <is>
          <t>High Desert Sheet Metal Fabrication - Bend Services, LLC; Vendor payment applied to AP-0005073</t>
        </is>
      </c>
      <c r="F72" s="7" t="n">
        <v>-4024.8</v>
      </c>
      <c r="G72" s="7" t="n">
        <v>0</v>
      </c>
      <c r="H72" s="7">
        <f>F72+G72</f>
        <v/>
      </c>
      <c r="I72" s="6" t="inlineStr">
        <is>
          <t>cleared</t>
        </is>
      </c>
      <c r="J72" s="6" t="inlineStr">
        <is>
          <t>bank feed / ACH-AP-0005073</t>
        </is>
      </c>
    </row>
    <row r="73">
      <c r="A73" s="6" t="inlineStr">
        <is>
          <t>1000-0068</t>
        </is>
      </c>
      <c r="B73" s="6" t="inlineStr">
        <is>
          <t>2026-06-23</t>
        </is>
      </c>
      <c r="C73" s="6" t="inlineStr">
        <is>
          <t>ACH DEBIT</t>
        </is>
      </c>
      <c r="D73" s="6" t="inlineStr">
        <is>
          <t>1000</t>
        </is>
      </c>
      <c r="E73" s="6" t="inlineStr">
        <is>
          <t>Rose City Testing and Balancing - Beaverton Services, LLC; Vendor payment applied to AP-0005086</t>
        </is>
      </c>
      <c r="F73" s="7" t="n">
        <v>-4223.53</v>
      </c>
      <c r="G73" s="7" t="n">
        <v>0</v>
      </c>
      <c r="H73" s="7">
        <f>F73+G73</f>
        <v/>
      </c>
      <c r="I73" s="6" t="inlineStr">
        <is>
          <t>cleared</t>
        </is>
      </c>
      <c r="J73" s="6" t="inlineStr">
        <is>
          <t>bank feed / ACH-AP-0005086</t>
        </is>
      </c>
    </row>
    <row r="74">
      <c r="A74" s="6" t="inlineStr">
        <is>
          <t>1000-0069</t>
        </is>
      </c>
      <c r="B74" s="6" t="inlineStr">
        <is>
          <t>2026-06-23</t>
        </is>
      </c>
      <c r="C74" s="6" t="inlineStr">
        <is>
          <t>ACH DEBIT</t>
        </is>
      </c>
      <c r="D74" s="6" t="inlineStr">
        <is>
          <t>1000</t>
        </is>
      </c>
      <c r="E74" s="6" t="inlineStr">
        <is>
          <t>Rainier Testing and Balancing - Vancouver Company; Vendor payment applied to AP-0005227</t>
        </is>
      </c>
      <c r="F74" s="7" t="n">
        <v>-4516.84</v>
      </c>
      <c r="G74" s="7" t="n">
        <v>0</v>
      </c>
      <c r="H74" s="7">
        <f>F74+G74</f>
        <v/>
      </c>
      <c r="I74" s="6" t="inlineStr">
        <is>
          <t>cleared</t>
        </is>
      </c>
      <c r="J74" s="6" t="inlineStr">
        <is>
          <t>bank feed / ACH-AP-0005227</t>
        </is>
      </c>
    </row>
    <row r="75">
      <c r="A75" s="6" t="inlineStr">
        <is>
          <t>1000-0070</t>
        </is>
      </c>
      <c r="B75" s="6" t="inlineStr">
        <is>
          <t>2026-06-23</t>
        </is>
      </c>
      <c r="C75" s="6" t="inlineStr">
        <is>
          <t>ACH DEBIT</t>
        </is>
      </c>
      <c r="D75" s="6" t="inlineStr">
        <is>
          <t>1000</t>
        </is>
      </c>
      <c r="E75" s="6" t="inlineStr">
        <is>
          <t>Summit Electrical Contracting - Bend Group; Vendor payment applied to AP-0005574</t>
        </is>
      </c>
      <c r="F75" s="7" t="n">
        <v>-4456.56</v>
      </c>
      <c r="G75" s="7" t="n">
        <v>0</v>
      </c>
      <c r="H75" s="7">
        <f>F75+G75</f>
        <v/>
      </c>
      <c r="I75" s="6" t="inlineStr">
        <is>
          <t>cleared</t>
        </is>
      </c>
      <c r="J75" s="6" t="inlineStr">
        <is>
          <t>bank feed / ACH-AP-0005574</t>
        </is>
      </c>
    </row>
    <row r="76">
      <c r="A76" s="6" t="inlineStr">
        <is>
          <t>1000-0071</t>
        </is>
      </c>
      <c r="B76" s="6" t="inlineStr">
        <is>
          <t>2026-06-23</t>
        </is>
      </c>
      <c r="C76" s="6" t="inlineStr">
        <is>
          <t>ACH DEBIT</t>
        </is>
      </c>
      <c r="D76" s="6" t="inlineStr">
        <is>
          <t>1000</t>
        </is>
      </c>
      <c r="E76" s="6" t="inlineStr">
        <is>
          <t>Rainier Electrical Contracting - Eugene Company; Vendor payment applied to AP-0005576</t>
        </is>
      </c>
      <c r="F76" s="7" t="n">
        <v>-8667.35</v>
      </c>
      <c r="G76" s="7" t="n">
        <v>0</v>
      </c>
      <c r="H76" s="7">
        <f>F76+G76</f>
        <v/>
      </c>
      <c r="I76" s="6" t="inlineStr">
        <is>
          <t>cleared</t>
        </is>
      </c>
      <c r="J76" s="6" t="inlineStr">
        <is>
          <t>bank feed / ACH-AP-0005576</t>
        </is>
      </c>
    </row>
    <row r="77">
      <c r="A77" s="6" t="inlineStr">
        <is>
          <t>1000-0072</t>
        </is>
      </c>
      <c r="B77" s="6" t="inlineStr">
        <is>
          <t>2026-06-23</t>
        </is>
      </c>
      <c r="C77" s="6" t="inlineStr">
        <is>
          <t>ACH DEBIT</t>
        </is>
      </c>
      <c r="D77" s="6" t="inlineStr">
        <is>
          <t>1000</t>
        </is>
      </c>
      <c r="E77" s="6" t="inlineStr">
        <is>
          <t>Cascade Sheet Metal Fabrication - Salem LLC; Vendor payment applied to AP-0005691</t>
        </is>
      </c>
      <c r="F77" s="7" t="n">
        <v>-3822.51</v>
      </c>
      <c r="G77" s="7" t="n">
        <v>0</v>
      </c>
      <c r="H77" s="7">
        <f>F77+G77</f>
        <v/>
      </c>
      <c r="I77" s="6" t="inlineStr">
        <is>
          <t>cleared</t>
        </is>
      </c>
      <c r="J77" s="6" t="inlineStr">
        <is>
          <t>bank feed / ACH-AP-0005691</t>
        </is>
      </c>
    </row>
    <row r="78">
      <c r="A78" s="6" t="inlineStr">
        <is>
          <t>1000-0073</t>
        </is>
      </c>
      <c r="B78" s="6" t="inlineStr">
        <is>
          <t>2026-06-23</t>
        </is>
      </c>
      <c r="C78" s="6" t="inlineStr">
        <is>
          <t>ACH DEBIT</t>
        </is>
      </c>
      <c r="D78" s="6" t="inlineStr">
        <is>
          <t>1000</t>
        </is>
      </c>
      <c r="E78" s="6" t="inlineStr">
        <is>
          <t>West Coast Testing and Balancing - Salem Company; Vendor payment applied to AP-0005743</t>
        </is>
      </c>
      <c r="F78" s="7" t="n">
        <v>-2589.5</v>
      </c>
      <c r="G78" s="7" t="n">
        <v>0</v>
      </c>
      <c r="H78" s="7">
        <f>F78+G78</f>
        <v/>
      </c>
      <c r="I78" s="6" t="inlineStr">
        <is>
          <t>cleared</t>
        </is>
      </c>
      <c r="J78" s="6" t="inlineStr">
        <is>
          <t>bank feed / ACH-AP-0005743</t>
        </is>
      </c>
    </row>
    <row r="79">
      <c r="A79" s="6" t="inlineStr">
        <is>
          <t>1000-0074</t>
        </is>
      </c>
      <c r="B79" s="6" t="inlineStr">
        <is>
          <t>2026-06-23</t>
        </is>
      </c>
      <c r="C79" s="6" t="inlineStr">
        <is>
          <t>ACH/CHECK DEPOSIT</t>
        </is>
      </c>
      <c r="D79" s="6" t="inlineStr">
        <is>
          <t>1000</t>
        </is>
      </c>
      <c r="E79" s="6" t="inlineStr">
        <is>
          <t>Westside Ambulatory - Portfolio Asset Management; Customer receipt applied to AR-0030869</t>
        </is>
      </c>
      <c r="F79" s="7" t="n">
        <v>2065.4</v>
      </c>
      <c r="G79" s="7" t="n">
        <v>0</v>
      </c>
      <c r="H79" s="7">
        <f>F79+G79</f>
        <v/>
      </c>
      <c r="I79" s="6" t="inlineStr">
        <is>
          <t>cleared</t>
        </is>
      </c>
      <c r="J79" s="6" t="inlineStr">
        <is>
          <t>bank feed / RCPT-AR-0030869</t>
        </is>
      </c>
    </row>
    <row r="80">
      <c r="A80" s="6" t="inlineStr">
        <is>
          <t>1000-0075</t>
        </is>
      </c>
      <c r="B80" s="6" t="inlineStr">
        <is>
          <t>2026-06-23</t>
        </is>
      </c>
      <c r="C80" s="6" t="inlineStr">
        <is>
          <t>ACH/CHECK DEPOSIT</t>
        </is>
      </c>
      <c r="D80" s="6" t="inlineStr">
        <is>
          <t>1000</t>
        </is>
      </c>
      <c r="E80" s="6" t="inlineStr">
        <is>
          <t>Sunrise Hospitality - East LLC; Customer receipt applied to AR-0030964</t>
        </is>
      </c>
      <c r="F80" s="7" t="n">
        <v>1512.28</v>
      </c>
      <c r="G80" s="7" t="n">
        <v>0</v>
      </c>
      <c r="H80" s="7">
        <f>F80+G80</f>
        <v/>
      </c>
      <c r="I80" s="6" t="inlineStr">
        <is>
          <t>cleared</t>
        </is>
      </c>
      <c r="J80" s="6" t="inlineStr">
        <is>
          <t>bank feed / RCPT-AR-0030964</t>
        </is>
      </c>
    </row>
    <row r="81">
      <c r="A81" s="6" t="inlineStr">
        <is>
          <t>1000-0076</t>
        </is>
      </c>
      <c r="B81" s="6" t="inlineStr">
        <is>
          <t>2026-06-23</t>
        </is>
      </c>
      <c r="C81" s="6" t="inlineStr">
        <is>
          <t>ACH/CHECK DEPOSIT</t>
        </is>
      </c>
      <c r="D81" s="6" t="inlineStr">
        <is>
          <t>1000</t>
        </is>
      </c>
      <c r="E81" s="6" t="inlineStr">
        <is>
          <t>Mt. Hood Community Health Campus Services; Customer receipt applied to AR-0030966</t>
        </is>
      </c>
      <c r="F81" s="7" t="n">
        <v>1344.28</v>
      </c>
      <c r="G81" s="7" t="n">
        <v>0</v>
      </c>
      <c r="H81" s="7">
        <f>F81+G81</f>
        <v/>
      </c>
      <c r="I81" s="6" t="inlineStr">
        <is>
          <t>cleared</t>
        </is>
      </c>
      <c r="J81" s="6" t="inlineStr">
        <is>
          <t>bank feed / RCPT-AR-0030966</t>
        </is>
      </c>
    </row>
    <row r="82">
      <c r="A82" s="6" t="inlineStr">
        <is>
          <t>1000-0077</t>
        </is>
      </c>
      <c r="B82" s="6" t="inlineStr">
        <is>
          <t>2026-06-23</t>
        </is>
      </c>
      <c r="C82" s="6" t="inlineStr">
        <is>
          <t>ACH/CHECK DEPOSIT</t>
        </is>
      </c>
      <c r="D82" s="6" t="inlineStr">
        <is>
          <t>1000</t>
        </is>
      </c>
      <c r="E82" s="6" t="inlineStr">
        <is>
          <t>High Desert Manufacturing - Portfolio Development Company; Customer receipt applied to AR-0030988</t>
        </is>
      </c>
      <c r="F82" s="7" t="n">
        <v>3705.05</v>
      </c>
      <c r="G82" s="7" t="n">
        <v>0</v>
      </c>
      <c r="H82" s="7">
        <f>F82+G82</f>
        <v/>
      </c>
      <c r="I82" s="6" t="inlineStr">
        <is>
          <t>cleared</t>
        </is>
      </c>
      <c r="J82" s="6" t="inlineStr">
        <is>
          <t>bank feed / RCPT-AR-0030988</t>
        </is>
      </c>
    </row>
    <row r="83">
      <c r="A83" s="6" t="inlineStr">
        <is>
          <t>1000-0078</t>
        </is>
      </c>
      <c r="B83" s="6" t="inlineStr">
        <is>
          <t>2026-06-23</t>
        </is>
      </c>
      <c r="C83" s="6" t="inlineStr">
        <is>
          <t>ACH/CHECK DEPOSIT</t>
        </is>
      </c>
      <c r="D83" s="6" t="inlineStr">
        <is>
          <t>1000</t>
        </is>
      </c>
      <c r="E83" s="6" t="inlineStr">
        <is>
          <t>Cascade Health Properties, LLC; Customer receipt applied to AR-0031140</t>
        </is>
      </c>
      <c r="F83" s="7" t="n">
        <v>883.5</v>
      </c>
      <c r="G83" s="7" t="n">
        <v>0</v>
      </c>
      <c r="H83" s="7">
        <f>F83+G83</f>
        <v/>
      </c>
      <c r="I83" s="6" t="inlineStr">
        <is>
          <t>cleared</t>
        </is>
      </c>
      <c r="J83" s="6" t="inlineStr">
        <is>
          <t>bank feed / RCPT-AR-0031140</t>
        </is>
      </c>
    </row>
    <row r="84">
      <c r="A84" s="6" t="inlineStr">
        <is>
          <t>1000-0079</t>
        </is>
      </c>
      <c r="B84" s="6" t="inlineStr">
        <is>
          <t>2026-06-23</t>
        </is>
      </c>
      <c r="C84" s="6" t="inlineStr">
        <is>
          <t>ACH/CHECK DEPOSIT</t>
        </is>
      </c>
      <c r="D84" s="6" t="inlineStr">
        <is>
          <t>1000</t>
        </is>
      </c>
      <c r="E84" s="6" t="inlineStr">
        <is>
          <t>Columbia River Logistics - Portfolio Facilities; Customer receipt applied to AR-0031173</t>
        </is>
      </c>
      <c r="F84" s="7" t="n">
        <v>788.38</v>
      </c>
      <c r="G84" s="7" t="n">
        <v>0</v>
      </c>
      <c r="H84" s="7">
        <f>F84+G84</f>
        <v/>
      </c>
      <c r="I84" s="6" t="inlineStr">
        <is>
          <t>cleared</t>
        </is>
      </c>
      <c r="J84" s="6" t="inlineStr">
        <is>
          <t>bank feed / RCPT-AR-0031173</t>
        </is>
      </c>
    </row>
    <row r="85">
      <c r="A85" s="6" t="inlineStr">
        <is>
          <t>1000-0080</t>
        </is>
      </c>
      <c r="B85" s="6" t="inlineStr">
        <is>
          <t>2026-06-23</t>
        </is>
      </c>
      <c r="C85" s="6" t="inlineStr">
        <is>
          <t>ACH DEBIT</t>
        </is>
      </c>
      <c r="D85" s="6" t="inlineStr">
        <is>
          <t>1000</t>
        </is>
      </c>
      <c r="E85" s="6" t="inlineStr">
        <is>
          <t>Autodesk, Inc.; Vendor payment applied to AP-0009866</t>
        </is>
      </c>
      <c r="F85" s="7" t="n">
        <v>-4251.85</v>
      </c>
      <c r="G85" s="7" t="n">
        <v>0</v>
      </c>
      <c r="H85" s="7">
        <f>F85+G85</f>
        <v/>
      </c>
      <c r="I85" s="6" t="inlineStr">
        <is>
          <t>cleared</t>
        </is>
      </c>
      <c r="J85" s="6" t="inlineStr">
        <is>
          <t>bank feed / ACH-AP-0009866</t>
        </is>
      </c>
    </row>
    <row r="86">
      <c r="A86" s="6" t="inlineStr">
        <is>
          <t>1000-0081</t>
        </is>
      </c>
      <c r="B86" s="6" t="inlineStr">
        <is>
          <t>2026-06-23</t>
        </is>
      </c>
      <c r="C86" s="6" t="inlineStr">
        <is>
          <t>ACH DEBIT</t>
        </is>
      </c>
      <c r="D86" s="6" t="inlineStr">
        <is>
          <t>1000</t>
        </is>
      </c>
      <c r="E86" s="6" t="inlineStr">
        <is>
          <t>Evergreen Equipment Rental &amp; Services - Vancouver Company; Vendor payment applied to AP-0009880</t>
        </is>
      </c>
      <c r="F86" s="7" t="n">
        <v>-4365.59</v>
      </c>
      <c r="G86" s="7" t="n">
        <v>0</v>
      </c>
      <c r="H86" s="7">
        <f>F86+G86</f>
        <v/>
      </c>
      <c r="I86" s="6" t="inlineStr">
        <is>
          <t>cleared</t>
        </is>
      </c>
      <c r="J86" s="6" t="inlineStr">
        <is>
          <t>bank feed / ACH-AP-0009880</t>
        </is>
      </c>
    </row>
    <row r="87">
      <c r="A87" s="6" t="inlineStr">
        <is>
          <t>1000-0082</t>
        </is>
      </c>
      <c r="B87" s="6" t="inlineStr">
        <is>
          <t>2026-06-23</t>
        </is>
      </c>
      <c r="C87" s="6" t="inlineStr">
        <is>
          <t>ACH DEBIT</t>
        </is>
      </c>
      <c r="D87" s="6" t="inlineStr">
        <is>
          <t>1000</t>
        </is>
      </c>
      <c r="E87" s="6" t="inlineStr">
        <is>
          <t>West Coast Fleet Service Center - Gresham Company; Vendor payment applied to AP-0009898</t>
        </is>
      </c>
      <c r="F87" s="7" t="n">
        <v>-1169.33</v>
      </c>
      <c r="G87" s="7" t="n">
        <v>0</v>
      </c>
      <c r="H87" s="7">
        <f>F87+G87</f>
        <v/>
      </c>
      <c r="I87" s="6" t="inlineStr">
        <is>
          <t>cleared</t>
        </is>
      </c>
      <c r="J87" s="6" t="inlineStr">
        <is>
          <t>bank feed / ACH-AP-0009898</t>
        </is>
      </c>
    </row>
    <row r="88">
      <c r="A88" s="6" t="inlineStr">
        <is>
          <t>1000-0083</t>
        </is>
      </c>
      <c r="B88" s="6" t="inlineStr">
        <is>
          <t>2026-06-23</t>
        </is>
      </c>
      <c r="C88" s="6" t="inlineStr">
        <is>
          <t>ACH/CHECK DEPOSIT</t>
        </is>
      </c>
      <c r="D88" s="6" t="inlineStr">
        <is>
          <t>1000</t>
        </is>
      </c>
      <c r="E88" s="6" t="inlineStr">
        <is>
          <t>Rogue Valley Beverage - Portfolio Property Group; Customer receipt applied to AR-0031345</t>
        </is>
      </c>
      <c r="F88" s="7" t="n">
        <v>7398.8</v>
      </c>
      <c r="G88" s="7" t="n">
        <v>0</v>
      </c>
      <c r="H88" s="7">
        <f>F88+G88</f>
        <v/>
      </c>
      <c r="I88" s="6" t="inlineStr">
        <is>
          <t>cleared</t>
        </is>
      </c>
      <c r="J88" s="6" t="inlineStr">
        <is>
          <t>bank feed / RCPT-AR-0031345</t>
        </is>
      </c>
    </row>
    <row r="89">
      <c r="A89" s="6" t="inlineStr">
        <is>
          <t>1000-0084</t>
        </is>
      </c>
      <c r="B89" s="6" t="inlineStr">
        <is>
          <t>2026-06-23</t>
        </is>
      </c>
      <c r="C89" s="6" t="inlineStr">
        <is>
          <t>ACH/CHECK DEPOSIT</t>
        </is>
      </c>
      <c r="D89" s="6" t="inlineStr">
        <is>
          <t>1000</t>
        </is>
      </c>
      <c r="E89" s="6" t="inlineStr">
        <is>
          <t>Fairview Property Partners - East Facilities; Customer receipt applied to AR-0031367</t>
        </is>
      </c>
      <c r="F89" s="7" t="n">
        <v>5051.88</v>
      </c>
      <c r="G89" s="7" t="n">
        <v>0</v>
      </c>
      <c r="H89" s="7">
        <f>F89+G89</f>
        <v/>
      </c>
      <c r="I89" s="6" t="inlineStr">
        <is>
          <t>cleared</t>
        </is>
      </c>
      <c r="J89" s="6" t="inlineStr">
        <is>
          <t>bank feed / RCPT-AR-0031367</t>
        </is>
      </c>
    </row>
    <row r="90">
      <c r="A90" s="6" t="inlineStr">
        <is>
          <t>1000-0085</t>
        </is>
      </c>
      <c r="B90" s="6" t="inlineStr">
        <is>
          <t>2026-06-23</t>
        </is>
      </c>
      <c r="C90" s="6" t="inlineStr">
        <is>
          <t>ACH DEBIT</t>
        </is>
      </c>
      <c r="D90" s="6" t="inlineStr">
        <is>
          <t>1000</t>
        </is>
      </c>
      <c r="E90" s="6" t="inlineStr">
        <is>
          <t>Tri-County Business Systems - Bend LLC; Vendor payment applied to AP-0009924</t>
        </is>
      </c>
      <c r="F90" s="7" t="n">
        <v>-1281</v>
      </c>
      <c r="G90" s="7" t="n">
        <v>0</v>
      </c>
      <c r="H90" s="7">
        <f>F90+G90</f>
        <v/>
      </c>
      <c r="I90" s="6" t="inlineStr">
        <is>
          <t>cleared</t>
        </is>
      </c>
      <c r="J90" s="6" t="inlineStr">
        <is>
          <t>bank feed / ACH-AP-0009924</t>
        </is>
      </c>
    </row>
    <row r="91">
      <c r="A91" s="6" t="inlineStr">
        <is>
          <t>1000-0086</t>
        </is>
      </c>
      <c r="B91" s="6" t="inlineStr">
        <is>
          <t>2026-06-24</t>
        </is>
      </c>
      <c r="C91" s="6" t="inlineStr">
        <is>
          <t>ACH DEBIT</t>
        </is>
      </c>
      <c r="D91" s="6" t="inlineStr">
        <is>
          <t>1000</t>
        </is>
      </c>
      <c r="E91" s="6" t="inlineStr">
        <is>
          <t>United Rentals (North America), Inc.; Vendor payment applied to AP-0004093</t>
        </is>
      </c>
      <c r="F91" s="7" t="n">
        <v>-4390.55</v>
      </c>
      <c r="G91" s="7" t="n">
        <v>0</v>
      </c>
      <c r="H91" s="7">
        <f>F91+G91</f>
        <v/>
      </c>
      <c r="I91" s="6" t="inlineStr">
        <is>
          <t>cleared</t>
        </is>
      </c>
      <c r="J91" s="6" t="inlineStr">
        <is>
          <t>bank feed / ACH-AP-0004093</t>
        </is>
      </c>
    </row>
    <row r="92">
      <c r="A92" s="6" t="inlineStr">
        <is>
          <t>1000-0087</t>
        </is>
      </c>
      <c r="B92" s="6" t="inlineStr">
        <is>
          <t>2026-06-24</t>
        </is>
      </c>
      <c r="C92" s="6" t="inlineStr">
        <is>
          <t>ACH DEBIT</t>
        </is>
      </c>
      <c r="D92" s="6" t="inlineStr">
        <is>
          <t>1000</t>
        </is>
      </c>
      <c r="E92" s="6" t="inlineStr">
        <is>
          <t>Pioneer Electrical Contracting - Salem Inc.; Vendor payment applied to AP-0005410</t>
        </is>
      </c>
      <c r="F92" s="7" t="n">
        <v>-8629.940000000001</v>
      </c>
      <c r="G92" s="7" t="n">
        <v>0</v>
      </c>
      <c r="H92" s="7">
        <f>F92+G92</f>
        <v/>
      </c>
      <c r="I92" s="6" t="inlineStr">
        <is>
          <t>cleared</t>
        </is>
      </c>
      <c r="J92" s="6" t="inlineStr">
        <is>
          <t>bank feed / ACH-AP-0005410</t>
        </is>
      </c>
    </row>
    <row r="93">
      <c r="A93" s="6" t="inlineStr">
        <is>
          <t>1000-0088</t>
        </is>
      </c>
      <c r="B93" s="6" t="inlineStr">
        <is>
          <t>2026-06-24</t>
        </is>
      </c>
      <c r="C93" s="6" t="inlineStr">
        <is>
          <t>ACH DEBIT</t>
        </is>
      </c>
      <c r="D93" s="6" t="inlineStr">
        <is>
          <t>1000</t>
        </is>
      </c>
      <c r="E93" s="6" t="inlineStr">
        <is>
          <t>United Rentals (North America), Inc.; Vendor payment applied to AP-0005712</t>
        </is>
      </c>
      <c r="F93" s="7" t="n">
        <v>-6681.3</v>
      </c>
      <c r="G93" s="7" t="n">
        <v>0</v>
      </c>
      <c r="H93" s="7">
        <f>F93+G93</f>
        <v/>
      </c>
      <c r="I93" s="6" t="inlineStr">
        <is>
          <t>cleared</t>
        </is>
      </c>
      <c r="J93" s="6" t="inlineStr">
        <is>
          <t>bank feed / ACH-AP-0005712</t>
        </is>
      </c>
    </row>
    <row r="94">
      <c r="A94" s="6" t="inlineStr">
        <is>
          <t>1000-0089</t>
        </is>
      </c>
      <c r="B94" s="6" t="inlineStr">
        <is>
          <t>2026-06-24</t>
        </is>
      </c>
      <c r="C94" s="6" t="inlineStr">
        <is>
          <t>ACH/CHECK DEPOSIT</t>
        </is>
      </c>
      <c r="D94" s="6" t="inlineStr">
        <is>
          <t>1000</t>
        </is>
      </c>
      <c r="E94" s="6" t="inlineStr">
        <is>
          <t>Salem Surgical Partners - Campus Asset Management; Customer receipt applied to AR-0030957</t>
        </is>
      </c>
      <c r="F94" s="7" t="n">
        <v>1483.45</v>
      </c>
      <c r="G94" s="7" t="n">
        <v>0</v>
      </c>
      <c r="H94" s="7">
        <f>F94+G94</f>
        <v/>
      </c>
      <c r="I94" s="6" t="inlineStr">
        <is>
          <t>cleared</t>
        </is>
      </c>
      <c r="J94" s="6" t="inlineStr">
        <is>
          <t>bank feed / RCPT-AR-0030957</t>
        </is>
      </c>
    </row>
    <row r="95">
      <c r="A95" s="6" t="inlineStr">
        <is>
          <t>1000-0090</t>
        </is>
      </c>
      <c r="B95" s="6" t="inlineStr">
        <is>
          <t>2026-06-24</t>
        </is>
      </c>
      <c r="C95" s="6" t="inlineStr">
        <is>
          <t>ACH/CHECK DEPOSIT</t>
        </is>
      </c>
      <c r="D95" s="6" t="inlineStr">
        <is>
          <t>1000</t>
        </is>
      </c>
      <c r="E95" s="6" t="inlineStr">
        <is>
          <t>Oregon Advanced Materials Operating Company; Customer receipt applied to AR-0031019</t>
        </is>
      </c>
      <c r="F95" s="7" t="n">
        <v>1390.55</v>
      </c>
      <c r="G95" s="7" t="n">
        <v>0</v>
      </c>
      <c r="H95" s="7">
        <f>F95+G95</f>
        <v/>
      </c>
      <c r="I95" s="6" t="inlineStr">
        <is>
          <t>cleared</t>
        </is>
      </c>
      <c r="J95" s="6" t="inlineStr">
        <is>
          <t>bank feed / RCPT-AR-0031019</t>
        </is>
      </c>
    </row>
    <row r="96">
      <c r="A96" s="6" t="inlineStr">
        <is>
          <t>1000-0091</t>
        </is>
      </c>
      <c r="B96" s="6" t="inlineStr">
        <is>
          <t>2026-06-24</t>
        </is>
      </c>
      <c r="C96" s="6" t="inlineStr">
        <is>
          <t>ACH/CHECK DEPOSIT</t>
        </is>
      </c>
      <c r="D96" s="6" t="inlineStr">
        <is>
          <t>1000</t>
        </is>
      </c>
      <c r="E96" s="6" t="inlineStr">
        <is>
          <t>Pacific Northwest Distribution REIT; Customer receipt applied to AR-0031045</t>
        </is>
      </c>
      <c r="F96" s="7" t="n">
        <v>2530.81</v>
      </c>
      <c r="G96" s="7" t="n">
        <v>0</v>
      </c>
      <c r="H96" s="7">
        <f>F96+G96</f>
        <v/>
      </c>
      <c r="I96" s="6" t="inlineStr">
        <is>
          <t>cleared</t>
        </is>
      </c>
      <c r="J96" s="6" t="inlineStr">
        <is>
          <t>bank feed / RCPT-AR-0031045</t>
        </is>
      </c>
    </row>
    <row r="97">
      <c r="A97" s="6" t="inlineStr">
        <is>
          <t>1000-0092</t>
        </is>
      </c>
      <c r="B97" s="6" t="inlineStr">
        <is>
          <t>2026-06-24</t>
        </is>
      </c>
      <c r="C97" s="6" t="inlineStr">
        <is>
          <t>ACH/CHECK DEPOSIT</t>
        </is>
      </c>
      <c r="D97" s="6" t="inlineStr">
        <is>
          <t>1000</t>
        </is>
      </c>
      <c r="E97" s="6" t="inlineStr">
        <is>
          <t>Union Station Properties - Central Partners, LP; Customer receipt applied to AR-0031070</t>
        </is>
      </c>
      <c r="F97" s="7" t="n">
        <v>2660.74</v>
      </c>
      <c r="G97" s="7" t="n">
        <v>0</v>
      </c>
      <c r="H97" s="7">
        <f>F97+G97</f>
        <v/>
      </c>
      <c r="I97" s="6" t="inlineStr">
        <is>
          <t>cleared</t>
        </is>
      </c>
      <c r="J97" s="6" t="inlineStr">
        <is>
          <t>bank feed / RCPT-AR-0031070</t>
        </is>
      </c>
    </row>
    <row r="98">
      <c r="A98" s="6" t="inlineStr">
        <is>
          <t>1000-0093</t>
        </is>
      </c>
      <c r="B98" s="6" t="inlineStr">
        <is>
          <t>2026-06-24</t>
        </is>
      </c>
      <c r="C98" s="6" t="inlineStr">
        <is>
          <t>ACH/CHECK DEPOSIT</t>
        </is>
      </c>
      <c r="D98" s="6" t="inlineStr">
        <is>
          <t>1000</t>
        </is>
      </c>
      <c r="E98" s="6" t="inlineStr">
        <is>
          <t>Oak Street Development - North Holdings, LLC; Customer receipt applied to AR-0031087</t>
        </is>
      </c>
      <c r="F98" s="7" t="n">
        <v>2149.29</v>
      </c>
      <c r="G98" s="7" t="n">
        <v>0</v>
      </c>
      <c r="H98" s="7">
        <f>F98+G98</f>
        <v/>
      </c>
      <c r="I98" s="6" t="inlineStr">
        <is>
          <t>cleared</t>
        </is>
      </c>
      <c r="J98" s="6" t="inlineStr">
        <is>
          <t>bank feed / RCPT-AR-0031087</t>
        </is>
      </c>
    </row>
    <row r="99">
      <c r="A99" s="6" t="inlineStr">
        <is>
          <t>1000-0094</t>
        </is>
      </c>
      <c r="B99" s="6" t="inlineStr">
        <is>
          <t>2026-06-24</t>
        </is>
      </c>
      <c r="C99" s="6" t="inlineStr">
        <is>
          <t>ACH DEBIT</t>
        </is>
      </c>
      <c r="D99" s="6" t="inlineStr">
        <is>
          <t>1000</t>
        </is>
      </c>
      <c r="E99" s="6" t="inlineStr">
        <is>
          <t>Rainier Pipe, Valve &amp; Fitting Supply - Salem Company; Vendor payment applied to AP-0009878</t>
        </is>
      </c>
      <c r="F99" s="7" t="n">
        <v>-3554.3</v>
      </c>
      <c r="G99" s="7" t="n">
        <v>0</v>
      </c>
      <c r="H99" s="7">
        <f>F99+G99</f>
        <v/>
      </c>
      <c r="I99" s="6" t="inlineStr">
        <is>
          <t>cleared</t>
        </is>
      </c>
      <c r="J99" s="6" t="inlineStr">
        <is>
          <t>bank feed / ACH-AP-0009878</t>
        </is>
      </c>
    </row>
    <row r="100">
      <c r="A100" s="6" t="inlineStr">
        <is>
          <t>1000-0095</t>
        </is>
      </c>
      <c r="B100" s="6" t="inlineStr">
        <is>
          <t>2026-06-24</t>
        </is>
      </c>
      <c r="C100" s="6" t="inlineStr">
        <is>
          <t>ACH DEBIT</t>
        </is>
      </c>
      <c r="D100" s="6" t="inlineStr">
        <is>
          <t>1000</t>
        </is>
      </c>
      <c r="E100" s="6" t="inlineStr">
        <is>
          <t>Rainier Pipe, Valve &amp; Fitting Supply - Salem Company; Vendor payment applied to AP-0009899</t>
        </is>
      </c>
      <c r="F100" s="7" t="n">
        <v>-2438.64</v>
      </c>
      <c r="G100" s="7" t="n">
        <v>0</v>
      </c>
      <c r="H100" s="7">
        <f>F100+G100</f>
        <v/>
      </c>
      <c r="I100" s="6" t="inlineStr">
        <is>
          <t>cleared</t>
        </is>
      </c>
      <c r="J100" s="6" t="inlineStr">
        <is>
          <t>bank feed / ACH-AP-0009899</t>
        </is>
      </c>
    </row>
    <row r="101">
      <c r="A101" s="6" t="inlineStr">
        <is>
          <t>1000-0096</t>
        </is>
      </c>
      <c r="B101" s="6" t="inlineStr">
        <is>
          <t>2026-06-24</t>
        </is>
      </c>
      <c r="C101" s="6" t="inlineStr">
        <is>
          <t>ACH/CHECK DEPOSIT</t>
        </is>
      </c>
      <c r="D101" s="6" t="inlineStr">
        <is>
          <t>1000</t>
        </is>
      </c>
      <c r="E101" s="6" t="inlineStr">
        <is>
          <t>Clackamas Health Network - Operations Real Estate, LLC; Customer receipt applied to AR-0031247</t>
        </is>
      </c>
      <c r="F101" s="7" t="n">
        <v>1491.88</v>
      </c>
      <c r="G101" s="7" t="n">
        <v>0</v>
      </c>
      <c r="H101" s="7">
        <f>F101+G101</f>
        <v/>
      </c>
      <c r="I101" s="6" t="inlineStr">
        <is>
          <t>cleared</t>
        </is>
      </c>
      <c r="J101" s="6" t="inlineStr">
        <is>
          <t>bank feed / RCPT-AR-0031247</t>
        </is>
      </c>
    </row>
    <row r="102">
      <c r="A102" s="6" t="inlineStr">
        <is>
          <t>1000-0097</t>
        </is>
      </c>
      <c r="B102" s="6" t="inlineStr">
        <is>
          <t>2026-06-24</t>
        </is>
      </c>
      <c r="C102" s="6" t="inlineStr">
        <is>
          <t>ACH/CHECK DEPOSIT</t>
        </is>
      </c>
      <c r="D102" s="6" t="inlineStr">
        <is>
          <t>1000</t>
        </is>
      </c>
      <c r="E102" s="6" t="inlineStr">
        <is>
          <t>Fairview Property Partners - East Property Group; Customer receipt applied to AR-0031323</t>
        </is>
      </c>
      <c r="F102" s="7" t="n">
        <v>600.48</v>
      </c>
      <c r="G102" s="7" t="n">
        <v>0</v>
      </c>
      <c r="H102" s="7">
        <f>F102+G102</f>
        <v/>
      </c>
      <c r="I102" s="6" t="inlineStr">
        <is>
          <t>cleared</t>
        </is>
      </c>
      <c r="J102" s="6" t="inlineStr">
        <is>
          <t>bank feed / RCPT-AR-0031323</t>
        </is>
      </c>
    </row>
    <row r="103">
      <c r="A103" s="6" t="inlineStr">
        <is>
          <t>1000-0098</t>
        </is>
      </c>
      <c r="B103" s="6" t="inlineStr">
        <is>
          <t>2026-06-24</t>
        </is>
      </c>
      <c r="C103" s="6" t="inlineStr">
        <is>
          <t>ACH DEBIT</t>
        </is>
      </c>
      <c r="D103" s="6" t="inlineStr">
        <is>
          <t>1000</t>
        </is>
      </c>
      <c r="E103" s="6" t="inlineStr">
        <is>
          <t>Rogue Valley Construction Advisory - Portland LLC; Vendor payment applied to AP-0011900</t>
        </is>
      </c>
      <c r="F103" s="7" t="n">
        <v>-5488.58</v>
      </c>
      <c r="G103" s="7" t="n">
        <v>0</v>
      </c>
      <c r="H103" s="7">
        <f>F103+G103</f>
        <v/>
      </c>
      <c r="I103" s="6" t="inlineStr">
        <is>
          <t>cleared</t>
        </is>
      </c>
      <c r="J103" s="6" t="inlineStr">
        <is>
          <t>bank feed / ACH-AP-0011900</t>
        </is>
      </c>
    </row>
    <row r="104">
      <c r="A104" s="6" t="inlineStr">
        <is>
          <t>1000-0099</t>
        </is>
      </c>
      <c r="B104" s="6" t="inlineStr">
        <is>
          <t>2026-06-25</t>
        </is>
      </c>
      <c r="C104" s="6" t="inlineStr">
        <is>
          <t>ACH DEBIT</t>
        </is>
      </c>
      <c r="D104" s="6" t="inlineStr">
        <is>
          <t>1000</t>
        </is>
      </c>
      <c r="E104" s="6" t="inlineStr">
        <is>
          <t>Rogue Valley Sheet Metal Fabrication - Bend LLC; Vendor payment applied to AP-0004898</t>
        </is>
      </c>
      <c r="F104" s="7" t="n">
        <v>-5779.6</v>
      </c>
      <c r="G104" s="7" t="n">
        <v>0</v>
      </c>
      <c r="H104" s="7">
        <f>F104+G104</f>
        <v/>
      </c>
      <c r="I104" s="6" t="inlineStr">
        <is>
          <t>cleared</t>
        </is>
      </c>
      <c r="J104" s="6" t="inlineStr">
        <is>
          <t>bank feed / ACH-AP-0004898</t>
        </is>
      </c>
    </row>
    <row r="105">
      <c r="A105" s="6" t="inlineStr">
        <is>
          <t>1000-0100</t>
        </is>
      </c>
      <c r="B105" s="6" t="inlineStr">
        <is>
          <t>2026-06-25</t>
        </is>
      </c>
      <c r="C105" s="6" t="inlineStr">
        <is>
          <t>ACH DEBIT</t>
        </is>
      </c>
      <c r="D105" s="6" t="inlineStr">
        <is>
          <t>1000</t>
        </is>
      </c>
      <c r="E105" s="6" t="inlineStr">
        <is>
          <t>Rose City Mechanical Insulation - Bend Services, LLC; Vendor payment applied to AP-0005080</t>
        </is>
      </c>
      <c r="F105" s="7" t="n">
        <v>-7209.83</v>
      </c>
      <c r="G105" s="7" t="n">
        <v>0</v>
      </c>
      <c r="H105" s="7">
        <f>F105+G105</f>
        <v/>
      </c>
      <c r="I105" s="6" t="inlineStr">
        <is>
          <t>cleared</t>
        </is>
      </c>
      <c r="J105" s="6" t="inlineStr">
        <is>
          <t>bank feed / ACH-AP-0005080</t>
        </is>
      </c>
    </row>
    <row r="106">
      <c r="A106" s="6" t="inlineStr">
        <is>
          <t>1000-0101</t>
        </is>
      </c>
      <c r="B106" s="6" t="inlineStr">
        <is>
          <t>2026-06-25</t>
        </is>
      </c>
      <c r="C106" s="6" t="inlineStr">
        <is>
          <t>ACH DEBIT</t>
        </is>
      </c>
      <c r="D106" s="6" t="inlineStr">
        <is>
          <t>1000</t>
        </is>
      </c>
      <c r="E106" s="6" t="inlineStr">
        <is>
          <t>Pacific Equipment Rental &amp; Services - Salem LLC; Vendor payment applied to AP-0005102</t>
        </is>
      </c>
      <c r="F106" s="7" t="n">
        <v>-15274.22</v>
      </c>
      <c r="G106" s="7" t="n">
        <v>0</v>
      </c>
      <c r="H106" s="7">
        <f>F106+G106</f>
        <v/>
      </c>
      <c r="I106" s="6" t="inlineStr">
        <is>
          <t>cleared</t>
        </is>
      </c>
      <c r="J106" s="6" t="inlineStr">
        <is>
          <t>bank feed / ACH-AP-0005102</t>
        </is>
      </c>
    </row>
    <row r="107">
      <c r="A107" s="6" t="inlineStr">
        <is>
          <t>1000-0102</t>
        </is>
      </c>
      <c r="B107" s="6" t="inlineStr">
        <is>
          <t>2026-06-25</t>
        </is>
      </c>
      <c r="C107" s="6" t="inlineStr">
        <is>
          <t>ACH DEBIT</t>
        </is>
      </c>
      <c r="D107" s="6" t="inlineStr">
        <is>
          <t>1000</t>
        </is>
      </c>
      <c r="E107" s="6" t="inlineStr">
        <is>
          <t>Interstate Sheet Metal Fabrication - Portland Services, LLC; Vendor payment applied to AP-0005423</t>
        </is>
      </c>
      <c r="F107" s="7" t="n">
        <v>-5127.25</v>
      </c>
      <c r="G107" s="7" t="n">
        <v>0</v>
      </c>
      <c r="H107" s="7">
        <f>F107+G107</f>
        <v/>
      </c>
      <c r="I107" s="6" t="inlineStr">
        <is>
          <t>cleared</t>
        </is>
      </c>
      <c r="J107" s="6" t="inlineStr">
        <is>
          <t>bank feed / ACH-AP-0005423</t>
        </is>
      </c>
    </row>
    <row r="108">
      <c r="A108" s="6" t="inlineStr">
        <is>
          <t>1000-0103</t>
        </is>
      </c>
      <c r="B108" s="6" t="inlineStr">
        <is>
          <t>2026-06-25</t>
        </is>
      </c>
      <c r="C108" s="6" t="inlineStr">
        <is>
          <t>ACH DEBIT</t>
        </is>
      </c>
      <c r="D108" s="6" t="inlineStr">
        <is>
          <t>1000</t>
        </is>
      </c>
      <c r="E108" s="6" t="inlineStr">
        <is>
          <t>Rogue Valley Pipe, Valve &amp; Fitting Supply - Gresham LLC; Vendor payment applied to AP-0005447</t>
        </is>
      </c>
      <c r="F108" s="7" t="n">
        <v>-3254.55</v>
      </c>
      <c r="G108" s="7" t="n">
        <v>0</v>
      </c>
      <c r="H108" s="7">
        <f>F108+G108</f>
        <v/>
      </c>
      <c r="I108" s="6" t="inlineStr">
        <is>
          <t>cleared</t>
        </is>
      </c>
      <c r="J108" s="6" t="inlineStr">
        <is>
          <t>bank feed / ACH-AP-0005447</t>
        </is>
      </c>
    </row>
    <row r="109">
      <c r="A109" s="6" t="inlineStr">
        <is>
          <t>1000-0104</t>
        </is>
      </c>
      <c r="B109" s="6" t="inlineStr">
        <is>
          <t>2026-06-25</t>
        </is>
      </c>
      <c r="C109" s="6" t="inlineStr">
        <is>
          <t>ACH DEBIT</t>
        </is>
      </c>
      <c r="D109" s="6" t="inlineStr">
        <is>
          <t>1000</t>
        </is>
      </c>
      <c r="E109" s="6" t="inlineStr">
        <is>
          <t>Omega Morgan Rigging - Portland; Vendor payment applied to AP-0005628</t>
        </is>
      </c>
      <c r="F109" s="7" t="n">
        <v>-9070.549999999999</v>
      </c>
      <c r="G109" s="7" t="n">
        <v>0</v>
      </c>
      <c r="H109" s="7">
        <f>F109+G109</f>
        <v/>
      </c>
      <c r="I109" s="6" t="inlineStr">
        <is>
          <t>cleared</t>
        </is>
      </c>
      <c r="J109" s="6" t="inlineStr">
        <is>
          <t>bank feed / ACH-AP-0005628</t>
        </is>
      </c>
    </row>
    <row r="110">
      <c r="A110" s="6" t="inlineStr">
        <is>
          <t>1000-0105</t>
        </is>
      </c>
      <c r="B110" s="6" t="inlineStr">
        <is>
          <t>2026-06-25</t>
        </is>
      </c>
      <c r="C110" s="6" t="inlineStr">
        <is>
          <t>ACH/CHECK DEPOSIT</t>
        </is>
      </c>
      <c r="D110" s="6" t="inlineStr">
        <is>
          <t>1000</t>
        </is>
      </c>
      <c r="E110" s="6" t="inlineStr">
        <is>
          <t>Clackamas Health Network - Operations Asset Management; Customer receipt applied to AR-0030938</t>
        </is>
      </c>
      <c r="F110" s="7" t="n">
        <v>3043.64</v>
      </c>
      <c r="G110" s="7" t="n">
        <v>0</v>
      </c>
      <c r="H110" s="7">
        <f>F110+G110</f>
        <v/>
      </c>
      <c r="I110" s="6" t="inlineStr">
        <is>
          <t>cleared</t>
        </is>
      </c>
      <c r="J110" s="6" t="inlineStr">
        <is>
          <t>bank feed / RCPT-AR-0030938</t>
        </is>
      </c>
    </row>
    <row r="111">
      <c r="A111" s="6" t="inlineStr">
        <is>
          <t>1000-0106</t>
        </is>
      </c>
      <c r="B111" s="6" t="inlineStr">
        <is>
          <t>2026-06-25</t>
        </is>
      </c>
      <c r="C111" s="6" t="inlineStr">
        <is>
          <t>ACH/CHECK DEPOSIT</t>
        </is>
      </c>
      <c r="D111" s="6" t="inlineStr">
        <is>
          <t>1000</t>
        </is>
      </c>
      <c r="E111" s="6" t="inlineStr">
        <is>
          <t>Northline Cold Storage Holdings; Customer receipt applied to AR-0031013</t>
        </is>
      </c>
      <c r="F111" s="7" t="n">
        <v>379.29</v>
      </c>
      <c r="G111" s="7" t="n">
        <v>0</v>
      </c>
      <c r="H111" s="7">
        <f>F111+G111</f>
        <v/>
      </c>
      <c r="I111" s="6" t="inlineStr">
        <is>
          <t>cleared</t>
        </is>
      </c>
      <c r="J111" s="6" t="inlineStr">
        <is>
          <t>bank feed / RCPT-AR-0031013</t>
        </is>
      </c>
    </row>
    <row r="112">
      <c r="A112" s="6" t="inlineStr">
        <is>
          <t>1000-0107</t>
        </is>
      </c>
      <c r="B112" s="6" t="inlineStr">
        <is>
          <t>2026-06-25</t>
        </is>
      </c>
      <c r="C112" s="6" t="inlineStr">
        <is>
          <t>ACH/CHECK DEPOSIT</t>
        </is>
      </c>
      <c r="D112" s="6" t="inlineStr">
        <is>
          <t>1000</t>
        </is>
      </c>
      <c r="E112" s="6" t="inlineStr">
        <is>
          <t>Mt. Hood Community Health - Operations Development Company; Customer receipt applied to AR-0031080</t>
        </is>
      </c>
      <c r="F112" s="7" t="n">
        <v>2822.84</v>
      </c>
      <c r="G112" s="7" t="n">
        <v>0</v>
      </c>
      <c r="H112" s="7">
        <f>F112+G112</f>
        <v/>
      </c>
      <c r="I112" s="6" t="inlineStr">
        <is>
          <t>cleared</t>
        </is>
      </c>
      <c r="J112" s="6" t="inlineStr">
        <is>
          <t>bank feed / RCPT-AR-0031080</t>
        </is>
      </c>
    </row>
    <row r="113">
      <c r="A113" s="6" t="inlineStr">
        <is>
          <t>1000-0108</t>
        </is>
      </c>
      <c r="B113" s="6" t="inlineStr">
        <is>
          <t>2026-06-25</t>
        </is>
      </c>
      <c r="C113" s="6" t="inlineStr">
        <is>
          <t>ACH/CHECK DEPOSIT</t>
        </is>
      </c>
      <c r="D113" s="6" t="inlineStr">
        <is>
          <t>1000</t>
        </is>
      </c>
      <c r="E113" s="6" t="inlineStr">
        <is>
          <t>High Desert Manufacturing - Portfolio Development Company; Customer receipt applied to AR-0031168</t>
        </is>
      </c>
      <c r="F113" s="7" t="n">
        <v>3567.04</v>
      </c>
      <c r="G113" s="7" t="n">
        <v>0</v>
      </c>
      <c r="H113" s="7">
        <f>F113+G113</f>
        <v/>
      </c>
      <c r="I113" s="6" t="inlineStr">
        <is>
          <t>cleared</t>
        </is>
      </c>
      <c r="J113" s="6" t="inlineStr">
        <is>
          <t>bank feed / RCPT-AR-0031168</t>
        </is>
      </c>
    </row>
    <row r="114">
      <c r="A114" s="6" t="inlineStr">
        <is>
          <t>1000-0109</t>
        </is>
      </c>
      <c r="B114" s="6" t="inlineStr">
        <is>
          <t>2026-06-25</t>
        </is>
      </c>
      <c r="C114" s="6" t="inlineStr">
        <is>
          <t>ACH/CHECK DEPOSIT</t>
        </is>
      </c>
      <c r="D114" s="6" t="inlineStr">
        <is>
          <t>1000</t>
        </is>
      </c>
      <c r="E114" s="6" t="inlineStr">
        <is>
          <t>Klamath County Facilities Development Company; Customer receipt applied to AR-0031183</t>
        </is>
      </c>
      <c r="F114" s="7" t="n">
        <v>1895.64</v>
      </c>
      <c r="G114" s="7" t="n">
        <v>0</v>
      </c>
      <c r="H114" s="7">
        <f>F114+G114</f>
        <v/>
      </c>
      <c r="I114" s="6" t="inlineStr">
        <is>
          <t>cleared</t>
        </is>
      </c>
      <c r="J114" s="6" t="inlineStr">
        <is>
          <t>bank feed / RCPT-AR-0031183</t>
        </is>
      </c>
    </row>
    <row r="115">
      <c r="A115" s="6" t="inlineStr">
        <is>
          <t>1000-0110</t>
        </is>
      </c>
      <c r="B115" s="6" t="inlineStr">
        <is>
          <t>2026-06-25</t>
        </is>
      </c>
      <c r="C115" s="6" t="inlineStr">
        <is>
          <t>ACH DEBIT</t>
        </is>
      </c>
      <c r="D115" s="6" t="inlineStr">
        <is>
          <t>1000</t>
        </is>
      </c>
      <c r="E115" s="6" t="inlineStr">
        <is>
          <t>Rainier Building Services - Salem Company; Vendor payment applied to AP-0011867</t>
        </is>
      </c>
      <c r="F115" s="7" t="n">
        <v>-11398.27</v>
      </c>
      <c r="G115" s="7" t="n">
        <v>0</v>
      </c>
      <c r="H115" s="7">
        <f>F115+G115</f>
        <v/>
      </c>
      <c r="I115" s="6" t="inlineStr">
        <is>
          <t>cleared</t>
        </is>
      </c>
      <c r="J115" s="6" t="inlineStr">
        <is>
          <t>bank feed / ACH-AP-0011867</t>
        </is>
      </c>
    </row>
    <row r="116">
      <c r="A116" s="6" t="inlineStr">
        <is>
          <t>1000-0111</t>
        </is>
      </c>
      <c r="B116" s="6" t="inlineStr">
        <is>
          <t>2026-06-25</t>
        </is>
      </c>
      <c r="C116" s="6" t="inlineStr">
        <is>
          <t>ACH DEBIT</t>
        </is>
      </c>
      <c r="D116" s="6" t="inlineStr">
        <is>
          <t>1000</t>
        </is>
      </c>
      <c r="E116" s="6" t="inlineStr">
        <is>
          <t>Columbia Construction Advisory - Beaverton Inc.; Vendor payment applied to AP-0011881</t>
        </is>
      </c>
      <c r="F116" s="7" t="n">
        <v>-5024.72</v>
      </c>
      <c r="G116" s="7" t="n">
        <v>0</v>
      </c>
      <c r="H116" s="7">
        <f>F116+G116</f>
        <v/>
      </c>
      <c r="I116" s="6" t="inlineStr">
        <is>
          <t>cleared</t>
        </is>
      </c>
      <c r="J116" s="6" t="inlineStr">
        <is>
          <t>bank feed / ACH-AP-0011881</t>
        </is>
      </c>
    </row>
    <row r="117">
      <c r="A117" s="6" t="inlineStr">
        <is>
          <t>1000-0112</t>
        </is>
      </c>
      <c r="B117" s="6" t="inlineStr">
        <is>
          <t>2026-06-26</t>
        </is>
      </c>
      <c r="C117" s="6" t="inlineStr">
        <is>
          <t>ACH DEBIT</t>
        </is>
      </c>
      <c r="D117" s="6" t="inlineStr">
        <is>
          <t>1000</t>
        </is>
      </c>
      <c r="E117" s="6" t="inlineStr">
        <is>
          <t>West Coast Pipe, Valve &amp; Fitting Supply - Vancouver Company; Vendor payment applied to AP-0004440</t>
        </is>
      </c>
      <c r="F117" s="7" t="n">
        <v>-20678.71</v>
      </c>
      <c r="G117" s="7" t="n">
        <v>0</v>
      </c>
      <c r="H117" s="7">
        <f>F117+G117</f>
        <v/>
      </c>
      <c r="I117" s="6" t="inlineStr">
        <is>
          <t>cleared</t>
        </is>
      </c>
      <c r="J117" s="6" t="inlineStr">
        <is>
          <t>bank feed / ACH-AP-0004440</t>
        </is>
      </c>
    </row>
    <row r="118">
      <c r="A118" s="6" t="inlineStr">
        <is>
          <t>1000-0113</t>
        </is>
      </c>
      <c r="B118" s="6" t="inlineStr">
        <is>
          <t>2026-06-26</t>
        </is>
      </c>
      <c r="C118" s="6" t="inlineStr">
        <is>
          <t>ACH DEBIT</t>
        </is>
      </c>
      <c r="D118" s="6" t="inlineStr">
        <is>
          <t>1000</t>
        </is>
      </c>
      <c r="E118" s="6" t="inlineStr">
        <is>
          <t>Rogue Valley Equipment Rental &amp; Services - Vancouver LLC; Vendor payment applied to AP-0005106</t>
        </is>
      </c>
      <c r="F118" s="7" t="n">
        <v>-3986.34</v>
      </c>
      <c r="G118" s="7" t="n">
        <v>0</v>
      </c>
      <c r="H118" s="7">
        <f>F118+G118</f>
        <v/>
      </c>
      <c r="I118" s="6" t="inlineStr">
        <is>
          <t>cleared</t>
        </is>
      </c>
      <c r="J118" s="6" t="inlineStr">
        <is>
          <t>bank feed / ACH-AP-0005106</t>
        </is>
      </c>
    </row>
    <row r="119">
      <c r="A119" s="6" t="inlineStr">
        <is>
          <t>1000-0114</t>
        </is>
      </c>
      <c r="B119" s="6" t="inlineStr">
        <is>
          <t>2026-06-26</t>
        </is>
      </c>
      <c r="C119" s="6" t="inlineStr">
        <is>
          <t>ACH DEBIT</t>
        </is>
      </c>
      <c r="D119" s="6" t="inlineStr">
        <is>
          <t>1000</t>
        </is>
      </c>
      <c r="E119" s="6" t="inlineStr">
        <is>
          <t>Columbia Equipment Rental &amp; Services - Bend Inc.; Vendor payment applied to AP-0005414</t>
        </is>
      </c>
      <c r="F119" s="7" t="n">
        <v>-4385.23</v>
      </c>
      <c r="G119" s="7" t="n">
        <v>0</v>
      </c>
      <c r="H119" s="7">
        <f>F119+G119</f>
        <v/>
      </c>
      <c r="I119" s="6" t="inlineStr">
        <is>
          <t>cleared</t>
        </is>
      </c>
      <c r="J119" s="6" t="inlineStr">
        <is>
          <t>bank feed / ACH-AP-0005414</t>
        </is>
      </c>
    </row>
    <row r="120">
      <c r="A120" s="6" t="inlineStr">
        <is>
          <t>1000-0115</t>
        </is>
      </c>
      <c r="B120" s="6" t="inlineStr">
        <is>
          <t>2026-06-26</t>
        </is>
      </c>
      <c r="C120" s="6" t="inlineStr">
        <is>
          <t>ACH DEBIT</t>
        </is>
      </c>
      <c r="D120" s="6" t="inlineStr">
        <is>
          <t>1000</t>
        </is>
      </c>
      <c r="E120" s="6" t="inlineStr">
        <is>
          <t>Cascade Sheet Metal Fabrication - Salem LLC; Vendor payment applied to AP-0005719</t>
        </is>
      </c>
      <c r="F120" s="7" t="n">
        <v>-10266.86</v>
      </c>
      <c r="G120" s="7" t="n">
        <v>0</v>
      </c>
      <c r="H120" s="7">
        <f>F120+G120</f>
        <v/>
      </c>
      <c r="I120" s="6" t="inlineStr">
        <is>
          <t>cleared</t>
        </is>
      </c>
      <c r="J120" s="6" t="inlineStr">
        <is>
          <t>bank feed / ACH-AP-0005719</t>
        </is>
      </c>
    </row>
    <row r="121">
      <c r="A121" s="6" t="inlineStr">
        <is>
          <t>1000-0116</t>
        </is>
      </c>
      <c r="B121" s="6" t="inlineStr">
        <is>
          <t>2026-06-26</t>
        </is>
      </c>
      <c r="C121" s="6" t="inlineStr">
        <is>
          <t>ACH/CHECK DEPOSIT</t>
        </is>
      </c>
      <c r="D121" s="6" t="inlineStr">
        <is>
          <t>1000</t>
        </is>
      </c>
      <c r="E121" s="6" t="inlineStr">
        <is>
          <t>Northline Cold Storage Holdings; Customer receipt applied to AR-0030923</t>
        </is>
      </c>
      <c r="F121" s="7" t="n">
        <v>843.88</v>
      </c>
      <c r="G121" s="7" t="n">
        <v>0</v>
      </c>
      <c r="H121" s="7">
        <f>F121+G121</f>
        <v/>
      </c>
      <c r="I121" s="6" t="inlineStr">
        <is>
          <t>cleared</t>
        </is>
      </c>
      <c r="J121" s="6" t="inlineStr">
        <is>
          <t>bank feed / RCPT-AR-0030923</t>
        </is>
      </c>
    </row>
    <row r="122">
      <c r="A122" s="6" t="inlineStr">
        <is>
          <t>1000-0117</t>
        </is>
      </c>
      <c r="B122" s="6" t="inlineStr">
        <is>
          <t>2026-06-26</t>
        </is>
      </c>
      <c r="C122" s="6" t="inlineStr">
        <is>
          <t>ACH/CHECK DEPOSIT</t>
        </is>
      </c>
      <c r="D122" s="6" t="inlineStr">
        <is>
          <t>1000</t>
        </is>
      </c>
      <c r="E122" s="6" t="inlineStr">
        <is>
          <t>Columbia River Logistics - Portfolio Operating Company; Customer receipt applied to AR-0030991</t>
        </is>
      </c>
      <c r="F122" s="7" t="n">
        <v>4600.48</v>
      </c>
      <c r="G122" s="7" t="n">
        <v>0</v>
      </c>
      <c r="H122" s="7">
        <f>F122+G122</f>
        <v/>
      </c>
      <c r="I122" s="6" t="inlineStr">
        <is>
          <t>cleared</t>
        </is>
      </c>
      <c r="J122" s="6" t="inlineStr">
        <is>
          <t>bank feed / RCPT-AR-0030991</t>
        </is>
      </c>
    </row>
    <row r="123">
      <c r="A123" s="6" t="inlineStr">
        <is>
          <t>1000-0118</t>
        </is>
      </c>
      <c r="B123" s="6" t="inlineStr">
        <is>
          <t>2026-06-26</t>
        </is>
      </c>
      <c r="C123" s="6" t="inlineStr">
        <is>
          <t>ACH/CHECK DEPOSIT</t>
        </is>
      </c>
      <c r="D123" s="6" t="inlineStr">
        <is>
          <t>1000</t>
        </is>
      </c>
      <c r="E123" s="6" t="inlineStr">
        <is>
          <t>Salem Surgical Partners - Campus Development Company; Customer receipt applied to AR-0031001</t>
        </is>
      </c>
      <c r="F123" s="7" t="n">
        <v>998.11</v>
      </c>
      <c r="G123" s="7" t="n">
        <v>0</v>
      </c>
      <c r="H123" s="7">
        <f>F123+G123</f>
        <v/>
      </c>
      <c r="I123" s="6" t="inlineStr">
        <is>
          <t>cleared</t>
        </is>
      </c>
      <c r="J123" s="6" t="inlineStr">
        <is>
          <t>bank feed / RCPT-AR-0031001</t>
        </is>
      </c>
    </row>
    <row r="124">
      <c r="A124" s="6" t="inlineStr">
        <is>
          <t>1000-0119</t>
        </is>
      </c>
      <c r="B124" s="6" t="inlineStr">
        <is>
          <t>2026-06-26</t>
        </is>
      </c>
      <c r="C124" s="6" t="inlineStr">
        <is>
          <t>ACH/CHECK DEPOSIT</t>
        </is>
      </c>
      <c r="D124" s="6" t="inlineStr">
        <is>
          <t>1000</t>
        </is>
      </c>
      <c r="E124" s="6" t="inlineStr">
        <is>
          <t>Central Cascades Foods - Central Development Company; Customer receipt applied to AR-0031067</t>
        </is>
      </c>
      <c r="F124" s="7" t="n">
        <v>2496.37</v>
      </c>
      <c r="G124" s="7" t="n">
        <v>0</v>
      </c>
      <c r="H124" s="7">
        <f>F124+G124</f>
        <v/>
      </c>
      <c r="I124" s="6" t="inlineStr">
        <is>
          <t>cleared</t>
        </is>
      </c>
      <c r="J124" s="6" t="inlineStr">
        <is>
          <t>bank feed / RCPT-AR-0031067</t>
        </is>
      </c>
    </row>
    <row r="125">
      <c r="A125" s="6" t="inlineStr">
        <is>
          <t>1000-0120</t>
        </is>
      </c>
      <c r="B125" s="6" t="inlineStr">
        <is>
          <t>2026-06-26</t>
        </is>
      </c>
      <c r="C125" s="6" t="inlineStr">
        <is>
          <t>ACH/CHECK DEPOSIT</t>
        </is>
      </c>
      <c r="D125" s="6" t="inlineStr">
        <is>
          <t>1000</t>
        </is>
      </c>
      <c r="E125" s="6" t="inlineStr">
        <is>
          <t>Forest Park Hospitality Campus Services; Customer receipt applied to AR-0031077</t>
        </is>
      </c>
      <c r="F125" s="7" t="n">
        <v>2898.76</v>
      </c>
      <c r="G125" s="7" t="n">
        <v>0</v>
      </c>
      <c r="H125" s="7">
        <f>F125+G125</f>
        <v/>
      </c>
      <c r="I125" s="6" t="inlineStr">
        <is>
          <t>cleared</t>
        </is>
      </c>
      <c r="J125" s="6" t="inlineStr">
        <is>
          <t>bank feed / RCPT-AR-0031077</t>
        </is>
      </c>
    </row>
    <row r="126">
      <c r="A126" s="6" t="inlineStr">
        <is>
          <t>1000-0121</t>
        </is>
      </c>
      <c r="B126" s="6" t="inlineStr">
        <is>
          <t>2026-06-26</t>
        </is>
      </c>
      <c r="C126" s="6" t="inlineStr">
        <is>
          <t>ACH/CHECK DEPOSIT</t>
        </is>
      </c>
      <c r="D126" s="6" t="inlineStr">
        <is>
          <t>1000</t>
        </is>
      </c>
      <c r="E126" s="6" t="inlineStr">
        <is>
          <t>High Desert Manufacturing - Portfolio LLC; Customer receipt applied to AR-0031122</t>
        </is>
      </c>
      <c r="F126" s="7" t="n">
        <v>1379.37</v>
      </c>
      <c r="G126" s="7" t="n">
        <v>0</v>
      </c>
      <c r="H126" s="7">
        <f>F126+G126</f>
        <v/>
      </c>
      <c r="I126" s="6" t="inlineStr">
        <is>
          <t>cleared</t>
        </is>
      </c>
      <c r="J126" s="6" t="inlineStr">
        <is>
          <t>bank feed / RCPT-AR-0031122</t>
        </is>
      </c>
    </row>
    <row r="127">
      <c r="A127" s="6" t="inlineStr">
        <is>
          <t>1000-0122</t>
        </is>
      </c>
      <c r="B127" s="6" t="inlineStr">
        <is>
          <t>2026-06-26</t>
        </is>
      </c>
      <c r="C127" s="6" t="inlineStr">
        <is>
          <t>ACH/CHECK DEPOSIT</t>
        </is>
      </c>
      <c r="D127" s="6" t="inlineStr">
        <is>
          <t>1000</t>
        </is>
      </c>
      <c r="E127" s="6" t="inlineStr">
        <is>
          <t>Mt. Hood Community Health - Operations LLC; Customer receipt applied to AR-0031124</t>
        </is>
      </c>
      <c r="F127" s="7" t="n">
        <v>617.3200000000001</v>
      </c>
      <c r="G127" s="7" t="n">
        <v>0</v>
      </c>
      <c r="H127" s="7">
        <f>F127+G127</f>
        <v/>
      </c>
      <c r="I127" s="6" t="inlineStr">
        <is>
          <t>cleared</t>
        </is>
      </c>
      <c r="J127" s="6" t="inlineStr">
        <is>
          <t>bank feed / RCPT-AR-0031124</t>
        </is>
      </c>
    </row>
    <row r="128">
      <c r="A128" s="6" t="inlineStr">
        <is>
          <t>1000-0123</t>
        </is>
      </c>
      <c r="B128" s="6" t="inlineStr">
        <is>
          <t>2026-06-26</t>
        </is>
      </c>
      <c r="C128" s="6" t="inlineStr">
        <is>
          <t>ACH/CHECK DEPOSIT</t>
        </is>
      </c>
      <c r="D128" s="6" t="inlineStr">
        <is>
          <t>1000</t>
        </is>
      </c>
      <c r="E128" s="6" t="inlineStr">
        <is>
          <t>Mt. Hood Community Health Campus Services; Customer receipt applied to AR-0031146</t>
        </is>
      </c>
      <c r="F128" s="7" t="n">
        <v>5040.35</v>
      </c>
      <c r="G128" s="7" t="n">
        <v>0</v>
      </c>
      <c r="H128" s="7">
        <f>F128+G128</f>
        <v/>
      </c>
      <c r="I128" s="6" t="inlineStr">
        <is>
          <t>cleared</t>
        </is>
      </c>
      <c r="J128" s="6" t="inlineStr">
        <is>
          <t>bank feed / RCPT-AR-0031146</t>
        </is>
      </c>
    </row>
    <row r="129">
      <c r="A129" s="6" t="inlineStr">
        <is>
          <t>1000-0124</t>
        </is>
      </c>
      <c r="B129" s="6" t="inlineStr">
        <is>
          <t>2026-06-26</t>
        </is>
      </c>
      <c r="C129" s="6" t="inlineStr">
        <is>
          <t>ACH DEBIT</t>
        </is>
      </c>
      <c r="D129" s="6" t="inlineStr">
        <is>
          <t>1000</t>
        </is>
      </c>
      <c r="E129" s="6" t="inlineStr">
        <is>
          <t>Rose City Business Systems - Salem Services, LLC; Vendor payment applied to AP-0009881</t>
        </is>
      </c>
      <c r="F129" s="7" t="n">
        <v>-2541.73</v>
      </c>
      <c r="G129" s="7" t="n">
        <v>0</v>
      </c>
      <c r="H129" s="7">
        <f>F129+G129</f>
        <v/>
      </c>
      <c r="I129" s="6" t="inlineStr">
        <is>
          <t>cleared</t>
        </is>
      </c>
      <c r="J129" s="6" t="inlineStr">
        <is>
          <t>bank feed / ACH-AP-0009881</t>
        </is>
      </c>
    </row>
    <row r="130">
      <c r="A130" s="6" t="inlineStr">
        <is>
          <t>1000-0125</t>
        </is>
      </c>
      <c r="B130" s="6" t="inlineStr">
        <is>
          <t>2026-06-26</t>
        </is>
      </c>
      <c r="C130" s="6" t="inlineStr">
        <is>
          <t>ACH DEBIT</t>
        </is>
      </c>
      <c r="D130" s="6" t="inlineStr">
        <is>
          <t>1000</t>
        </is>
      </c>
      <c r="E130" s="6" t="inlineStr">
        <is>
          <t>Interstate Equipment Rental &amp; Services - Salem Services, LLC; Vendor payment applied to AP-0009893</t>
        </is>
      </c>
      <c r="F130" s="7" t="n">
        <v>-1925.56</v>
      </c>
      <c r="G130" s="7" t="n">
        <v>0</v>
      </c>
      <c r="H130" s="7">
        <f>F130+G130</f>
        <v/>
      </c>
      <c r="I130" s="6" t="inlineStr">
        <is>
          <t>cleared</t>
        </is>
      </c>
      <c r="J130" s="6" t="inlineStr">
        <is>
          <t>bank feed / ACH-AP-0009893</t>
        </is>
      </c>
    </row>
    <row r="131">
      <c r="A131" s="6" t="inlineStr">
        <is>
          <t>1000-0126</t>
        </is>
      </c>
      <c r="B131" s="6" t="inlineStr">
        <is>
          <t>2026-06-27</t>
        </is>
      </c>
      <c r="C131" s="6" t="inlineStr">
        <is>
          <t>ACH DEBIT</t>
        </is>
      </c>
      <c r="D131" s="6" t="inlineStr">
        <is>
          <t>1000</t>
        </is>
      </c>
      <c r="E131" s="6" t="inlineStr">
        <is>
          <t>Bridge City Testing and Balancing - Beaverton Group; Vendor payment applied to AP-0004092</t>
        </is>
      </c>
      <c r="F131" s="7" t="n">
        <v>-10426.91</v>
      </c>
      <c r="G131" s="7" t="n">
        <v>0</v>
      </c>
      <c r="H131" s="7">
        <f>F131+G131</f>
        <v/>
      </c>
      <c r="I131" s="6" t="inlineStr">
        <is>
          <t>cleared</t>
        </is>
      </c>
      <c r="J131" s="6" t="inlineStr">
        <is>
          <t>bank feed / ACH-AP-0004092</t>
        </is>
      </c>
    </row>
    <row r="132">
      <c r="A132" s="6" t="inlineStr">
        <is>
          <t>1000-0127</t>
        </is>
      </c>
      <c r="B132" s="6" t="inlineStr">
        <is>
          <t>2026-06-27</t>
        </is>
      </c>
      <c r="C132" s="6" t="inlineStr">
        <is>
          <t>ACH DEBIT</t>
        </is>
      </c>
      <c r="D132" s="6" t="inlineStr">
        <is>
          <t>1000</t>
        </is>
      </c>
      <c r="E132" s="6" t="inlineStr">
        <is>
          <t>Rogue Valley Sheet Metal Fabrication - Gresham LLC; Vendor payment applied to AP-0005744</t>
        </is>
      </c>
      <c r="F132" s="7" t="n">
        <v>-6636.28</v>
      </c>
      <c r="G132" s="7" t="n">
        <v>0</v>
      </c>
      <c r="H132" s="7">
        <f>F132+G132</f>
        <v/>
      </c>
      <c r="I132" s="6" t="inlineStr">
        <is>
          <t>cleared</t>
        </is>
      </c>
      <c r="J132" s="6" t="inlineStr">
        <is>
          <t>bank feed / ACH-AP-0005744</t>
        </is>
      </c>
    </row>
    <row r="133">
      <c r="A133" s="6" t="inlineStr">
        <is>
          <t>1000-0128</t>
        </is>
      </c>
      <c r="B133" s="6" t="inlineStr">
        <is>
          <t>2026-06-27</t>
        </is>
      </c>
      <c r="C133" s="6" t="inlineStr">
        <is>
          <t>ACH/CHECK DEPOSIT</t>
        </is>
      </c>
      <c r="D133" s="6" t="inlineStr">
        <is>
          <t>1000</t>
        </is>
      </c>
      <c r="E133" s="6" t="inlineStr">
        <is>
          <t>Forest Park Hospitality - West Asset Management; Customer receipt applied to AR-0030935</t>
        </is>
      </c>
      <c r="F133" s="7" t="n">
        <v>1320</v>
      </c>
      <c r="G133" s="7" t="n">
        <v>0</v>
      </c>
      <c r="H133" s="7">
        <f>F133+G133</f>
        <v/>
      </c>
      <c r="I133" s="6" t="inlineStr">
        <is>
          <t>cleared</t>
        </is>
      </c>
      <c r="J133" s="6" t="inlineStr">
        <is>
          <t>bank feed / RCPT-AR-0030935</t>
        </is>
      </c>
    </row>
    <row r="134">
      <c r="A134" s="6" t="inlineStr">
        <is>
          <t>1000-0129</t>
        </is>
      </c>
      <c r="B134" s="6" t="inlineStr">
        <is>
          <t>2026-06-27</t>
        </is>
      </c>
      <c r="C134" s="6" t="inlineStr">
        <is>
          <t>ACH/CHECK DEPOSIT</t>
        </is>
      </c>
      <c r="D134" s="6" t="inlineStr">
        <is>
          <t>1000</t>
        </is>
      </c>
      <c r="E134" s="6" t="inlineStr">
        <is>
          <t>High Desert Manufacturing - Portfolio LLC; Customer receipt applied to AR-0030942</t>
        </is>
      </c>
      <c r="F134" s="7" t="n">
        <v>3258.24</v>
      </c>
      <c r="G134" s="7" t="n">
        <v>0</v>
      </c>
      <c r="H134" s="7">
        <f>F134+G134</f>
        <v/>
      </c>
      <c r="I134" s="6" t="inlineStr">
        <is>
          <t>cleared</t>
        </is>
      </c>
      <c r="J134" s="6" t="inlineStr">
        <is>
          <t>bank feed / RCPT-AR-0030942</t>
        </is>
      </c>
    </row>
    <row r="135">
      <c r="A135" s="6" t="inlineStr">
        <is>
          <t>1000-0130</t>
        </is>
      </c>
      <c r="B135" s="6" t="inlineStr">
        <is>
          <t>2026-06-27</t>
        </is>
      </c>
      <c r="C135" s="6" t="inlineStr">
        <is>
          <t>ACH/CHECK DEPOSIT</t>
        </is>
      </c>
      <c r="D135" s="6" t="inlineStr">
        <is>
          <t>1000</t>
        </is>
      </c>
      <c r="E135" s="6" t="inlineStr">
        <is>
          <t>Deschutes Medical Group - North Asset Management; Customer receipt applied to AR-0030963</t>
        </is>
      </c>
      <c r="F135" s="7" t="n">
        <v>5328.03</v>
      </c>
      <c r="G135" s="7" t="n">
        <v>0</v>
      </c>
      <c r="H135" s="7">
        <f>F135+G135</f>
        <v/>
      </c>
      <c r="I135" s="6" t="inlineStr">
        <is>
          <t>cleared</t>
        </is>
      </c>
      <c r="J135" s="6" t="inlineStr">
        <is>
          <t>bank feed / RCPT-AR-0030963</t>
        </is>
      </c>
    </row>
    <row r="136">
      <c r="A136" s="6" t="inlineStr">
        <is>
          <t>1000-0131</t>
        </is>
      </c>
      <c r="B136" s="6" t="inlineStr">
        <is>
          <t>2026-06-27</t>
        </is>
      </c>
      <c r="C136" s="6" t="inlineStr">
        <is>
          <t>ACH/CHECK DEPOSIT</t>
        </is>
      </c>
      <c r="D136" s="6" t="inlineStr">
        <is>
          <t>1000</t>
        </is>
      </c>
      <c r="E136" s="6" t="inlineStr">
        <is>
          <t>Columbia River Logistics - Portfolio Facilities; Customer receipt applied to AR-0030993</t>
        </is>
      </c>
      <c r="F136" s="7" t="n">
        <v>661.15</v>
      </c>
      <c r="G136" s="7" t="n">
        <v>0</v>
      </c>
      <c r="H136" s="7">
        <f>F136+G136</f>
        <v/>
      </c>
      <c r="I136" s="6" t="inlineStr">
        <is>
          <t>cleared</t>
        </is>
      </c>
      <c r="J136" s="6" t="inlineStr">
        <is>
          <t>bank feed / RCPT-AR-0030993</t>
        </is>
      </c>
    </row>
    <row r="137">
      <c r="A137" s="6" t="inlineStr">
        <is>
          <t>1000-0132</t>
        </is>
      </c>
      <c r="B137" s="6" t="inlineStr">
        <is>
          <t>2026-06-27</t>
        </is>
      </c>
      <c r="C137" s="6" t="inlineStr">
        <is>
          <t>ACH/CHECK DEPOSIT</t>
        </is>
      </c>
      <c r="D137" s="6" t="inlineStr">
        <is>
          <t>1000</t>
        </is>
      </c>
      <c r="E137" s="6" t="inlineStr">
        <is>
          <t>Oak Street Development - North LLC; Customer receipt applied to AR-0031043</t>
        </is>
      </c>
      <c r="F137" s="7" t="n">
        <v>804.03</v>
      </c>
      <c r="G137" s="7" t="n">
        <v>0</v>
      </c>
      <c r="H137" s="7">
        <f>F137+G137</f>
        <v/>
      </c>
      <c r="I137" s="6" t="inlineStr">
        <is>
          <t>cleared</t>
        </is>
      </c>
      <c r="J137" s="6" t="inlineStr">
        <is>
          <t>bank feed / RCPT-AR-0031043</t>
        </is>
      </c>
    </row>
    <row r="138">
      <c r="A138" s="6" t="inlineStr">
        <is>
          <t>1000-0133</t>
        </is>
      </c>
      <c r="B138" s="6" t="inlineStr">
        <is>
          <t>2026-06-27</t>
        </is>
      </c>
      <c r="C138" s="6" t="inlineStr">
        <is>
          <t>ACH/CHECK DEPOSIT</t>
        </is>
      </c>
      <c r="D138" s="6" t="inlineStr">
        <is>
          <t>1000</t>
        </is>
      </c>
      <c r="E138" s="6" t="inlineStr">
        <is>
          <t>Summit Surgical Properties; Customer receipt applied to AR-0031082</t>
        </is>
      </c>
      <c r="F138" s="7" t="n">
        <v>448.09</v>
      </c>
      <c r="G138" s="7" t="n">
        <v>0</v>
      </c>
      <c r="H138" s="7">
        <f>F138+G138</f>
        <v/>
      </c>
      <c r="I138" s="6" t="inlineStr">
        <is>
          <t>cleared</t>
        </is>
      </c>
      <c r="J138" s="6" t="inlineStr">
        <is>
          <t>bank feed / RCPT-AR-0031082</t>
        </is>
      </c>
    </row>
    <row r="139">
      <c r="A139" s="6" t="inlineStr">
        <is>
          <t>1000-0134</t>
        </is>
      </c>
      <c r="B139" s="6" t="inlineStr">
        <is>
          <t>2026-06-27</t>
        </is>
      </c>
      <c r="C139" s="6" t="inlineStr">
        <is>
          <t>ACH/CHECK DEPOSIT</t>
        </is>
      </c>
      <c r="D139" s="6" t="inlineStr">
        <is>
          <t>1000</t>
        </is>
      </c>
      <c r="E139" s="6" t="inlineStr">
        <is>
          <t>Westside Ambulatory - Portfolio Campus Services; Customer receipt applied to AR-0031132</t>
        </is>
      </c>
      <c r="F139" s="7" t="n">
        <v>2624.93</v>
      </c>
      <c r="G139" s="7" t="n">
        <v>0</v>
      </c>
      <c r="H139" s="7">
        <f>F139+G139</f>
        <v/>
      </c>
      <c r="I139" s="6" t="inlineStr">
        <is>
          <t>cleared</t>
        </is>
      </c>
      <c r="J139" s="6" t="inlineStr">
        <is>
          <t>bank feed / RCPT-AR-0031132</t>
        </is>
      </c>
    </row>
    <row r="140">
      <c r="A140" s="6" t="inlineStr">
        <is>
          <t>1000-0135</t>
        </is>
      </c>
      <c r="B140" s="6" t="inlineStr">
        <is>
          <t>2026-06-27</t>
        </is>
      </c>
      <c r="C140" s="6" t="inlineStr">
        <is>
          <t>ACH/CHECK DEPOSIT</t>
        </is>
      </c>
      <c r="D140" s="6" t="inlineStr">
        <is>
          <t>1000</t>
        </is>
      </c>
      <c r="E140" s="6" t="inlineStr">
        <is>
          <t>Deschutes Medical Group - North Asset Management; Customer receipt applied to AR-0031143</t>
        </is>
      </c>
      <c r="F140" s="7" t="n">
        <v>1417.57</v>
      </c>
      <c r="G140" s="7" t="n">
        <v>0</v>
      </c>
      <c r="H140" s="7">
        <f>F140+G140</f>
        <v/>
      </c>
      <c r="I140" s="6" t="inlineStr">
        <is>
          <t>cleared</t>
        </is>
      </c>
      <c r="J140" s="6" t="inlineStr">
        <is>
          <t>bank feed / RCPT-AR-0031143</t>
        </is>
      </c>
    </row>
    <row r="141">
      <c r="A141" s="6" t="inlineStr">
        <is>
          <t>1000-0136</t>
        </is>
      </c>
      <c r="B141" s="6" t="inlineStr">
        <is>
          <t>2026-06-27</t>
        </is>
      </c>
      <c r="C141" s="6" t="inlineStr">
        <is>
          <t>ACH/CHECK DEPOSIT</t>
        </is>
      </c>
      <c r="D141" s="6" t="inlineStr">
        <is>
          <t>1000</t>
        </is>
      </c>
      <c r="E141" s="6" t="inlineStr">
        <is>
          <t>Columbia Biologics, Inc.; Customer receipt applied to AR-0031156</t>
        </is>
      </c>
      <c r="F141" s="7" t="n">
        <v>826.9299999999999</v>
      </c>
      <c r="G141" s="7" t="n">
        <v>0</v>
      </c>
      <c r="H141" s="7">
        <f>F141+G141</f>
        <v/>
      </c>
      <c r="I141" s="6" t="inlineStr">
        <is>
          <t>cleared</t>
        </is>
      </c>
      <c r="J141" s="6" t="inlineStr">
        <is>
          <t>bank feed / RCPT-AR-0031156</t>
        </is>
      </c>
    </row>
    <row r="142">
      <c r="A142" s="6" t="inlineStr">
        <is>
          <t>1000-0137</t>
        </is>
      </c>
      <c r="B142" s="6" t="inlineStr">
        <is>
          <t>2026-06-27</t>
        </is>
      </c>
      <c r="C142" s="6" t="inlineStr">
        <is>
          <t>ACH/CHECK DEPOSIT</t>
        </is>
      </c>
      <c r="D142" s="6" t="inlineStr">
        <is>
          <t>1000</t>
        </is>
      </c>
      <c r="E142" s="6" t="inlineStr">
        <is>
          <t>Portland Arts and Events - Central Asset Management; Customer receipt applied to AR-0031165</t>
        </is>
      </c>
      <c r="F142" s="7" t="n">
        <v>809.03</v>
      </c>
      <c r="G142" s="7" t="n">
        <v>0</v>
      </c>
      <c r="H142" s="7">
        <f>F142+G142</f>
        <v/>
      </c>
      <c r="I142" s="6" t="inlineStr">
        <is>
          <t>cleared</t>
        </is>
      </c>
      <c r="J142" s="6" t="inlineStr">
        <is>
          <t>bank feed / RCPT-AR-0031165</t>
        </is>
      </c>
    </row>
    <row r="143">
      <c r="A143" s="6" t="inlineStr">
        <is>
          <t>1000-0138</t>
        </is>
      </c>
      <c r="B143" s="6" t="inlineStr">
        <is>
          <t>2026-06-27</t>
        </is>
      </c>
      <c r="C143" s="6" t="inlineStr">
        <is>
          <t>ACH/CHECK DEPOSIT</t>
        </is>
      </c>
      <c r="D143" s="6" t="inlineStr">
        <is>
          <t>1000</t>
        </is>
      </c>
      <c r="E143" s="6" t="inlineStr">
        <is>
          <t>Copperline Apartments - Campus Holdings, LLC; Customer receipt applied to AR-0031180</t>
        </is>
      </c>
      <c r="F143" s="7" t="n">
        <v>1254.73</v>
      </c>
      <c r="G143" s="7" t="n">
        <v>0</v>
      </c>
      <c r="H143" s="7">
        <f>F143+G143</f>
        <v/>
      </c>
      <c r="I143" s="6" t="inlineStr">
        <is>
          <t>cleared</t>
        </is>
      </c>
      <c r="J143" s="6" t="inlineStr">
        <is>
          <t>bank feed / RCPT-AR-0031180</t>
        </is>
      </c>
    </row>
    <row r="144">
      <c r="A144" s="6" t="inlineStr">
        <is>
          <t>1000-0139</t>
        </is>
      </c>
      <c r="B144" s="6" t="inlineStr">
        <is>
          <t>2026-06-27</t>
        </is>
      </c>
      <c r="C144" s="6" t="inlineStr">
        <is>
          <t>ACH DEBIT</t>
        </is>
      </c>
      <c r="D144" s="6" t="inlineStr">
        <is>
          <t>1000</t>
        </is>
      </c>
      <c r="E144" s="6" t="inlineStr">
        <is>
          <t>High Desert Safety and Industrial Supply - Salem Services, LLC; Vendor payment applied to AP-0009869</t>
        </is>
      </c>
      <c r="F144" s="7" t="n">
        <v>-2412.08</v>
      </c>
      <c r="G144" s="7" t="n">
        <v>0</v>
      </c>
      <c r="H144" s="7">
        <f>F144+G144</f>
        <v/>
      </c>
      <c r="I144" s="6" t="inlineStr">
        <is>
          <t>cleared</t>
        </is>
      </c>
      <c r="J144" s="6" t="inlineStr">
        <is>
          <t>bank feed / ACH-AP-0009869</t>
        </is>
      </c>
    </row>
    <row r="145">
      <c r="A145" s="6" t="inlineStr">
        <is>
          <t>1000-0140</t>
        </is>
      </c>
      <c r="B145" s="6" t="inlineStr">
        <is>
          <t>2026-06-27</t>
        </is>
      </c>
      <c r="C145" s="6" t="inlineStr">
        <is>
          <t>ACH DEBIT</t>
        </is>
      </c>
      <c r="D145" s="6" t="inlineStr">
        <is>
          <t>1000</t>
        </is>
      </c>
      <c r="E145" s="6" t="inlineStr">
        <is>
          <t>Rose City Pipe, Valve &amp; Fitting Supply - Gresham Services, LLC; Vendor payment applied to AP-0009884</t>
        </is>
      </c>
      <c r="F145" s="7" t="n">
        <v>-1897.45</v>
      </c>
      <c r="G145" s="7" t="n">
        <v>0</v>
      </c>
      <c r="H145" s="7">
        <f>F145+G145</f>
        <v/>
      </c>
      <c r="I145" s="6" t="inlineStr">
        <is>
          <t>cleared</t>
        </is>
      </c>
      <c r="J145" s="6" t="inlineStr">
        <is>
          <t>bank feed / ACH-AP-0009884</t>
        </is>
      </c>
    </row>
    <row r="146">
      <c r="A146" s="6" t="inlineStr">
        <is>
          <t>1000-0141</t>
        </is>
      </c>
      <c r="B146" s="6" t="inlineStr">
        <is>
          <t>2026-06-27</t>
        </is>
      </c>
      <c r="C146" s="6" t="inlineStr">
        <is>
          <t>ACH DEBIT</t>
        </is>
      </c>
      <c r="D146" s="6" t="inlineStr">
        <is>
          <t>1000</t>
        </is>
      </c>
      <c r="E146" s="6" t="inlineStr">
        <is>
          <t>Autodesk, Inc.; Vendor payment applied to AP-0009887</t>
        </is>
      </c>
      <c r="F146" s="7" t="n">
        <v>-1528.71</v>
      </c>
      <c r="G146" s="7" t="n">
        <v>0</v>
      </c>
      <c r="H146" s="7">
        <f>F146+G146</f>
        <v/>
      </c>
      <c r="I146" s="6" t="inlineStr">
        <is>
          <t>cleared</t>
        </is>
      </c>
      <c r="J146" s="6" t="inlineStr">
        <is>
          <t>bank feed / ACH-AP-0009887</t>
        </is>
      </c>
    </row>
    <row r="147">
      <c r="A147" s="6" t="inlineStr">
        <is>
          <t>1000-0142</t>
        </is>
      </c>
      <c r="B147" s="6" t="inlineStr">
        <is>
          <t>2026-06-27</t>
        </is>
      </c>
      <c r="C147" s="6" t="inlineStr">
        <is>
          <t>ACH/CHECK DEPOSIT</t>
        </is>
      </c>
      <c r="D147" s="6" t="inlineStr">
        <is>
          <t>1000</t>
        </is>
      </c>
      <c r="E147" s="6" t="inlineStr">
        <is>
          <t>Hillsboro Life Sciences Operating Company; Customer receipt applied to AR-0031257</t>
        </is>
      </c>
      <c r="F147" s="7" t="n">
        <v>916.36</v>
      </c>
      <c r="G147" s="7" t="n">
        <v>0</v>
      </c>
      <c r="H147" s="7">
        <f>F147+G147</f>
        <v/>
      </c>
      <c r="I147" s="6" t="inlineStr">
        <is>
          <t>cleared</t>
        </is>
      </c>
      <c r="J147" s="6" t="inlineStr">
        <is>
          <t>bank feed / RCPT-AR-0031257</t>
        </is>
      </c>
    </row>
    <row r="148">
      <c r="A148" s="6" t="inlineStr">
        <is>
          <t>1000-0143</t>
        </is>
      </c>
      <c r="B148" s="6" t="inlineStr">
        <is>
          <t>2026-06-27</t>
        </is>
      </c>
      <c r="C148" s="6" t="inlineStr">
        <is>
          <t>ACH/CHECK DEPOSIT</t>
        </is>
      </c>
      <c r="D148" s="6" t="inlineStr">
        <is>
          <t>1000</t>
        </is>
      </c>
      <c r="E148" s="6" t="inlineStr">
        <is>
          <t>Rogue Valley Beverage - Portfolio Holdings, LLC; Customer receipt applied to AR-0031301</t>
        </is>
      </c>
      <c r="F148" s="7" t="n">
        <v>1535.93</v>
      </c>
      <c r="G148" s="7" t="n">
        <v>0</v>
      </c>
      <c r="H148" s="7">
        <f>F148+G148</f>
        <v/>
      </c>
      <c r="I148" s="6" t="inlineStr">
        <is>
          <t>cleared</t>
        </is>
      </c>
      <c r="J148" s="6" t="inlineStr">
        <is>
          <t>bank feed / RCPT-AR-0031301</t>
        </is>
      </c>
    </row>
    <row r="149">
      <c r="A149" s="6" t="inlineStr">
        <is>
          <t>1000-0144</t>
        </is>
      </c>
      <c r="B149" s="6" t="inlineStr">
        <is>
          <t>2026-06-27</t>
        </is>
      </c>
      <c r="C149" s="6" t="inlineStr">
        <is>
          <t>ACH/CHECK DEPOSIT</t>
        </is>
      </c>
      <c r="D149" s="6" t="inlineStr">
        <is>
          <t>1000</t>
        </is>
      </c>
      <c r="E149" s="6" t="inlineStr">
        <is>
          <t>Alder Creek Medical - North Facilities; Customer receipt applied to AR-0031446</t>
        </is>
      </c>
      <c r="F149" s="7" t="n">
        <v>713.16</v>
      </c>
      <c r="G149" s="7" t="n">
        <v>0</v>
      </c>
      <c r="H149" s="7">
        <f>F149+G149</f>
        <v/>
      </c>
      <c r="I149" s="6" t="inlineStr">
        <is>
          <t>cleared</t>
        </is>
      </c>
      <c r="J149" s="6" t="inlineStr">
        <is>
          <t>bank feed / RCPT-AR-0031446</t>
        </is>
      </c>
    </row>
    <row r="150">
      <c r="A150" s="6" t="inlineStr">
        <is>
          <t>1000-0145</t>
        </is>
      </c>
      <c r="B150" s="6" t="inlineStr">
        <is>
          <t>2026-06-27</t>
        </is>
      </c>
      <c r="C150" s="6" t="inlineStr">
        <is>
          <t>ACH DEBIT</t>
        </is>
      </c>
      <c r="D150" s="6" t="inlineStr">
        <is>
          <t>1000</t>
        </is>
      </c>
      <c r="E150" s="6" t="inlineStr">
        <is>
          <t>Kittelson Construction Law Group; Vendor payment applied to AP-0011885</t>
        </is>
      </c>
      <c r="F150" s="7" t="n">
        <v>-2360.85</v>
      </c>
      <c r="G150" s="7" t="n">
        <v>0</v>
      </c>
      <c r="H150" s="7">
        <f>F150+G150</f>
        <v/>
      </c>
      <c r="I150" s="6" t="inlineStr">
        <is>
          <t>cleared</t>
        </is>
      </c>
      <c r="J150" s="6" t="inlineStr">
        <is>
          <t>bank feed / ACH-AP-0011885</t>
        </is>
      </c>
    </row>
    <row r="151">
      <c r="A151" s="6" t="inlineStr">
        <is>
          <t>1000-0146</t>
        </is>
      </c>
      <c r="B151" s="6" t="inlineStr">
        <is>
          <t>2026-06-28</t>
        </is>
      </c>
      <c r="C151" s="6" t="inlineStr">
        <is>
          <t>INTERNAL TRANSFER</t>
        </is>
      </c>
      <c r="D151" s="6" t="inlineStr">
        <is>
          <t>1000</t>
        </is>
      </c>
      <c r="E151" s="6" t="inlineStr">
        <is>
          <t>Payroll account 7718; Fund field payroll</t>
        </is>
      </c>
      <c r="F151" s="7" t="n">
        <v>-11593.35</v>
      </c>
      <c r="G151" s="7" t="n">
        <v>0</v>
      </c>
      <c r="H151" s="7">
        <f>F151+G151</f>
        <v/>
      </c>
      <c r="I151" s="6" t="inlineStr">
        <is>
          <t>cleared</t>
        </is>
      </c>
      <c r="J151" s="6" t="inlineStr">
        <is>
          <t>bank feed / FUND-PRJ-PAY-ARM-2318-20260628</t>
        </is>
      </c>
    </row>
    <row r="152">
      <c r="A152" s="6" t="inlineStr">
        <is>
          <t>1000-0147</t>
        </is>
      </c>
      <c r="B152" s="6" t="inlineStr">
        <is>
          <t>2026-06-28</t>
        </is>
      </c>
      <c r="C152" s="6" t="inlineStr">
        <is>
          <t>ACH DEBIT</t>
        </is>
      </c>
      <c r="D152" s="6" t="inlineStr">
        <is>
          <t>1000</t>
        </is>
      </c>
      <c r="E152" s="6" t="inlineStr">
        <is>
          <t>Summit Electrical Contracting - Bend Group; Vendor payment applied to AP-0004095</t>
        </is>
      </c>
      <c r="F152" s="7" t="n">
        <v>-4111</v>
      </c>
      <c r="G152" s="7" t="n">
        <v>0</v>
      </c>
      <c r="H152" s="7">
        <f>F152+G152</f>
        <v/>
      </c>
      <c r="I152" s="6" t="inlineStr">
        <is>
          <t>cleared</t>
        </is>
      </c>
      <c r="J152" s="6" t="inlineStr">
        <is>
          <t>bank feed / ACH-AP-0004095</t>
        </is>
      </c>
    </row>
    <row r="153">
      <c r="A153" s="6" t="inlineStr">
        <is>
          <t>1000-0148</t>
        </is>
      </c>
      <c r="B153" s="6" t="inlineStr">
        <is>
          <t>2026-06-28</t>
        </is>
      </c>
      <c r="C153" s="6" t="inlineStr">
        <is>
          <t>INTERNAL TRANSFER</t>
        </is>
      </c>
      <c r="D153" s="6" t="inlineStr">
        <is>
          <t>1000</t>
        </is>
      </c>
      <c r="E153" s="6" t="inlineStr">
        <is>
          <t>Payroll account 7718; Fund field payroll</t>
        </is>
      </c>
      <c r="F153" s="7" t="n">
        <v>-10103.82</v>
      </c>
      <c r="G153" s="7" t="n">
        <v>0</v>
      </c>
      <c r="H153" s="7">
        <f>F153+G153</f>
        <v/>
      </c>
      <c r="I153" s="6" t="inlineStr">
        <is>
          <t>cleared</t>
        </is>
      </c>
      <c r="J153" s="6" t="inlineStr">
        <is>
          <t>bank feed / FUND-PRJ-PAY-ARM-2403-20260628</t>
        </is>
      </c>
    </row>
    <row r="154">
      <c r="A154" s="6" t="inlineStr">
        <is>
          <t>1000-0149</t>
        </is>
      </c>
      <c r="B154" s="6" t="inlineStr">
        <is>
          <t>2026-06-28</t>
        </is>
      </c>
      <c r="C154" s="6" t="inlineStr">
        <is>
          <t>ACH DEBIT</t>
        </is>
      </c>
      <c r="D154" s="6" t="inlineStr">
        <is>
          <t>1000</t>
        </is>
      </c>
      <c r="E154" s="6" t="inlineStr">
        <is>
          <t>Pacific Sheet Metal Fabrication - Beaverton LLC; Vendor payment applied to AP-0004289</t>
        </is>
      </c>
      <c r="F154" s="7" t="n">
        <v>-7186.31</v>
      </c>
      <c r="G154" s="7" t="n">
        <v>0</v>
      </c>
      <c r="H154" s="7">
        <f>F154+G154</f>
        <v/>
      </c>
      <c r="I154" s="6" t="inlineStr">
        <is>
          <t>cleared</t>
        </is>
      </c>
      <c r="J154" s="6" t="inlineStr">
        <is>
          <t>bank feed / ACH-AP-0004289</t>
        </is>
      </c>
    </row>
    <row r="155">
      <c r="A155" s="6" t="inlineStr">
        <is>
          <t>1000-0150</t>
        </is>
      </c>
      <c r="B155" s="6" t="inlineStr">
        <is>
          <t>2026-06-28</t>
        </is>
      </c>
      <c r="C155" s="6" t="inlineStr">
        <is>
          <t>INTERNAL TRANSFER</t>
        </is>
      </c>
      <c r="D155" s="6" t="inlineStr">
        <is>
          <t>1000</t>
        </is>
      </c>
      <c r="E155" s="6" t="inlineStr">
        <is>
          <t>Payroll account 7718; Fund field payroll</t>
        </is>
      </c>
      <c r="F155" s="7" t="n">
        <v>-10940.53</v>
      </c>
      <c r="G155" s="7" t="n">
        <v>0</v>
      </c>
      <c r="H155" s="7">
        <f>F155+G155</f>
        <v/>
      </c>
      <c r="I155" s="6" t="inlineStr">
        <is>
          <t>cleared</t>
        </is>
      </c>
      <c r="J155" s="6" t="inlineStr">
        <is>
          <t>bank feed / FUND-PRJ-PAY-ARM-2409-20260628</t>
        </is>
      </c>
    </row>
    <row r="156">
      <c r="A156" s="6" t="inlineStr">
        <is>
          <t>1000-0151</t>
        </is>
      </c>
      <c r="B156" s="6" t="inlineStr">
        <is>
          <t>2026-06-28</t>
        </is>
      </c>
      <c r="C156" s="6" t="inlineStr">
        <is>
          <t>INTERNAL TRANSFER</t>
        </is>
      </c>
      <c r="D156" s="6" t="inlineStr">
        <is>
          <t>1000</t>
        </is>
      </c>
      <c r="E156" s="6" t="inlineStr">
        <is>
          <t>Payroll account 7718; Fund field payroll</t>
        </is>
      </c>
      <c r="F156" s="7" t="n">
        <v>-12193.99</v>
      </c>
      <c r="G156" s="7" t="n">
        <v>0</v>
      </c>
      <c r="H156" s="7">
        <f>F156+G156</f>
        <v/>
      </c>
      <c r="I156" s="6" t="inlineStr">
        <is>
          <t>cleared</t>
        </is>
      </c>
      <c r="J156" s="6" t="inlineStr">
        <is>
          <t>bank feed / FUND-PRJ-PAY-ARM-2412-20260628</t>
        </is>
      </c>
    </row>
    <row r="157">
      <c r="A157" s="6" t="inlineStr">
        <is>
          <t>1000-0152</t>
        </is>
      </c>
      <c r="B157" s="6" t="inlineStr">
        <is>
          <t>2026-06-28</t>
        </is>
      </c>
      <c r="C157" s="6" t="inlineStr">
        <is>
          <t>ACH DEBIT</t>
        </is>
      </c>
      <c r="D157" s="6" t="inlineStr">
        <is>
          <t>1000</t>
        </is>
      </c>
      <c r="E157" s="6" t="inlineStr">
        <is>
          <t>Metro Pipe, Valve &amp; Fitting Supply - Portland Group; Vendor payment applied to AP-0004687</t>
        </is>
      </c>
      <c r="F157" s="7" t="n">
        <v>-4003.56</v>
      </c>
      <c r="G157" s="7" t="n">
        <v>0</v>
      </c>
      <c r="H157" s="7">
        <f>F157+G157</f>
        <v/>
      </c>
      <c r="I157" s="6" t="inlineStr">
        <is>
          <t>cleared</t>
        </is>
      </c>
      <c r="J157" s="6" t="inlineStr">
        <is>
          <t>bank feed / ACH-AP-0004687</t>
        </is>
      </c>
    </row>
    <row r="158">
      <c r="A158" s="6" t="inlineStr">
        <is>
          <t>1000-0153</t>
        </is>
      </c>
      <c r="B158" s="6" t="inlineStr">
        <is>
          <t>2026-06-28</t>
        </is>
      </c>
      <c r="C158" s="6" t="inlineStr">
        <is>
          <t>INTERNAL TRANSFER</t>
        </is>
      </c>
      <c r="D158" s="6" t="inlineStr">
        <is>
          <t>1000</t>
        </is>
      </c>
      <c r="E158" s="6" t="inlineStr">
        <is>
          <t>Payroll account 7718; Fund field payroll</t>
        </is>
      </c>
      <c r="F158" s="7" t="n">
        <v>-19807.08</v>
      </c>
      <c r="G158" s="7" t="n">
        <v>0</v>
      </c>
      <c r="H158" s="7">
        <f>F158+G158</f>
        <v/>
      </c>
      <c r="I158" s="6" t="inlineStr">
        <is>
          <t>cleared</t>
        </is>
      </c>
      <c r="J158" s="6" t="inlineStr">
        <is>
          <t>bank feed / FUND-PRJ-PAY-ARM-2417-20260628</t>
        </is>
      </c>
    </row>
    <row r="159">
      <c r="A159" s="6" t="inlineStr">
        <is>
          <t>1000-0154</t>
        </is>
      </c>
      <c r="B159" s="6" t="inlineStr">
        <is>
          <t>2026-06-28</t>
        </is>
      </c>
      <c r="C159" s="6" t="inlineStr">
        <is>
          <t>INTERNAL TRANSFER</t>
        </is>
      </c>
      <c r="D159" s="6" t="inlineStr">
        <is>
          <t>1000</t>
        </is>
      </c>
      <c r="E159" s="6" t="inlineStr">
        <is>
          <t>Payroll account 7718; Fund field payroll</t>
        </is>
      </c>
      <c r="F159" s="7" t="n">
        <v>-12819.96</v>
      </c>
      <c r="G159" s="7" t="n">
        <v>0</v>
      </c>
      <c r="H159" s="7">
        <f>F159+G159</f>
        <v/>
      </c>
      <c r="I159" s="6" t="inlineStr">
        <is>
          <t>cleared</t>
        </is>
      </c>
      <c r="J159" s="6" t="inlineStr">
        <is>
          <t>bank feed / FUND-PRJ-PAY-ARM-2501-20260628</t>
        </is>
      </c>
    </row>
    <row r="160">
      <c r="A160" s="6" t="inlineStr">
        <is>
          <t>1000-0155</t>
        </is>
      </c>
      <c r="B160" s="6" t="inlineStr">
        <is>
          <t>2026-06-28</t>
        </is>
      </c>
      <c r="C160" s="6" t="inlineStr">
        <is>
          <t>INTERNAL TRANSFER</t>
        </is>
      </c>
      <c r="D160" s="6" t="inlineStr">
        <is>
          <t>1000</t>
        </is>
      </c>
      <c r="E160" s="6" t="inlineStr">
        <is>
          <t>Payroll account 7718; Fund field payroll</t>
        </is>
      </c>
      <c r="F160" s="7" t="n">
        <v>-27669.84</v>
      </c>
      <c r="G160" s="7" t="n">
        <v>0</v>
      </c>
      <c r="H160" s="7">
        <f>F160+G160</f>
        <v/>
      </c>
      <c r="I160" s="6" t="inlineStr">
        <is>
          <t>cleared</t>
        </is>
      </c>
      <c r="J160" s="6" t="inlineStr">
        <is>
          <t>bank feed / FUND-PRJ-PAY-ARM-2506-20260628</t>
        </is>
      </c>
    </row>
    <row r="161">
      <c r="A161" s="6" t="inlineStr">
        <is>
          <t>1000-0156</t>
        </is>
      </c>
      <c r="B161" s="6" t="inlineStr">
        <is>
          <t>2026-06-28</t>
        </is>
      </c>
      <c r="C161" s="6" t="inlineStr">
        <is>
          <t>ACH DEBIT</t>
        </is>
      </c>
      <c r="D161" s="6" t="inlineStr">
        <is>
          <t>1000</t>
        </is>
      </c>
      <c r="E161" s="6" t="inlineStr">
        <is>
          <t>Columbia Mechanical Insulation - Bend Inc.; Vendor payment applied to AP-0005231</t>
        </is>
      </c>
      <c r="F161" s="7" t="n">
        <v>-5476.69</v>
      </c>
      <c r="G161" s="7" t="n">
        <v>0</v>
      </c>
      <c r="H161" s="7">
        <f>F161+G161</f>
        <v/>
      </c>
      <c r="I161" s="6" t="inlineStr">
        <is>
          <t>cleared</t>
        </is>
      </c>
      <c r="J161" s="6" t="inlineStr">
        <is>
          <t>bank feed / ACH-AP-0005231</t>
        </is>
      </c>
    </row>
    <row r="162">
      <c r="A162" s="6" t="inlineStr">
        <is>
          <t>1000-0157</t>
        </is>
      </c>
      <c r="B162" s="6" t="inlineStr">
        <is>
          <t>2026-06-28</t>
        </is>
      </c>
      <c r="C162" s="6" t="inlineStr">
        <is>
          <t>ACH DEBIT</t>
        </is>
      </c>
      <c r="D162" s="6" t="inlineStr">
        <is>
          <t>1000</t>
        </is>
      </c>
      <c r="E162" s="6" t="inlineStr">
        <is>
          <t>Northwest Equipment Rental &amp; Services - Salem Group; Vendor payment applied to AP-0005235</t>
        </is>
      </c>
      <c r="F162" s="7" t="n">
        <v>-17770.23</v>
      </c>
      <c r="G162" s="7" t="n">
        <v>0</v>
      </c>
      <c r="H162" s="7">
        <f>F162+G162</f>
        <v/>
      </c>
      <c r="I162" s="6" t="inlineStr">
        <is>
          <t>cleared</t>
        </is>
      </c>
      <c r="J162" s="6" t="inlineStr">
        <is>
          <t>bank feed / ACH-AP-0005235</t>
        </is>
      </c>
    </row>
    <row r="163">
      <c r="A163" s="6" t="inlineStr">
        <is>
          <t>1000-0158</t>
        </is>
      </c>
      <c r="B163" s="6" t="inlineStr">
        <is>
          <t>2026-06-28</t>
        </is>
      </c>
      <c r="C163" s="6" t="inlineStr">
        <is>
          <t>INTERNAL TRANSFER</t>
        </is>
      </c>
      <c r="D163" s="6" t="inlineStr">
        <is>
          <t>1000</t>
        </is>
      </c>
      <c r="E163" s="6" t="inlineStr">
        <is>
          <t>Payroll account 7718; Fund field payroll</t>
        </is>
      </c>
      <c r="F163" s="7" t="n">
        <v>-18051.25</v>
      </c>
      <c r="G163" s="7" t="n">
        <v>0</v>
      </c>
      <c r="H163" s="7">
        <f>F163+G163</f>
        <v/>
      </c>
      <c r="I163" s="6" t="inlineStr">
        <is>
          <t>cleared</t>
        </is>
      </c>
      <c r="J163" s="6" t="inlineStr">
        <is>
          <t>bank feed / FUND-PRJ-PAY-ARM-2510-20260628</t>
        </is>
      </c>
    </row>
    <row r="164">
      <c r="A164" s="6" t="inlineStr">
        <is>
          <t>1000-0159</t>
        </is>
      </c>
      <c r="B164" s="6" t="inlineStr">
        <is>
          <t>2026-06-28</t>
        </is>
      </c>
      <c r="C164" s="6" t="inlineStr">
        <is>
          <t>ACH DEBIT</t>
        </is>
      </c>
      <c r="D164" s="6" t="inlineStr">
        <is>
          <t>1000</t>
        </is>
      </c>
      <c r="E164" s="6" t="inlineStr">
        <is>
          <t>Northwest Mechanical Insulation - Portland Group; Vendor payment applied to AP-0005422</t>
        </is>
      </c>
      <c r="F164" s="7" t="n">
        <v>-1720.05</v>
      </c>
      <c r="G164" s="7" t="n">
        <v>0</v>
      </c>
      <c r="H164" s="7">
        <f>F164+G164</f>
        <v/>
      </c>
      <c r="I164" s="6" t="inlineStr">
        <is>
          <t>cleared</t>
        </is>
      </c>
      <c r="J164" s="6" t="inlineStr">
        <is>
          <t>bank feed / ACH-AP-0005422</t>
        </is>
      </c>
    </row>
    <row r="165">
      <c r="A165" s="6" t="inlineStr">
        <is>
          <t>1000-0160</t>
        </is>
      </c>
      <c r="B165" s="6" t="inlineStr">
        <is>
          <t>2026-06-28</t>
        </is>
      </c>
      <c r="C165" s="6" t="inlineStr">
        <is>
          <t>ACH DEBIT</t>
        </is>
      </c>
      <c r="D165" s="6" t="inlineStr">
        <is>
          <t>1000</t>
        </is>
      </c>
      <c r="E165" s="6" t="inlineStr">
        <is>
          <t>Northwest Sheet Metal Fabrication - Beaverton Group; Vendor payment applied to AP-0005425</t>
        </is>
      </c>
      <c r="F165" s="7" t="n">
        <v>-2812.69</v>
      </c>
      <c r="G165" s="7" t="n">
        <v>0</v>
      </c>
      <c r="H165" s="7">
        <f>F165+G165</f>
        <v/>
      </c>
      <c r="I165" s="6" t="inlineStr">
        <is>
          <t>cleared</t>
        </is>
      </c>
      <c r="J165" s="6" t="inlineStr">
        <is>
          <t>bank feed / ACH-AP-0005425</t>
        </is>
      </c>
    </row>
    <row r="166">
      <c r="A166" s="6" t="inlineStr">
        <is>
          <t>1000-0161</t>
        </is>
      </c>
      <c r="B166" s="6" t="inlineStr">
        <is>
          <t>2026-06-28</t>
        </is>
      </c>
      <c r="C166" s="6" t="inlineStr">
        <is>
          <t>INTERNAL TRANSFER</t>
        </is>
      </c>
      <c r="D166" s="6" t="inlineStr">
        <is>
          <t>1000</t>
        </is>
      </c>
      <c r="E166" s="6" t="inlineStr">
        <is>
          <t>Payroll account 7718; Fund field payroll</t>
        </is>
      </c>
      <c r="F166" s="7" t="n">
        <v>-29976.18</v>
      </c>
      <c r="G166" s="7" t="n">
        <v>0</v>
      </c>
      <c r="H166" s="7">
        <f>F166+G166</f>
        <v/>
      </c>
      <c r="I166" s="6" t="inlineStr">
        <is>
          <t>cleared</t>
        </is>
      </c>
      <c r="J166" s="6" t="inlineStr">
        <is>
          <t>bank feed / FUND-PRJ-PAY-ARM-2514-20260628</t>
        </is>
      </c>
    </row>
    <row r="167">
      <c r="A167" s="6" t="inlineStr">
        <is>
          <t>1000-0162</t>
        </is>
      </c>
      <c r="B167" s="6" t="inlineStr">
        <is>
          <t>2026-06-28</t>
        </is>
      </c>
      <c r="C167" s="6" t="inlineStr">
        <is>
          <t>ACH DEBIT</t>
        </is>
      </c>
      <c r="D167" s="6" t="inlineStr">
        <is>
          <t>1000</t>
        </is>
      </c>
      <c r="E167" s="6" t="inlineStr">
        <is>
          <t>Metro Testing and Balancing - Bend Group; Vendor payment applied to AP-0005507</t>
        </is>
      </c>
      <c r="F167" s="7" t="n">
        <v>-3752.56</v>
      </c>
      <c r="G167" s="7" t="n">
        <v>0</v>
      </c>
      <c r="H167" s="7">
        <f>F167+G167</f>
        <v/>
      </c>
      <c r="I167" s="6" t="inlineStr">
        <is>
          <t>cleared</t>
        </is>
      </c>
      <c r="J167" s="6" t="inlineStr">
        <is>
          <t>bank feed / ACH-AP-0005507</t>
        </is>
      </c>
    </row>
    <row r="168">
      <c r="A168" s="6" t="inlineStr">
        <is>
          <t>1000-0163</t>
        </is>
      </c>
      <c r="B168" s="6" t="inlineStr">
        <is>
          <t>2026-06-28</t>
        </is>
      </c>
      <c r="C168" s="6" t="inlineStr">
        <is>
          <t>INTERNAL TRANSFER</t>
        </is>
      </c>
      <c r="D168" s="6" t="inlineStr">
        <is>
          <t>1000</t>
        </is>
      </c>
      <c r="E168" s="6" t="inlineStr">
        <is>
          <t>Payroll account 7718; Fund field payroll</t>
        </is>
      </c>
      <c r="F168" s="7" t="n">
        <v>-14154.31</v>
      </c>
      <c r="G168" s="7" t="n">
        <v>0</v>
      </c>
      <c r="H168" s="7">
        <f>F168+G168</f>
        <v/>
      </c>
      <c r="I168" s="6" t="inlineStr">
        <is>
          <t>cleared</t>
        </is>
      </c>
      <c r="J168" s="6" t="inlineStr">
        <is>
          <t>bank feed / FUND-PRJ-PAY-ARM-2518-20260628</t>
        </is>
      </c>
    </row>
    <row r="169">
      <c r="A169" s="6" t="inlineStr">
        <is>
          <t>1000-0164</t>
        </is>
      </c>
      <c r="B169" s="6" t="inlineStr">
        <is>
          <t>2026-06-28</t>
        </is>
      </c>
      <c r="C169" s="6" t="inlineStr">
        <is>
          <t>INTERNAL TRANSFER</t>
        </is>
      </c>
      <c r="D169" s="6" t="inlineStr">
        <is>
          <t>1000</t>
        </is>
      </c>
      <c r="E169" s="6" t="inlineStr">
        <is>
          <t>Payroll account 7718; Fund field payroll</t>
        </is>
      </c>
      <c r="F169" s="7" t="n">
        <v>-16626.15</v>
      </c>
      <c r="G169" s="7" t="n">
        <v>0</v>
      </c>
      <c r="H169" s="7">
        <f>F169+G169</f>
        <v/>
      </c>
      <c r="I169" s="6" t="inlineStr">
        <is>
          <t>cleared</t>
        </is>
      </c>
      <c r="J169" s="6" t="inlineStr">
        <is>
          <t>bank feed / FUND-PRJ-PAY-ARM-2522-20260628</t>
        </is>
      </c>
    </row>
    <row r="170">
      <c r="A170" s="6" t="inlineStr">
        <is>
          <t>1000-0165</t>
        </is>
      </c>
      <c r="B170" s="6" t="inlineStr">
        <is>
          <t>2026-06-28</t>
        </is>
      </c>
      <c r="C170" s="6" t="inlineStr">
        <is>
          <t>INTERNAL TRANSFER</t>
        </is>
      </c>
      <c r="D170" s="6" t="inlineStr">
        <is>
          <t>1000</t>
        </is>
      </c>
      <c r="E170" s="6" t="inlineStr">
        <is>
          <t>Payroll account 7718; Fund field payroll</t>
        </is>
      </c>
      <c r="F170" s="7" t="n">
        <v>-11958.01</v>
      </c>
      <c r="G170" s="7" t="n">
        <v>0</v>
      </c>
      <c r="H170" s="7">
        <f>F170+G170</f>
        <v/>
      </c>
      <c r="I170" s="6" t="inlineStr">
        <is>
          <t>cleared</t>
        </is>
      </c>
      <c r="J170" s="6" t="inlineStr">
        <is>
          <t>bank feed / FUND-PRJ-PAY-ARM-2526-20260628</t>
        </is>
      </c>
    </row>
    <row r="171">
      <c r="A171" s="6" t="inlineStr">
        <is>
          <t>1000-0166</t>
        </is>
      </c>
      <c r="B171" s="6" t="inlineStr">
        <is>
          <t>2026-06-28</t>
        </is>
      </c>
      <c r="C171" s="6" t="inlineStr">
        <is>
          <t>INTERNAL TRANSFER</t>
        </is>
      </c>
      <c r="D171" s="6" t="inlineStr">
        <is>
          <t>1000</t>
        </is>
      </c>
      <c r="E171" s="6" t="inlineStr">
        <is>
          <t>Payroll account 7718; Fund field payroll</t>
        </is>
      </c>
      <c r="F171" s="7" t="n">
        <v>-15229.31</v>
      </c>
      <c r="G171" s="7" t="n">
        <v>0</v>
      </c>
      <c r="H171" s="7">
        <f>F171+G171</f>
        <v/>
      </c>
      <c r="I171" s="6" t="inlineStr">
        <is>
          <t>cleared</t>
        </is>
      </c>
      <c r="J171" s="6" t="inlineStr">
        <is>
          <t>bank feed / FUND-PRJ-PAY-ARM-2602-20260628</t>
        </is>
      </c>
    </row>
    <row r="172">
      <c r="A172" s="6" t="inlineStr">
        <is>
          <t>1000-0167</t>
        </is>
      </c>
      <c r="B172" s="6" t="inlineStr">
        <is>
          <t>2026-06-28</t>
        </is>
      </c>
      <c r="C172" s="6" t="inlineStr">
        <is>
          <t>INTERNAL TRANSFER</t>
        </is>
      </c>
      <c r="D172" s="6" t="inlineStr">
        <is>
          <t>1000</t>
        </is>
      </c>
      <c r="E172" s="6" t="inlineStr">
        <is>
          <t>Payroll account 7718; Fund field payroll</t>
        </is>
      </c>
      <c r="F172" s="7" t="n">
        <v>-12915.63</v>
      </c>
      <c r="G172" s="7" t="n">
        <v>0</v>
      </c>
      <c r="H172" s="7">
        <f>F172+G172</f>
        <v/>
      </c>
      <c r="I172" s="6" t="inlineStr">
        <is>
          <t>cleared</t>
        </is>
      </c>
      <c r="J172" s="6" t="inlineStr">
        <is>
          <t>bank feed / FUND-PRJ-PAY-ARM-2605-20260628</t>
        </is>
      </c>
    </row>
    <row r="173">
      <c r="A173" s="6" t="inlineStr">
        <is>
          <t>1000-0168</t>
        </is>
      </c>
      <c r="B173" s="6" t="inlineStr">
        <is>
          <t>2026-06-28</t>
        </is>
      </c>
      <c r="C173" s="6" t="inlineStr">
        <is>
          <t>INTERNAL TRANSFER</t>
        </is>
      </c>
      <c r="D173" s="6" t="inlineStr">
        <is>
          <t>1000</t>
        </is>
      </c>
      <c r="E173" s="6" t="inlineStr">
        <is>
          <t>Payroll account 7718; Fund field payroll</t>
        </is>
      </c>
      <c r="F173" s="7" t="n">
        <v>-10864.78</v>
      </c>
      <c r="G173" s="7" t="n">
        <v>0</v>
      </c>
      <c r="H173" s="7">
        <f>F173+G173</f>
        <v/>
      </c>
      <c r="I173" s="6" t="inlineStr">
        <is>
          <t>cleared</t>
        </is>
      </c>
      <c r="J173" s="6" t="inlineStr">
        <is>
          <t>bank feed / FUND-PRJ-PAY-ARM-2608-20260628</t>
        </is>
      </c>
    </row>
    <row r="174">
      <c r="A174" s="6" t="inlineStr">
        <is>
          <t>1000-0169</t>
        </is>
      </c>
      <c r="B174" s="6" t="inlineStr">
        <is>
          <t>2026-06-28</t>
        </is>
      </c>
      <c r="C174" s="6" t="inlineStr">
        <is>
          <t>ACH/CHECK DEPOSIT</t>
        </is>
      </c>
      <c r="D174" s="6" t="inlineStr">
        <is>
          <t>1000</t>
        </is>
      </c>
      <c r="E174" s="6" t="inlineStr">
        <is>
          <t>Central Cascades Foods - Central Development Company; Customer receipt applied to AR-0030977</t>
        </is>
      </c>
      <c r="F174" s="7" t="n">
        <v>1007.99</v>
      </c>
      <c r="G174" s="7" t="n">
        <v>0</v>
      </c>
      <c r="H174" s="7">
        <f>F174+G174</f>
        <v/>
      </c>
      <c r="I174" s="6" t="inlineStr">
        <is>
          <t>cleared</t>
        </is>
      </c>
      <c r="J174" s="6" t="inlineStr">
        <is>
          <t>bank feed / RCPT-AR-0030977</t>
        </is>
      </c>
    </row>
    <row r="175">
      <c r="A175" s="6" t="inlineStr">
        <is>
          <t>1000-0170</t>
        </is>
      </c>
      <c r="B175" s="6" t="inlineStr">
        <is>
          <t>2026-06-28</t>
        </is>
      </c>
      <c r="C175" s="6" t="inlineStr">
        <is>
          <t>ACH/CHECK DEPOSIT</t>
        </is>
      </c>
      <c r="D175" s="6" t="inlineStr">
        <is>
          <t>1000</t>
        </is>
      </c>
      <c r="E175" s="6" t="inlineStr">
        <is>
          <t>Lake Oswego Office Partners - East Campus Services; Customer receipt applied to AR-0031020</t>
        </is>
      </c>
      <c r="F175" s="7" t="n">
        <v>1523.95</v>
      </c>
      <c r="G175" s="7" t="n">
        <v>0</v>
      </c>
      <c r="H175" s="7">
        <f>F175+G175</f>
        <v/>
      </c>
      <c r="I175" s="6" t="inlineStr">
        <is>
          <t>cleared</t>
        </is>
      </c>
      <c r="J175" s="6" t="inlineStr">
        <is>
          <t>bank feed / RCPT-AR-0031020</t>
        </is>
      </c>
    </row>
    <row r="176">
      <c r="A176" s="6" t="inlineStr">
        <is>
          <t>1000-0171</t>
        </is>
      </c>
      <c r="B176" s="6" t="inlineStr">
        <is>
          <t>2026-06-28</t>
        </is>
      </c>
      <c r="C176" s="6" t="inlineStr">
        <is>
          <t>ACH/CHECK DEPOSIT</t>
        </is>
      </c>
      <c r="D176" s="6" t="inlineStr">
        <is>
          <t>1000</t>
        </is>
      </c>
      <c r="E176" s="6" t="inlineStr">
        <is>
          <t>Valley View Food Systems - Operations Holdings, LLC; Customer receipt applied to AR-0031033</t>
        </is>
      </c>
      <c r="F176" s="7" t="n">
        <v>4397.73</v>
      </c>
      <c r="G176" s="7" t="n">
        <v>0</v>
      </c>
      <c r="H176" s="7">
        <f>F176+G176</f>
        <v/>
      </c>
      <c r="I176" s="6" t="inlineStr">
        <is>
          <t>cleared</t>
        </is>
      </c>
      <c r="J176" s="6" t="inlineStr">
        <is>
          <t>bank feed / RCPT-AR-0031033</t>
        </is>
      </c>
    </row>
    <row r="177">
      <c r="A177" s="6" t="inlineStr">
        <is>
          <t>1000-0172</t>
        </is>
      </c>
      <c r="B177" s="6" t="inlineStr">
        <is>
          <t>2026-06-28</t>
        </is>
      </c>
      <c r="C177" s="6" t="inlineStr">
        <is>
          <t>ACH/CHECK DEPOSIT</t>
        </is>
      </c>
      <c r="D177" s="6" t="inlineStr">
        <is>
          <t>1000</t>
        </is>
      </c>
      <c r="E177" s="6" t="inlineStr">
        <is>
          <t>Central Cascades Foods - Central Holdings, LLC; Customer receipt applied to AR-0031065</t>
        </is>
      </c>
      <c r="F177" s="7" t="n">
        <v>2579.98</v>
      </c>
      <c r="G177" s="7" t="n">
        <v>0</v>
      </c>
      <c r="H177" s="7">
        <f>F177+G177</f>
        <v/>
      </c>
      <c r="I177" s="6" t="inlineStr">
        <is>
          <t>cleared</t>
        </is>
      </c>
      <c r="J177" s="6" t="inlineStr">
        <is>
          <t>bank feed / RCPT-AR-0031065</t>
        </is>
      </c>
    </row>
    <row r="178">
      <c r="A178" s="6" t="inlineStr">
        <is>
          <t>1000-0173</t>
        </is>
      </c>
      <c r="B178" s="6" t="inlineStr">
        <is>
          <t>2026-06-28</t>
        </is>
      </c>
      <c r="C178" s="6" t="inlineStr">
        <is>
          <t>ACH/CHECK DEPOSIT</t>
        </is>
      </c>
      <c r="D178" s="6" t="inlineStr">
        <is>
          <t>1000</t>
        </is>
      </c>
      <c r="E178" s="6" t="inlineStr">
        <is>
          <t>Westside Ambulatory - Portfolio Asset Management; Customer receipt applied to AR-0031086</t>
        </is>
      </c>
      <c r="F178" s="7" t="n">
        <v>1164.36</v>
      </c>
      <c r="G178" s="7" t="n">
        <v>0</v>
      </c>
      <c r="H178" s="7">
        <f>F178+G178</f>
        <v/>
      </c>
      <c r="I178" s="6" t="inlineStr">
        <is>
          <t>cleared</t>
        </is>
      </c>
      <c r="J178" s="6" t="inlineStr">
        <is>
          <t>bank feed / RCPT-AR-0031086</t>
        </is>
      </c>
    </row>
    <row r="179">
      <c r="A179" s="6" t="inlineStr">
        <is>
          <t>1000-0174</t>
        </is>
      </c>
      <c r="B179" s="6" t="inlineStr">
        <is>
          <t>2026-06-28</t>
        </is>
      </c>
      <c r="C179" s="6" t="inlineStr">
        <is>
          <t>ACH/CHECK DEPOSIT</t>
        </is>
      </c>
      <c r="D179" s="6" t="inlineStr">
        <is>
          <t>1000</t>
        </is>
      </c>
      <c r="E179" s="6" t="inlineStr">
        <is>
          <t>Sunrise Hospitality - East LLC; Customer receipt applied to AR-0031144</t>
        </is>
      </c>
      <c r="F179" s="7" t="n">
        <v>850.84</v>
      </c>
      <c r="G179" s="7" t="n">
        <v>0</v>
      </c>
      <c r="H179" s="7">
        <f>F179+G179</f>
        <v/>
      </c>
      <c r="I179" s="6" t="inlineStr">
        <is>
          <t>cleared</t>
        </is>
      </c>
      <c r="J179" s="6" t="inlineStr">
        <is>
          <t>bank feed / RCPT-AR-0031144</t>
        </is>
      </c>
    </row>
    <row r="180">
      <c r="A180" s="6" t="inlineStr">
        <is>
          <t>1000-0175</t>
        </is>
      </c>
      <c r="B180" s="6" t="inlineStr">
        <is>
          <t>2026-06-28</t>
        </is>
      </c>
      <c r="C180" s="6" t="inlineStr">
        <is>
          <t>ACH/CHECK DEPOSIT</t>
        </is>
      </c>
      <c r="D180" s="6" t="inlineStr">
        <is>
          <t>1000</t>
        </is>
      </c>
      <c r="E180" s="6" t="inlineStr">
        <is>
          <t>Beacon Industrial Campus Services; Customer receipt applied to AR-0031188</t>
        </is>
      </c>
      <c r="F180" s="7" t="n">
        <v>7813.49</v>
      </c>
      <c r="G180" s="7" t="n">
        <v>0</v>
      </c>
      <c r="H180" s="7">
        <f>F180+G180</f>
        <v/>
      </c>
      <c r="I180" s="6" t="inlineStr">
        <is>
          <t>cleared</t>
        </is>
      </c>
      <c r="J180" s="6" t="inlineStr">
        <is>
          <t>bank feed / RCPT-AR-0031188</t>
        </is>
      </c>
    </row>
    <row r="181">
      <c r="A181" s="6" t="inlineStr">
        <is>
          <t>1000-0176</t>
        </is>
      </c>
      <c r="B181" s="6" t="inlineStr">
        <is>
          <t>2026-06-28</t>
        </is>
      </c>
      <c r="C181" s="6" t="inlineStr">
        <is>
          <t>ACH DEBIT</t>
        </is>
      </c>
      <c r="D181" s="6" t="inlineStr">
        <is>
          <t>1000</t>
        </is>
      </c>
      <c r="E181" s="6" t="inlineStr">
        <is>
          <t>Interstate Equipment Rental &amp; Services - Salem Services, LLC; Vendor payment applied to AP-0009872</t>
        </is>
      </c>
      <c r="F181" s="7" t="n">
        <v>-4123.35</v>
      </c>
      <c r="G181" s="7" t="n">
        <v>0</v>
      </c>
      <c r="H181" s="7">
        <f>F181+G181</f>
        <v/>
      </c>
      <c r="I181" s="6" t="inlineStr">
        <is>
          <t>cleared</t>
        </is>
      </c>
      <c r="J181" s="6" t="inlineStr">
        <is>
          <t>bank feed / ACH-AP-0009872</t>
        </is>
      </c>
    </row>
    <row r="182">
      <c r="A182" s="6" t="inlineStr">
        <is>
          <t>1000-0177</t>
        </is>
      </c>
      <c r="B182" s="6" t="inlineStr">
        <is>
          <t>2026-06-28</t>
        </is>
      </c>
      <c r="C182" s="6" t="inlineStr">
        <is>
          <t>ACH DEBIT</t>
        </is>
      </c>
      <c r="D182" s="6" t="inlineStr">
        <is>
          <t>1000</t>
        </is>
      </c>
      <c r="E182" s="6" t="inlineStr">
        <is>
          <t>High Desert Safety and Industrial Supply - Salem Services, LLC; Vendor payment applied to AP-0009890</t>
        </is>
      </c>
      <c r="F182" s="7" t="n">
        <v>-1971.42</v>
      </c>
      <c r="G182" s="7" t="n">
        <v>0</v>
      </c>
      <c r="H182" s="7">
        <f>F182+G182</f>
        <v/>
      </c>
      <c r="I182" s="6" t="inlineStr">
        <is>
          <t>cleared</t>
        </is>
      </c>
      <c r="J182" s="6" t="inlineStr">
        <is>
          <t>bank feed / ACH-AP-0009890</t>
        </is>
      </c>
    </row>
    <row r="183">
      <c r="A183" s="6" t="inlineStr">
        <is>
          <t>1000-0178</t>
        </is>
      </c>
      <c r="B183" s="6" t="inlineStr">
        <is>
          <t>2026-06-28</t>
        </is>
      </c>
      <c r="C183" s="6" t="inlineStr">
        <is>
          <t>ACH/CHECK DEPOSIT</t>
        </is>
      </c>
      <c r="D183" s="6" t="inlineStr">
        <is>
          <t>1000</t>
        </is>
      </c>
      <c r="E183" s="6" t="inlineStr">
        <is>
          <t>Clackamas Health Network - Operations Asset Management; Customer receipt applied to AR-0031245</t>
        </is>
      </c>
      <c r="F183" s="7" t="n">
        <v>9289.09</v>
      </c>
      <c r="G183" s="7" t="n">
        <v>0</v>
      </c>
      <c r="H183" s="7">
        <f>F183+G183</f>
        <v/>
      </c>
      <c r="I183" s="6" t="inlineStr">
        <is>
          <t>cleared</t>
        </is>
      </c>
      <c r="J183" s="6" t="inlineStr">
        <is>
          <t>bank feed / RCPT-AR-0031245</t>
        </is>
      </c>
    </row>
    <row r="184">
      <c r="A184" s="6" t="inlineStr">
        <is>
          <t>1000-0179</t>
        </is>
      </c>
      <c r="B184" s="6" t="inlineStr">
        <is>
          <t>2026-06-28</t>
        </is>
      </c>
      <c r="C184" s="6" t="inlineStr">
        <is>
          <t>ACH/CHECK DEPOSIT</t>
        </is>
      </c>
      <c r="D184" s="6" t="inlineStr">
        <is>
          <t>1000</t>
        </is>
      </c>
      <c r="E184" s="6" t="inlineStr">
        <is>
          <t>Clackamas Health Network - Operations Campus Services; Customer receipt applied to AR-0031291</t>
        </is>
      </c>
      <c r="F184" s="7" t="n">
        <v>2213.83</v>
      </c>
      <c r="G184" s="7" t="n">
        <v>0</v>
      </c>
      <c r="H184" s="7">
        <f>F184+G184</f>
        <v/>
      </c>
      <c r="I184" s="6" t="inlineStr">
        <is>
          <t>cleared</t>
        </is>
      </c>
      <c r="J184" s="6" t="inlineStr">
        <is>
          <t>bank feed / RCPT-AR-0031291</t>
        </is>
      </c>
    </row>
    <row r="185">
      <c r="A185" s="6" t="inlineStr">
        <is>
          <t>1000-0180</t>
        </is>
      </c>
      <c r="B185" s="6" t="inlineStr">
        <is>
          <t>2026-06-28</t>
        </is>
      </c>
      <c r="C185" s="6" t="inlineStr">
        <is>
          <t>ACH/CHECK DEPOSIT</t>
        </is>
      </c>
      <c r="D185" s="6" t="inlineStr">
        <is>
          <t>1000</t>
        </is>
      </c>
      <c r="E185" s="6" t="inlineStr">
        <is>
          <t>McKenzie River Foods - Central Property Group; Customer receipt applied to AR-0031424</t>
        </is>
      </c>
      <c r="F185" s="7" t="n">
        <v>1296.12</v>
      </c>
      <c r="G185" s="7" t="n">
        <v>0</v>
      </c>
      <c r="H185" s="7">
        <f>F185+G185</f>
        <v/>
      </c>
      <c r="I185" s="6" t="inlineStr">
        <is>
          <t>cleared</t>
        </is>
      </c>
      <c r="J185" s="6" t="inlineStr">
        <is>
          <t>bank feed / RCPT-AR-0031424</t>
        </is>
      </c>
    </row>
    <row r="186">
      <c r="A186" s="6" t="inlineStr">
        <is>
          <t>1000-0181</t>
        </is>
      </c>
      <c r="B186" s="6" t="inlineStr">
        <is>
          <t>2026-06-28</t>
        </is>
      </c>
      <c r="C186" s="6" t="inlineStr">
        <is>
          <t>INTERNAL TRANSFER</t>
        </is>
      </c>
      <c r="D186" s="6" t="inlineStr">
        <is>
          <t>1000</t>
        </is>
      </c>
      <c r="E186" s="6" t="inlineStr">
        <is>
          <t>Payroll account 7718; Fund service payroll</t>
        </is>
      </c>
      <c r="F186" s="7" t="n">
        <v>-53046.6</v>
      </c>
      <c r="G186" s="7" t="n">
        <v>0</v>
      </c>
      <c r="H186" s="7">
        <f>F186+G186</f>
        <v/>
      </c>
      <c r="I186" s="6" t="inlineStr">
        <is>
          <t>cleared</t>
        </is>
      </c>
      <c r="J186" s="6" t="inlineStr">
        <is>
          <t>bank feed / FUND-SVC-PAY-30-20260628</t>
        </is>
      </c>
    </row>
    <row r="187">
      <c r="A187" s="6" t="inlineStr">
        <is>
          <t>1000-0182</t>
        </is>
      </c>
      <c r="B187" s="6" t="inlineStr">
        <is>
          <t>2026-06-28</t>
        </is>
      </c>
      <c r="C187" s="6" t="inlineStr">
        <is>
          <t>ACH DEBIT</t>
        </is>
      </c>
      <c r="D187" s="6" t="inlineStr">
        <is>
          <t>1000</t>
        </is>
      </c>
      <c r="E187" s="6" t="inlineStr">
        <is>
          <t>Tri-County Safety and Industrial Supply - Eugene LLC; Vendor payment applied to AP-0009921</t>
        </is>
      </c>
      <c r="F187" s="7" t="n">
        <v>-2787.32</v>
      </c>
      <c r="G187" s="7" t="n">
        <v>0</v>
      </c>
      <c r="H187" s="7">
        <f>F187+G187</f>
        <v/>
      </c>
      <c r="I187" s="6" t="inlineStr">
        <is>
          <t>cleared</t>
        </is>
      </c>
      <c r="J187" s="6" t="inlineStr">
        <is>
          <t>bank feed / ACH-AP-0009921</t>
        </is>
      </c>
    </row>
    <row r="188">
      <c r="A188" s="6" t="inlineStr">
        <is>
          <t>1000-0183</t>
        </is>
      </c>
      <c r="B188" s="6" t="inlineStr">
        <is>
          <t>2026-06-28</t>
        </is>
      </c>
      <c r="C188" s="6" t="inlineStr">
        <is>
          <t>INTERNAL TRANSFER</t>
        </is>
      </c>
      <c r="D188" s="6" t="inlineStr">
        <is>
          <t>1000</t>
        </is>
      </c>
      <c r="E188" s="6" t="inlineStr">
        <is>
          <t>Payroll account 7718; Fund service payroll</t>
        </is>
      </c>
      <c r="F188" s="7" t="n">
        <v>-16930.66</v>
      </c>
      <c r="G188" s="7" t="n">
        <v>0</v>
      </c>
      <c r="H188" s="7">
        <f>F188+G188</f>
        <v/>
      </c>
      <c r="I188" s="6" t="inlineStr">
        <is>
          <t>cleared</t>
        </is>
      </c>
      <c r="J188" s="6" t="inlineStr">
        <is>
          <t>bank feed / FUND-SVC-PAY-40-20260628</t>
        </is>
      </c>
    </row>
    <row r="189">
      <c r="A189" s="6" t="inlineStr">
        <is>
          <t>1000-0184</t>
        </is>
      </c>
      <c r="B189" s="6" t="inlineStr">
        <is>
          <t>2026-06-28</t>
        </is>
      </c>
      <c r="C189" s="6" t="inlineStr">
        <is>
          <t>ACH DEBIT</t>
        </is>
      </c>
      <c r="D189" s="6" t="inlineStr">
        <is>
          <t>1000</t>
        </is>
      </c>
      <c r="E189" s="6" t="inlineStr">
        <is>
          <t>Pacific Fleet Service Center - Bend LLC; Vendor payment applied to AP-0009936</t>
        </is>
      </c>
      <c r="F189" s="7" t="n">
        <v>-2316.23</v>
      </c>
      <c r="G189" s="7" t="n">
        <v>0</v>
      </c>
      <c r="H189" s="7">
        <f>F189+G189</f>
        <v/>
      </c>
      <c r="I189" s="6" t="inlineStr">
        <is>
          <t>cleared</t>
        </is>
      </c>
      <c r="J189" s="6" t="inlineStr">
        <is>
          <t>bank feed / ACH-AP-0009936</t>
        </is>
      </c>
    </row>
    <row r="190">
      <c r="A190" s="6" t="inlineStr">
        <is>
          <t>1000-0185</t>
        </is>
      </c>
      <c r="B190" s="6" t="inlineStr">
        <is>
          <t>2026-06-29</t>
        </is>
      </c>
      <c r="C190" s="6" t="inlineStr">
        <is>
          <t>ACH DEBIT</t>
        </is>
      </c>
      <c r="D190" s="6" t="inlineStr">
        <is>
          <t>1000</t>
        </is>
      </c>
      <c r="E190" s="6" t="inlineStr">
        <is>
          <t>Columbia Mechanical Insulation - Gresham Inc.; Vendor payment applied to AP-0004682</t>
        </is>
      </c>
      <c r="F190" s="7" t="n">
        <v>-6284.51</v>
      </c>
      <c r="G190" s="7" t="n">
        <v>0</v>
      </c>
      <c r="H190" s="7">
        <f>F190+G190</f>
        <v/>
      </c>
      <c r="I190" s="6" t="inlineStr">
        <is>
          <t>cleared</t>
        </is>
      </c>
      <c r="J190" s="6" t="inlineStr">
        <is>
          <t>bank feed / ACH-AP-0004682</t>
        </is>
      </c>
    </row>
    <row r="191">
      <c r="A191" s="6" t="inlineStr">
        <is>
          <t>1000-0186</t>
        </is>
      </c>
      <c r="B191" s="6" t="inlineStr">
        <is>
          <t>2026-06-29</t>
        </is>
      </c>
      <c r="C191" s="6" t="inlineStr">
        <is>
          <t>ACH DEBIT</t>
        </is>
      </c>
      <c r="D191" s="6" t="inlineStr">
        <is>
          <t>1000</t>
        </is>
      </c>
      <c r="E191" s="6" t="inlineStr">
        <is>
          <t>Tualatin Equipment Rental &amp; Services - Beaverton Inc.; Vendor payment applied to AP-0005635</t>
        </is>
      </c>
      <c r="F191" s="7" t="n">
        <v>-3089.77</v>
      </c>
      <c r="G191" s="7" t="n">
        <v>0</v>
      </c>
      <c r="H191" s="7">
        <f>F191+G191</f>
        <v/>
      </c>
      <c r="I191" s="6" t="inlineStr">
        <is>
          <t>cleared</t>
        </is>
      </c>
      <c r="J191" s="6" t="inlineStr">
        <is>
          <t>bank feed / ACH-AP-0005635</t>
        </is>
      </c>
    </row>
    <row r="192">
      <c r="A192" s="6" t="inlineStr">
        <is>
          <t>1000-0187</t>
        </is>
      </c>
      <c r="B192" s="6" t="inlineStr">
        <is>
          <t>2026-06-29</t>
        </is>
      </c>
      <c r="C192" s="6" t="inlineStr">
        <is>
          <t>ACH DEBIT</t>
        </is>
      </c>
      <c r="D192" s="6" t="inlineStr">
        <is>
          <t>1000</t>
        </is>
      </c>
      <c r="E192" s="6" t="inlineStr">
        <is>
          <t>Summit Pipe, Valve &amp; Fitting Supply - Bend Group; Vendor payment applied to AP-0005737</t>
        </is>
      </c>
      <c r="F192" s="7" t="n">
        <v>-5644.54</v>
      </c>
      <c r="G192" s="7" t="n">
        <v>0</v>
      </c>
      <c r="H192" s="7">
        <f>F192+G192</f>
        <v/>
      </c>
      <c r="I192" s="6" t="inlineStr">
        <is>
          <t>cleared</t>
        </is>
      </c>
      <c r="J192" s="6" t="inlineStr">
        <is>
          <t>bank feed / ACH-AP-0005737</t>
        </is>
      </c>
    </row>
    <row r="193">
      <c r="A193" s="6" t="inlineStr">
        <is>
          <t>1000-0188</t>
        </is>
      </c>
      <c r="B193" s="6" t="inlineStr">
        <is>
          <t>2026-06-29</t>
        </is>
      </c>
      <c r="C193" s="6" t="inlineStr">
        <is>
          <t>ACH/CHECK DEPOSIT</t>
        </is>
      </c>
      <c r="D193" s="6" t="inlineStr">
        <is>
          <t>1000</t>
        </is>
      </c>
      <c r="E193" s="6" t="inlineStr">
        <is>
          <t>Forest Park Hospitality - West LLC; Customer receipt applied to AR-0030933</t>
        </is>
      </c>
      <c r="F193" s="7" t="n">
        <v>1068.87</v>
      </c>
      <c r="G193" s="7" t="n">
        <v>0</v>
      </c>
      <c r="H193" s="7">
        <f>F193+G193</f>
        <v/>
      </c>
      <c r="I193" s="6" t="inlineStr">
        <is>
          <t>cleared</t>
        </is>
      </c>
      <c r="J193" s="6" t="inlineStr">
        <is>
          <t>bank feed / RCPT-AR-0030933</t>
        </is>
      </c>
    </row>
    <row r="194">
      <c r="A194" s="6" t="inlineStr">
        <is>
          <t>1000-0189</t>
        </is>
      </c>
      <c r="B194" s="6" t="inlineStr">
        <is>
          <t>2026-06-29</t>
        </is>
      </c>
      <c r="C194" s="6" t="inlineStr">
        <is>
          <t>ACH/CHECK DEPOSIT</t>
        </is>
      </c>
      <c r="D194" s="6" t="inlineStr">
        <is>
          <t>1000</t>
        </is>
      </c>
      <c r="E194" s="6" t="inlineStr">
        <is>
          <t>Summit Surgical Properties; Customer receipt applied to AR-0030992</t>
        </is>
      </c>
      <c r="F194" s="7" t="n">
        <v>589.33</v>
      </c>
      <c r="G194" s="7" t="n">
        <v>0</v>
      </c>
      <c r="H194" s="7">
        <f>F194+G194</f>
        <v/>
      </c>
      <c r="I194" s="6" t="inlineStr">
        <is>
          <t>cleared</t>
        </is>
      </c>
      <c r="J194" s="6" t="inlineStr">
        <is>
          <t>bank feed / RCPT-AR-0030992</t>
        </is>
      </c>
    </row>
    <row r="195">
      <c r="A195" s="6" t="inlineStr">
        <is>
          <t>1000-0190</t>
        </is>
      </c>
      <c r="B195" s="6" t="inlineStr">
        <is>
          <t>2026-06-29</t>
        </is>
      </c>
      <c r="C195" s="6" t="inlineStr">
        <is>
          <t>ACH/CHECK DEPOSIT</t>
        </is>
      </c>
      <c r="D195" s="6" t="inlineStr">
        <is>
          <t>1000</t>
        </is>
      </c>
      <c r="E195" s="6" t="inlineStr">
        <is>
          <t>Juniper Ridge Properties - North Partners, LP; Customer receipt applied to AR-0031048</t>
        </is>
      </c>
      <c r="F195" s="7" t="n">
        <v>783.4400000000001</v>
      </c>
      <c r="G195" s="7" t="n">
        <v>0</v>
      </c>
      <c r="H195" s="7">
        <f>F195+G195</f>
        <v/>
      </c>
      <c r="I195" s="6" t="inlineStr">
        <is>
          <t>cleared</t>
        </is>
      </c>
      <c r="J195" s="6" t="inlineStr">
        <is>
          <t>bank feed / RCPT-AR-0031048</t>
        </is>
      </c>
    </row>
    <row r="196">
      <c r="A196" s="6" t="inlineStr">
        <is>
          <t>1000-0191</t>
        </is>
      </c>
      <c r="B196" s="6" t="inlineStr">
        <is>
          <t>2026-06-29</t>
        </is>
      </c>
      <c r="C196" s="6" t="inlineStr">
        <is>
          <t>ACH/CHECK DEPOSIT</t>
        </is>
      </c>
      <c r="D196" s="6" t="inlineStr">
        <is>
          <t>1000</t>
        </is>
      </c>
      <c r="E196" s="6" t="inlineStr">
        <is>
          <t>Copperline Apartments - Campus Holdings, LLC; Customer receipt applied to AR-0031090</t>
        </is>
      </c>
      <c r="F196" s="7" t="n">
        <v>6575.58</v>
      </c>
      <c r="G196" s="7" t="n">
        <v>0</v>
      </c>
      <c r="H196" s="7">
        <f>F196+G196</f>
        <v/>
      </c>
      <c r="I196" s="6" t="inlineStr">
        <is>
          <t>cleared</t>
        </is>
      </c>
      <c r="J196" s="6" t="inlineStr">
        <is>
          <t>bank feed / RCPT-AR-0031090</t>
        </is>
      </c>
    </row>
    <row r="197">
      <c r="A197" s="6" t="inlineStr">
        <is>
          <t>1000-0192</t>
        </is>
      </c>
      <c r="B197" s="6" t="inlineStr">
        <is>
          <t>2026-06-29</t>
        </is>
      </c>
      <c r="C197" s="6" t="inlineStr">
        <is>
          <t>ACH/CHECK DEPOSIT</t>
        </is>
      </c>
      <c r="D197" s="6" t="inlineStr">
        <is>
          <t>1000</t>
        </is>
      </c>
      <c r="E197" s="6" t="inlineStr">
        <is>
          <t>Copperline Apartments Development Company; Customer receipt applied to AR-0031114</t>
        </is>
      </c>
      <c r="F197" s="7" t="n">
        <v>995.7</v>
      </c>
      <c r="G197" s="7" t="n">
        <v>0</v>
      </c>
      <c r="H197" s="7">
        <f>F197+G197</f>
        <v/>
      </c>
      <c r="I197" s="6" t="inlineStr">
        <is>
          <t>cleared</t>
        </is>
      </c>
      <c r="J197" s="6" t="inlineStr">
        <is>
          <t>bank feed / RCPT-AR-0031114</t>
        </is>
      </c>
    </row>
    <row r="198">
      <c r="A198" s="6" t="inlineStr">
        <is>
          <t>1000-0193</t>
        </is>
      </c>
      <c r="B198" s="6" t="inlineStr">
        <is>
          <t>2026-06-29</t>
        </is>
      </c>
      <c r="C198" s="6" t="inlineStr">
        <is>
          <t>ACH/CHECK DEPOSIT</t>
        </is>
      </c>
      <c r="D198" s="6" t="inlineStr">
        <is>
          <t>1000</t>
        </is>
      </c>
      <c r="E198" s="6" t="inlineStr">
        <is>
          <t>Copperline Apartments - Campus Property Group; Customer receipt applied to AR-0031134</t>
        </is>
      </c>
      <c r="F198" s="7" t="n">
        <v>2255.13</v>
      </c>
      <c r="G198" s="7" t="n">
        <v>0</v>
      </c>
      <c r="H198" s="7">
        <f>F198+G198</f>
        <v/>
      </c>
      <c r="I198" s="6" t="inlineStr">
        <is>
          <t>cleared</t>
        </is>
      </c>
      <c r="J198" s="6" t="inlineStr">
        <is>
          <t>bank feed / RCPT-AR-0031134</t>
        </is>
      </c>
    </row>
    <row r="199">
      <c r="A199" s="6" t="inlineStr">
        <is>
          <t>1000-0194</t>
        </is>
      </c>
      <c r="B199" s="6" t="inlineStr">
        <is>
          <t>2026-06-29</t>
        </is>
      </c>
      <c r="C199" s="6" t="inlineStr">
        <is>
          <t>ACH/CHECK DEPOSIT</t>
        </is>
      </c>
      <c r="D199" s="6" t="inlineStr">
        <is>
          <t>1000</t>
        </is>
      </c>
      <c r="E199" s="6" t="inlineStr">
        <is>
          <t>High Desert Manufacturing - Portfolio Holdings, LLC; Customer receipt applied to AR-0031166</t>
        </is>
      </c>
      <c r="F199" s="7" t="n">
        <v>2400.27</v>
      </c>
      <c r="G199" s="7" t="n">
        <v>0</v>
      </c>
      <c r="H199" s="7">
        <f>F199+G199</f>
        <v/>
      </c>
      <c r="I199" s="6" t="inlineStr">
        <is>
          <t>cleared</t>
        </is>
      </c>
      <c r="J199" s="6" t="inlineStr">
        <is>
          <t>bank feed / RCPT-AR-0031166</t>
        </is>
      </c>
    </row>
    <row r="200">
      <c r="A200" s="6" t="inlineStr">
        <is>
          <t>1000-0195</t>
        </is>
      </c>
      <c r="B200" s="6" t="inlineStr">
        <is>
          <t>2026-06-29</t>
        </is>
      </c>
      <c r="C200" s="6" t="inlineStr">
        <is>
          <t>ACH/CHECK DEPOSIT</t>
        </is>
      </c>
      <c r="D200" s="6" t="inlineStr">
        <is>
          <t>1000</t>
        </is>
      </c>
      <c r="E200" s="6" t="inlineStr">
        <is>
          <t>Pacific Crest Biotech - East Facilities; Customer receipt applied to AR-0031195</t>
        </is>
      </c>
      <c r="F200" s="7" t="n">
        <v>644.33</v>
      </c>
      <c r="G200" s="7" t="n">
        <v>0</v>
      </c>
      <c r="H200" s="7">
        <f>F200+G200</f>
        <v/>
      </c>
      <c r="I200" s="6" t="inlineStr">
        <is>
          <t>cleared</t>
        </is>
      </c>
      <c r="J200" s="6" t="inlineStr">
        <is>
          <t>bank feed / RCPT-AR-0031195</t>
        </is>
      </c>
    </row>
    <row r="201">
      <c r="A201" s="6" t="inlineStr">
        <is>
          <t>1000-0196</t>
        </is>
      </c>
      <c r="B201" s="6" t="inlineStr">
        <is>
          <t>2026-06-29</t>
        </is>
      </c>
      <c r="C201" s="6" t="inlineStr">
        <is>
          <t>ACH/CHECK DEPOSIT</t>
        </is>
      </c>
      <c r="D201" s="6" t="inlineStr">
        <is>
          <t>1000</t>
        </is>
      </c>
      <c r="E201" s="6" t="inlineStr">
        <is>
          <t>Oregon Advanced Materials Operating Company; Customer receipt applied to AR-0031416</t>
        </is>
      </c>
      <c r="F201" s="7" t="n">
        <v>2402.16</v>
      </c>
      <c r="G201" s="7" t="n">
        <v>0</v>
      </c>
      <c r="H201" s="7">
        <f>F201+G201</f>
        <v/>
      </c>
      <c r="I201" s="6" t="inlineStr">
        <is>
          <t>cleared</t>
        </is>
      </c>
      <c r="J201" s="6" t="inlineStr">
        <is>
          <t>bank feed / RCPT-AR-0031416</t>
        </is>
      </c>
    </row>
    <row r="202">
      <c r="A202" s="6" t="inlineStr">
        <is>
          <t>1000-0197</t>
        </is>
      </c>
      <c r="B202" s="6" t="inlineStr">
        <is>
          <t>2026-06-30</t>
        </is>
      </c>
      <c r="C202" s="6" t="inlineStr">
        <is>
          <t>INTERNAL TRANSFER</t>
        </is>
      </c>
      <c r="D202" s="6" t="inlineStr">
        <is>
          <t>1000</t>
        </is>
      </c>
      <c r="E202" s="6" t="inlineStr">
        <is>
          <t>Payroll account 7718; Fund field payroll</t>
        </is>
      </c>
      <c r="F202" s="7" t="n">
        <v>-13010.38</v>
      </c>
      <c r="G202" s="7" t="n">
        <v>0</v>
      </c>
      <c r="H202" s="7">
        <f>F202+G202</f>
        <v/>
      </c>
      <c r="I202" s="6" t="inlineStr">
        <is>
          <t>cleared</t>
        </is>
      </c>
      <c r="J202" s="6" t="inlineStr">
        <is>
          <t>bank feed / FUND-PRJ-PAY-ARM-2318-20260630</t>
        </is>
      </c>
    </row>
    <row r="203">
      <c r="A203" s="6" t="inlineStr">
        <is>
          <t>1000-0198</t>
        </is>
      </c>
      <c r="B203" s="6" t="inlineStr">
        <is>
          <t>2026-06-30</t>
        </is>
      </c>
      <c r="C203" s="6" t="inlineStr">
        <is>
          <t>ACH/CHECK DEPOSIT</t>
        </is>
      </c>
      <c r="D203" s="6" t="inlineStr">
        <is>
          <t>1000</t>
        </is>
      </c>
      <c r="E203" s="6" t="inlineStr">
        <is>
          <t>City of Riverton Facilities Bureau; Customer receipt applied to PAYAPP-ARM-2403-202605</t>
        </is>
      </c>
      <c r="F203" s="7" t="n">
        <v>126630.92</v>
      </c>
      <c r="G203" s="7" t="n">
        <v>0</v>
      </c>
      <c r="H203" s="7">
        <f>F203+G203</f>
        <v/>
      </c>
      <c r="I203" s="6" t="inlineStr">
        <is>
          <t>cleared</t>
        </is>
      </c>
      <c r="J203" s="6" t="inlineStr">
        <is>
          <t>bank feed / RCPT-PAYAPP-ARM-2403-202605</t>
        </is>
      </c>
    </row>
    <row r="204">
      <c r="A204" s="6" t="inlineStr">
        <is>
          <t>1000-0199</t>
        </is>
      </c>
      <c r="B204" s="6" t="inlineStr">
        <is>
          <t>2026-06-30</t>
        </is>
      </c>
      <c r="C204" s="6" t="inlineStr">
        <is>
          <t>INTERNAL TRANSFER</t>
        </is>
      </c>
      <c r="D204" s="6" t="inlineStr">
        <is>
          <t>1000</t>
        </is>
      </c>
      <c r="E204" s="6" t="inlineStr">
        <is>
          <t>Payroll account 7718; Fund field payroll</t>
        </is>
      </c>
      <c r="F204" s="7" t="n">
        <v>-11321.3</v>
      </c>
      <c r="G204" s="7" t="n">
        <v>0</v>
      </c>
      <c r="H204" s="7">
        <f>F204+G204</f>
        <v/>
      </c>
      <c r="I204" s="6" t="inlineStr">
        <is>
          <t>cleared</t>
        </is>
      </c>
      <c r="J204" s="6" t="inlineStr">
        <is>
          <t>bank feed / FUND-PRJ-PAY-ARM-2403-20260630</t>
        </is>
      </c>
    </row>
    <row r="205">
      <c r="A205" s="6" t="inlineStr">
        <is>
          <t>1000-0200</t>
        </is>
      </c>
      <c r="B205" s="6" t="inlineStr">
        <is>
          <t>2026-06-30</t>
        </is>
      </c>
      <c r="C205" s="6" t="inlineStr">
        <is>
          <t>ACH/CHECK DEPOSIT</t>
        </is>
      </c>
      <c r="D205" s="6" t="inlineStr">
        <is>
          <t>1000</t>
        </is>
      </c>
      <c r="E205" s="6" t="inlineStr">
        <is>
          <t>City of Riverton Facilities Bureau; Customer receipt applied to PAYAPP-ARM-2403-202606</t>
        </is>
      </c>
      <c r="F205" s="7" t="n">
        <v>13216.68</v>
      </c>
      <c r="G205" s="7" t="n">
        <v>0</v>
      </c>
      <c r="H205" s="7">
        <f>F205+G205</f>
        <v/>
      </c>
      <c r="I205" s="6" t="inlineStr">
        <is>
          <t>cleared</t>
        </is>
      </c>
      <c r="J205" s="6" t="inlineStr">
        <is>
          <t>bank feed / RCPT-PAYAPP-ARM-2403-202606</t>
        </is>
      </c>
    </row>
    <row r="206">
      <c r="A206" s="6" t="inlineStr">
        <is>
          <t>1000-0201</t>
        </is>
      </c>
      <c r="B206" s="6" t="inlineStr">
        <is>
          <t>2026-06-30</t>
        </is>
      </c>
      <c r="C206" s="6" t="inlineStr">
        <is>
          <t>ACH/CHECK DEPOSIT</t>
        </is>
      </c>
      <c r="D206" s="6" t="inlineStr">
        <is>
          <t>1000</t>
        </is>
      </c>
      <c r="E206" s="6" t="inlineStr">
        <is>
          <t>Northline Cold Storage Holdings; Customer receipt applied to PAYAPP-ARM-2409-202605</t>
        </is>
      </c>
      <c r="F206" s="7" t="n">
        <v>87505.67</v>
      </c>
      <c r="G206" s="7" t="n">
        <v>0</v>
      </c>
      <c r="H206" s="7">
        <f>F206+G206</f>
        <v/>
      </c>
      <c r="I206" s="6" t="inlineStr">
        <is>
          <t>cleared</t>
        </is>
      </c>
      <c r="J206" s="6" t="inlineStr">
        <is>
          <t>bank feed / RCPT-PAYAPP-ARM-2409-202605</t>
        </is>
      </c>
    </row>
    <row r="207">
      <c r="A207" s="6" t="inlineStr">
        <is>
          <t>1000-0202</t>
        </is>
      </c>
      <c r="B207" s="6" t="inlineStr">
        <is>
          <t>2026-06-30</t>
        </is>
      </c>
      <c r="C207" s="6" t="inlineStr">
        <is>
          <t>INTERNAL TRANSFER</t>
        </is>
      </c>
      <c r="D207" s="6" t="inlineStr">
        <is>
          <t>1000</t>
        </is>
      </c>
      <c r="E207" s="6" t="inlineStr">
        <is>
          <t>Payroll account 7718; Fund field payroll</t>
        </is>
      </c>
      <c r="F207" s="7" t="n">
        <v>-9752.23</v>
      </c>
      <c r="G207" s="7" t="n">
        <v>0</v>
      </c>
      <c r="H207" s="7">
        <f>F207+G207</f>
        <v/>
      </c>
      <c r="I207" s="6" t="inlineStr">
        <is>
          <t>cleared</t>
        </is>
      </c>
      <c r="J207" s="6" t="inlineStr">
        <is>
          <t>bank feed / FUND-PRJ-PAY-ARM-2409-20260630</t>
        </is>
      </c>
    </row>
    <row r="208">
      <c r="A208" s="6" t="inlineStr">
        <is>
          <t>1000-0203</t>
        </is>
      </c>
      <c r="B208" s="6" t="inlineStr">
        <is>
          <t>2026-06-30</t>
        </is>
      </c>
      <c r="C208" s="6" t="inlineStr">
        <is>
          <t>ACH/CHECK DEPOSIT</t>
        </is>
      </c>
      <c r="D208" s="6" t="inlineStr">
        <is>
          <t>1000</t>
        </is>
      </c>
      <c r="E208" s="6" t="inlineStr">
        <is>
          <t>Northline Cold Storage Holdings; Customer receipt applied to PAYAPP-ARM-2409-202606</t>
        </is>
      </c>
      <c r="F208" s="7" t="n">
        <v>9064.540000000001</v>
      </c>
      <c r="G208" s="7" t="n">
        <v>0</v>
      </c>
      <c r="H208" s="7">
        <f>F208+G208</f>
        <v/>
      </c>
      <c r="I208" s="6" t="inlineStr">
        <is>
          <t>cleared</t>
        </is>
      </c>
      <c r="J208" s="6" t="inlineStr">
        <is>
          <t>bank feed / RCPT-PAYAPP-ARM-2409-202606</t>
        </is>
      </c>
    </row>
    <row r="209">
      <c r="A209" s="6" t="inlineStr">
        <is>
          <t>1000-0204</t>
        </is>
      </c>
      <c r="B209" s="6" t="inlineStr">
        <is>
          <t>2026-06-30</t>
        </is>
      </c>
      <c r="C209" s="6" t="inlineStr">
        <is>
          <t>ACH/CHECK DEPOSIT</t>
        </is>
      </c>
      <c r="D209" s="6" t="inlineStr">
        <is>
          <t>1000</t>
        </is>
      </c>
      <c r="E209" s="6" t="inlineStr">
        <is>
          <t>Oregon State University - Capital Planning; Customer receipt applied to PAYAPP-ARM-2412-202605</t>
        </is>
      </c>
      <c r="F209" s="7" t="n">
        <v>109055.4</v>
      </c>
      <c r="G209" s="7" t="n">
        <v>0</v>
      </c>
      <c r="H209" s="7">
        <f>F209+G209</f>
        <v/>
      </c>
      <c r="I209" s="6" t="inlineStr">
        <is>
          <t>cleared</t>
        </is>
      </c>
      <c r="J209" s="6" t="inlineStr">
        <is>
          <t>bank feed / RCPT-PAYAPP-ARM-2412-202605</t>
        </is>
      </c>
    </row>
    <row r="210">
      <c r="A210" s="6" t="inlineStr">
        <is>
          <t>1000-0205</t>
        </is>
      </c>
      <c r="B210" s="6" t="inlineStr">
        <is>
          <t>2026-06-30</t>
        </is>
      </c>
      <c r="C210" s="6" t="inlineStr">
        <is>
          <t>ACH DEBIT</t>
        </is>
      </c>
      <c r="D210" s="6" t="inlineStr">
        <is>
          <t>1000</t>
        </is>
      </c>
      <c r="E210" s="6" t="inlineStr">
        <is>
          <t>Tri-County Equipment Rental &amp; Services - Portland LLC; Vendor payment applied to AP-0004444</t>
        </is>
      </c>
      <c r="F210" s="7" t="n">
        <v>-3679.94</v>
      </c>
      <c r="G210" s="7" t="n">
        <v>0</v>
      </c>
      <c r="H210" s="7">
        <f>F210+G210</f>
        <v/>
      </c>
      <c r="I210" s="6" t="inlineStr">
        <is>
          <t>cleared</t>
        </is>
      </c>
      <c r="J210" s="6" t="inlineStr">
        <is>
          <t>bank feed / ACH-AP-0004444</t>
        </is>
      </c>
    </row>
    <row r="211">
      <c r="A211" s="6" t="inlineStr">
        <is>
          <t>1000-0206</t>
        </is>
      </c>
      <c r="B211" s="6" t="inlineStr">
        <is>
          <t>2026-06-30</t>
        </is>
      </c>
      <c r="C211" s="6" t="inlineStr">
        <is>
          <t>INTERNAL TRANSFER</t>
        </is>
      </c>
      <c r="D211" s="6" t="inlineStr">
        <is>
          <t>1000</t>
        </is>
      </c>
      <c r="E211" s="6" t="inlineStr">
        <is>
          <t>Payroll account 7718; Fund field payroll</t>
        </is>
      </c>
      <c r="F211" s="7" t="n">
        <v>-12453.83</v>
      </c>
      <c r="G211" s="7" t="n">
        <v>0</v>
      </c>
      <c r="H211" s="7">
        <f>F211+G211</f>
        <v/>
      </c>
      <c r="I211" s="6" t="inlineStr">
        <is>
          <t>cleared</t>
        </is>
      </c>
      <c r="J211" s="6" t="inlineStr">
        <is>
          <t>bank feed / FUND-PRJ-PAY-ARM-2412-20260630</t>
        </is>
      </c>
    </row>
    <row r="212">
      <c r="A212" s="6" t="inlineStr">
        <is>
          <t>1000-0207</t>
        </is>
      </c>
      <c r="B212" s="6" t="inlineStr">
        <is>
          <t>2026-06-30</t>
        </is>
      </c>
      <c r="C212" s="6" t="inlineStr">
        <is>
          <t>ACH/CHECK DEPOSIT</t>
        </is>
      </c>
      <c r="D212" s="6" t="inlineStr">
        <is>
          <t>1000</t>
        </is>
      </c>
      <c r="E212" s="6" t="inlineStr">
        <is>
          <t>Oregon State University - Capital Planning; Customer receipt applied to PAYAPP-ARM-2412-202606</t>
        </is>
      </c>
      <c r="F212" s="7" t="n">
        <v>11158.81</v>
      </c>
      <c r="G212" s="7" t="n">
        <v>0</v>
      </c>
      <c r="H212" s="7">
        <f>F212+G212</f>
        <v/>
      </c>
      <c r="I212" s="6" t="inlineStr">
        <is>
          <t>cleared</t>
        </is>
      </c>
      <c r="J212" s="6" t="inlineStr">
        <is>
          <t>bank feed / RCPT-PAYAPP-ARM-2412-202606</t>
        </is>
      </c>
    </row>
    <row r="213">
      <c r="A213" s="6" t="inlineStr">
        <is>
          <t>1000-0208</t>
        </is>
      </c>
      <c r="B213" s="6" t="inlineStr">
        <is>
          <t>2026-06-30</t>
        </is>
      </c>
      <c r="C213" s="6" t="inlineStr">
        <is>
          <t>ACH/CHECK DEPOSIT</t>
        </is>
      </c>
      <c r="D213" s="6" t="inlineStr">
        <is>
          <t>1000</t>
        </is>
      </c>
      <c r="E213" s="6" t="inlineStr">
        <is>
          <t>Cascade Health Properties, LLC; Customer receipt applied to PAYAPP-ARM-2417-202605</t>
        </is>
      </c>
      <c r="F213" s="7" t="n">
        <v>98016</v>
      </c>
      <c r="G213" s="7" t="n">
        <v>0</v>
      </c>
      <c r="H213" s="7">
        <f>F213+G213</f>
        <v/>
      </c>
      <c r="I213" s="6" t="inlineStr">
        <is>
          <t>cleared</t>
        </is>
      </c>
      <c r="J213" s="6" t="inlineStr">
        <is>
          <t>bank feed / RCPT-PAYAPP-ARM-2417-202605</t>
        </is>
      </c>
    </row>
    <row r="214">
      <c r="A214" s="6" t="inlineStr">
        <is>
          <t>1000-0209</t>
        </is>
      </c>
      <c r="B214" s="6" t="inlineStr">
        <is>
          <t>2026-06-30</t>
        </is>
      </c>
      <c r="C214" s="6" t="inlineStr">
        <is>
          <t>ACH DEBIT</t>
        </is>
      </c>
      <c r="D214" s="6" t="inlineStr">
        <is>
          <t>1000</t>
        </is>
      </c>
      <c r="E214" s="6" t="inlineStr">
        <is>
          <t>Tri-County Pipe, Valve &amp; Fitting Supply - Bend LLC; Vendor payment applied to AP-0004710</t>
        </is>
      </c>
      <c r="F214" s="7" t="n">
        <v>-2963.51</v>
      </c>
      <c r="G214" s="7" t="n">
        <v>0</v>
      </c>
      <c r="H214" s="7">
        <f>F214+G214</f>
        <v/>
      </c>
      <c r="I214" s="6" t="inlineStr">
        <is>
          <t>cleared</t>
        </is>
      </c>
      <c r="J214" s="6" t="inlineStr">
        <is>
          <t>bank feed / ACH-AP-0004710</t>
        </is>
      </c>
    </row>
    <row r="215">
      <c r="A215" s="6" t="inlineStr">
        <is>
          <t>1000-0210</t>
        </is>
      </c>
      <c r="B215" s="6" t="inlineStr">
        <is>
          <t>2026-06-30</t>
        </is>
      </c>
      <c r="C215" s="6" t="inlineStr">
        <is>
          <t>INTERNAL TRANSFER</t>
        </is>
      </c>
      <c r="D215" s="6" t="inlineStr">
        <is>
          <t>1000</t>
        </is>
      </c>
      <c r="E215" s="6" t="inlineStr">
        <is>
          <t>Payroll account 7718; Fund field payroll</t>
        </is>
      </c>
      <c r="F215" s="7" t="n">
        <v>-21868.99</v>
      </c>
      <c r="G215" s="7" t="n">
        <v>0</v>
      </c>
      <c r="H215" s="7">
        <f>F215+G215</f>
        <v/>
      </c>
      <c r="I215" s="6" t="inlineStr">
        <is>
          <t>cleared</t>
        </is>
      </c>
      <c r="J215" s="6" t="inlineStr">
        <is>
          <t>bank feed / FUND-PRJ-PAY-ARM-2417-20260630</t>
        </is>
      </c>
    </row>
    <row r="216">
      <c r="A216" s="6" t="inlineStr">
        <is>
          <t>1000-0211</t>
        </is>
      </c>
      <c r="B216" s="6" t="inlineStr">
        <is>
          <t>2026-06-30</t>
        </is>
      </c>
      <c r="C216" s="6" t="inlineStr">
        <is>
          <t>ACH/CHECK DEPOSIT</t>
        </is>
      </c>
      <c r="D216" s="6" t="inlineStr">
        <is>
          <t>1000</t>
        </is>
      </c>
      <c r="E216" s="6" t="inlineStr">
        <is>
          <t>Cascade Health Properties, LLC; Customer receipt applied to PAYAPP-ARM-2417-202606</t>
        </is>
      </c>
      <c r="F216" s="7" t="n">
        <v>19923.74</v>
      </c>
      <c r="G216" s="7" t="n">
        <v>0</v>
      </c>
      <c r="H216" s="7">
        <f>F216+G216</f>
        <v/>
      </c>
      <c r="I216" s="6" t="inlineStr">
        <is>
          <t>cleared</t>
        </is>
      </c>
      <c r="J216" s="6" t="inlineStr">
        <is>
          <t>bank feed / RCPT-PAYAPP-ARM-2417-202606</t>
        </is>
      </c>
    </row>
    <row r="217">
      <c r="A217" s="6" t="inlineStr">
        <is>
          <t>1000-0212</t>
        </is>
      </c>
      <c r="B217" s="6" t="inlineStr">
        <is>
          <t>2026-06-30</t>
        </is>
      </c>
      <c r="C217" s="6" t="inlineStr">
        <is>
          <t>ACH/CHECK DEPOSIT</t>
        </is>
      </c>
      <c r="D217" s="6" t="inlineStr">
        <is>
          <t>1000</t>
        </is>
      </c>
      <c r="E217" s="6" t="inlineStr">
        <is>
          <t>Port of Portland Aviation; Customer receipt applied to PAYAPP-ARM-2501-202605</t>
        </is>
      </c>
      <c r="F217" s="7" t="n">
        <v>59240.45</v>
      </c>
      <c r="G217" s="7" t="n">
        <v>0</v>
      </c>
      <c r="H217" s="7">
        <f>F217+G217</f>
        <v/>
      </c>
      <c r="I217" s="6" t="inlineStr">
        <is>
          <t>cleared</t>
        </is>
      </c>
      <c r="J217" s="6" t="inlineStr">
        <is>
          <t>bank feed / RCPT-PAYAPP-ARM-2501-202605</t>
        </is>
      </c>
    </row>
    <row r="218">
      <c r="A218" s="6" t="inlineStr">
        <is>
          <t>1000-0213</t>
        </is>
      </c>
      <c r="B218" s="6" t="inlineStr">
        <is>
          <t>2026-06-30</t>
        </is>
      </c>
      <c r="C218" s="6" t="inlineStr">
        <is>
          <t>ACH DEBIT</t>
        </is>
      </c>
      <c r="D218" s="6" t="inlineStr">
        <is>
          <t>1000</t>
        </is>
      </c>
      <c r="E218" s="6" t="inlineStr">
        <is>
          <t>Pacific Testing and Balancing - Gresham LLC; Vendor payment applied to AP-0004895</t>
        </is>
      </c>
      <c r="F218" s="7" t="n">
        <v>-7654.23</v>
      </c>
      <c r="G218" s="7" t="n">
        <v>0</v>
      </c>
      <c r="H218" s="7">
        <f>F218+G218</f>
        <v/>
      </c>
      <c r="I218" s="6" t="inlineStr">
        <is>
          <t>cleared</t>
        </is>
      </c>
      <c r="J218" s="6" t="inlineStr">
        <is>
          <t>bank feed / ACH-AP-0004895</t>
        </is>
      </c>
    </row>
    <row r="219">
      <c r="A219" s="6" t="inlineStr">
        <is>
          <t>1000-0214</t>
        </is>
      </c>
      <c r="B219" s="6" t="inlineStr">
        <is>
          <t>2026-06-30</t>
        </is>
      </c>
      <c r="C219" s="6" t="inlineStr">
        <is>
          <t>INTERNAL TRANSFER</t>
        </is>
      </c>
      <c r="D219" s="6" t="inlineStr">
        <is>
          <t>1000</t>
        </is>
      </c>
      <c r="E219" s="6" t="inlineStr">
        <is>
          <t>Payroll account 7718; Fund field payroll</t>
        </is>
      </c>
      <c r="F219" s="7" t="n">
        <v>-12714.19</v>
      </c>
      <c r="G219" s="7" t="n">
        <v>0</v>
      </c>
      <c r="H219" s="7">
        <f>F219+G219</f>
        <v/>
      </c>
      <c r="I219" s="6" t="inlineStr">
        <is>
          <t>cleared</t>
        </is>
      </c>
      <c r="J219" s="6" t="inlineStr">
        <is>
          <t>bank feed / FUND-PRJ-PAY-ARM-2501-20260630</t>
        </is>
      </c>
    </row>
    <row r="220">
      <c r="A220" s="6" t="inlineStr">
        <is>
          <t>1000-0215</t>
        </is>
      </c>
      <c r="B220" s="6" t="inlineStr">
        <is>
          <t>2026-06-30</t>
        </is>
      </c>
      <c r="C220" s="6" t="inlineStr">
        <is>
          <t>ACH/CHECK DEPOSIT</t>
        </is>
      </c>
      <c r="D220" s="6" t="inlineStr">
        <is>
          <t>1000</t>
        </is>
      </c>
      <c r="E220" s="6" t="inlineStr">
        <is>
          <t>Port of Portland Aviation; Customer receipt applied to PAYAPP-ARM-2501-202606</t>
        </is>
      </c>
      <c r="F220" s="7" t="n">
        <v>13248.02</v>
      </c>
      <c r="G220" s="7" t="n">
        <v>0</v>
      </c>
      <c r="H220" s="7">
        <f>F220+G220</f>
        <v/>
      </c>
      <c r="I220" s="6" t="inlineStr">
        <is>
          <t>cleared</t>
        </is>
      </c>
      <c r="J220" s="6" t="inlineStr">
        <is>
          <t>bank feed / RCPT-PAYAPP-ARM-2501-202606</t>
        </is>
      </c>
    </row>
    <row r="221">
      <c r="A221" s="6" t="inlineStr">
        <is>
          <t>1000-0216</t>
        </is>
      </c>
      <c r="B221" s="6" t="inlineStr">
        <is>
          <t>2026-06-30</t>
        </is>
      </c>
      <c r="C221" s="6" t="inlineStr">
        <is>
          <t>ACH DEBIT</t>
        </is>
      </c>
      <c r="D221" s="6" t="inlineStr">
        <is>
          <t>1000</t>
        </is>
      </c>
      <c r="E221" s="6" t="inlineStr">
        <is>
          <t>Metro Electrical Contracting - Salem Group; Vendor payment applied to AP-0005075</t>
        </is>
      </c>
      <c r="F221" s="7" t="n">
        <v>-5659.38</v>
      </c>
      <c r="G221" s="7" t="n">
        <v>0</v>
      </c>
      <c r="H221" s="7">
        <f>F221+G221</f>
        <v/>
      </c>
      <c r="I221" s="6" t="inlineStr">
        <is>
          <t>cleared</t>
        </is>
      </c>
      <c r="J221" s="6" t="inlineStr">
        <is>
          <t>bank feed / ACH-AP-0005075</t>
        </is>
      </c>
    </row>
    <row r="222">
      <c r="A222" s="6" t="inlineStr">
        <is>
          <t>1000-0217</t>
        </is>
      </c>
      <c r="B222" s="6" t="inlineStr">
        <is>
          <t>2026-06-30</t>
        </is>
      </c>
      <c r="C222" s="6" t="inlineStr">
        <is>
          <t>ACH DEBIT</t>
        </is>
      </c>
      <c r="D222" s="6" t="inlineStr">
        <is>
          <t>1000</t>
        </is>
      </c>
      <c r="E222" s="6" t="inlineStr">
        <is>
          <t>Blue Mountain Equipment Rental &amp; Services - Eugene Company; Vendor payment applied to AP-0005083</t>
        </is>
      </c>
      <c r="F222" s="7" t="n">
        <v>-14777.45</v>
      </c>
      <c r="G222" s="7" t="n">
        <v>0</v>
      </c>
      <c r="H222" s="7">
        <f>F222+G222</f>
        <v/>
      </c>
      <c r="I222" s="6" t="inlineStr">
        <is>
          <t>cleared</t>
        </is>
      </c>
      <c r="J222" s="6" t="inlineStr">
        <is>
          <t>bank feed / ACH-AP-0005083</t>
        </is>
      </c>
    </row>
    <row r="223">
      <c r="A223" s="6" t="inlineStr">
        <is>
          <t>1000-0218</t>
        </is>
      </c>
      <c r="B223" s="6" t="inlineStr">
        <is>
          <t>2026-06-30</t>
        </is>
      </c>
      <c r="C223" s="6" t="inlineStr">
        <is>
          <t>ACH/CHECK DEPOSIT</t>
        </is>
      </c>
      <c r="D223" s="6" t="inlineStr">
        <is>
          <t>1000</t>
        </is>
      </c>
      <c r="E223" s="6" t="inlineStr">
        <is>
          <t>Eastbank Data Infrastructure, LP; Customer receipt applied to PAYAPP-ARM-2506-202605</t>
        </is>
      </c>
      <c r="F223" s="7" t="n">
        <v>104643.28</v>
      </c>
      <c r="G223" s="7" t="n">
        <v>0</v>
      </c>
      <c r="H223" s="7">
        <f>F223+G223</f>
        <v/>
      </c>
      <c r="I223" s="6" t="inlineStr">
        <is>
          <t>cleared</t>
        </is>
      </c>
      <c r="J223" s="6" t="inlineStr">
        <is>
          <t>bank feed / RCPT-PAYAPP-ARM-2506-202605</t>
        </is>
      </c>
    </row>
    <row r="224">
      <c r="A224" s="6" t="inlineStr">
        <is>
          <t>1000-0219</t>
        </is>
      </c>
      <c r="B224" s="6" t="inlineStr">
        <is>
          <t>2026-06-30</t>
        </is>
      </c>
      <c r="C224" s="6" t="inlineStr">
        <is>
          <t>INTERNAL TRANSFER</t>
        </is>
      </c>
      <c r="D224" s="6" t="inlineStr">
        <is>
          <t>1000</t>
        </is>
      </c>
      <c r="E224" s="6" t="inlineStr">
        <is>
          <t>Payroll account 7718; Fund field payroll</t>
        </is>
      </c>
      <c r="F224" s="7" t="n">
        <v>-30158.75</v>
      </c>
      <c r="G224" s="7" t="n">
        <v>0</v>
      </c>
      <c r="H224" s="7">
        <f>F224+G224</f>
        <v/>
      </c>
      <c r="I224" s="6" t="inlineStr">
        <is>
          <t>cleared</t>
        </is>
      </c>
      <c r="J224" s="6" t="inlineStr">
        <is>
          <t>bank feed / FUND-PRJ-PAY-ARM-2506-20260630</t>
        </is>
      </c>
    </row>
    <row r="225">
      <c r="A225" s="6" t="inlineStr">
        <is>
          <t>1000-0220</t>
        </is>
      </c>
      <c r="B225" s="6" t="inlineStr">
        <is>
          <t>2026-06-30</t>
        </is>
      </c>
      <c r="C225" s="6" t="inlineStr">
        <is>
          <t>ACH/CHECK DEPOSIT</t>
        </is>
      </c>
      <c r="D225" s="6" t="inlineStr">
        <is>
          <t>1000</t>
        </is>
      </c>
      <c r="E225" s="6" t="inlineStr">
        <is>
          <t>Eastbank Data Infrastructure, LP; Customer receipt applied to PAYAPP-ARM-2506-202606</t>
        </is>
      </c>
      <c r="F225" s="7" t="n">
        <v>18462.38</v>
      </c>
      <c r="G225" s="7" t="n">
        <v>0</v>
      </c>
      <c r="H225" s="7">
        <f>F225+G225</f>
        <v/>
      </c>
      <c r="I225" s="6" t="inlineStr">
        <is>
          <t>cleared</t>
        </is>
      </c>
      <c r="J225" s="6" t="inlineStr">
        <is>
          <t>bank feed / RCPT-PAYAPP-ARM-2506-202606</t>
        </is>
      </c>
    </row>
    <row r="226">
      <c r="A226" s="6" t="inlineStr">
        <is>
          <t>1000-0221</t>
        </is>
      </c>
      <c r="B226" s="6" t="inlineStr">
        <is>
          <t>2026-06-30</t>
        </is>
      </c>
      <c r="C226" s="6" t="inlineStr">
        <is>
          <t>ACH DEBIT</t>
        </is>
      </c>
      <c r="D226" s="6" t="inlineStr">
        <is>
          <t>1000</t>
        </is>
      </c>
      <c r="E226" s="6" t="inlineStr">
        <is>
          <t>Summit Pipe, Valve &amp; Fitting Supply - Bend Group; Vendor payment applied to AP-0005233</t>
        </is>
      </c>
      <c r="F226" s="7" t="n">
        <v>-4391.32</v>
      </c>
      <c r="G226" s="7" t="n">
        <v>0</v>
      </c>
      <c r="H226" s="7">
        <f>F226+G226</f>
        <v/>
      </c>
      <c r="I226" s="6" t="inlineStr">
        <is>
          <t>cleared</t>
        </is>
      </c>
      <c r="J226" s="6" t="inlineStr">
        <is>
          <t>bank feed / ACH-AP-0005233</t>
        </is>
      </c>
    </row>
    <row r="227">
      <c r="A227" s="6" t="inlineStr">
        <is>
          <t>1000-0222</t>
        </is>
      </c>
      <c r="B227" s="6" t="inlineStr">
        <is>
          <t>2026-06-30</t>
        </is>
      </c>
      <c r="C227" s="6" t="inlineStr">
        <is>
          <t>ACH/CHECK DEPOSIT</t>
        </is>
      </c>
      <c r="D227" s="6" t="inlineStr">
        <is>
          <t>1000</t>
        </is>
      </c>
      <c r="E227" s="6" t="inlineStr">
        <is>
          <t>Hawthorne Urban Development, LLC; Customer receipt applied to PAYAPP-ARM-2510-202605</t>
        </is>
      </c>
      <c r="F227" s="7" t="n">
        <v>97383.61</v>
      </c>
      <c r="G227" s="7" t="n">
        <v>0</v>
      </c>
      <c r="H227" s="7">
        <f>F227+G227</f>
        <v/>
      </c>
      <c r="I227" s="6" t="inlineStr">
        <is>
          <t>cleared</t>
        </is>
      </c>
      <c r="J227" s="6" t="inlineStr">
        <is>
          <t>bank feed / RCPT-PAYAPP-ARM-2510-202605</t>
        </is>
      </c>
    </row>
    <row r="228">
      <c r="A228" s="6" t="inlineStr">
        <is>
          <t>1000-0223</t>
        </is>
      </c>
      <c r="B228" s="6" t="inlineStr">
        <is>
          <t>2026-06-30</t>
        </is>
      </c>
      <c r="C228" s="6" t="inlineStr">
        <is>
          <t>INTERNAL TRANSFER</t>
        </is>
      </c>
      <c r="D228" s="6" t="inlineStr">
        <is>
          <t>1000</t>
        </is>
      </c>
      <c r="E228" s="6" t="inlineStr">
        <is>
          <t>Payroll account 7718; Fund field payroll</t>
        </is>
      </c>
      <c r="F228" s="7" t="n">
        <v>-20195.94</v>
      </c>
      <c r="G228" s="7" t="n">
        <v>0</v>
      </c>
      <c r="H228" s="7">
        <f>F228+G228</f>
        <v/>
      </c>
      <c r="I228" s="6" t="inlineStr">
        <is>
          <t>cleared</t>
        </is>
      </c>
      <c r="J228" s="6" t="inlineStr">
        <is>
          <t>bank feed / FUND-PRJ-PAY-ARM-2510-20260630</t>
        </is>
      </c>
    </row>
    <row r="229">
      <c r="A229" s="6" t="inlineStr">
        <is>
          <t>1000-0224</t>
        </is>
      </c>
      <c r="B229" s="6" t="inlineStr">
        <is>
          <t>2026-06-30</t>
        </is>
      </c>
      <c r="C229" s="6" t="inlineStr">
        <is>
          <t>ACH/CHECK DEPOSIT</t>
        </is>
      </c>
      <c r="D229" s="6" t="inlineStr">
        <is>
          <t>1000</t>
        </is>
      </c>
      <c r="E229" s="6" t="inlineStr">
        <is>
          <t>Hawthorne Urban Development, LLC; Customer receipt applied to PAYAPP-ARM-2510-202606</t>
        </is>
      </c>
      <c r="F229" s="7" t="n">
        <v>8638.35</v>
      </c>
      <c r="G229" s="7" t="n">
        <v>0</v>
      </c>
      <c r="H229" s="7">
        <f>F229+G229</f>
        <v/>
      </c>
      <c r="I229" s="6" t="inlineStr">
        <is>
          <t>cleared</t>
        </is>
      </c>
      <c r="J229" s="6" t="inlineStr">
        <is>
          <t>bank feed / RCPT-PAYAPP-ARM-2510-202606</t>
        </is>
      </c>
    </row>
    <row r="230">
      <c r="A230" s="6" t="inlineStr">
        <is>
          <t>1000-0225</t>
        </is>
      </c>
      <c r="B230" s="6" t="inlineStr">
        <is>
          <t>2026-06-30</t>
        </is>
      </c>
      <c r="C230" s="6" t="inlineStr">
        <is>
          <t>ACH DEBIT</t>
        </is>
      </c>
      <c r="D230" s="6" t="inlineStr">
        <is>
          <t>1000</t>
        </is>
      </c>
      <c r="E230" s="6" t="inlineStr">
        <is>
          <t>Blue Mountain Crane and Rigging - Eugene Company; Vendor payment applied to AP-0005407</t>
        </is>
      </c>
      <c r="F230" s="7" t="n">
        <v>-4072.26</v>
      </c>
      <c r="G230" s="7" t="n">
        <v>0</v>
      </c>
      <c r="H230" s="7">
        <f>F230+G230</f>
        <v/>
      </c>
      <c r="I230" s="6" t="inlineStr">
        <is>
          <t>cleared</t>
        </is>
      </c>
      <c r="J230" s="6" t="inlineStr">
        <is>
          <t>bank feed / ACH-AP-0005407</t>
        </is>
      </c>
    </row>
    <row r="231">
      <c r="A231" s="6" t="inlineStr">
        <is>
          <t>1000-0226</t>
        </is>
      </c>
      <c r="B231" s="6" t="inlineStr">
        <is>
          <t>2026-06-30</t>
        </is>
      </c>
      <c r="C231" s="6" t="inlineStr">
        <is>
          <t>ACH DEBIT</t>
        </is>
      </c>
      <c r="D231" s="6" t="inlineStr">
        <is>
          <t>1000</t>
        </is>
      </c>
      <c r="E231" s="6" t="inlineStr">
        <is>
          <t>Summit Sheet Metal Fabrication - Bend Group; Vendor payment applied to AP-0005416</t>
        </is>
      </c>
      <c r="F231" s="7" t="n">
        <v>-3377.63</v>
      </c>
      <c r="G231" s="7" t="n">
        <v>0</v>
      </c>
      <c r="H231" s="7">
        <f>F231+G231</f>
        <v/>
      </c>
      <c r="I231" s="6" t="inlineStr">
        <is>
          <t>cleared</t>
        </is>
      </c>
      <c r="J231" s="6" t="inlineStr">
        <is>
          <t>bank feed / ACH-AP-0005416</t>
        </is>
      </c>
    </row>
    <row r="232">
      <c r="A232" s="6" t="inlineStr">
        <is>
          <t>1000-0227</t>
        </is>
      </c>
      <c r="B232" s="6" t="inlineStr">
        <is>
          <t>2026-06-30</t>
        </is>
      </c>
      <c r="C232" s="6" t="inlineStr">
        <is>
          <t>ACH DEBIT</t>
        </is>
      </c>
      <c r="D232" s="6" t="inlineStr">
        <is>
          <t>1000</t>
        </is>
      </c>
      <c r="E232" s="6" t="inlineStr">
        <is>
          <t>Cascade Equipment Rental &amp; Services - Gresham LLC; Vendor payment applied to AP-0005444</t>
        </is>
      </c>
      <c r="F232" s="7" t="n">
        <v>-10548.48</v>
      </c>
      <c r="G232" s="7" t="n">
        <v>0</v>
      </c>
      <c r="H232" s="7">
        <f>F232+G232</f>
        <v/>
      </c>
      <c r="I232" s="6" t="inlineStr">
        <is>
          <t>cleared</t>
        </is>
      </c>
      <c r="J232" s="6" t="inlineStr">
        <is>
          <t>bank feed / ACH-AP-0005444</t>
        </is>
      </c>
    </row>
    <row r="233">
      <c r="A233" s="6" t="inlineStr">
        <is>
          <t>1000-0228</t>
        </is>
      </c>
      <c r="B233" s="6" t="inlineStr">
        <is>
          <t>2026-06-30</t>
        </is>
      </c>
      <c r="C233" s="6" t="inlineStr">
        <is>
          <t>INTERNAL TRANSFER</t>
        </is>
      </c>
      <c r="D233" s="6" t="inlineStr">
        <is>
          <t>1000</t>
        </is>
      </c>
      <c r="E233" s="6" t="inlineStr">
        <is>
          <t>Payroll account 7718; Fund field payroll</t>
        </is>
      </c>
      <c r="F233" s="7" t="n">
        <v>-27466.83</v>
      </c>
      <c r="G233" s="7" t="n">
        <v>0</v>
      </c>
      <c r="H233" s="7">
        <f>F233+G233</f>
        <v/>
      </c>
      <c r="I233" s="6" t="inlineStr">
        <is>
          <t>cleared</t>
        </is>
      </c>
      <c r="J233" s="6" t="inlineStr">
        <is>
          <t>bank feed / FUND-PRJ-PAY-ARM-2514-20260630</t>
        </is>
      </c>
    </row>
    <row r="234">
      <c r="A234" s="6" t="inlineStr">
        <is>
          <t>1000-0229</t>
        </is>
      </c>
      <c r="B234" s="6" t="inlineStr">
        <is>
          <t>2026-06-30</t>
        </is>
      </c>
      <c r="C234" s="6" t="inlineStr">
        <is>
          <t>ACH/CHECK DEPOSIT</t>
        </is>
      </c>
      <c r="D234" s="6" t="inlineStr">
        <is>
          <t>1000</t>
        </is>
      </c>
      <c r="E234" s="6" t="inlineStr">
        <is>
          <t>Deschutes County Public Works; Customer receipt applied to PAYAPP-ARM-2518-202605</t>
        </is>
      </c>
      <c r="F234" s="7" t="n">
        <v>42892.62</v>
      </c>
      <c r="G234" s="7" t="n">
        <v>0</v>
      </c>
      <c r="H234" s="7">
        <f>F234+G234</f>
        <v/>
      </c>
      <c r="I234" s="6" t="inlineStr">
        <is>
          <t>cleared</t>
        </is>
      </c>
      <c r="J234" s="6" t="inlineStr">
        <is>
          <t>bank feed / RCPT-PAYAPP-ARM-2518-202605</t>
        </is>
      </c>
    </row>
    <row r="235">
      <c r="A235" s="6" t="inlineStr">
        <is>
          <t>1000-0230</t>
        </is>
      </c>
      <c r="B235" s="6" t="inlineStr">
        <is>
          <t>2026-06-30</t>
        </is>
      </c>
      <c r="C235" s="6" t="inlineStr">
        <is>
          <t>ACH DEBIT</t>
        </is>
      </c>
      <c r="D235" s="6" t="inlineStr">
        <is>
          <t>1000</t>
        </is>
      </c>
      <c r="E235" s="6" t="inlineStr">
        <is>
          <t>Tri-County Electrical Contracting - Beaverton LLC; Vendor payment applied to AP-0005508</t>
        </is>
      </c>
      <c r="F235" s="7" t="n">
        <v>-6189.66</v>
      </c>
      <c r="G235" s="7" t="n">
        <v>0</v>
      </c>
      <c r="H235" s="7">
        <f>F235+G235</f>
        <v/>
      </c>
      <c r="I235" s="6" t="inlineStr">
        <is>
          <t>cleared</t>
        </is>
      </c>
      <c r="J235" s="6" t="inlineStr">
        <is>
          <t>bank feed / ACH-AP-0005508</t>
        </is>
      </c>
    </row>
    <row r="236">
      <c r="A236" s="6" t="inlineStr">
        <is>
          <t>1000-0231</t>
        </is>
      </c>
      <c r="B236" s="6" t="inlineStr">
        <is>
          <t>2026-06-30</t>
        </is>
      </c>
      <c r="C236" s="6" t="inlineStr">
        <is>
          <t>ACH DEBIT</t>
        </is>
      </c>
      <c r="D236" s="6" t="inlineStr">
        <is>
          <t>1000</t>
        </is>
      </c>
      <c r="E236" s="6" t="inlineStr">
        <is>
          <t>Tri-County Crane and Rigging - Salem LLC; Vendor payment applied to AP-0005513</t>
        </is>
      </c>
      <c r="F236" s="7" t="n">
        <v>-7447.49</v>
      </c>
      <c r="G236" s="7" t="n">
        <v>0</v>
      </c>
      <c r="H236" s="7">
        <f>F236+G236</f>
        <v/>
      </c>
      <c r="I236" s="6" t="inlineStr">
        <is>
          <t>cleared</t>
        </is>
      </c>
      <c r="J236" s="6" t="inlineStr">
        <is>
          <t>bank feed / ACH-AP-0005513</t>
        </is>
      </c>
    </row>
    <row r="237">
      <c r="A237" s="6" t="inlineStr">
        <is>
          <t>1000-0232</t>
        </is>
      </c>
      <c r="B237" s="6" t="inlineStr">
        <is>
          <t>2026-06-30</t>
        </is>
      </c>
      <c r="C237" s="6" t="inlineStr">
        <is>
          <t>INTERNAL TRANSFER</t>
        </is>
      </c>
      <c r="D237" s="6" t="inlineStr">
        <is>
          <t>1000</t>
        </is>
      </c>
      <c r="E237" s="6" t="inlineStr">
        <is>
          <t>Payroll account 7718; Fund field payroll</t>
        </is>
      </c>
      <c r="F237" s="7" t="n">
        <v>-13637.68</v>
      </c>
      <c r="G237" s="7" t="n">
        <v>0</v>
      </c>
      <c r="H237" s="7">
        <f>F237+G237</f>
        <v/>
      </c>
      <c r="I237" s="6" t="inlineStr">
        <is>
          <t>cleared</t>
        </is>
      </c>
      <c r="J237" s="6" t="inlineStr">
        <is>
          <t>bank feed / FUND-PRJ-PAY-ARM-2518-20260630</t>
        </is>
      </c>
    </row>
    <row r="238">
      <c r="A238" s="6" t="inlineStr">
        <is>
          <t>1000-0233</t>
        </is>
      </c>
      <c r="B238" s="6" t="inlineStr">
        <is>
          <t>2026-06-30</t>
        </is>
      </c>
      <c r="C238" s="6" t="inlineStr">
        <is>
          <t>ACH/CHECK DEPOSIT</t>
        </is>
      </c>
      <c r="D238" s="6" t="inlineStr">
        <is>
          <t>1000</t>
        </is>
      </c>
      <c r="E238" s="6" t="inlineStr">
        <is>
          <t>Deschutes County Public Works; Customer receipt applied to PAYAPP-ARM-2518-202606</t>
        </is>
      </c>
      <c r="F238" s="7" t="n">
        <v>5847.9</v>
      </c>
      <c r="G238" s="7" t="n">
        <v>0</v>
      </c>
      <c r="H238" s="7">
        <f>F238+G238</f>
        <v/>
      </c>
      <c r="I238" s="6" t="inlineStr">
        <is>
          <t>cleared</t>
        </is>
      </c>
      <c r="J238" s="6" t="inlineStr">
        <is>
          <t>bank feed / RCPT-PAYAPP-ARM-2518-202606</t>
        </is>
      </c>
    </row>
    <row r="239">
      <c r="A239" s="6" t="inlineStr">
        <is>
          <t>1000-0234</t>
        </is>
      </c>
      <c r="B239" s="6" t="inlineStr">
        <is>
          <t>2026-06-30</t>
        </is>
      </c>
      <c r="C239" s="6" t="inlineStr">
        <is>
          <t>ACH/CHECK DEPOSIT</t>
        </is>
      </c>
      <c r="D239" s="6" t="inlineStr">
        <is>
          <t>1000</t>
        </is>
      </c>
      <c r="E239" s="6" t="inlineStr">
        <is>
          <t>Summit Surgical Properties; Customer receipt applied to PAYAPP-ARM-2522-202605</t>
        </is>
      </c>
      <c r="F239" s="7" t="n">
        <v>60954.57</v>
      </c>
      <c r="G239" s="7" t="n">
        <v>0</v>
      </c>
      <c r="H239" s="7">
        <f>F239+G239</f>
        <v/>
      </c>
      <c r="I239" s="6" t="inlineStr">
        <is>
          <t>cleared</t>
        </is>
      </c>
      <c r="J239" s="6" t="inlineStr">
        <is>
          <t>bank feed / RCPT-PAYAPP-ARM-2522-202605</t>
        </is>
      </c>
    </row>
    <row r="240">
      <c r="A240" s="6" t="inlineStr">
        <is>
          <t>1000-0235</t>
        </is>
      </c>
      <c r="B240" s="6" t="inlineStr">
        <is>
          <t>2026-06-30</t>
        </is>
      </c>
      <c r="C240" s="6" t="inlineStr">
        <is>
          <t>INTERNAL TRANSFER</t>
        </is>
      </c>
      <c r="D240" s="6" t="inlineStr">
        <is>
          <t>1000</t>
        </is>
      </c>
      <c r="E240" s="6" t="inlineStr">
        <is>
          <t>Payroll account 7718; Fund field payroll</t>
        </is>
      </c>
      <c r="F240" s="7" t="n">
        <v>-17709.63</v>
      </c>
      <c r="G240" s="7" t="n">
        <v>0</v>
      </c>
      <c r="H240" s="7">
        <f>F240+G240</f>
        <v/>
      </c>
      <c r="I240" s="6" t="inlineStr">
        <is>
          <t>cleared</t>
        </is>
      </c>
      <c r="J240" s="6" t="inlineStr">
        <is>
          <t>bank feed / FUND-PRJ-PAY-ARM-2522-20260630</t>
        </is>
      </c>
    </row>
    <row r="241">
      <c r="A241" s="6" t="inlineStr">
        <is>
          <t>1000-0236</t>
        </is>
      </c>
      <c r="B241" s="6" t="inlineStr">
        <is>
          <t>2026-06-30</t>
        </is>
      </c>
      <c r="C241" s="6" t="inlineStr">
        <is>
          <t>ACH/CHECK DEPOSIT</t>
        </is>
      </c>
      <c r="D241" s="6" t="inlineStr">
        <is>
          <t>1000</t>
        </is>
      </c>
      <c r="E241" s="6" t="inlineStr">
        <is>
          <t>Summit Surgical Properties; Customer receipt applied to PAYAPP-ARM-2522-202606</t>
        </is>
      </c>
      <c r="F241" s="7" t="n">
        <v>4394.16</v>
      </c>
      <c r="G241" s="7" t="n">
        <v>0</v>
      </c>
      <c r="H241" s="7">
        <f>F241+G241</f>
        <v/>
      </c>
      <c r="I241" s="6" t="inlineStr">
        <is>
          <t>cleared</t>
        </is>
      </c>
      <c r="J241" s="6" t="inlineStr">
        <is>
          <t>bank feed / RCPT-PAYAPP-ARM-2522-202606</t>
        </is>
      </c>
    </row>
    <row r="242">
      <c r="A242" s="6" t="inlineStr">
        <is>
          <t>1000-0237</t>
        </is>
      </c>
      <c r="B242" s="6" t="inlineStr">
        <is>
          <t>2026-06-30</t>
        </is>
      </c>
      <c r="C242" s="6" t="inlineStr">
        <is>
          <t>ACH DEBIT</t>
        </is>
      </c>
      <c r="D242" s="6" t="inlineStr">
        <is>
          <t>1000</t>
        </is>
      </c>
      <c r="E242" s="6" t="inlineStr">
        <is>
          <t>Blue Mountain Mechanical Insulation - Salem Company; Vendor payment applied to AP-0005633</t>
        </is>
      </c>
      <c r="F242" s="7" t="n">
        <v>-16097.25</v>
      </c>
      <c r="G242" s="7" t="n">
        <v>0</v>
      </c>
      <c r="H242" s="7">
        <f>F242+G242</f>
        <v/>
      </c>
      <c r="I242" s="6" t="inlineStr">
        <is>
          <t>cleared</t>
        </is>
      </c>
      <c r="J242" s="6" t="inlineStr">
        <is>
          <t>bank feed / ACH-AP-0005633</t>
        </is>
      </c>
    </row>
    <row r="243">
      <c r="A243" s="6" t="inlineStr">
        <is>
          <t>1000-0238</t>
        </is>
      </c>
      <c r="B243" s="6" t="inlineStr">
        <is>
          <t>2026-06-30</t>
        </is>
      </c>
      <c r="C243" s="6" t="inlineStr">
        <is>
          <t>ACH/CHECK DEPOSIT</t>
        </is>
      </c>
      <c r="D243" s="6" t="inlineStr">
        <is>
          <t>1000</t>
        </is>
      </c>
      <c r="E243" s="6" t="inlineStr">
        <is>
          <t>Willamette Food Cooperative; Customer receipt applied to PAYAPP-ARM-2526-202605</t>
        </is>
      </c>
      <c r="F243" s="7" t="n">
        <v>65243.16</v>
      </c>
      <c r="G243" s="7" t="n">
        <v>0</v>
      </c>
      <c r="H243" s="7">
        <f>F243+G243</f>
        <v/>
      </c>
      <c r="I243" s="6" t="inlineStr">
        <is>
          <t>cleared</t>
        </is>
      </c>
      <c r="J243" s="6" t="inlineStr">
        <is>
          <t>bank feed / RCPT-PAYAPP-ARM-2526-202605</t>
        </is>
      </c>
    </row>
    <row r="244">
      <c r="A244" s="6" t="inlineStr">
        <is>
          <t>1000-0239</t>
        </is>
      </c>
      <c r="B244" s="6" t="inlineStr">
        <is>
          <t>2026-06-30</t>
        </is>
      </c>
      <c r="C244" s="6" t="inlineStr">
        <is>
          <t>INTERNAL TRANSFER</t>
        </is>
      </c>
      <c r="D244" s="6" t="inlineStr">
        <is>
          <t>1000</t>
        </is>
      </c>
      <c r="E244" s="6" t="inlineStr">
        <is>
          <t>Payroll account 7718; Fund field payroll</t>
        </is>
      </c>
      <c r="F244" s="7" t="n">
        <v>-12713.68</v>
      </c>
      <c r="G244" s="7" t="n">
        <v>0</v>
      </c>
      <c r="H244" s="7">
        <f>F244+G244</f>
        <v/>
      </c>
      <c r="I244" s="6" t="inlineStr">
        <is>
          <t>cleared</t>
        </is>
      </c>
      <c r="J244" s="6" t="inlineStr">
        <is>
          <t>bank feed / FUND-PRJ-PAY-ARM-2526-20260630</t>
        </is>
      </c>
    </row>
    <row r="245">
      <c r="A245" s="6" t="inlineStr">
        <is>
          <t>1000-0240</t>
        </is>
      </c>
      <c r="B245" s="6" t="inlineStr">
        <is>
          <t>2026-06-30</t>
        </is>
      </c>
      <c r="C245" s="6" t="inlineStr">
        <is>
          <t>ACH/CHECK DEPOSIT</t>
        </is>
      </c>
      <c r="D245" s="6" t="inlineStr">
        <is>
          <t>1000</t>
        </is>
      </c>
      <c r="E245" s="6" t="inlineStr">
        <is>
          <t>Willamette Food Cooperative; Customer receipt applied to PAYAPP-ARM-2526-202606</t>
        </is>
      </c>
      <c r="F245" s="7" t="n">
        <v>4511.32</v>
      </c>
      <c r="G245" s="7" t="n">
        <v>0</v>
      </c>
      <c r="H245" s="7">
        <f>F245+G245</f>
        <v/>
      </c>
      <c r="I245" s="6" t="inlineStr">
        <is>
          <t>cleared</t>
        </is>
      </c>
      <c r="J245" s="6" t="inlineStr">
        <is>
          <t>bank feed / RCPT-PAYAPP-ARM-2526-202606</t>
        </is>
      </c>
    </row>
    <row r="246">
      <c r="A246" s="6" t="inlineStr">
        <is>
          <t>1000-0241</t>
        </is>
      </c>
      <c r="B246" s="6" t="inlineStr">
        <is>
          <t>2026-06-30</t>
        </is>
      </c>
      <c r="C246" s="6" t="inlineStr">
        <is>
          <t>ACH DEBIT</t>
        </is>
      </c>
      <c r="D246" s="6" t="inlineStr">
        <is>
          <t>1000</t>
        </is>
      </c>
      <c r="E246" s="6" t="inlineStr">
        <is>
          <t>Northwest Testing and Balancing - Eugene Group; Vendor payment applied to AP-0005679</t>
        </is>
      </c>
      <c r="F246" s="7" t="n">
        <v>-3271.4</v>
      </c>
      <c r="G246" s="7" t="n">
        <v>0</v>
      </c>
      <c r="H246" s="7">
        <f>F246+G246</f>
        <v/>
      </c>
      <c r="I246" s="6" t="inlineStr">
        <is>
          <t>cleared</t>
        </is>
      </c>
      <c r="J246" s="6" t="inlineStr">
        <is>
          <t>bank feed / ACH-AP-0005679</t>
        </is>
      </c>
    </row>
    <row r="247">
      <c r="A247" s="6" t="inlineStr">
        <is>
          <t>1000-0242</t>
        </is>
      </c>
      <c r="B247" s="6" t="inlineStr">
        <is>
          <t>2026-06-30</t>
        </is>
      </c>
      <c r="C247" s="6" t="inlineStr">
        <is>
          <t>ACH DEBIT</t>
        </is>
      </c>
      <c r="D247" s="6" t="inlineStr">
        <is>
          <t>1000</t>
        </is>
      </c>
      <c r="E247" s="6" t="inlineStr">
        <is>
          <t>Interstate Equipment Rental &amp; Services - Eugene Services, LLC; Vendor payment applied to AP-0005680</t>
        </is>
      </c>
      <c r="F247" s="7" t="n">
        <v>-3746.88</v>
      </c>
      <c r="G247" s="7" t="n">
        <v>0</v>
      </c>
      <c r="H247" s="7">
        <f>F247+G247</f>
        <v/>
      </c>
      <c r="I247" s="6" t="inlineStr">
        <is>
          <t>cleared</t>
        </is>
      </c>
      <c r="J247" s="6" t="inlineStr">
        <is>
          <t>bank feed / ACH-AP-0005680</t>
        </is>
      </c>
    </row>
    <row r="248">
      <c r="A248" s="6" t="inlineStr">
        <is>
          <t>1000-0243</t>
        </is>
      </c>
      <c r="B248" s="6" t="inlineStr">
        <is>
          <t>2026-06-30</t>
        </is>
      </c>
      <c r="C248" s="6" t="inlineStr">
        <is>
          <t>ACH/CHECK DEPOSIT</t>
        </is>
      </c>
      <c r="D248" s="6" t="inlineStr">
        <is>
          <t>1000</t>
        </is>
      </c>
      <c r="E248" s="6" t="inlineStr">
        <is>
          <t>Pacific Northwest Distribution REIT; Customer receipt applied to PAYAPP-ARM-2602-202605</t>
        </is>
      </c>
      <c r="F248" s="7" t="n">
        <v>66928.92999999999</v>
      </c>
      <c r="G248" s="7" t="n">
        <v>0</v>
      </c>
      <c r="H248" s="7">
        <f>F248+G248</f>
        <v/>
      </c>
      <c r="I248" s="6" t="inlineStr">
        <is>
          <t>cleared</t>
        </is>
      </c>
      <c r="J248" s="6" t="inlineStr">
        <is>
          <t>bank feed / RCPT-PAYAPP-ARM-2602-202605</t>
        </is>
      </c>
    </row>
    <row r="249">
      <c r="A249" s="6" t="inlineStr">
        <is>
          <t>1000-0244</t>
        </is>
      </c>
      <c r="B249" s="6" t="inlineStr">
        <is>
          <t>2026-06-30</t>
        </is>
      </c>
      <c r="C249" s="6" t="inlineStr">
        <is>
          <t>INTERNAL TRANSFER</t>
        </is>
      </c>
      <c r="D249" s="6" t="inlineStr">
        <is>
          <t>1000</t>
        </is>
      </c>
      <c r="E249" s="6" t="inlineStr">
        <is>
          <t>Payroll account 7718; Fund field payroll</t>
        </is>
      </c>
      <c r="F249" s="7" t="n">
        <v>-14286.34</v>
      </c>
      <c r="G249" s="7" t="n">
        <v>0</v>
      </c>
      <c r="H249" s="7">
        <f>F249+G249</f>
        <v/>
      </c>
      <c r="I249" s="6" t="inlineStr">
        <is>
          <t>cleared</t>
        </is>
      </c>
      <c r="J249" s="6" t="inlineStr">
        <is>
          <t>bank feed / FUND-PRJ-PAY-ARM-2602-20260630</t>
        </is>
      </c>
    </row>
    <row r="250">
      <c r="A250" s="6" t="inlineStr">
        <is>
          <t>1000-0245</t>
        </is>
      </c>
      <c r="B250" s="6" t="inlineStr">
        <is>
          <t>2026-06-30</t>
        </is>
      </c>
      <c r="C250" s="6" t="inlineStr">
        <is>
          <t>ACH/CHECK DEPOSIT</t>
        </is>
      </c>
      <c r="D250" s="6" t="inlineStr">
        <is>
          <t>1000</t>
        </is>
      </c>
      <c r="E250" s="6" t="inlineStr">
        <is>
          <t>Pacific Northwest Distribution REIT; Customer receipt applied to PAYAPP-ARM-2602-202606</t>
        </is>
      </c>
      <c r="F250" s="7" t="n">
        <v>2914.51</v>
      </c>
      <c r="G250" s="7" t="n">
        <v>0</v>
      </c>
      <c r="H250" s="7">
        <f>F250+G250</f>
        <v/>
      </c>
      <c r="I250" s="6" t="inlineStr">
        <is>
          <t>cleared</t>
        </is>
      </c>
      <c r="J250" s="6" t="inlineStr">
        <is>
          <t>bank feed / RCPT-PAYAPP-ARM-2602-202606</t>
        </is>
      </c>
    </row>
    <row r="251">
      <c r="A251" s="6" t="inlineStr">
        <is>
          <t>1000-0246</t>
        </is>
      </c>
      <c r="B251" s="6" t="inlineStr">
        <is>
          <t>2026-06-30</t>
        </is>
      </c>
      <c r="C251" s="6" t="inlineStr">
        <is>
          <t>ACH DEBIT</t>
        </is>
      </c>
      <c r="D251" s="6" t="inlineStr">
        <is>
          <t>1000</t>
        </is>
      </c>
      <c r="E251" s="6" t="inlineStr">
        <is>
          <t>Bridge City Mechanical Insulation - Gresham Group; Vendor payment applied to AP-0005715</t>
        </is>
      </c>
      <c r="F251" s="7" t="n">
        <v>-5656.65</v>
      </c>
      <c r="G251" s="7" t="n">
        <v>0</v>
      </c>
      <c r="H251" s="7">
        <f>F251+G251</f>
        <v/>
      </c>
      <c r="I251" s="6" t="inlineStr">
        <is>
          <t>cleared</t>
        </is>
      </c>
      <c r="J251" s="6" t="inlineStr">
        <is>
          <t>bank feed / ACH-AP-0005715</t>
        </is>
      </c>
    </row>
    <row r="252">
      <c r="A252" s="6" t="inlineStr">
        <is>
          <t>1000-0247</t>
        </is>
      </c>
      <c r="B252" s="6" t="inlineStr">
        <is>
          <t>2026-06-30</t>
        </is>
      </c>
      <c r="C252" s="6" t="inlineStr">
        <is>
          <t>ACH/CHECK DEPOSIT</t>
        </is>
      </c>
      <c r="D252" s="6" t="inlineStr">
        <is>
          <t>1000</t>
        </is>
      </c>
      <c r="E252" s="6" t="inlineStr">
        <is>
          <t>Rose Quarter Entertainment Holdings; Customer receipt applied to PAYAPP-ARM-2605-202605</t>
        </is>
      </c>
      <c r="F252" s="7" t="n">
        <v>76818.81</v>
      </c>
      <c r="G252" s="7" t="n">
        <v>0</v>
      </c>
      <c r="H252" s="7">
        <f>F252+G252</f>
        <v/>
      </c>
      <c r="I252" s="6" t="inlineStr">
        <is>
          <t>cleared</t>
        </is>
      </c>
      <c r="J252" s="6" t="inlineStr">
        <is>
          <t>bank feed / RCPT-PAYAPP-ARM-2605-202605</t>
        </is>
      </c>
    </row>
    <row r="253">
      <c r="A253" s="6" t="inlineStr">
        <is>
          <t>1000-0248</t>
        </is>
      </c>
      <c r="B253" s="6" t="inlineStr">
        <is>
          <t>2026-06-30</t>
        </is>
      </c>
      <c r="C253" s="6" t="inlineStr">
        <is>
          <t>INTERNAL TRANSFER</t>
        </is>
      </c>
      <c r="D253" s="6" t="inlineStr">
        <is>
          <t>1000</t>
        </is>
      </c>
      <c r="E253" s="6" t="inlineStr">
        <is>
          <t>Payroll account 7718; Fund field payroll</t>
        </is>
      </c>
      <c r="F253" s="7" t="n">
        <v>-13393.11</v>
      </c>
      <c r="G253" s="7" t="n">
        <v>0</v>
      </c>
      <c r="H253" s="7">
        <f>F253+G253</f>
        <v/>
      </c>
      <c r="I253" s="6" t="inlineStr">
        <is>
          <t>cleared</t>
        </is>
      </c>
      <c r="J253" s="6" t="inlineStr">
        <is>
          <t>bank feed / FUND-PRJ-PAY-ARM-2605-20260630</t>
        </is>
      </c>
    </row>
    <row r="254">
      <c r="A254" s="6" t="inlineStr">
        <is>
          <t>1000-0249</t>
        </is>
      </c>
      <c r="B254" s="6" t="inlineStr">
        <is>
          <t>2026-06-30</t>
        </is>
      </c>
      <c r="C254" s="6" t="inlineStr">
        <is>
          <t>ACH/CHECK DEPOSIT</t>
        </is>
      </c>
      <c r="D254" s="6" t="inlineStr">
        <is>
          <t>1000</t>
        </is>
      </c>
      <c r="E254" s="6" t="inlineStr">
        <is>
          <t>Rose Quarter Entertainment Holdings; Customer receipt applied to PAYAPP-ARM-2605-202606</t>
        </is>
      </c>
      <c r="F254" s="7" t="n">
        <v>4527.24</v>
      </c>
      <c r="G254" s="7" t="n">
        <v>0</v>
      </c>
      <c r="H254" s="7">
        <f>F254+G254</f>
        <v/>
      </c>
      <c r="I254" s="6" t="inlineStr">
        <is>
          <t>cleared</t>
        </is>
      </c>
      <c r="J254" s="6" t="inlineStr">
        <is>
          <t>bank feed / RCPT-PAYAPP-ARM-2605-202606</t>
        </is>
      </c>
    </row>
    <row r="255">
      <c r="A255" s="6" t="inlineStr">
        <is>
          <t>1000-0250</t>
        </is>
      </c>
      <c r="B255" s="6" t="inlineStr">
        <is>
          <t>2026-06-30</t>
        </is>
      </c>
      <c r="C255" s="6" t="inlineStr">
        <is>
          <t>ACH/CHECK DEPOSIT</t>
        </is>
      </c>
      <c r="D255" s="6" t="inlineStr">
        <is>
          <t>1000</t>
        </is>
      </c>
      <c r="E255" s="6" t="inlineStr">
        <is>
          <t>Cascade Health Properties, LLC; Customer receipt applied to PAYAPP-ARM-2608-202605</t>
        </is>
      </c>
      <c r="F255" s="7" t="n">
        <v>110179.95</v>
      </c>
      <c r="G255" s="7" t="n">
        <v>0</v>
      </c>
      <c r="H255" s="7">
        <f>F255+G255</f>
        <v/>
      </c>
      <c r="I255" s="6" t="inlineStr">
        <is>
          <t>cleared</t>
        </is>
      </c>
      <c r="J255" s="6" t="inlineStr">
        <is>
          <t>bank feed / RCPT-PAYAPP-ARM-2608-202605</t>
        </is>
      </c>
    </row>
    <row r="256">
      <c r="A256" s="6" t="inlineStr">
        <is>
          <t>1000-0251</t>
        </is>
      </c>
      <c r="B256" s="6" t="inlineStr">
        <is>
          <t>2026-06-30</t>
        </is>
      </c>
      <c r="C256" s="6" t="inlineStr">
        <is>
          <t>ACH DEBIT</t>
        </is>
      </c>
      <c r="D256" s="6" t="inlineStr">
        <is>
          <t>1000</t>
        </is>
      </c>
      <c r="E256" s="6" t="inlineStr">
        <is>
          <t>Cascade Testing and Balancing - Bend LLC; Vendor payment applied to AP-0005749</t>
        </is>
      </c>
      <c r="F256" s="7" t="n">
        <v>-20411.61</v>
      </c>
      <c r="G256" s="7" t="n">
        <v>0</v>
      </c>
      <c r="H256" s="7">
        <f>F256+G256</f>
        <v/>
      </c>
      <c r="I256" s="6" t="inlineStr">
        <is>
          <t>cleared</t>
        </is>
      </c>
      <c r="J256" s="6" t="inlineStr">
        <is>
          <t>bank feed / ACH-AP-0005749</t>
        </is>
      </c>
    </row>
    <row r="257">
      <c r="A257" s="6" t="inlineStr">
        <is>
          <t>1000-0252</t>
        </is>
      </c>
      <c r="B257" s="6" t="inlineStr">
        <is>
          <t>2026-06-30</t>
        </is>
      </c>
      <c r="C257" s="6" t="inlineStr">
        <is>
          <t>INTERNAL TRANSFER</t>
        </is>
      </c>
      <c r="D257" s="6" t="inlineStr">
        <is>
          <t>1000</t>
        </is>
      </c>
      <c r="E257" s="6" t="inlineStr">
        <is>
          <t>Payroll account 7718; Fund field payroll</t>
        </is>
      </c>
      <c r="F257" s="7" t="n">
        <v>-12127.99</v>
      </c>
      <c r="G257" s="7" t="n">
        <v>0</v>
      </c>
      <c r="H257" s="7">
        <f>F257+G257</f>
        <v/>
      </c>
      <c r="I257" s="6" t="inlineStr">
        <is>
          <t>cleared</t>
        </is>
      </c>
      <c r="J257" s="6" t="inlineStr">
        <is>
          <t>bank feed / FUND-PRJ-PAY-ARM-2608-20260630</t>
        </is>
      </c>
    </row>
    <row r="258">
      <c r="A258" s="6" t="inlineStr">
        <is>
          <t>1000-0253</t>
        </is>
      </c>
      <c r="B258" s="6" t="inlineStr">
        <is>
          <t>2026-06-30</t>
        </is>
      </c>
      <c r="C258" s="6" t="inlineStr">
        <is>
          <t>ACH/CHECK DEPOSIT</t>
        </is>
      </c>
      <c r="D258" s="6" t="inlineStr">
        <is>
          <t>1000</t>
        </is>
      </c>
      <c r="E258" s="6" t="inlineStr">
        <is>
          <t>Cascade Health Properties, LLC; Customer receipt applied to PAYAPP-ARM-2608-202606</t>
        </is>
      </c>
      <c r="F258" s="7" t="n">
        <v>3775.59</v>
      </c>
      <c r="G258" s="7" t="n">
        <v>0</v>
      </c>
      <c r="H258" s="7">
        <f>F258+G258</f>
        <v/>
      </c>
      <c r="I258" s="6" t="inlineStr">
        <is>
          <t>cleared</t>
        </is>
      </c>
      <c r="J258" s="6" t="inlineStr">
        <is>
          <t>bank feed / RCPT-PAYAPP-ARM-2608-202606</t>
        </is>
      </c>
    </row>
    <row r="259">
      <c r="A259" s="6" t="inlineStr">
        <is>
          <t>1000-0254</t>
        </is>
      </c>
      <c r="B259" s="6" t="inlineStr">
        <is>
          <t>2026-06-30</t>
        </is>
      </c>
      <c r="C259" s="6" t="inlineStr">
        <is>
          <t>ACH/CHECK DEPOSIT</t>
        </is>
      </c>
      <c r="D259" s="6" t="inlineStr">
        <is>
          <t>1000</t>
        </is>
      </c>
      <c r="E259" s="6" t="inlineStr">
        <is>
          <t>Deschutes Medical Group - North Campus Services; Customer receipt applied to AR-0030919</t>
        </is>
      </c>
      <c r="F259" s="7" t="n">
        <v>901.26</v>
      </c>
      <c r="G259" s="7" t="n">
        <v>0</v>
      </c>
      <c r="H259" s="7">
        <f>F259+G259</f>
        <v/>
      </c>
      <c r="I259" s="6" t="inlineStr">
        <is>
          <t>cleared</t>
        </is>
      </c>
      <c r="J259" s="6" t="inlineStr">
        <is>
          <t>bank feed / RCPT-AR-0030919</t>
        </is>
      </c>
    </row>
    <row r="260">
      <c r="A260" s="6" t="inlineStr">
        <is>
          <t>1000-0255</t>
        </is>
      </c>
      <c r="B260" s="6" t="inlineStr">
        <is>
          <t>2026-06-30</t>
        </is>
      </c>
      <c r="C260" s="6" t="inlineStr">
        <is>
          <t>ACH/CHECK DEPOSIT</t>
        </is>
      </c>
      <c r="D260" s="6" t="inlineStr">
        <is>
          <t>1000</t>
        </is>
      </c>
      <c r="E260" s="6" t="inlineStr">
        <is>
          <t>Salem Surgical Partners Campus Services; Customer receipt applied to AR-0030945</t>
        </is>
      </c>
      <c r="F260" s="7" t="n">
        <v>2375.19</v>
      </c>
      <c r="G260" s="7" t="n">
        <v>0</v>
      </c>
      <c r="H260" s="7">
        <f>F260+G260</f>
        <v/>
      </c>
      <c r="I260" s="6" t="inlineStr">
        <is>
          <t>cleared</t>
        </is>
      </c>
      <c r="J260" s="6" t="inlineStr">
        <is>
          <t>bank feed / RCPT-AR-0030945</t>
        </is>
      </c>
    </row>
    <row r="261">
      <c r="A261" s="6" t="inlineStr">
        <is>
          <t>1000-0256</t>
        </is>
      </c>
      <c r="B261" s="6" t="inlineStr">
        <is>
          <t>2026-06-30</t>
        </is>
      </c>
      <c r="C261" s="6" t="inlineStr">
        <is>
          <t>ACH/CHECK DEPOSIT</t>
        </is>
      </c>
      <c r="D261" s="6" t="inlineStr">
        <is>
          <t>1000</t>
        </is>
      </c>
      <c r="E261" s="6" t="inlineStr">
        <is>
          <t>Pacific Northwest Distribution REIT; Customer receipt applied to AR-0030955</t>
        </is>
      </c>
      <c r="F261" s="7" t="n">
        <v>1759.79</v>
      </c>
      <c r="G261" s="7" t="n">
        <v>0</v>
      </c>
      <c r="H261" s="7">
        <f>F261+G261</f>
        <v/>
      </c>
      <c r="I261" s="6" t="inlineStr">
        <is>
          <t>cleared</t>
        </is>
      </c>
      <c r="J261" s="6" t="inlineStr">
        <is>
          <t>bank feed / RCPT-AR-0030955</t>
        </is>
      </c>
    </row>
    <row r="262">
      <c r="A262" s="6" t="inlineStr">
        <is>
          <t>1000-0257</t>
        </is>
      </c>
      <c r="B262" s="6" t="inlineStr">
        <is>
          <t>2026-06-30</t>
        </is>
      </c>
      <c r="C262" s="6" t="inlineStr">
        <is>
          <t>ACH/CHECK DEPOSIT</t>
        </is>
      </c>
      <c r="D262" s="6" t="inlineStr">
        <is>
          <t>1000</t>
        </is>
      </c>
      <c r="E262" s="6" t="inlineStr">
        <is>
          <t>Cascade Health Properties, LLC; Customer receipt applied to AR-0030960</t>
        </is>
      </c>
      <c r="F262" s="7" t="n">
        <v>524</v>
      </c>
      <c r="G262" s="7" t="n">
        <v>0</v>
      </c>
      <c r="H262" s="7">
        <f>F262+G262</f>
        <v/>
      </c>
      <c r="I262" s="6" t="inlineStr">
        <is>
          <t>cleared</t>
        </is>
      </c>
      <c r="J262" s="6" t="inlineStr">
        <is>
          <t>bank feed / RCPT-AR-0030960</t>
        </is>
      </c>
    </row>
    <row r="263">
      <c r="A263" s="6" t="inlineStr">
        <is>
          <t>1000-0258</t>
        </is>
      </c>
      <c r="B263" s="6" t="inlineStr">
        <is>
          <t>2026-06-30</t>
        </is>
      </c>
      <c r="C263" s="6" t="inlineStr">
        <is>
          <t>ACH/CHECK DEPOSIT</t>
        </is>
      </c>
      <c r="D263" s="6" t="inlineStr">
        <is>
          <t>1000</t>
        </is>
      </c>
      <c r="E263" s="6" t="inlineStr">
        <is>
          <t>Klamath County Facilities - South Property Group; Customer receipt applied to AR-0030965</t>
        </is>
      </c>
      <c r="F263" s="7" t="n">
        <v>515.8</v>
      </c>
      <c r="G263" s="7" t="n">
        <v>0</v>
      </c>
      <c r="H263" s="7">
        <f>F263+G263</f>
        <v/>
      </c>
      <c r="I263" s="6" t="inlineStr">
        <is>
          <t>cleared</t>
        </is>
      </c>
      <c r="J263" s="6" t="inlineStr">
        <is>
          <t>bank feed / RCPT-AR-0030965</t>
        </is>
      </c>
    </row>
    <row r="264">
      <c r="A264" s="6" t="inlineStr">
        <is>
          <t>1000-0259</t>
        </is>
      </c>
      <c r="B264" s="6" t="inlineStr">
        <is>
          <t>2026-06-30</t>
        </is>
      </c>
      <c r="C264" s="6" t="inlineStr">
        <is>
          <t>ACH/CHECK DEPOSIT</t>
        </is>
      </c>
      <c r="D264" s="6" t="inlineStr">
        <is>
          <t>1000</t>
        </is>
      </c>
      <c r="E264" s="6" t="inlineStr">
        <is>
          <t>Klamath County Facilities - South LLC; Customer receipt applied to AR-0030967</t>
        </is>
      </c>
      <c r="F264" s="7" t="n">
        <v>1495.3</v>
      </c>
      <c r="G264" s="7" t="n">
        <v>0</v>
      </c>
      <c r="H264" s="7">
        <f>F264+G264</f>
        <v/>
      </c>
      <c r="I264" s="6" t="inlineStr">
        <is>
          <t>cleared</t>
        </is>
      </c>
      <c r="J264" s="6" t="inlineStr">
        <is>
          <t>bank feed / RCPT-AR-0030967</t>
        </is>
      </c>
    </row>
    <row r="265">
      <c r="A265" s="6" t="inlineStr">
        <is>
          <t>1000-0260</t>
        </is>
      </c>
      <c r="B265" s="6" t="inlineStr">
        <is>
          <t>2026-06-30</t>
        </is>
      </c>
      <c r="C265" s="6" t="inlineStr">
        <is>
          <t>ACH/CHECK DEPOSIT</t>
        </is>
      </c>
      <c r="D265" s="6" t="inlineStr">
        <is>
          <t>1000</t>
        </is>
      </c>
      <c r="E265" s="6" t="inlineStr">
        <is>
          <t>Lake Oswego Office Partners - East Asset Management; Customer receipt applied to AR-0030974</t>
        </is>
      </c>
      <c r="F265" s="7" t="n">
        <v>218.38</v>
      </c>
      <c r="G265" s="7" t="n">
        <v>0</v>
      </c>
      <c r="H265" s="7">
        <f>F265+G265</f>
        <v/>
      </c>
      <c r="I265" s="6" t="inlineStr">
        <is>
          <t>cleared</t>
        </is>
      </c>
      <c r="J265" s="6" t="inlineStr">
        <is>
          <t>bank feed / RCPT-AR-0030974</t>
        </is>
      </c>
    </row>
    <row r="266">
      <c r="A266" s="6" t="inlineStr">
        <is>
          <t>1000-0261</t>
        </is>
      </c>
      <c r="B266" s="6" t="inlineStr">
        <is>
          <t>2026-06-30</t>
        </is>
      </c>
      <c r="C266" s="6" t="inlineStr">
        <is>
          <t>ACH/CHECK DEPOSIT</t>
        </is>
      </c>
      <c r="D266" s="6" t="inlineStr">
        <is>
          <t>1000</t>
        </is>
      </c>
      <c r="E266" s="6" t="inlineStr">
        <is>
          <t>Pioneer Medical Properties Development Company; Customer receipt applied to AR-0030982</t>
        </is>
      </c>
      <c r="F266" s="7" t="n">
        <v>1031.64</v>
      </c>
      <c r="G266" s="7" t="n">
        <v>0</v>
      </c>
      <c r="H266" s="7">
        <f>F266+G266</f>
        <v/>
      </c>
      <c r="I266" s="6" t="inlineStr">
        <is>
          <t>cleared</t>
        </is>
      </c>
      <c r="J266" s="6" t="inlineStr">
        <is>
          <t>bank feed / RCPT-AR-0030982</t>
        </is>
      </c>
    </row>
    <row r="267">
      <c r="A267" s="6" t="inlineStr">
        <is>
          <t>1000-0262</t>
        </is>
      </c>
      <c r="B267" s="6" t="inlineStr">
        <is>
          <t>2026-06-30</t>
        </is>
      </c>
      <c r="C267" s="6" t="inlineStr">
        <is>
          <t>ACH/CHECK DEPOSIT</t>
        </is>
      </c>
      <c r="D267" s="6" t="inlineStr">
        <is>
          <t>1000</t>
        </is>
      </c>
      <c r="E267" s="6" t="inlineStr">
        <is>
          <t>Forest Park Hospitality Campus Services; Customer receipt applied to AR-0030987</t>
        </is>
      </c>
      <c r="F267" s="7" t="n">
        <v>1979.86</v>
      </c>
      <c r="G267" s="7" t="n">
        <v>0</v>
      </c>
      <c r="H267" s="7">
        <f>F267+G267</f>
        <v/>
      </c>
      <c r="I267" s="6" t="inlineStr">
        <is>
          <t>cleared</t>
        </is>
      </c>
      <c r="J267" s="6" t="inlineStr">
        <is>
          <t>bank feed / RCPT-AR-0030987</t>
        </is>
      </c>
    </row>
    <row r="268">
      <c r="A268" s="6" t="inlineStr">
        <is>
          <t>1000-0263</t>
        </is>
      </c>
      <c r="B268" s="6" t="inlineStr">
        <is>
          <t>2026-06-30</t>
        </is>
      </c>
      <c r="C268" s="6" t="inlineStr">
        <is>
          <t>ACH/CHECK DEPOSIT</t>
        </is>
      </c>
      <c r="D268" s="6" t="inlineStr">
        <is>
          <t>1000</t>
        </is>
      </c>
      <c r="E268" s="6" t="inlineStr">
        <is>
          <t>Oak Street Development - North Development Company; Customer receipt applied to AR-0030999</t>
        </is>
      </c>
      <c r="F268" s="7" t="n">
        <v>1245.6</v>
      </c>
      <c r="G268" s="7" t="n">
        <v>0</v>
      </c>
      <c r="H268" s="7">
        <f>F268+G268</f>
        <v/>
      </c>
      <c r="I268" s="6" t="inlineStr">
        <is>
          <t>cleared</t>
        </is>
      </c>
      <c r="J268" s="6" t="inlineStr">
        <is>
          <t>bank feed / RCPT-AR-0030999</t>
        </is>
      </c>
    </row>
    <row r="269">
      <c r="A269" s="6" t="inlineStr">
        <is>
          <t>1000-0264</t>
        </is>
      </c>
      <c r="B269" s="6" t="inlineStr">
        <is>
          <t>2026-06-30</t>
        </is>
      </c>
      <c r="C269" s="6" t="inlineStr">
        <is>
          <t>ACH/CHECK DEPOSIT</t>
        </is>
      </c>
      <c r="D269" s="6" t="inlineStr">
        <is>
          <t>1000</t>
        </is>
      </c>
      <c r="E269" s="6" t="inlineStr">
        <is>
          <t>Juniper Ridge Properties - North Facilities; Customer receipt applied to AR-0031004</t>
        </is>
      </c>
      <c r="F269" s="7" t="n">
        <v>885.99</v>
      </c>
      <c r="G269" s="7" t="n">
        <v>0</v>
      </c>
      <c r="H269" s="7">
        <f>F269+G269</f>
        <v/>
      </c>
      <c r="I269" s="6" t="inlineStr">
        <is>
          <t>cleared</t>
        </is>
      </c>
      <c r="J269" s="6" t="inlineStr">
        <is>
          <t>bank feed / RCPT-AR-0031004</t>
        </is>
      </c>
    </row>
    <row r="270">
      <c r="A270" s="6" t="inlineStr">
        <is>
          <t>1000-0265</t>
        </is>
      </c>
      <c r="B270" s="6" t="inlineStr">
        <is>
          <t>2026-06-30</t>
        </is>
      </c>
      <c r="C270" s="6" t="inlineStr">
        <is>
          <t>ACH/CHECK DEPOSIT</t>
        </is>
      </c>
      <c r="D270" s="6" t="inlineStr">
        <is>
          <t>1000</t>
        </is>
      </c>
      <c r="E270" s="6" t="inlineStr">
        <is>
          <t>Deschutes Medical Group - North Development Company; Customer receipt applied to AR-0031007</t>
        </is>
      </c>
      <c r="F270" s="7" t="n">
        <v>1549.01</v>
      </c>
      <c r="G270" s="7" t="n">
        <v>0</v>
      </c>
      <c r="H270" s="7">
        <f>F270+G270</f>
        <v/>
      </c>
      <c r="I270" s="6" t="inlineStr">
        <is>
          <t>cleared</t>
        </is>
      </c>
      <c r="J270" s="6" t="inlineStr">
        <is>
          <t>bank feed / RCPT-AR-0031007</t>
        </is>
      </c>
    </row>
    <row r="271">
      <c r="A271" s="6" t="inlineStr">
        <is>
          <t>1000-0266</t>
        </is>
      </c>
      <c r="B271" s="6" t="inlineStr">
        <is>
          <t>2026-06-30</t>
        </is>
      </c>
      <c r="C271" s="6" t="inlineStr">
        <is>
          <t>ACH/CHECK DEPOSIT</t>
        </is>
      </c>
      <c r="D271" s="6" t="inlineStr">
        <is>
          <t>1000</t>
        </is>
      </c>
      <c r="E271" s="6" t="inlineStr">
        <is>
          <t>Deschutes Medical Group - North Campus Services; Customer receipt applied to AR-0031009</t>
        </is>
      </c>
      <c r="F271" s="7" t="n">
        <v>425.49</v>
      </c>
      <c r="G271" s="7" t="n">
        <v>0</v>
      </c>
      <c r="H271" s="7">
        <f>F271+G271</f>
        <v/>
      </c>
      <c r="I271" s="6" t="inlineStr">
        <is>
          <t>cleared</t>
        </is>
      </c>
      <c r="J271" s="6" t="inlineStr">
        <is>
          <t>bank feed / RCPT-AR-0031009</t>
        </is>
      </c>
    </row>
    <row r="272">
      <c r="A272" s="6" t="inlineStr">
        <is>
          <t>1000-0267</t>
        </is>
      </c>
      <c r="B272" s="6" t="inlineStr">
        <is>
          <t>2026-06-30</t>
        </is>
      </c>
      <c r="C272" s="6" t="inlineStr">
        <is>
          <t>ACH/CHECK DEPOSIT</t>
        </is>
      </c>
      <c r="D272" s="6" t="inlineStr">
        <is>
          <t>1000</t>
        </is>
      </c>
      <c r="E272" s="6" t="inlineStr">
        <is>
          <t>Beacon Industrial - South Asset Management; Customer receipt applied to AR-0031014</t>
        </is>
      </c>
      <c r="F272" s="7" t="n">
        <v>4603.13</v>
      </c>
      <c r="G272" s="7" t="n">
        <v>0</v>
      </c>
      <c r="H272" s="7">
        <f>F272+G272</f>
        <v/>
      </c>
      <c r="I272" s="6" t="inlineStr">
        <is>
          <t>cleared</t>
        </is>
      </c>
      <c r="J272" s="6" t="inlineStr">
        <is>
          <t>bank feed / RCPT-AR-0031014</t>
        </is>
      </c>
    </row>
    <row r="273">
      <c r="A273" s="6" t="inlineStr">
        <is>
          <t>1000-0268</t>
        </is>
      </c>
      <c r="B273" s="6" t="inlineStr">
        <is>
          <t>2026-06-30</t>
        </is>
      </c>
      <c r="C273" s="6" t="inlineStr">
        <is>
          <t>ACH/CHECK DEPOSIT</t>
        </is>
      </c>
      <c r="D273" s="6" t="inlineStr">
        <is>
          <t>1000</t>
        </is>
      </c>
      <c r="E273" s="6" t="inlineStr">
        <is>
          <t>Lake Oswego Office Partners - East Development Company; Customer receipt applied to AR-0031018</t>
        </is>
      </c>
      <c r="F273" s="7" t="n">
        <v>3722.37</v>
      </c>
      <c r="G273" s="7" t="n">
        <v>0</v>
      </c>
      <c r="H273" s="7">
        <f>F273+G273</f>
        <v/>
      </c>
      <c r="I273" s="6" t="inlineStr">
        <is>
          <t>cleared</t>
        </is>
      </c>
      <c r="J273" s="6" t="inlineStr">
        <is>
          <t>bank feed / RCPT-AR-0031018</t>
        </is>
      </c>
    </row>
    <row r="274">
      <c r="A274" s="6" t="inlineStr">
        <is>
          <t>1000-0269</t>
        </is>
      </c>
      <c r="B274" s="6" t="inlineStr">
        <is>
          <t>2026-06-30</t>
        </is>
      </c>
      <c r="C274" s="6" t="inlineStr">
        <is>
          <t>ACH/CHECK DEPOSIT</t>
        </is>
      </c>
      <c r="D274" s="6" t="inlineStr">
        <is>
          <t>1000</t>
        </is>
      </c>
      <c r="E274" s="6" t="inlineStr">
        <is>
          <t>Central Cascades Foods - Central LLC; Customer receipt applied to AR-0031021</t>
        </is>
      </c>
      <c r="F274" s="7" t="n">
        <v>1636.9</v>
      </c>
      <c r="G274" s="7" t="n">
        <v>0</v>
      </c>
      <c r="H274" s="7">
        <f>F274+G274</f>
        <v/>
      </c>
      <c r="I274" s="6" t="inlineStr">
        <is>
          <t>cleared</t>
        </is>
      </c>
      <c r="J274" s="6" t="inlineStr">
        <is>
          <t>bank feed / RCPT-AR-0031021</t>
        </is>
      </c>
    </row>
    <row r="275">
      <c r="A275" s="6" t="inlineStr">
        <is>
          <t>1000-0270</t>
        </is>
      </c>
      <c r="B275" s="6" t="inlineStr">
        <is>
          <t>2026-06-30</t>
        </is>
      </c>
      <c r="C275" s="6" t="inlineStr">
        <is>
          <t>ACH/CHECK DEPOSIT</t>
        </is>
      </c>
      <c r="D275" s="6" t="inlineStr">
        <is>
          <t>1000</t>
        </is>
      </c>
      <c r="E275" s="6" t="inlineStr">
        <is>
          <t>Forest Park Hospitality - West LLC; Customer receipt applied to AR-0031023</t>
        </is>
      </c>
      <c r="F275" s="7" t="n">
        <v>1907.65</v>
      </c>
      <c r="G275" s="7" t="n">
        <v>0</v>
      </c>
      <c r="H275" s="7">
        <f>F275+G275</f>
        <v/>
      </c>
      <c r="I275" s="6" t="inlineStr">
        <is>
          <t>cleared</t>
        </is>
      </c>
      <c r="J275" s="6" t="inlineStr">
        <is>
          <t>bank feed / RCPT-AR-0031023</t>
        </is>
      </c>
    </row>
    <row r="276">
      <c r="A276" s="6" t="inlineStr">
        <is>
          <t>1000-0271</t>
        </is>
      </c>
      <c r="B276" s="6" t="inlineStr">
        <is>
          <t>2026-06-30</t>
        </is>
      </c>
      <c r="C276" s="6" t="inlineStr">
        <is>
          <t>ACH/CHECK DEPOSIT</t>
        </is>
      </c>
      <c r="D276" s="6" t="inlineStr">
        <is>
          <t>1000</t>
        </is>
      </c>
      <c r="E276" s="6" t="inlineStr">
        <is>
          <t>Union Station Properties - Central Facilities; Customer receipt applied to AR-0031026</t>
        </is>
      </c>
      <c r="F276" s="7" t="n">
        <v>2668.83</v>
      </c>
      <c r="G276" s="7" t="n">
        <v>0</v>
      </c>
      <c r="H276" s="7">
        <f>F276+G276</f>
        <v/>
      </c>
      <c r="I276" s="6" t="inlineStr">
        <is>
          <t>cleared</t>
        </is>
      </c>
      <c r="J276" s="6" t="inlineStr">
        <is>
          <t>bank feed / RCPT-AR-0031026</t>
        </is>
      </c>
    </row>
    <row r="277">
      <c r="A277" s="6" t="inlineStr">
        <is>
          <t>1000-0272</t>
        </is>
      </c>
      <c r="B277" s="6" t="inlineStr">
        <is>
          <t>2026-06-30</t>
        </is>
      </c>
      <c r="C277" s="6" t="inlineStr">
        <is>
          <t>ACH/CHECK DEPOSIT</t>
        </is>
      </c>
      <c r="D277" s="6" t="inlineStr">
        <is>
          <t>1000</t>
        </is>
      </c>
      <c r="E277" s="6" t="inlineStr">
        <is>
          <t>Mt. Hood Community Health - Operations Asset Management; Customer receipt applied to AR-0031036</t>
        </is>
      </c>
      <c r="F277" s="7" t="n">
        <v>952.28</v>
      </c>
      <c r="G277" s="7" t="n">
        <v>0</v>
      </c>
      <c r="H277" s="7">
        <f>F277+G277</f>
        <v/>
      </c>
      <c r="I277" s="6" t="inlineStr">
        <is>
          <t>cleared</t>
        </is>
      </c>
      <c r="J277" s="6" t="inlineStr">
        <is>
          <t>bank feed / RCPT-AR-0031036</t>
        </is>
      </c>
    </row>
    <row r="278">
      <c r="A278" s="6" t="inlineStr">
        <is>
          <t>1000-0273</t>
        </is>
      </c>
      <c r="B278" s="6" t="inlineStr">
        <is>
          <t>2026-06-30</t>
        </is>
      </c>
      <c r="C278" s="6" t="inlineStr">
        <is>
          <t>ACH/CHECK DEPOSIT</t>
        </is>
      </c>
      <c r="D278" s="6" t="inlineStr">
        <is>
          <t>1000</t>
        </is>
      </c>
      <c r="E278" s="6" t="inlineStr">
        <is>
          <t>Westside Ambulatory - Portfolio Campus Services; Customer receipt applied to AR-0031042</t>
        </is>
      </c>
      <c r="F278" s="7" t="n">
        <v>1924.89</v>
      </c>
      <c r="G278" s="7" t="n">
        <v>0</v>
      </c>
      <c r="H278" s="7">
        <f>F278+G278</f>
        <v/>
      </c>
      <c r="I278" s="6" t="inlineStr">
        <is>
          <t>cleared</t>
        </is>
      </c>
      <c r="J278" s="6" t="inlineStr">
        <is>
          <t>bank feed / RCPT-AR-0031042</t>
        </is>
      </c>
    </row>
    <row r="279">
      <c r="A279" s="6" t="inlineStr">
        <is>
          <t>1000-0274</t>
        </is>
      </c>
      <c r="B279" s="6" t="inlineStr">
        <is>
          <t>2026-06-30</t>
        </is>
      </c>
      <c r="C279" s="6" t="inlineStr">
        <is>
          <t>ACH/CHECK DEPOSIT</t>
        </is>
      </c>
      <c r="D279" s="6" t="inlineStr">
        <is>
          <t>1000</t>
        </is>
      </c>
      <c r="E279" s="6" t="inlineStr">
        <is>
          <t>Copperline Apartments - Campus LLC; Customer receipt applied to AR-0031046</t>
        </is>
      </c>
      <c r="F279" s="7" t="n">
        <v>1880.54</v>
      </c>
      <c r="G279" s="7" t="n">
        <v>0</v>
      </c>
      <c r="H279" s="7">
        <f>F279+G279</f>
        <v/>
      </c>
      <c r="I279" s="6" t="inlineStr">
        <is>
          <t>cleared</t>
        </is>
      </c>
      <c r="J279" s="6" t="inlineStr">
        <is>
          <t>bank feed / RCPT-AR-0031046</t>
        </is>
      </c>
    </row>
    <row r="280">
      <c r="A280" s="6" t="inlineStr">
        <is>
          <t>1000-0275</t>
        </is>
      </c>
      <c r="B280" s="6" t="inlineStr">
        <is>
          <t>2026-06-30</t>
        </is>
      </c>
      <c r="C280" s="6" t="inlineStr">
        <is>
          <t>ACH/CHECK DEPOSIT</t>
        </is>
      </c>
      <c r="D280" s="6" t="inlineStr">
        <is>
          <t>1000</t>
        </is>
      </c>
      <c r="E280" s="6" t="inlineStr">
        <is>
          <t>Beacon Industrial - South Development Company; Customer receipt applied to AR-0031058</t>
        </is>
      </c>
      <c r="F280" s="7" t="n">
        <v>852</v>
      </c>
      <c r="G280" s="7" t="n">
        <v>0</v>
      </c>
      <c r="H280" s="7">
        <f>F280+G280</f>
        <v/>
      </c>
      <c r="I280" s="6" t="inlineStr">
        <is>
          <t>cleared</t>
        </is>
      </c>
      <c r="J280" s="6" t="inlineStr">
        <is>
          <t>bank feed / RCPT-AR-0031058</t>
        </is>
      </c>
    </row>
    <row r="281">
      <c r="A281" s="6" t="inlineStr">
        <is>
          <t>1000-0276</t>
        </is>
      </c>
      <c r="B281" s="6" t="inlineStr">
        <is>
          <t>2026-06-30</t>
        </is>
      </c>
      <c r="C281" s="6" t="inlineStr">
        <is>
          <t>ACH/CHECK DEPOSIT</t>
        </is>
      </c>
      <c r="D281" s="6" t="inlineStr">
        <is>
          <t>1000</t>
        </is>
      </c>
      <c r="E281" s="6" t="inlineStr">
        <is>
          <t>Lake Oswego Office Partners - East Asset Management; Customer receipt applied to AR-0031064</t>
        </is>
      </c>
      <c r="F281" s="7" t="n">
        <v>1340.18</v>
      </c>
      <c r="G281" s="7" t="n">
        <v>0</v>
      </c>
      <c r="H281" s="7">
        <f>F281+G281</f>
        <v/>
      </c>
      <c r="I281" s="6" t="inlineStr">
        <is>
          <t>cleared</t>
        </is>
      </c>
      <c r="J281" s="6" t="inlineStr">
        <is>
          <t>bank feed / RCPT-AR-0031064</t>
        </is>
      </c>
    </row>
    <row r="282">
      <c r="A282" s="6" t="inlineStr">
        <is>
          <t>1000-0277</t>
        </is>
      </c>
      <c r="B282" s="6" t="inlineStr">
        <is>
          <t>2026-06-30</t>
        </is>
      </c>
      <c r="C282" s="6" t="inlineStr">
        <is>
          <t>ACH/CHECK DEPOSIT</t>
        </is>
      </c>
      <c r="D282" s="6" t="inlineStr">
        <is>
          <t>1000</t>
        </is>
      </c>
      <c r="E282" s="6" t="inlineStr">
        <is>
          <t>Pioneer Medical Properties - West LLC; Customer receipt applied to AR-0031068</t>
        </is>
      </c>
      <c r="F282" s="7" t="n">
        <v>775.4299999999999</v>
      </c>
      <c r="G282" s="7" t="n">
        <v>0</v>
      </c>
      <c r="H282" s="7">
        <f>F282+G282</f>
        <v/>
      </c>
      <c r="I282" s="6" t="inlineStr">
        <is>
          <t>cleared</t>
        </is>
      </c>
      <c r="J282" s="6" t="inlineStr">
        <is>
          <t>bank feed / RCPT-AR-0031068</t>
        </is>
      </c>
    </row>
    <row r="283">
      <c r="A283" s="6" t="inlineStr">
        <is>
          <t>1000-0278</t>
        </is>
      </c>
      <c r="B283" s="6" t="inlineStr">
        <is>
          <t>2026-06-30</t>
        </is>
      </c>
      <c r="C283" s="6" t="inlineStr">
        <is>
          <t>ACH/CHECK DEPOSIT</t>
        </is>
      </c>
      <c r="D283" s="6" t="inlineStr">
        <is>
          <t>1000</t>
        </is>
      </c>
      <c r="E283" s="6" t="inlineStr">
        <is>
          <t>Portland Arts and Events - Central Asset Management; Customer receipt applied to AR-0031075</t>
        </is>
      </c>
      <c r="F283" s="7" t="n">
        <v>413.44</v>
      </c>
      <c r="G283" s="7" t="n">
        <v>0</v>
      </c>
      <c r="H283" s="7">
        <f>F283+G283</f>
        <v/>
      </c>
      <c r="I283" s="6" t="inlineStr">
        <is>
          <t>cleared</t>
        </is>
      </c>
      <c r="J283" s="6" t="inlineStr">
        <is>
          <t>bank feed / RCPT-AR-0031075</t>
        </is>
      </c>
    </row>
    <row r="284">
      <c r="A284" s="6" t="inlineStr">
        <is>
          <t>1000-0279</t>
        </is>
      </c>
      <c r="B284" s="6" t="inlineStr">
        <is>
          <t>2026-06-30</t>
        </is>
      </c>
      <c r="C284" s="6" t="inlineStr">
        <is>
          <t>ACH/CHECK DEPOSIT</t>
        </is>
      </c>
      <c r="D284" s="6" t="inlineStr">
        <is>
          <t>1000</t>
        </is>
      </c>
      <c r="E284" s="6" t="inlineStr">
        <is>
          <t>Deschutes Medical Group - North Campus Services; Customer receipt applied to AR-0031099</t>
        </is>
      </c>
      <c r="F284" s="7" t="n">
        <v>1394.47</v>
      </c>
      <c r="G284" s="7" t="n">
        <v>0</v>
      </c>
      <c r="H284" s="7">
        <f>F284+G284</f>
        <v/>
      </c>
      <c r="I284" s="6" t="inlineStr">
        <is>
          <t>cleared</t>
        </is>
      </c>
      <c r="J284" s="6" t="inlineStr">
        <is>
          <t>bank feed / RCPT-AR-0031099</t>
        </is>
      </c>
    </row>
    <row r="285">
      <c r="A285" s="6" t="inlineStr">
        <is>
          <t>1000-0280</t>
        </is>
      </c>
      <c r="B285" s="6" t="inlineStr">
        <is>
          <t>2026-06-30</t>
        </is>
      </c>
      <c r="C285" s="6" t="inlineStr">
        <is>
          <t>ACH/CHECK DEPOSIT</t>
        </is>
      </c>
      <c r="D285" s="6" t="inlineStr">
        <is>
          <t>1000</t>
        </is>
      </c>
      <c r="E285" s="6" t="inlineStr">
        <is>
          <t>Sunrise Hospitality - East Development Company; Customer receipt applied to AR-0031100</t>
        </is>
      </c>
      <c r="F285" s="7" t="n">
        <v>2737.89</v>
      </c>
      <c r="G285" s="7" t="n">
        <v>0</v>
      </c>
      <c r="H285" s="7">
        <f>F285+G285</f>
        <v/>
      </c>
      <c r="I285" s="6" t="inlineStr">
        <is>
          <t>cleared</t>
        </is>
      </c>
      <c r="J285" s="6" t="inlineStr">
        <is>
          <t>bank feed / RCPT-AR-0031100</t>
        </is>
      </c>
    </row>
    <row r="286">
      <c r="A286" s="6" t="inlineStr">
        <is>
          <t>1000-0281</t>
        </is>
      </c>
      <c r="B286" s="6" t="inlineStr">
        <is>
          <t>2026-06-30</t>
        </is>
      </c>
      <c r="C286" s="6" t="inlineStr">
        <is>
          <t>ACH/CHECK DEPOSIT</t>
        </is>
      </c>
      <c r="D286" s="6" t="inlineStr">
        <is>
          <t>1000</t>
        </is>
      </c>
      <c r="E286" s="6" t="inlineStr">
        <is>
          <t>Beacon Industrial - South LLC; Customer receipt applied to AR-0031102</t>
        </is>
      </c>
      <c r="F286" s="7" t="n">
        <v>1350.05</v>
      </c>
      <c r="G286" s="7" t="n">
        <v>0</v>
      </c>
      <c r="H286" s="7">
        <f>F286+G286</f>
        <v/>
      </c>
      <c r="I286" s="6" t="inlineStr">
        <is>
          <t>cleared</t>
        </is>
      </c>
      <c r="J286" s="6" t="inlineStr">
        <is>
          <t>bank feed / RCPT-AR-0031102</t>
        </is>
      </c>
    </row>
    <row r="287">
      <c r="A287" s="6" t="inlineStr">
        <is>
          <t>1000-0282</t>
        </is>
      </c>
      <c r="B287" s="6" t="inlineStr">
        <is>
          <t>2026-06-30</t>
        </is>
      </c>
      <c r="C287" s="6" t="inlineStr">
        <is>
          <t>ACH/CHECK DEPOSIT</t>
        </is>
      </c>
      <c r="D287" s="6" t="inlineStr">
        <is>
          <t>1000</t>
        </is>
      </c>
      <c r="E287" s="6" t="inlineStr">
        <is>
          <t>Lake Oswego Office Partners - East Development Company; Customer receipt applied to AR-0031108</t>
        </is>
      </c>
      <c r="F287" s="7" t="n">
        <v>843.36</v>
      </c>
      <c r="G287" s="7" t="n">
        <v>0</v>
      </c>
      <c r="H287" s="7">
        <f>F287+G287</f>
        <v/>
      </c>
      <c r="I287" s="6" t="inlineStr">
        <is>
          <t>cleared</t>
        </is>
      </c>
      <c r="J287" s="6" t="inlineStr">
        <is>
          <t>bank feed / RCPT-AR-0031108</t>
        </is>
      </c>
    </row>
    <row r="288">
      <c r="A288" s="6" t="inlineStr">
        <is>
          <t>1000-0283</t>
        </is>
      </c>
      <c r="B288" s="6" t="inlineStr">
        <is>
          <t>2026-06-30</t>
        </is>
      </c>
      <c r="C288" s="6" t="inlineStr">
        <is>
          <t>ACH/CHECK DEPOSIT</t>
        </is>
      </c>
      <c r="D288" s="6" t="inlineStr">
        <is>
          <t>1000</t>
        </is>
      </c>
      <c r="E288" s="6" t="inlineStr">
        <is>
          <t>Pioneer Medical Properties - West Holdings, LLC; Customer receipt applied to AR-0031112</t>
        </is>
      </c>
      <c r="F288" s="7" t="n">
        <v>784.47</v>
      </c>
      <c r="G288" s="7" t="n">
        <v>0</v>
      </c>
      <c r="H288" s="7">
        <f>F288+G288</f>
        <v/>
      </c>
      <c r="I288" s="6" t="inlineStr">
        <is>
          <t>cleared</t>
        </is>
      </c>
      <c r="J288" s="6" t="inlineStr">
        <is>
          <t>bank feed / RCPT-AR-0031112</t>
        </is>
      </c>
    </row>
    <row r="289">
      <c r="A289" s="6" t="inlineStr">
        <is>
          <t>1000-0284</t>
        </is>
      </c>
      <c r="B289" s="6" t="inlineStr">
        <is>
          <t>2026-06-30</t>
        </is>
      </c>
      <c r="C289" s="6" t="inlineStr">
        <is>
          <t>ACH/CHECK DEPOSIT</t>
        </is>
      </c>
      <c r="D289" s="6" t="inlineStr">
        <is>
          <t>1000</t>
        </is>
      </c>
      <c r="E289" s="6" t="inlineStr">
        <is>
          <t>Portland Arts and Events - Central Campus Services; Customer receipt applied to AR-0031121</t>
        </is>
      </c>
      <c r="F289" s="7" t="n">
        <v>2684.41</v>
      </c>
      <c r="G289" s="7" t="n">
        <v>0</v>
      </c>
      <c r="H289" s="7">
        <f>F289+G289</f>
        <v/>
      </c>
      <c r="I289" s="6" t="inlineStr">
        <is>
          <t>cleared</t>
        </is>
      </c>
      <c r="J289" s="6" t="inlineStr">
        <is>
          <t>bank feed / RCPT-AR-0031121</t>
        </is>
      </c>
    </row>
    <row r="290">
      <c r="A290" s="6" t="inlineStr">
        <is>
          <t>1000-0285</t>
        </is>
      </c>
      <c r="B290" s="6" t="inlineStr">
        <is>
          <t>2026-06-30</t>
        </is>
      </c>
      <c r="C290" s="6" t="inlineStr">
        <is>
          <t>ACH/CHECK DEPOSIT</t>
        </is>
      </c>
      <c r="D290" s="6" t="inlineStr">
        <is>
          <t>1000</t>
        </is>
      </c>
      <c r="E290" s="6" t="inlineStr">
        <is>
          <t>Columbia River Logistics - Portfolio Partners, LP; Customer receipt applied to AR-0031127</t>
        </is>
      </c>
      <c r="F290" s="7" t="n">
        <v>1372.73</v>
      </c>
      <c r="G290" s="7" t="n">
        <v>0</v>
      </c>
      <c r="H290" s="7">
        <f>F290+G290</f>
        <v/>
      </c>
      <c r="I290" s="6" t="inlineStr">
        <is>
          <t>cleared</t>
        </is>
      </c>
      <c r="J290" s="6" t="inlineStr">
        <is>
          <t>bank feed / RCPT-AR-0031127</t>
        </is>
      </c>
    </row>
    <row r="291">
      <c r="A291" s="6" t="inlineStr">
        <is>
          <t>1000-0286</t>
        </is>
      </c>
      <c r="B291" s="6" t="inlineStr">
        <is>
          <t>2026-06-30</t>
        </is>
      </c>
      <c r="C291" s="6" t="inlineStr">
        <is>
          <t>ACH/CHECK DEPOSIT</t>
        </is>
      </c>
      <c r="D291" s="6" t="inlineStr">
        <is>
          <t>1000</t>
        </is>
      </c>
      <c r="E291" s="6" t="inlineStr">
        <is>
          <t>Valley View Food Systems Development Company; Customer receipt applied to AR-0031141</t>
        </is>
      </c>
      <c r="F291" s="7" t="n">
        <v>2815.76</v>
      </c>
      <c r="G291" s="7" t="n">
        <v>0</v>
      </c>
      <c r="H291" s="7">
        <f>F291+G291</f>
        <v/>
      </c>
      <c r="I291" s="6" t="inlineStr">
        <is>
          <t>cleared</t>
        </is>
      </c>
      <c r="J291" s="6" t="inlineStr">
        <is>
          <t>bank feed / RCPT-AR-0031141</t>
        </is>
      </c>
    </row>
    <row r="292">
      <c r="A292" s="6" t="inlineStr">
        <is>
          <t>1000-0287</t>
        </is>
      </c>
      <c r="B292" s="6" t="inlineStr">
        <is>
          <t>2026-06-30</t>
        </is>
      </c>
      <c r="C292" s="6" t="inlineStr">
        <is>
          <t>ACH/CHECK DEPOSIT</t>
        </is>
      </c>
      <c r="D292" s="6" t="inlineStr">
        <is>
          <t>1000</t>
        </is>
      </c>
      <c r="E292" s="6" t="inlineStr">
        <is>
          <t>Pacific Crest Biotech - East Partners, LP; Customer receipt applied to AR-0031149</t>
        </is>
      </c>
      <c r="F292" s="7" t="n">
        <v>391.63</v>
      </c>
      <c r="G292" s="7" t="n">
        <v>0</v>
      </c>
      <c r="H292" s="7">
        <f>F292+G292</f>
        <v/>
      </c>
      <c r="I292" s="6" t="inlineStr">
        <is>
          <t>cleared</t>
        </is>
      </c>
      <c r="J292" s="6" t="inlineStr">
        <is>
          <t>bank feed / RCPT-AR-0031149</t>
        </is>
      </c>
    </row>
    <row r="293">
      <c r="A293" s="6" t="inlineStr">
        <is>
          <t>1000-0288</t>
        </is>
      </c>
      <c r="B293" s="6" t="inlineStr">
        <is>
          <t>2026-06-30</t>
        </is>
      </c>
      <c r="C293" s="6" t="inlineStr">
        <is>
          <t>ACH/CHECK DEPOSIT</t>
        </is>
      </c>
      <c r="D293" s="6" t="inlineStr">
        <is>
          <t>1000</t>
        </is>
      </c>
      <c r="E293" s="6" t="inlineStr">
        <is>
          <t>Pioneer Medical Properties - West LLC; Customer receipt applied to AR-0031158</t>
        </is>
      </c>
      <c r="F293" s="7" t="n">
        <v>3304.17</v>
      </c>
      <c r="G293" s="7" t="n">
        <v>0</v>
      </c>
      <c r="H293" s="7">
        <f>F293+G293</f>
        <v/>
      </c>
      <c r="I293" s="6" t="inlineStr">
        <is>
          <t>cleared</t>
        </is>
      </c>
      <c r="J293" s="6" t="inlineStr">
        <is>
          <t>bank feed / RCPT-AR-0031158</t>
        </is>
      </c>
    </row>
    <row r="294">
      <c r="A294" s="6" t="inlineStr">
        <is>
          <t>1000-0289</t>
        </is>
      </c>
      <c r="B294" s="6" t="inlineStr">
        <is>
          <t>2026-06-30</t>
        </is>
      </c>
      <c r="C294" s="6" t="inlineStr">
        <is>
          <t>ACH/CHECK DEPOSIT</t>
        </is>
      </c>
      <c r="D294" s="6" t="inlineStr">
        <is>
          <t>1000</t>
        </is>
      </c>
      <c r="E294" s="6" t="inlineStr">
        <is>
          <t>Columbia River Logistics - Portfolio Operating Company; Customer receipt applied to AR-0031171</t>
        </is>
      </c>
      <c r="F294" s="7" t="n">
        <v>1159.06</v>
      </c>
      <c r="G294" s="7" t="n">
        <v>0</v>
      </c>
      <c r="H294" s="7">
        <f>F294+G294</f>
        <v/>
      </c>
      <c r="I294" s="6" t="inlineStr">
        <is>
          <t>cleared</t>
        </is>
      </c>
      <c r="J294" s="6" t="inlineStr">
        <is>
          <t>bank feed / RCPT-AR-0031171</t>
        </is>
      </c>
    </row>
    <row r="295">
      <c r="A295" s="6" t="inlineStr">
        <is>
          <t>1000-0290</t>
        </is>
      </c>
      <c r="B295" s="6" t="inlineStr">
        <is>
          <t>2026-06-30</t>
        </is>
      </c>
      <c r="C295" s="6" t="inlineStr">
        <is>
          <t>ACH/CHECK DEPOSIT</t>
        </is>
      </c>
      <c r="D295" s="6" t="inlineStr">
        <is>
          <t>1000</t>
        </is>
      </c>
      <c r="E295" s="6" t="inlineStr">
        <is>
          <t>Salem Surgical Partners - Campus Development Company; Customer receipt applied to AR-0031181</t>
        </is>
      </c>
      <c r="F295" s="7" t="n">
        <v>808.03</v>
      </c>
      <c r="G295" s="7" t="n">
        <v>0</v>
      </c>
      <c r="H295" s="7">
        <f>F295+G295</f>
        <v/>
      </c>
      <c r="I295" s="6" t="inlineStr">
        <is>
          <t>cleared</t>
        </is>
      </c>
      <c r="J295" s="6" t="inlineStr">
        <is>
          <t>bank feed / RCPT-AR-0031181</t>
        </is>
      </c>
    </row>
    <row r="296">
      <c r="A296" s="6" t="inlineStr">
        <is>
          <t>1000-0291</t>
        </is>
      </c>
      <c r="B296" s="6" t="inlineStr">
        <is>
          <t>2026-06-30</t>
        </is>
      </c>
      <c r="C296" s="6" t="inlineStr">
        <is>
          <t>ACH/CHECK DEPOSIT</t>
        </is>
      </c>
      <c r="D296" s="6" t="inlineStr">
        <is>
          <t>1000</t>
        </is>
      </c>
      <c r="E296" s="6" t="inlineStr">
        <is>
          <t>Deschutes Medical Group - North Development Company; Customer receipt applied to AR-0031187</t>
        </is>
      </c>
      <c r="F296" s="7" t="n">
        <v>1950.17</v>
      </c>
      <c r="G296" s="7" t="n">
        <v>0</v>
      </c>
      <c r="H296" s="7">
        <f>F296+G296</f>
        <v/>
      </c>
      <c r="I296" s="6" t="inlineStr">
        <is>
          <t>cleared</t>
        </is>
      </c>
      <c r="J296" s="6" t="inlineStr">
        <is>
          <t>bank feed / RCPT-AR-0031187</t>
        </is>
      </c>
    </row>
    <row r="297">
      <c r="A297" s="6" t="inlineStr">
        <is>
          <t>1000-0292</t>
        </is>
      </c>
      <c r="B297" s="6" t="inlineStr">
        <is>
          <t>2026-06-30</t>
        </is>
      </c>
      <c r="C297" s="6" t="inlineStr">
        <is>
          <t>ACH/CHECK DEPOSIT</t>
        </is>
      </c>
      <c r="D297" s="6" t="inlineStr">
        <is>
          <t>1000</t>
        </is>
      </c>
      <c r="E297" s="6" t="inlineStr">
        <is>
          <t>Northline Cold Storage Holdings; Customer receipt applied to AR-0031193</t>
        </is>
      </c>
      <c r="F297" s="7" t="n">
        <v>2014.73</v>
      </c>
      <c r="G297" s="7" t="n">
        <v>0</v>
      </c>
      <c r="H297" s="7">
        <f>F297+G297</f>
        <v/>
      </c>
      <c r="I297" s="6" t="inlineStr">
        <is>
          <t>cleared</t>
        </is>
      </c>
      <c r="J297" s="6" t="inlineStr">
        <is>
          <t>bank feed / RCPT-AR-0031193</t>
        </is>
      </c>
    </row>
    <row r="298">
      <c r="A298" s="6" t="inlineStr">
        <is>
          <t>1000-0293</t>
        </is>
      </c>
      <c r="B298" s="6" t="inlineStr">
        <is>
          <t>2026-06-30</t>
        </is>
      </c>
      <c r="C298" s="6" t="inlineStr">
        <is>
          <t>ACH/CHECK DEPOSIT</t>
        </is>
      </c>
      <c r="D298" s="6" t="inlineStr">
        <is>
          <t>1000</t>
        </is>
      </c>
      <c r="E298" s="6" t="inlineStr">
        <is>
          <t>Lake Oswego Office Partners - East Development Company; Customer receipt applied to AR-0031198</t>
        </is>
      </c>
      <c r="F298" s="7" t="n">
        <v>682.72</v>
      </c>
      <c r="G298" s="7" t="n">
        <v>0</v>
      </c>
      <c r="H298" s="7">
        <f>F298+G298</f>
        <v/>
      </c>
      <c r="I298" s="6" t="inlineStr">
        <is>
          <t>cleared</t>
        </is>
      </c>
      <c r="J298" s="6" t="inlineStr">
        <is>
          <t>bank feed / RCPT-AR-0031198</t>
        </is>
      </c>
    </row>
    <row r="299">
      <c r="A299" s="6" t="inlineStr">
        <is>
          <t>1000-0294</t>
        </is>
      </c>
      <c r="B299" s="6" t="inlineStr">
        <is>
          <t>2026-06-30</t>
        </is>
      </c>
      <c r="C299" s="6" t="inlineStr">
        <is>
          <t>ACH DEBIT</t>
        </is>
      </c>
      <c r="D299" s="6" t="inlineStr">
        <is>
          <t>1000</t>
        </is>
      </c>
      <c r="E299" s="6" t="inlineStr">
        <is>
          <t>Rose City Business Systems - Salem Services, LLC; Vendor payment applied to AP-0009902</t>
        </is>
      </c>
      <c r="F299" s="7" t="n">
        <v>-2262.56</v>
      </c>
      <c r="G299" s="7" t="n">
        <v>0</v>
      </c>
      <c r="H299" s="7">
        <f>F299+G299</f>
        <v/>
      </c>
      <c r="I299" s="6" t="inlineStr">
        <is>
          <t>cleared</t>
        </is>
      </c>
      <c r="J299" s="6" t="inlineStr">
        <is>
          <t>bank feed / ACH-AP-0009902</t>
        </is>
      </c>
    </row>
    <row r="300">
      <c r="A300" s="6" t="inlineStr">
        <is>
          <t>1000-0295</t>
        </is>
      </c>
      <c r="B300" s="6" t="inlineStr">
        <is>
          <t>2026-06-30</t>
        </is>
      </c>
      <c r="C300" s="6" t="inlineStr">
        <is>
          <t>ACH/CHECK DEPOSIT</t>
        </is>
      </c>
      <c r="D300" s="6" t="inlineStr">
        <is>
          <t>1000</t>
        </is>
      </c>
      <c r="E300" s="6" t="inlineStr">
        <is>
          <t>High Desert Manufacturing - Portfolio Holdings, LLC; Customer receipt applied to AR-0031203</t>
        </is>
      </c>
      <c r="F300" s="7" t="n">
        <v>191.79</v>
      </c>
      <c r="G300" s="7" t="n">
        <v>0</v>
      </c>
      <c r="H300" s="7">
        <f>F300+G300</f>
        <v/>
      </c>
      <c r="I300" s="6" t="inlineStr">
        <is>
          <t>cleared</t>
        </is>
      </c>
      <c r="J300" s="6" t="inlineStr">
        <is>
          <t>bank feed / RCPT-AR-0031203</t>
        </is>
      </c>
    </row>
    <row r="301">
      <c r="A301" s="6" t="inlineStr">
        <is>
          <t>1000-0296</t>
        </is>
      </c>
      <c r="B301" s="6" t="inlineStr">
        <is>
          <t>2026-06-30</t>
        </is>
      </c>
      <c r="C301" s="6" t="inlineStr">
        <is>
          <t>ACH/CHECK DEPOSIT</t>
        </is>
      </c>
      <c r="D301" s="6" t="inlineStr">
        <is>
          <t>1000</t>
        </is>
      </c>
      <c r="E301" s="6" t="inlineStr">
        <is>
          <t>Rogue Valley Beverage - Portfolio Holdings, LLC; Customer receipt applied to AR-0031211</t>
        </is>
      </c>
      <c r="F301" s="7" t="n">
        <v>2208.57</v>
      </c>
      <c r="G301" s="7" t="n">
        <v>0</v>
      </c>
      <c r="H301" s="7">
        <f>F301+G301</f>
        <v/>
      </c>
      <c r="I301" s="6" t="inlineStr">
        <is>
          <t>cleared</t>
        </is>
      </c>
      <c r="J301" s="6" t="inlineStr">
        <is>
          <t>bank feed / RCPT-AR-0031211</t>
        </is>
      </c>
    </row>
    <row r="302">
      <c r="A302" s="6" t="inlineStr">
        <is>
          <t>1000-0297</t>
        </is>
      </c>
      <c r="B302" s="6" t="inlineStr">
        <is>
          <t>2026-06-30</t>
        </is>
      </c>
      <c r="C302" s="6" t="inlineStr">
        <is>
          <t>ACH/CHECK DEPOSIT</t>
        </is>
      </c>
      <c r="D302" s="6" t="inlineStr">
        <is>
          <t>1000</t>
        </is>
      </c>
      <c r="E302" s="6" t="inlineStr">
        <is>
          <t>Westside Ambulatory - Portfolio Asset Management; Customer receipt applied to AR-0031213</t>
        </is>
      </c>
      <c r="F302" s="7" t="n">
        <v>111.39</v>
      </c>
      <c r="G302" s="7" t="n">
        <v>0</v>
      </c>
      <c r="H302" s="7">
        <f>F302+G302</f>
        <v/>
      </c>
      <c r="I302" s="6" t="inlineStr">
        <is>
          <t>cleared</t>
        </is>
      </c>
      <c r="J302" s="6" t="inlineStr">
        <is>
          <t>bank feed / RCPT-AR-0031213</t>
        </is>
      </c>
    </row>
    <row r="303">
      <c r="A303" s="6" t="inlineStr">
        <is>
          <t>1000-0298</t>
        </is>
      </c>
      <c r="B303" s="6" t="inlineStr">
        <is>
          <t>2026-06-30</t>
        </is>
      </c>
      <c r="C303" s="6" t="inlineStr">
        <is>
          <t>ACH/CHECK DEPOSIT</t>
        </is>
      </c>
      <c r="D303" s="6" t="inlineStr">
        <is>
          <t>1000</t>
        </is>
      </c>
      <c r="E303" s="6" t="inlineStr">
        <is>
          <t>Tualatin Commerce Center Operating Company; Customer receipt applied to AR-0031215</t>
        </is>
      </c>
      <c r="F303" s="7" t="n">
        <v>1147.8</v>
      </c>
      <c r="G303" s="7" t="n">
        <v>0</v>
      </c>
      <c r="H303" s="7">
        <f>F303+G303</f>
        <v/>
      </c>
      <c r="I303" s="6" t="inlineStr">
        <is>
          <t>cleared</t>
        </is>
      </c>
      <c r="J303" s="6" t="inlineStr">
        <is>
          <t>bank feed / RCPT-AR-0031215</t>
        </is>
      </c>
    </row>
    <row r="304">
      <c r="A304" s="6" t="inlineStr">
        <is>
          <t>1000-0299</t>
        </is>
      </c>
      <c r="B304" s="6" t="inlineStr">
        <is>
          <t>2026-06-30</t>
        </is>
      </c>
      <c r="C304" s="6" t="inlineStr">
        <is>
          <t>ACH/CHECK DEPOSIT</t>
        </is>
      </c>
      <c r="D304" s="6" t="inlineStr">
        <is>
          <t>1000</t>
        </is>
      </c>
      <c r="E304" s="6" t="inlineStr">
        <is>
          <t>Oak Street Development - North Development Company; Customer receipt applied to AR-0031216</t>
        </is>
      </c>
      <c r="F304" s="7" t="n">
        <v>354.27</v>
      </c>
      <c r="G304" s="7" t="n">
        <v>0</v>
      </c>
      <c r="H304" s="7">
        <f>F304+G304</f>
        <v/>
      </c>
      <c r="I304" s="6" t="inlineStr">
        <is>
          <t>cleared</t>
        </is>
      </c>
      <c r="J304" s="6" t="inlineStr">
        <is>
          <t>bank feed / RCPT-AR-0031216</t>
        </is>
      </c>
    </row>
    <row r="305">
      <c r="A305" s="6" t="inlineStr">
        <is>
          <t>1000-0300</t>
        </is>
      </c>
      <c r="B305" s="6" t="inlineStr">
        <is>
          <t>2026-06-30</t>
        </is>
      </c>
      <c r="C305" s="6" t="inlineStr">
        <is>
          <t>ACH/CHECK DEPOSIT</t>
        </is>
      </c>
      <c r="D305" s="6" t="inlineStr">
        <is>
          <t>1000</t>
        </is>
      </c>
      <c r="E305" s="6" t="inlineStr">
        <is>
          <t>Salem Surgical Partners - Campus Development Company; Customer receipt applied to AR-0031218</t>
        </is>
      </c>
      <c r="F305" s="7" t="n">
        <v>87.01000000000001</v>
      </c>
      <c r="G305" s="7" t="n">
        <v>0</v>
      </c>
      <c r="H305" s="7">
        <f>F305+G305</f>
        <v/>
      </c>
      <c r="I305" s="6" t="inlineStr">
        <is>
          <t>cleared</t>
        </is>
      </c>
      <c r="J305" s="6" t="inlineStr">
        <is>
          <t>bank feed / RCPT-AR-0031218</t>
        </is>
      </c>
    </row>
    <row r="306">
      <c r="A306" s="6" t="inlineStr">
        <is>
          <t>1000-0301</t>
        </is>
      </c>
      <c r="B306" s="6" t="inlineStr">
        <is>
          <t>2026-06-30</t>
        </is>
      </c>
      <c r="C306" s="6" t="inlineStr">
        <is>
          <t>ACH/CHECK DEPOSIT</t>
        </is>
      </c>
      <c r="D306" s="6" t="inlineStr">
        <is>
          <t>1000</t>
        </is>
      </c>
      <c r="E306" s="6" t="inlineStr">
        <is>
          <t>Oregon Advanced Materials - South Campus Services; Customer receipt applied to AR-0031223</t>
        </is>
      </c>
      <c r="F306" s="7" t="n">
        <v>1581.28</v>
      </c>
      <c r="G306" s="7" t="n">
        <v>0</v>
      </c>
      <c r="H306" s="7">
        <f>F306+G306</f>
        <v/>
      </c>
      <c r="I306" s="6" t="inlineStr">
        <is>
          <t>cleared</t>
        </is>
      </c>
      <c r="J306" s="6" t="inlineStr">
        <is>
          <t>bank feed / RCPT-AR-0031223</t>
        </is>
      </c>
    </row>
    <row r="307">
      <c r="A307" s="6" t="inlineStr">
        <is>
          <t>1000-0302</t>
        </is>
      </c>
      <c r="B307" s="6" t="inlineStr">
        <is>
          <t>2026-06-30</t>
        </is>
      </c>
      <c r="C307" s="6" t="inlineStr">
        <is>
          <t>ACH/CHECK DEPOSIT</t>
        </is>
      </c>
      <c r="D307" s="6" t="inlineStr">
        <is>
          <t>1000</t>
        </is>
      </c>
      <c r="E307" s="6" t="inlineStr">
        <is>
          <t>Sunrise Hospitality - East Development Company; Customer receipt applied to AR-0031227</t>
        </is>
      </c>
      <c r="F307" s="7" t="n">
        <v>145.39</v>
      </c>
      <c r="G307" s="7" t="n">
        <v>0</v>
      </c>
      <c r="H307" s="7">
        <f>F307+G307</f>
        <v/>
      </c>
      <c r="I307" s="6" t="inlineStr">
        <is>
          <t>cleared</t>
        </is>
      </c>
      <c r="J307" s="6" t="inlineStr">
        <is>
          <t>bank feed / RCPT-AR-0031227</t>
        </is>
      </c>
    </row>
    <row r="308">
      <c r="A308" s="6" t="inlineStr">
        <is>
          <t>1000-0303</t>
        </is>
      </c>
      <c r="B308" s="6" t="inlineStr">
        <is>
          <t>2026-06-30</t>
        </is>
      </c>
      <c r="C308" s="6" t="inlineStr">
        <is>
          <t>ACH/CHECK DEPOSIT</t>
        </is>
      </c>
      <c r="D308" s="6" t="inlineStr">
        <is>
          <t>1000</t>
        </is>
      </c>
      <c r="E308" s="6" t="inlineStr">
        <is>
          <t>Fairview Property Partners - East Property Group; Customer receipt applied to AR-0031233</t>
        </is>
      </c>
      <c r="F308" s="7" t="n">
        <v>1186.1</v>
      </c>
      <c r="G308" s="7" t="n">
        <v>0</v>
      </c>
      <c r="H308" s="7">
        <f>F308+G308</f>
        <v/>
      </c>
      <c r="I308" s="6" t="inlineStr">
        <is>
          <t>cleared</t>
        </is>
      </c>
      <c r="J308" s="6" t="inlineStr">
        <is>
          <t>bank feed / RCPT-AR-0031233</t>
        </is>
      </c>
    </row>
    <row r="309">
      <c r="A309" s="6" t="inlineStr">
        <is>
          <t>1000-0304</t>
        </is>
      </c>
      <c r="B309" s="6" t="inlineStr">
        <is>
          <t>2026-06-30</t>
        </is>
      </c>
      <c r="C309" s="6" t="inlineStr">
        <is>
          <t>ACH/CHECK DEPOSIT</t>
        </is>
      </c>
      <c r="D309" s="6" t="inlineStr">
        <is>
          <t>1000</t>
        </is>
      </c>
      <c r="E309" s="6" t="inlineStr">
        <is>
          <t>Tualatin Commerce Center - West Campus Services; Customer receipt applied to AR-0031234</t>
        </is>
      </c>
      <c r="F309" s="7" t="n">
        <v>436.34</v>
      </c>
      <c r="G309" s="7" t="n">
        <v>0</v>
      </c>
      <c r="H309" s="7">
        <f>F309+G309</f>
        <v/>
      </c>
      <c r="I309" s="6" t="inlineStr">
        <is>
          <t>cleared</t>
        </is>
      </c>
      <c r="J309" s="6" t="inlineStr">
        <is>
          <t>bank feed / RCPT-AR-0031234</t>
        </is>
      </c>
    </row>
    <row r="310">
      <c r="A310" s="6" t="inlineStr">
        <is>
          <t>1000-0305</t>
        </is>
      </c>
      <c r="B310" s="6" t="inlineStr">
        <is>
          <t>2026-06-30</t>
        </is>
      </c>
      <c r="C310" s="6" t="inlineStr">
        <is>
          <t>ACH/CHECK DEPOSIT</t>
        </is>
      </c>
      <c r="D310" s="6" t="inlineStr">
        <is>
          <t>1000</t>
        </is>
      </c>
      <c r="E310" s="6" t="inlineStr">
        <is>
          <t>Central Cascades Foods - Central LLC; Customer receipt applied to AR-0031238</t>
        </is>
      </c>
      <c r="F310" s="7" t="n">
        <v>236.53</v>
      </c>
      <c r="G310" s="7" t="n">
        <v>0</v>
      </c>
      <c r="H310" s="7">
        <f>F310+G310</f>
        <v/>
      </c>
      <c r="I310" s="6" t="inlineStr">
        <is>
          <t>cleared</t>
        </is>
      </c>
      <c r="J310" s="6" t="inlineStr">
        <is>
          <t>bank feed / RCPT-AR-0031238</t>
        </is>
      </c>
    </row>
    <row r="311">
      <c r="A311" s="6" t="inlineStr">
        <is>
          <t>1000-0306</t>
        </is>
      </c>
      <c r="B311" s="6" t="inlineStr">
        <is>
          <t>2026-06-30</t>
        </is>
      </c>
      <c r="C311" s="6" t="inlineStr">
        <is>
          <t>ACH/CHECK DEPOSIT</t>
        </is>
      </c>
      <c r="D311" s="6" t="inlineStr">
        <is>
          <t>1000</t>
        </is>
      </c>
      <c r="E311" s="6" t="inlineStr">
        <is>
          <t>Pioneer Medical Properties - West Holdings, LLC; Customer receipt applied to AR-0031239</t>
        </is>
      </c>
      <c r="F311" s="7" t="n">
        <v>138.24</v>
      </c>
      <c r="G311" s="7" t="n">
        <v>0</v>
      </c>
      <c r="H311" s="7">
        <f>F311+G311</f>
        <v/>
      </c>
      <c r="I311" s="6" t="inlineStr">
        <is>
          <t>cleared</t>
        </is>
      </c>
      <c r="J311" s="6" t="inlineStr">
        <is>
          <t>bank feed / RCPT-AR-0031239</t>
        </is>
      </c>
    </row>
    <row r="312">
      <c r="A312" s="6" t="inlineStr">
        <is>
          <t>1000-0307</t>
        </is>
      </c>
      <c r="B312" s="6" t="inlineStr">
        <is>
          <t>2026-06-30</t>
        </is>
      </c>
      <c r="C312" s="6" t="inlineStr">
        <is>
          <t>ACH/CHECK DEPOSIT</t>
        </is>
      </c>
      <c r="D312" s="6" t="inlineStr">
        <is>
          <t>1000</t>
        </is>
      </c>
      <c r="E312" s="6" t="inlineStr">
        <is>
          <t>Forest Park Hospitality - West LLC; Customer receipt applied to AR-0031240</t>
        </is>
      </c>
      <c r="F312" s="7" t="n">
        <v>182.18</v>
      </c>
      <c r="G312" s="7" t="n">
        <v>0</v>
      </c>
      <c r="H312" s="7">
        <f>F312+G312</f>
        <v/>
      </c>
      <c r="I312" s="6" t="inlineStr">
        <is>
          <t>cleared</t>
        </is>
      </c>
      <c r="J312" s="6" t="inlineStr">
        <is>
          <t>bank feed / RCPT-AR-0031240</t>
        </is>
      </c>
    </row>
    <row r="313">
      <c r="A313" s="6" t="inlineStr">
        <is>
          <t>1000-0308</t>
        </is>
      </c>
      <c r="B313" s="6" t="inlineStr">
        <is>
          <t>2026-06-30</t>
        </is>
      </c>
      <c r="C313" s="6" t="inlineStr">
        <is>
          <t>ACH/CHECK DEPOSIT</t>
        </is>
      </c>
      <c r="D313" s="6" t="inlineStr">
        <is>
          <t>1000</t>
        </is>
      </c>
      <c r="E313" s="6" t="inlineStr">
        <is>
          <t>Copperline Apartments Development Company; Customer receipt applied to AR-0031241</t>
        </is>
      </c>
      <c r="F313" s="7" t="n">
        <v>245.25</v>
      </c>
      <c r="G313" s="7" t="n">
        <v>0</v>
      </c>
      <c r="H313" s="7">
        <f>F313+G313</f>
        <v/>
      </c>
      <c r="I313" s="6" t="inlineStr">
        <is>
          <t>cleared</t>
        </is>
      </c>
      <c r="J313" s="6" t="inlineStr">
        <is>
          <t>bank feed / RCPT-AR-0031241</t>
        </is>
      </c>
    </row>
    <row r="314">
      <c r="A314" s="6" t="inlineStr">
        <is>
          <t>1000-0309</t>
        </is>
      </c>
      <c r="B314" s="6" t="inlineStr">
        <is>
          <t>2026-06-30</t>
        </is>
      </c>
      <c r="C314" s="6" t="inlineStr">
        <is>
          <t>ACH/CHECK DEPOSIT</t>
        </is>
      </c>
      <c r="D314" s="6" t="inlineStr">
        <is>
          <t>1000</t>
        </is>
      </c>
      <c r="E314" s="6" t="inlineStr">
        <is>
          <t>Valley View Food Systems - Operations Holdings, LLC; Customer receipt applied to AR-0031250</t>
        </is>
      </c>
      <c r="F314" s="7" t="n">
        <v>131.69</v>
      </c>
      <c r="G314" s="7" t="n">
        <v>0</v>
      </c>
      <c r="H314" s="7">
        <f>F314+G314</f>
        <v/>
      </c>
      <c r="I314" s="6" t="inlineStr">
        <is>
          <t>cleared</t>
        </is>
      </c>
      <c r="J314" s="6" t="inlineStr">
        <is>
          <t>bank feed / RCPT-AR-0031250</t>
        </is>
      </c>
    </row>
    <row r="315">
      <c r="A315" s="6" t="inlineStr">
        <is>
          <t>1000-0310</t>
        </is>
      </c>
      <c r="B315" s="6" t="inlineStr">
        <is>
          <t>2026-06-30</t>
        </is>
      </c>
      <c r="C315" s="6" t="inlineStr">
        <is>
          <t>ACH/CHECK DEPOSIT</t>
        </is>
      </c>
      <c r="D315" s="6" t="inlineStr">
        <is>
          <t>1000</t>
        </is>
      </c>
      <c r="E315" s="6" t="inlineStr">
        <is>
          <t>Mt. Hood Community Health - Operations LLC; Customer receipt applied to AR-0031251</t>
        </is>
      </c>
      <c r="F315" s="7" t="n">
        <v>485.21</v>
      </c>
      <c r="G315" s="7" t="n">
        <v>0</v>
      </c>
      <c r="H315" s="7">
        <f>F315+G315</f>
        <v/>
      </c>
      <c r="I315" s="6" t="inlineStr">
        <is>
          <t>cleared</t>
        </is>
      </c>
      <c r="J315" s="6" t="inlineStr">
        <is>
          <t>bank feed / RCPT-AR-0031251</t>
        </is>
      </c>
    </row>
    <row r="316">
      <c r="A316" s="6" t="inlineStr">
        <is>
          <t>1000-0311</t>
        </is>
      </c>
      <c r="B316" s="6" t="inlineStr">
        <is>
          <t>2026-06-30</t>
        </is>
      </c>
      <c r="C316" s="6" t="inlineStr">
        <is>
          <t>ACH/CHECK DEPOSIT</t>
        </is>
      </c>
      <c r="D316" s="6" t="inlineStr">
        <is>
          <t>1000</t>
        </is>
      </c>
      <c r="E316" s="6" t="inlineStr">
        <is>
          <t>Mt. Hood Community Health - Operations Asset Management; Customer receipt applied to AR-0031253</t>
        </is>
      </c>
      <c r="F316" s="7" t="n">
        <v>438.09</v>
      </c>
      <c r="G316" s="7" t="n">
        <v>0</v>
      </c>
      <c r="H316" s="7">
        <f>F316+G316</f>
        <v/>
      </c>
      <c r="I316" s="6" t="inlineStr">
        <is>
          <t>cleared</t>
        </is>
      </c>
      <c r="J316" s="6" t="inlineStr">
        <is>
          <t>bank feed / RCPT-AR-0031253</t>
        </is>
      </c>
    </row>
    <row r="317">
      <c r="A317" s="6" t="inlineStr">
        <is>
          <t>1000-0312</t>
        </is>
      </c>
      <c r="B317" s="6" t="inlineStr">
        <is>
          <t>2026-06-30</t>
        </is>
      </c>
      <c r="C317" s="6" t="inlineStr">
        <is>
          <t>ACH/CHECK DEPOSIT</t>
        </is>
      </c>
      <c r="D317" s="6" t="inlineStr">
        <is>
          <t>1000</t>
        </is>
      </c>
      <c r="E317" s="6" t="inlineStr">
        <is>
          <t>Rogue Valley Beverage - Portfolio Property Group; Customer receipt applied to AR-0031255</t>
        </is>
      </c>
      <c r="F317" s="7" t="n">
        <v>5683.63</v>
      </c>
      <c r="G317" s="7" t="n">
        <v>0</v>
      </c>
      <c r="H317" s="7">
        <f>F317+G317</f>
        <v/>
      </c>
      <c r="I317" s="6" t="inlineStr">
        <is>
          <t>cleared</t>
        </is>
      </c>
      <c r="J317" s="6" t="inlineStr">
        <is>
          <t>bank feed / RCPT-AR-0031255</t>
        </is>
      </c>
    </row>
    <row r="318">
      <c r="A318" s="6" t="inlineStr">
        <is>
          <t>1000-0313</t>
        </is>
      </c>
      <c r="B318" s="6" t="inlineStr">
        <is>
          <t>2026-06-30</t>
        </is>
      </c>
      <c r="C318" s="6" t="inlineStr">
        <is>
          <t>ACH/CHECK DEPOSIT</t>
        </is>
      </c>
      <c r="D318" s="6" t="inlineStr">
        <is>
          <t>1000</t>
        </is>
      </c>
      <c r="E318" s="6" t="inlineStr">
        <is>
          <t>Hillsboro Life Sciences - Campus Real Estate, LLC; Customer receipt applied to AR-0031258</t>
        </is>
      </c>
      <c r="F318" s="7" t="n">
        <v>325.8</v>
      </c>
      <c r="G318" s="7" t="n">
        <v>0</v>
      </c>
      <c r="H318" s="7">
        <f>F318+G318</f>
        <v/>
      </c>
      <c r="I318" s="6" t="inlineStr">
        <is>
          <t>cleared</t>
        </is>
      </c>
      <c r="J318" s="6" t="inlineStr">
        <is>
          <t>bank feed / RCPT-AR-0031258</t>
        </is>
      </c>
    </row>
    <row r="319">
      <c r="A319" s="6" t="inlineStr">
        <is>
          <t>1000-0314</t>
        </is>
      </c>
      <c r="B319" s="6" t="inlineStr">
        <is>
          <t>2026-06-30</t>
        </is>
      </c>
      <c r="C319" s="6" t="inlineStr">
        <is>
          <t>ACH/CHECK DEPOSIT</t>
        </is>
      </c>
      <c r="D319" s="6" t="inlineStr">
        <is>
          <t>1000</t>
        </is>
      </c>
      <c r="E319" s="6" t="inlineStr">
        <is>
          <t>Copperline Apartments - Campus Property Group; Customer receipt applied to AR-0031261</t>
        </is>
      </c>
      <c r="F319" s="7" t="n">
        <v>186.88</v>
      </c>
      <c r="G319" s="7" t="n">
        <v>0</v>
      </c>
      <c r="H319" s="7">
        <f>F319+G319</f>
        <v/>
      </c>
      <c r="I319" s="6" t="inlineStr">
        <is>
          <t>cleared</t>
        </is>
      </c>
      <c r="J319" s="6" t="inlineStr">
        <is>
          <t>bank feed / RCPT-AR-0031261</t>
        </is>
      </c>
    </row>
    <row r="320">
      <c r="A320" s="6" t="inlineStr">
        <is>
          <t>1000-0315</t>
        </is>
      </c>
      <c r="B320" s="6" t="inlineStr">
        <is>
          <t>2026-06-30</t>
        </is>
      </c>
      <c r="C320" s="6" t="inlineStr">
        <is>
          <t>ACH/CHECK DEPOSIT</t>
        </is>
      </c>
      <c r="D320" s="6" t="inlineStr">
        <is>
          <t>1000</t>
        </is>
      </c>
      <c r="E320" s="6" t="inlineStr">
        <is>
          <t>Salem Surgical Partners - Campus Asset Management; Customer receipt applied to AR-0031264</t>
        </is>
      </c>
      <c r="F320" s="7" t="n">
        <v>401.42</v>
      </c>
      <c r="G320" s="7" t="n">
        <v>0</v>
      </c>
      <c r="H320" s="7">
        <f>F320+G320</f>
        <v/>
      </c>
      <c r="I320" s="6" t="inlineStr">
        <is>
          <t>cleared</t>
        </is>
      </c>
      <c r="J320" s="6" t="inlineStr">
        <is>
          <t>bank feed / RCPT-AR-0031264</t>
        </is>
      </c>
    </row>
    <row r="321">
      <c r="A321" s="6" t="inlineStr">
        <is>
          <t>1000-0316</t>
        </is>
      </c>
      <c r="B321" s="6" t="inlineStr">
        <is>
          <t>2026-06-30</t>
        </is>
      </c>
      <c r="C321" s="6" t="inlineStr">
        <is>
          <t>ACH/CHECK DEPOSIT</t>
        </is>
      </c>
      <c r="D321" s="6" t="inlineStr">
        <is>
          <t>1000</t>
        </is>
      </c>
      <c r="E321" s="6" t="inlineStr">
        <is>
          <t>Deschutes Medical Group - North Asset Management; Customer receipt applied to AR-0031270</t>
        </is>
      </c>
      <c r="F321" s="7" t="n">
        <v>122.83</v>
      </c>
      <c r="G321" s="7" t="n">
        <v>0</v>
      </c>
      <c r="H321" s="7">
        <f>F321+G321</f>
        <v/>
      </c>
      <c r="I321" s="6" t="inlineStr">
        <is>
          <t>cleared</t>
        </is>
      </c>
      <c r="J321" s="6" t="inlineStr">
        <is>
          <t>bank feed / RCPT-AR-0031270</t>
        </is>
      </c>
    </row>
    <row r="322">
      <c r="A322" s="6" t="inlineStr">
        <is>
          <t>1000-0317</t>
        </is>
      </c>
      <c r="B322" s="6" t="inlineStr">
        <is>
          <t>2026-06-30</t>
        </is>
      </c>
      <c r="C322" s="6" t="inlineStr">
        <is>
          <t>ACH/CHECK DEPOSIT</t>
        </is>
      </c>
      <c r="D322" s="6" t="inlineStr">
        <is>
          <t>1000</t>
        </is>
      </c>
      <c r="E322" s="6" t="inlineStr">
        <is>
          <t>Fairview Property Partners - East Facilities; Customer receipt applied to AR-0031277</t>
        </is>
      </c>
      <c r="F322" s="7" t="n">
        <v>484.69</v>
      </c>
      <c r="G322" s="7" t="n">
        <v>0</v>
      </c>
      <c r="H322" s="7">
        <f>F322+G322</f>
        <v/>
      </c>
      <c r="I322" s="6" t="inlineStr">
        <is>
          <t>cleared</t>
        </is>
      </c>
      <c r="J322" s="6" t="inlineStr">
        <is>
          <t>bank feed / RCPT-AR-0031277</t>
        </is>
      </c>
    </row>
    <row r="323">
      <c r="A323" s="6" t="inlineStr">
        <is>
          <t>1000-0318</t>
        </is>
      </c>
      <c r="B323" s="6" t="inlineStr">
        <is>
          <t>2026-06-30</t>
        </is>
      </c>
      <c r="C323" s="6" t="inlineStr">
        <is>
          <t>ACH/CHECK DEPOSIT</t>
        </is>
      </c>
      <c r="D323" s="6" t="inlineStr">
        <is>
          <t>1000</t>
        </is>
      </c>
      <c r="E323" s="6" t="inlineStr">
        <is>
          <t>Fairview Property Partners - East Holdings, LLC; Customer receipt applied to AR-0031279</t>
        </is>
      </c>
      <c r="F323" s="7" t="n">
        <v>1178.95</v>
      </c>
      <c r="G323" s="7" t="n">
        <v>0</v>
      </c>
      <c r="H323" s="7">
        <f>F323+G323</f>
        <v/>
      </c>
      <c r="I323" s="6" t="inlineStr">
        <is>
          <t>cleared</t>
        </is>
      </c>
      <c r="J323" s="6" t="inlineStr">
        <is>
          <t>bank feed / RCPT-AR-0031279</t>
        </is>
      </c>
    </row>
    <row r="324">
      <c r="A324" s="6" t="inlineStr">
        <is>
          <t>1000-0319</t>
        </is>
      </c>
      <c r="B324" s="6" t="inlineStr">
        <is>
          <t>2026-06-30</t>
        </is>
      </c>
      <c r="C324" s="6" t="inlineStr">
        <is>
          <t>ACH/CHECK DEPOSIT</t>
        </is>
      </c>
      <c r="D324" s="6" t="inlineStr">
        <is>
          <t>1000</t>
        </is>
      </c>
      <c r="E324" s="6" t="inlineStr">
        <is>
          <t>Central Cascades Foods - Central Holdings, LLC; Customer receipt applied to AR-0031282</t>
        </is>
      </c>
      <c r="F324" s="7" t="n">
        <v>165.53</v>
      </c>
      <c r="G324" s="7" t="n">
        <v>0</v>
      </c>
      <c r="H324" s="7">
        <f>F324+G324</f>
        <v/>
      </c>
      <c r="I324" s="6" t="inlineStr">
        <is>
          <t>cleared</t>
        </is>
      </c>
      <c r="J324" s="6" t="inlineStr">
        <is>
          <t>bank feed / RCPT-AR-0031282</t>
        </is>
      </c>
    </row>
    <row r="325">
      <c r="A325" s="6" t="inlineStr">
        <is>
          <t>1000-0320</t>
        </is>
      </c>
      <c r="B325" s="6" t="inlineStr">
        <is>
          <t>2026-06-30</t>
        </is>
      </c>
      <c r="C325" s="6" t="inlineStr">
        <is>
          <t>ACH/CHECK DEPOSIT</t>
        </is>
      </c>
      <c r="D325" s="6" t="inlineStr">
        <is>
          <t>1000</t>
        </is>
      </c>
      <c r="E325" s="6" t="inlineStr">
        <is>
          <t>Columbia Biologics, Inc.; Customer receipt applied to AR-0031283</t>
        </is>
      </c>
      <c r="F325" s="7" t="n">
        <v>125.34</v>
      </c>
      <c r="G325" s="7" t="n">
        <v>0</v>
      </c>
      <c r="H325" s="7">
        <f>F325+G325</f>
        <v/>
      </c>
      <c r="I325" s="6" t="inlineStr">
        <is>
          <t>cleared</t>
        </is>
      </c>
      <c r="J325" s="6" t="inlineStr">
        <is>
          <t>bank feed / RCPT-AR-0031283</t>
        </is>
      </c>
    </row>
    <row r="326">
      <c r="A326" s="6" t="inlineStr">
        <is>
          <t>1000-0321</t>
        </is>
      </c>
      <c r="B326" s="6" t="inlineStr">
        <is>
          <t>2026-06-30</t>
        </is>
      </c>
      <c r="C326" s="6" t="inlineStr">
        <is>
          <t>ACH/CHECK DEPOSIT</t>
        </is>
      </c>
      <c r="D326" s="6" t="inlineStr">
        <is>
          <t>1000</t>
        </is>
      </c>
      <c r="E326" s="6" t="inlineStr">
        <is>
          <t>Forest Park Hospitality Campus Services; Customer receipt applied to AR-0031294</t>
        </is>
      </c>
      <c r="F326" s="7" t="n">
        <v>114.84</v>
      </c>
      <c r="G326" s="7" t="n">
        <v>0</v>
      </c>
      <c r="H326" s="7">
        <f>F326+G326</f>
        <v/>
      </c>
      <c r="I326" s="6" t="inlineStr">
        <is>
          <t>cleared</t>
        </is>
      </c>
      <c r="J326" s="6" t="inlineStr">
        <is>
          <t>bank feed / RCPT-AR-0031294</t>
        </is>
      </c>
    </row>
    <row r="327">
      <c r="A327" s="6" t="inlineStr">
        <is>
          <t>1000-0322</t>
        </is>
      </c>
      <c r="B327" s="6" t="inlineStr">
        <is>
          <t>2026-06-30</t>
        </is>
      </c>
      <c r="C327" s="6" t="inlineStr">
        <is>
          <t>ACH/CHECK DEPOSIT</t>
        </is>
      </c>
      <c r="D327" s="6" t="inlineStr">
        <is>
          <t>1000</t>
        </is>
      </c>
      <c r="E327" s="6" t="inlineStr">
        <is>
          <t>High Desert Manufacturing - Portfolio Development Company; Customer receipt applied to AR-0031295</t>
        </is>
      </c>
      <c r="F327" s="7" t="n">
        <v>292.37</v>
      </c>
      <c r="G327" s="7" t="n">
        <v>0</v>
      </c>
      <c r="H327" s="7">
        <f>F327+G327</f>
        <v/>
      </c>
      <c r="I327" s="6" t="inlineStr">
        <is>
          <t>cleared</t>
        </is>
      </c>
      <c r="J327" s="6" t="inlineStr">
        <is>
          <t>bank feed / RCPT-AR-0031295</t>
        </is>
      </c>
    </row>
    <row r="328">
      <c r="A328" s="6" t="inlineStr">
        <is>
          <t>1000-0323</t>
        </is>
      </c>
      <c r="B328" s="6" t="inlineStr">
        <is>
          <t>2026-06-30</t>
        </is>
      </c>
      <c r="C328" s="6" t="inlineStr">
        <is>
          <t>ACH/CHECK DEPOSIT</t>
        </is>
      </c>
      <c r="D328" s="6" t="inlineStr">
        <is>
          <t>1000</t>
        </is>
      </c>
      <c r="E328" s="6" t="inlineStr">
        <is>
          <t>Oak Street Development - North Holdings, LLC; Customer receipt applied to AR-0031304</t>
        </is>
      </c>
      <c r="F328" s="7" t="n">
        <v>229.32</v>
      </c>
      <c r="G328" s="7" t="n">
        <v>0</v>
      </c>
      <c r="H328" s="7">
        <f>F328+G328</f>
        <v/>
      </c>
      <c r="I328" s="6" t="inlineStr">
        <is>
          <t>cleared</t>
        </is>
      </c>
      <c r="J328" s="6" t="inlineStr">
        <is>
          <t>bank feed / RCPT-AR-0031304</t>
        </is>
      </c>
    </row>
    <row r="329">
      <c r="A329" s="6" t="inlineStr">
        <is>
          <t>1000-0324</t>
        </is>
      </c>
      <c r="B329" s="6" t="inlineStr">
        <is>
          <t>2026-06-30</t>
        </is>
      </c>
      <c r="C329" s="6" t="inlineStr">
        <is>
          <t>ACH/CHECK DEPOSIT</t>
        </is>
      </c>
      <c r="D329" s="6" t="inlineStr">
        <is>
          <t>1000</t>
        </is>
      </c>
      <c r="E329" s="6" t="inlineStr">
        <is>
          <t>Alder Creek Medical - North Property Group; Customer receipt applied to AR-0031312</t>
        </is>
      </c>
      <c r="F329" s="7" t="n">
        <v>133.57</v>
      </c>
      <c r="G329" s="7" t="n">
        <v>0</v>
      </c>
      <c r="H329" s="7">
        <f>F329+G329</f>
        <v/>
      </c>
      <c r="I329" s="6" t="inlineStr">
        <is>
          <t>cleared</t>
        </is>
      </c>
      <c r="J329" s="6" t="inlineStr">
        <is>
          <t>bank feed / RCPT-AR-0031312</t>
        </is>
      </c>
    </row>
    <row r="330">
      <c r="A330" s="6" t="inlineStr">
        <is>
          <t>1000-0325</t>
        </is>
      </c>
      <c r="B330" s="6" t="inlineStr">
        <is>
          <t>2026-06-30</t>
        </is>
      </c>
      <c r="C330" s="6" t="inlineStr">
        <is>
          <t>ACH/CHECK DEPOSIT</t>
        </is>
      </c>
      <c r="D330" s="6" t="inlineStr">
        <is>
          <t>1000</t>
        </is>
      </c>
      <c r="E330" s="6" t="inlineStr">
        <is>
          <t>Pacific Crest Biotech - East Facilities; Customer receipt applied to AR-0031322</t>
        </is>
      </c>
      <c r="F330" s="7" t="n">
        <v>243.7</v>
      </c>
      <c r="G330" s="7" t="n">
        <v>0</v>
      </c>
      <c r="H330" s="7">
        <f>F330+G330</f>
        <v/>
      </c>
      <c r="I330" s="6" t="inlineStr">
        <is>
          <t>cleared</t>
        </is>
      </c>
      <c r="J330" s="6" t="inlineStr">
        <is>
          <t>bank feed / RCPT-AR-0031322</t>
        </is>
      </c>
    </row>
    <row r="331">
      <c r="A331" s="6" t="inlineStr">
        <is>
          <t>1000-0326</t>
        </is>
      </c>
      <c r="B331" s="6" t="inlineStr">
        <is>
          <t>2026-06-30</t>
        </is>
      </c>
      <c r="C331" s="6" t="inlineStr">
        <is>
          <t>ACH/CHECK DEPOSIT</t>
        </is>
      </c>
      <c r="D331" s="6" t="inlineStr">
        <is>
          <t>1000</t>
        </is>
      </c>
      <c r="E331" s="6" t="inlineStr">
        <is>
          <t>Oregon Advanced Materials Operating Company; Customer receipt applied to AR-0031326</t>
        </is>
      </c>
      <c r="F331" s="7" t="n">
        <v>1297.6</v>
      </c>
      <c r="G331" s="7" t="n">
        <v>0</v>
      </c>
      <c r="H331" s="7">
        <f>F331+G331</f>
        <v/>
      </c>
      <c r="I331" s="6" t="inlineStr">
        <is>
          <t>cleared</t>
        </is>
      </c>
      <c r="J331" s="6" t="inlineStr">
        <is>
          <t>bank feed / RCPT-AR-0031326</t>
        </is>
      </c>
    </row>
    <row r="332">
      <c r="A332" s="6" t="inlineStr">
        <is>
          <t>1000-0327</t>
        </is>
      </c>
      <c r="B332" s="6" t="inlineStr">
        <is>
          <t>2026-06-30</t>
        </is>
      </c>
      <c r="C332" s="6" t="inlineStr">
        <is>
          <t>ACH/CHECK DEPOSIT</t>
        </is>
      </c>
      <c r="D332" s="6" t="inlineStr">
        <is>
          <t>1000</t>
        </is>
      </c>
      <c r="E332" s="6" t="inlineStr">
        <is>
          <t>Forest Park Hospitality - West Asset Management; Customer receipt applied to AR-0031332</t>
        </is>
      </c>
      <c r="F332" s="7" t="n">
        <v>328.31</v>
      </c>
      <c r="G332" s="7" t="n">
        <v>0</v>
      </c>
      <c r="H332" s="7">
        <f>F332+G332</f>
        <v/>
      </c>
      <c r="I332" s="6" t="inlineStr">
        <is>
          <t>cleared</t>
        </is>
      </c>
      <c r="J332" s="6" t="inlineStr">
        <is>
          <t>bank feed / RCPT-AR-0031332</t>
        </is>
      </c>
    </row>
    <row r="333">
      <c r="A333" s="6" t="inlineStr">
        <is>
          <t>1000-0328</t>
        </is>
      </c>
      <c r="B333" s="6" t="inlineStr">
        <is>
          <t>2026-06-30</t>
        </is>
      </c>
      <c r="C333" s="6" t="inlineStr">
        <is>
          <t>ACH/CHECK DEPOSIT</t>
        </is>
      </c>
      <c r="D333" s="6" t="inlineStr">
        <is>
          <t>1000</t>
        </is>
      </c>
      <c r="E333" s="6" t="inlineStr">
        <is>
          <t>Clackamas Health Network - Operations Real Estate, LLC; Customer receipt applied to AR-0031337</t>
        </is>
      </c>
      <c r="F333" s="7" t="n">
        <v>317.75</v>
      </c>
      <c r="G333" s="7" t="n">
        <v>0</v>
      </c>
      <c r="H333" s="7">
        <f>F333+G333</f>
        <v/>
      </c>
      <c r="I333" s="6" t="inlineStr">
        <is>
          <t>cleared</t>
        </is>
      </c>
      <c r="J333" s="6" t="inlineStr">
        <is>
          <t>bank feed / RCPT-AR-0031337</t>
        </is>
      </c>
    </row>
    <row r="334">
      <c r="A334" s="6" t="inlineStr">
        <is>
          <t>1000-0329</t>
        </is>
      </c>
      <c r="B334" s="6" t="inlineStr">
        <is>
          <t>2026-06-30</t>
        </is>
      </c>
      <c r="C334" s="6" t="inlineStr">
        <is>
          <t>ACH/CHECK DEPOSIT</t>
        </is>
      </c>
      <c r="D334" s="6" t="inlineStr">
        <is>
          <t>1000</t>
        </is>
      </c>
      <c r="E334" s="6" t="inlineStr">
        <is>
          <t>Mt. Hood Community Health - Operations LLC; Customer receipt applied to AR-0031341</t>
        </is>
      </c>
      <c r="F334" s="7" t="n">
        <v>305.06</v>
      </c>
      <c r="G334" s="7" t="n">
        <v>0</v>
      </c>
      <c r="H334" s="7">
        <f>F334+G334</f>
        <v/>
      </c>
      <c r="I334" s="6" t="inlineStr">
        <is>
          <t>cleared</t>
        </is>
      </c>
      <c r="J334" s="6" t="inlineStr">
        <is>
          <t>bank feed / RCPT-AR-0031341</t>
        </is>
      </c>
    </row>
    <row r="335">
      <c r="A335" s="6" t="inlineStr">
        <is>
          <t>1000-0330</t>
        </is>
      </c>
      <c r="B335" s="6" t="inlineStr">
        <is>
          <t>2026-06-30</t>
        </is>
      </c>
      <c r="C335" s="6" t="inlineStr">
        <is>
          <t>ACH/CHECK DEPOSIT</t>
        </is>
      </c>
      <c r="D335" s="6" t="inlineStr">
        <is>
          <t>1000</t>
        </is>
      </c>
      <c r="E335" s="6" t="inlineStr">
        <is>
          <t>Hillsboro Life Sciences - Campus Asset Management; Customer receipt applied to AR-0031346</t>
        </is>
      </c>
      <c r="F335" s="7" t="n">
        <v>2567.2</v>
      </c>
      <c r="G335" s="7" t="n">
        <v>0</v>
      </c>
      <c r="H335" s="7">
        <f>F335+G335</f>
        <v/>
      </c>
      <c r="I335" s="6" t="inlineStr">
        <is>
          <t>cleared</t>
        </is>
      </c>
      <c r="J335" s="6" t="inlineStr">
        <is>
          <t>bank feed / RCPT-AR-0031346</t>
        </is>
      </c>
    </row>
    <row r="336">
      <c r="A336" s="6" t="inlineStr">
        <is>
          <t>1000-0331</t>
        </is>
      </c>
      <c r="B336" s="6" t="inlineStr">
        <is>
          <t>2026-06-30</t>
        </is>
      </c>
      <c r="C336" s="6" t="inlineStr">
        <is>
          <t>ACH/CHECK DEPOSIT</t>
        </is>
      </c>
      <c r="D336" s="6" t="inlineStr">
        <is>
          <t>1000</t>
        </is>
      </c>
      <c r="E336" s="6" t="inlineStr">
        <is>
          <t>Hillsboro Life Sciences - Campus Real Estate, LLC; Customer receipt applied to AR-0031348</t>
        </is>
      </c>
      <c r="F336" s="7" t="n">
        <v>1063.18</v>
      </c>
      <c r="G336" s="7" t="n">
        <v>0</v>
      </c>
      <c r="H336" s="7">
        <f>F336+G336</f>
        <v/>
      </c>
      <c r="I336" s="6" t="inlineStr">
        <is>
          <t>cleared</t>
        </is>
      </c>
      <c r="J336" s="6" t="inlineStr">
        <is>
          <t>bank feed / RCPT-AR-0031348</t>
        </is>
      </c>
    </row>
    <row r="337">
      <c r="A337" s="6" t="inlineStr">
        <is>
          <t>1000-0332</t>
        </is>
      </c>
      <c r="B337" s="6" t="inlineStr">
        <is>
          <t>2026-06-30</t>
        </is>
      </c>
      <c r="C337" s="6" t="inlineStr">
        <is>
          <t>ACH/CHECK DEPOSIT</t>
        </is>
      </c>
      <c r="D337" s="6" t="inlineStr">
        <is>
          <t>1000</t>
        </is>
      </c>
      <c r="E337" s="6" t="inlineStr">
        <is>
          <t>Juniper Ridge Properties - North Partners, LP; Customer receipt applied to AR-0031355</t>
        </is>
      </c>
      <c r="F337" s="7" t="n">
        <v>171.14</v>
      </c>
      <c r="G337" s="7" t="n">
        <v>0</v>
      </c>
      <c r="H337" s="7">
        <f>F337+G337</f>
        <v/>
      </c>
      <c r="I337" s="6" t="inlineStr">
        <is>
          <t>cleared</t>
        </is>
      </c>
      <c r="J337" s="6" t="inlineStr">
        <is>
          <t>bank feed / RCPT-AR-0031355</t>
        </is>
      </c>
    </row>
    <row r="338">
      <c r="A338" s="6" t="inlineStr">
        <is>
          <t>1000-0333</t>
        </is>
      </c>
      <c r="B338" s="6" t="inlineStr">
        <is>
          <t>2026-06-30</t>
        </is>
      </c>
      <c r="C338" s="6" t="inlineStr">
        <is>
          <t>ACH/CHECK DEPOSIT</t>
        </is>
      </c>
      <c r="D338" s="6" t="inlineStr">
        <is>
          <t>1000</t>
        </is>
      </c>
      <c r="E338" s="6" t="inlineStr">
        <is>
          <t>Alder Creek Medical - North Facilities; Customer receipt applied to AR-0031356</t>
        </is>
      </c>
      <c r="F338" s="7" t="n">
        <v>335.67</v>
      </c>
      <c r="G338" s="7" t="n">
        <v>0</v>
      </c>
      <c r="H338" s="7">
        <f>F338+G338</f>
        <v/>
      </c>
      <c r="I338" s="6" t="inlineStr">
        <is>
          <t>cleared</t>
        </is>
      </c>
      <c r="J338" s="6" t="inlineStr">
        <is>
          <t>bank feed / RCPT-AR-0031356</t>
        </is>
      </c>
    </row>
    <row r="339">
      <c r="A339" s="6" t="inlineStr">
        <is>
          <t>1000-0334</t>
        </is>
      </c>
      <c r="B339" s="6" t="inlineStr">
        <is>
          <t>2026-06-30</t>
        </is>
      </c>
      <c r="C339" s="6" t="inlineStr">
        <is>
          <t>ACH/CHECK DEPOSIT</t>
        </is>
      </c>
      <c r="D339" s="6" t="inlineStr">
        <is>
          <t>1000</t>
        </is>
      </c>
      <c r="E339" s="6" t="inlineStr">
        <is>
          <t>Valley View Food Systems Development Company; Customer receipt applied to AR-0031358</t>
        </is>
      </c>
      <c r="F339" s="7" t="n">
        <v>525.23</v>
      </c>
      <c r="G339" s="7" t="n">
        <v>0</v>
      </c>
      <c r="H339" s="7">
        <f>F339+G339</f>
        <v/>
      </c>
      <c r="I339" s="6" t="inlineStr">
        <is>
          <t>cleared</t>
        </is>
      </c>
      <c r="J339" s="6" t="inlineStr">
        <is>
          <t>bank feed / RCPT-AR-0031358</t>
        </is>
      </c>
    </row>
    <row r="340">
      <c r="A340" s="6" t="inlineStr">
        <is>
          <t>1000-0335</t>
        </is>
      </c>
      <c r="B340" s="6" t="inlineStr">
        <is>
          <t>2026-06-30</t>
        </is>
      </c>
      <c r="C340" s="6" t="inlineStr">
        <is>
          <t>ACH/CHECK DEPOSIT</t>
        </is>
      </c>
      <c r="D340" s="6" t="inlineStr">
        <is>
          <t>1000</t>
        </is>
      </c>
      <c r="E340" s="6" t="inlineStr">
        <is>
          <t>Sunrise Hospitality - East LLC; Customer receipt applied to AR-0031361</t>
        </is>
      </c>
      <c r="F340" s="7" t="n">
        <v>95.20999999999999</v>
      </c>
      <c r="G340" s="7" t="n">
        <v>0</v>
      </c>
      <c r="H340" s="7">
        <f>F340+G340</f>
        <v/>
      </c>
      <c r="I340" s="6" t="inlineStr">
        <is>
          <t>cleared</t>
        </is>
      </c>
      <c r="J340" s="6" t="inlineStr">
        <is>
          <t>bank feed / RCPT-AR-0031361</t>
        </is>
      </c>
    </row>
    <row r="341">
      <c r="A341" s="6" t="inlineStr">
        <is>
          <t>1000-0336</t>
        </is>
      </c>
      <c r="B341" s="6" t="inlineStr">
        <is>
          <t>2026-06-30</t>
        </is>
      </c>
      <c r="C341" s="6" t="inlineStr">
        <is>
          <t>ACH/CHECK DEPOSIT</t>
        </is>
      </c>
      <c r="D341" s="6" t="inlineStr">
        <is>
          <t>1000</t>
        </is>
      </c>
      <c r="E341" s="6" t="inlineStr">
        <is>
          <t>Clackamas Health Network Operating Company; Customer receipt applied to AR-0031368</t>
        </is>
      </c>
      <c r="F341" s="7" t="n">
        <v>792.86</v>
      </c>
      <c r="G341" s="7" t="n">
        <v>0</v>
      </c>
      <c r="H341" s="7">
        <f>F341+G341</f>
        <v/>
      </c>
      <c r="I341" s="6" t="inlineStr">
        <is>
          <t>cleared</t>
        </is>
      </c>
      <c r="J341" s="6" t="inlineStr">
        <is>
          <t>bank feed / RCPT-AR-0031368</t>
        </is>
      </c>
    </row>
    <row r="342">
      <c r="A342" s="6" t="inlineStr">
        <is>
          <t>1000-0337</t>
        </is>
      </c>
      <c r="B342" s="6" t="inlineStr">
        <is>
          <t>2026-06-30</t>
        </is>
      </c>
      <c r="C342" s="6" t="inlineStr">
        <is>
          <t>ACH/CHECK DEPOSIT</t>
        </is>
      </c>
      <c r="D342" s="6" t="inlineStr">
        <is>
          <t>1000</t>
        </is>
      </c>
      <c r="E342" s="6" t="inlineStr">
        <is>
          <t>Fairview Property Partners - East Holdings, LLC; Customer receipt applied to AR-0031369</t>
        </is>
      </c>
      <c r="F342" s="7" t="n">
        <v>75.16</v>
      </c>
      <c r="G342" s="7" t="n">
        <v>0</v>
      </c>
      <c r="H342" s="7">
        <f>F342+G342</f>
        <v/>
      </c>
      <c r="I342" s="6" t="inlineStr">
        <is>
          <t>cleared</t>
        </is>
      </c>
      <c r="J342" s="6" t="inlineStr">
        <is>
          <t>bank feed / RCPT-AR-0031369</t>
        </is>
      </c>
    </row>
    <row r="343">
      <c r="A343" s="6" t="inlineStr">
        <is>
          <t>1000-0338</t>
        </is>
      </c>
      <c r="B343" s="6" t="inlineStr">
        <is>
          <t>2026-06-30</t>
        </is>
      </c>
      <c r="C343" s="6" t="inlineStr">
        <is>
          <t>ACH/CHECK DEPOSIT</t>
        </is>
      </c>
      <c r="D343" s="6" t="inlineStr">
        <is>
          <t>1000</t>
        </is>
      </c>
      <c r="E343" s="6" t="inlineStr">
        <is>
          <t>Tualatin Commerce Center - West Real Estate, LLC; Customer receipt applied to AR-0031370</t>
        </is>
      </c>
      <c r="F343" s="7" t="n">
        <v>3064.58</v>
      </c>
      <c r="G343" s="7" t="n">
        <v>0</v>
      </c>
      <c r="H343" s="7">
        <f>F343+G343</f>
        <v/>
      </c>
      <c r="I343" s="6" t="inlineStr">
        <is>
          <t>cleared</t>
        </is>
      </c>
      <c r="J343" s="6" t="inlineStr">
        <is>
          <t>bank feed / RCPT-AR-0031370</t>
        </is>
      </c>
    </row>
    <row r="344">
      <c r="A344" s="6" t="inlineStr">
        <is>
          <t>1000-0339</t>
        </is>
      </c>
      <c r="B344" s="6" t="inlineStr">
        <is>
          <t>2026-06-30</t>
        </is>
      </c>
      <c r="C344" s="6" t="inlineStr">
        <is>
          <t>ACH/CHECK DEPOSIT</t>
        </is>
      </c>
      <c r="D344" s="6" t="inlineStr">
        <is>
          <t>1000</t>
        </is>
      </c>
      <c r="E344" s="6" t="inlineStr">
        <is>
          <t>Lake Oswego Office Partners - East Asset Management; Customer receipt applied to AR-0031371</t>
        </is>
      </c>
      <c r="F344" s="7" t="n">
        <v>279.42</v>
      </c>
      <c r="G344" s="7" t="n">
        <v>0</v>
      </c>
      <c r="H344" s="7">
        <f>F344+G344</f>
        <v/>
      </c>
      <c r="I344" s="6" t="inlineStr">
        <is>
          <t>cleared</t>
        </is>
      </c>
      <c r="J344" s="6" t="inlineStr">
        <is>
          <t>bank feed / RCPT-AR-0031371</t>
        </is>
      </c>
    </row>
    <row r="345">
      <c r="A345" s="6" t="inlineStr">
        <is>
          <t>1000-0340</t>
        </is>
      </c>
      <c r="B345" s="6" t="inlineStr">
        <is>
          <t>2026-06-30</t>
        </is>
      </c>
      <c r="C345" s="6" t="inlineStr">
        <is>
          <t>ACH/CHECK DEPOSIT</t>
        </is>
      </c>
      <c r="D345" s="6" t="inlineStr">
        <is>
          <t>1000</t>
        </is>
      </c>
      <c r="E345" s="6" t="inlineStr">
        <is>
          <t>Pioneer Medical Properties - West LLC; Customer receipt applied to AR-0031375</t>
        </is>
      </c>
      <c r="F345" s="7" t="n">
        <v>219.61</v>
      </c>
      <c r="G345" s="7" t="n">
        <v>0</v>
      </c>
      <c r="H345" s="7">
        <f>F345+G345</f>
        <v/>
      </c>
      <c r="I345" s="6" t="inlineStr">
        <is>
          <t>cleared</t>
        </is>
      </c>
      <c r="J345" s="6" t="inlineStr">
        <is>
          <t>bank feed / RCPT-AR-0031375</t>
        </is>
      </c>
    </row>
    <row r="346">
      <c r="A346" s="6" t="inlineStr">
        <is>
          <t>1000-0341</t>
        </is>
      </c>
      <c r="B346" s="6" t="inlineStr">
        <is>
          <t>2026-06-30</t>
        </is>
      </c>
      <c r="C346" s="6" t="inlineStr">
        <is>
          <t>ACH/CHECK DEPOSIT</t>
        </is>
      </c>
      <c r="D346" s="6" t="inlineStr">
        <is>
          <t>1000</t>
        </is>
      </c>
      <c r="E346" s="6" t="inlineStr">
        <is>
          <t>McKenzie River Foods - Central Holdings, LLC; Customer receipt applied to AR-0031380</t>
        </is>
      </c>
      <c r="F346" s="7" t="n">
        <v>597.27</v>
      </c>
      <c r="G346" s="7" t="n">
        <v>0</v>
      </c>
      <c r="H346" s="7">
        <f>F346+G346</f>
        <v/>
      </c>
      <c r="I346" s="6" t="inlineStr">
        <is>
          <t>cleared</t>
        </is>
      </c>
      <c r="J346" s="6" t="inlineStr">
        <is>
          <t>bank feed / RCPT-AR-0031380</t>
        </is>
      </c>
    </row>
    <row r="347">
      <c r="A347" s="6" t="inlineStr">
        <is>
          <t>1000-0342</t>
        </is>
      </c>
      <c r="B347" s="6" t="inlineStr">
        <is>
          <t>2026-06-30</t>
        </is>
      </c>
      <c r="C347" s="6" t="inlineStr">
        <is>
          <t>ACH/CHECK DEPOSIT</t>
        </is>
      </c>
      <c r="D347" s="6" t="inlineStr">
        <is>
          <t>1000</t>
        </is>
      </c>
      <c r="E347" s="6" t="inlineStr">
        <is>
          <t>High Desert Manufacturing - Portfolio Development Company; Customer receipt applied to AR-0031385</t>
        </is>
      </c>
      <c r="F347" s="7" t="n">
        <v>338.56</v>
      </c>
      <c r="G347" s="7" t="n">
        <v>0</v>
      </c>
      <c r="H347" s="7">
        <f>F347+G347</f>
        <v/>
      </c>
      <c r="I347" s="6" t="inlineStr">
        <is>
          <t>cleared</t>
        </is>
      </c>
      <c r="J347" s="6" t="inlineStr">
        <is>
          <t>bank feed / RCPT-AR-0031385</t>
        </is>
      </c>
    </row>
    <row r="348">
      <c r="A348" s="6" t="inlineStr">
        <is>
          <t>1000-0343</t>
        </is>
      </c>
      <c r="B348" s="6" t="inlineStr">
        <is>
          <t>2026-06-30</t>
        </is>
      </c>
      <c r="C348" s="6" t="inlineStr">
        <is>
          <t>ACH/CHECK DEPOSIT</t>
        </is>
      </c>
      <c r="D348" s="6" t="inlineStr">
        <is>
          <t>1000</t>
        </is>
      </c>
      <c r="E348" s="6" t="inlineStr">
        <is>
          <t>Columbia River Logistics - Portfolio Facilities; Customer receipt applied to AR-0031390</t>
        </is>
      </c>
      <c r="F348" s="7" t="n">
        <v>231.66</v>
      </c>
      <c r="G348" s="7" t="n">
        <v>0</v>
      </c>
      <c r="H348" s="7">
        <f>F348+G348</f>
        <v/>
      </c>
      <c r="I348" s="6" t="inlineStr">
        <is>
          <t>cleared</t>
        </is>
      </c>
      <c r="J348" s="6" t="inlineStr">
        <is>
          <t>bank feed / RCPT-AR-0031390</t>
        </is>
      </c>
    </row>
    <row r="349">
      <c r="A349" s="6" t="inlineStr">
        <is>
          <t>1000-0344</t>
        </is>
      </c>
      <c r="B349" s="6" t="inlineStr">
        <is>
          <t>2026-06-30</t>
        </is>
      </c>
      <c r="C349" s="6" t="inlineStr">
        <is>
          <t>ACH/CHECK DEPOSIT</t>
        </is>
      </c>
      <c r="D349" s="6" t="inlineStr">
        <is>
          <t>1000</t>
        </is>
      </c>
      <c r="E349" s="6" t="inlineStr">
        <is>
          <t>Hillsboro Life Sciences - Campus Campus Services; Customer receipt applied to AR-0031392</t>
        </is>
      </c>
      <c r="F349" s="7" t="n">
        <v>958.41</v>
      </c>
      <c r="G349" s="7" t="n">
        <v>0</v>
      </c>
      <c r="H349" s="7">
        <f>F349+G349</f>
        <v/>
      </c>
      <c r="I349" s="6" t="inlineStr">
        <is>
          <t>cleared</t>
        </is>
      </c>
      <c r="J349" s="6" t="inlineStr">
        <is>
          <t>bank feed / RCPT-AR-0031392</t>
        </is>
      </c>
    </row>
    <row r="350">
      <c r="A350" s="6" t="inlineStr">
        <is>
          <t>1000-0345</t>
        </is>
      </c>
      <c r="B350" s="6" t="inlineStr">
        <is>
          <t>2026-06-30</t>
        </is>
      </c>
      <c r="C350" s="6" t="inlineStr">
        <is>
          <t>ACH/CHECK DEPOSIT</t>
        </is>
      </c>
      <c r="D350" s="6" t="inlineStr">
        <is>
          <t>1000</t>
        </is>
      </c>
      <c r="E350" s="6" t="inlineStr">
        <is>
          <t>Tualatin Commerce Center Operating Company; Customer receipt applied to AR-0031395</t>
        </is>
      </c>
      <c r="F350" s="7" t="n">
        <v>1793.08</v>
      </c>
      <c r="G350" s="7" t="n">
        <v>0</v>
      </c>
      <c r="H350" s="7">
        <f>F350+G350</f>
        <v/>
      </c>
      <c r="I350" s="6" t="inlineStr">
        <is>
          <t>cleared</t>
        </is>
      </c>
      <c r="J350" s="6" t="inlineStr">
        <is>
          <t>bank feed / RCPT-AR-0031395</t>
        </is>
      </c>
    </row>
    <row r="351">
      <c r="A351" s="6" t="inlineStr">
        <is>
          <t>1000-0346</t>
        </is>
      </c>
      <c r="B351" s="6" t="inlineStr">
        <is>
          <t>2026-06-30</t>
        </is>
      </c>
      <c r="C351" s="6" t="inlineStr">
        <is>
          <t>ACH/CHECK DEPOSIT</t>
        </is>
      </c>
      <c r="D351" s="6" t="inlineStr">
        <is>
          <t>1000</t>
        </is>
      </c>
      <c r="E351" s="6" t="inlineStr">
        <is>
          <t>Juniper Ridge Properties - North Facilities; Customer receipt applied to AR-0031401</t>
        </is>
      </c>
      <c r="F351" s="7" t="n">
        <v>116.04</v>
      </c>
      <c r="G351" s="7" t="n">
        <v>0</v>
      </c>
      <c r="H351" s="7">
        <f>F351+G351</f>
        <v/>
      </c>
      <c r="I351" s="6" t="inlineStr">
        <is>
          <t>cleared</t>
        </is>
      </c>
      <c r="J351" s="6" t="inlineStr">
        <is>
          <t>bank feed / RCPT-AR-0031401</t>
        </is>
      </c>
    </row>
    <row r="352">
      <c r="A352" s="6" t="inlineStr">
        <is>
          <t>1000-0347</t>
        </is>
      </c>
      <c r="B352" s="6" t="inlineStr">
        <is>
          <t>2026-06-30</t>
        </is>
      </c>
      <c r="C352" s="6" t="inlineStr">
        <is>
          <t>ACH/CHECK DEPOSIT</t>
        </is>
      </c>
      <c r="D352" s="6" t="inlineStr">
        <is>
          <t>1000</t>
        </is>
      </c>
      <c r="E352" s="6" t="inlineStr">
        <is>
          <t>Alder Creek Medical - North Property Group; Customer receipt applied to AR-0031402</t>
        </is>
      </c>
      <c r="F352" s="7" t="n">
        <v>3331.14</v>
      </c>
      <c r="G352" s="7" t="n">
        <v>0</v>
      </c>
      <c r="H352" s="7">
        <f>F352+G352</f>
        <v/>
      </c>
      <c r="I352" s="6" t="inlineStr">
        <is>
          <t>cleared</t>
        </is>
      </c>
      <c r="J352" s="6" t="inlineStr">
        <is>
          <t>bank feed / RCPT-AR-0031402</t>
        </is>
      </c>
    </row>
    <row r="353">
      <c r="A353" s="6" t="inlineStr">
        <is>
          <t>1000-0348</t>
        </is>
      </c>
      <c r="B353" s="6" t="inlineStr">
        <is>
          <t>2026-06-30</t>
        </is>
      </c>
      <c r="C353" s="6" t="inlineStr">
        <is>
          <t>ACH/CHECK DEPOSIT</t>
        </is>
      </c>
      <c r="D353" s="6" t="inlineStr">
        <is>
          <t>1000</t>
        </is>
      </c>
      <c r="E353" s="6" t="inlineStr">
        <is>
          <t>Klamath County Facilities - South Holdings, LLC; Customer receipt applied to AR-0031408</t>
        </is>
      </c>
      <c r="F353" s="7" t="n">
        <v>136.96</v>
      </c>
      <c r="G353" s="7" t="n">
        <v>0</v>
      </c>
      <c r="H353" s="7">
        <f>F353+G353</f>
        <v/>
      </c>
      <c r="I353" s="6" t="inlineStr">
        <is>
          <t>cleared</t>
        </is>
      </c>
      <c r="J353" s="6" t="inlineStr">
        <is>
          <t>bank feed / RCPT-AR-0031408</t>
        </is>
      </c>
    </row>
    <row r="354">
      <c r="A354" s="6" t="inlineStr">
        <is>
          <t>1000-0349</t>
        </is>
      </c>
      <c r="B354" s="6" t="inlineStr">
        <is>
          <t>2026-06-30</t>
        </is>
      </c>
      <c r="C354" s="6" t="inlineStr">
        <is>
          <t>ACH/CHECK DEPOSIT</t>
        </is>
      </c>
      <c r="D354" s="6" t="inlineStr">
        <is>
          <t>1000</t>
        </is>
      </c>
      <c r="E354" s="6" t="inlineStr">
        <is>
          <t>Forest Park Hospitality - West Asset Management; Customer receipt applied to AR-0031422</t>
        </is>
      </c>
      <c r="F354" s="7" t="n">
        <v>273.45</v>
      </c>
      <c r="G354" s="7" t="n">
        <v>0</v>
      </c>
      <c r="H354" s="7">
        <f>F354+G354</f>
        <v/>
      </c>
      <c r="I354" s="6" t="inlineStr">
        <is>
          <t>cleared</t>
        </is>
      </c>
      <c r="J354" s="6" t="inlineStr">
        <is>
          <t>bank feed / RCPT-AR-0031422</t>
        </is>
      </c>
    </row>
    <row r="355">
      <c r="A355" s="6" t="inlineStr">
        <is>
          <t>1000-0350</t>
        </is>
      </c>
      <c r="B355" s="6" t="inlineStr">
        <is>
          <t>2026-06-30</t>
        </is>
      </c>
      <c r="C355" s="6" t="inlineStr">
        <is>
          <t>ACH/CHECK DEPOSIT</t>
        </is>
      </c>
      <c r="D355" s="6" t="inlineStr">
        <is>
          <t>1000</t>
        </is>
      </c>
      <c r="E355" s="6" t="inlineStr">
        <is>
          <t>Clackamas Health Network - Operations Asset Management; Customer receipt applied to AR-0031425</t>
        </is>
      </c>
      <c r="F355" s="7" t="n">
        <v>209.04</v>
      </c>
      <c r="G355" s="7" t="n">
        <v>0</v>
      </c>
      <c r="H355" s="7">
        <f>F355+G355</f>
        <v/>
      </c>
      <c r="I355" s="6" t="inlineStr">
        <is>
          <t>cleared</t>
        </is>
      </c>
      <c r="J355" s="6" t="inlineStr">
        <is>
          <t>bank feed / RCPT-AR-0031425</t>
        </is>
      </c>
    </row>
    <row r="356">
      <c r="A356" s="6" t="inlineStr">
        <is>
          <t>1000-0351</t>
        </is>
      </c>
      <c r="B356" s="6" t="inlineStr">
        <is>
          <t>2026-06-30</t>
        </is>
      </c>
      <c r="C356" s="6" t="inlineStr">
        <is>
          <t>ACH/CHECK DEPOSIT</t>
        </is>
      </c>
      <c r="D356" s="6" t="inlineStr">
        <is>
          <t>1000</t>
        </is>
      </c>
      <c r="E356" s="6" t="inlineStr">
        <is>
          <t>Clackamas Health Network - Operations Real Estate, LLC; Customer receipt applied to AR-0031427</t>
        </is>
      </c>
      <c r="F356" s="7" t="n">
        <v>1793.39</v>
      </c>
      <c r="G356" s="7" t="n">
        <v>0</v>
      </c>
      <c r="H356" s="7">
        <f>F356+G356</f>
        <v/>
      </c>
      <c r="I356" s="6" t="inlineStr">
        <is>
          <t>cleared</t>
        </is>
      </c>
      <c r="J356" s="6" t="inlineStr">
        <is>
          <t>bank feed / RCPT-AR-0031427</t>
        </is>
      </c>
    </row>
    <row r="357">
      <c r="A357" s="6" t="inlineStr">
        <is>
          <t>1000-0352</t>
        </is>
      </c>
      <c r="B357" s="6" t="inlineStr">
        <is>
          <t>2026-06-30</t>
        </is>
      </c>
      <c r="C357" s="6" t="inlineStr">
        <is>
          <t>ACH/CHECK DEPOSIT</t>
        </is>
      </c>
      <c r="D357" s="6" t="inlineStr">
        <is>
          <t>1000</t>
        </is>
      </c>
      <c r="E357" s="6" t="inlineStr">
        <is>
          <t>Valley View Food Systems - Operations Holdings, LLC; Customer receipt applied to AR-0031430</t>
        </is>
      </c>
      <c r="F357" s="7" t="n">
        <v>599.95</v>
      </c>
      <c r="G357" s="7" t="n">
        <v>0</v>
      </c>
      <c r="H357" s="7">
        <f>F357+G357</f>
        <v/>
      </c>
      <c r="I357" s="6" t="inlineStr">
        <is>
          <t>cleared</t>
        </is>
      </c>
      <c r="J357" s="6" t="inlineStr">
        <is>
          <t>bank feed / RCPT-AR-0031430</t>
        </is>
      </c>
    </row>
    <row r="358">
      <c r="A358" s="6" t="inlineStr">
        <is>
          <t>1000-0353</t>
        </is>
      </c>
      <c r="B358" s="6" t="inlineStr">
        <is>
          <t>2026-06-30</t>
        </is>
      </c>
      <c r="C358" s="6" t="inlineStr">
        <is>
          <t>ACH/CHECK DEPOSIT</t>
        </is>
      </c>
      <c r="D358" s="6" t="inlineStr">
        <is>
          <t>1000</t>
        </is>
      </c>
      <c r="E358" s="6" t="inlineStr">
        <is>
          <t>Hillsboro Life Sciences - Campus Asset Management; Customer receipt applied to AR-0031436</t>
        </is>
      </c>
      <c r="F358" s="7" t="n">
        <v>1490.47</v>
      </c>
      <c r="G358" s="7" t="n">
        <v>0</v>
      </c>
      <c r="H358" s="7">
        <f>F358+G358</f>
        <v/>
      </c>
      <c r="I358" s="6" t="inlineStr">
        <is>
          <t>cleared</t>
        </is>
      </c>
      <c r="J358" s="6" t="inlineStr">
        <is>
          <t>bank feed / RCPT-AR-0031436</t>
        </is>
      </c>
    </row>
    <row r="359">
      <c r="A359" s="6" t="inlineStr">
        <is>
          <t>1000-0354</t>
        </is>
      </c>
      <c r="B359" s="6" t="inlineStr">
        <is>
          <t>2026-06-30</t>
        </is>
      </c>
      <c r="C359" s="6" t="inlineStr">
        <is>
          <t>ACH/CHECK DEPOSIT</t>
        </is>
      </c>
      <c r="D359" s="6" t="inlineStr">
        <is>
          <t>1000</t>
        </is>
      </c>
      <c r="E359" s="6" t="inlineStr">
        <is>
          <t>Oak Street Development - North LLC; Customer receipt applied to AR-0031440</t>
        </is>
      </c>
      <c r="F359" s="7" t="n">
        <v>516.6799999999999</v>
      </c>
      <c r="G359" s="7" t="n">
        <v>0</v>
      </c>
      <c r="H359" s="7">
        <f>F359+G359</f>
        <v/>
      </c>
      <c r="I359" s="6" t="inlineStr">
        <is>
          <t>cleared</t>
        </is>
      </c>
      <c r="J359" s="6" t="inlineStr">
        <is>
          <t>bank feed / RCPT-AR-0031440</t>
        </is>
      </c>
    </row>
    <row r="360">
      <c r="A360" s="6" t="inlineStr">
        <is>
          <t>1000-0355</t>
        </is>
      </c>
      <c r="B360" s="6" t="inlineStr">
        <is>
          <t>2026-06-30</t>
        </is>
      </c>
      <c r="C360" s="6" t="inlineStr">
        <is>
          <t>ACH/CHECK DEPOSIT</t>
        </is>
      </c>
      <c r="D360" s="6" t="inlineStr">
        <is>
          <t>1000</t>
        </is>
      </c>
      <c r="E360" s="6" t="inlineStr">
        <is>
          <t>Oregon Advanced Materials - South Real Estate, LLC; Customer receipt applied to AR-0031449</t>
        </is>
      </c>
      <c r="F360" s="7" t="n">
        <v>1856.13</v>
      </c>
      <c r="G360" s="7" t="n">
        <v>0</v>
      </c>
      <c r="H360" s="7">
        <f>F360+G360</f>
        <v/>
      </c>
      <c r="I360" s="6" t="inlineStr">
        <is>
          <t>cleared</t>
        </is>
      </c>
      <c r="J360" s="6" t="inlineStr">
        <is>
          <t>bank feed / RCPT-AR-0031449</t>
        </is>
      </c>
    </row>
    <row r="361">
      <c r="A361" s="6" t="inlineStr">
        <is>
          <t>1000-0356</t>
        </is>
      </c>
      <c r="B361" s="6" t="inlineStr">
        <is>
          <t>2026-06-30</t>
        </is>
      </c>
      <c r="C361" s="6" t="inlineStr">
        <is>
          <t>ACH/CHECK DEPOSIT</t>
        </is>
      </c>
      <c r="D361" s="6" t="inlineStr">
        <is>
          <t>1000</t>
        </is>
      </c>
      <c r="E361" s="6" t="inlineStr">
        <is>
          <t>Klamath County Facilities - South Property Group; Customer receipt applied to AR-0031452</t>
        </is>
      </c>
      <c r="F361" s="7" t="n">
        <v>673.13</v>
      </c>
      <c r="G361" s="7" t="n">
        <v>0</v>
      </c>
      <c r="H361" s="7">
        <f>F361+G361</f>
        <v/>
      </c>
      <c r="I361" s="6" t="inlineStr">
        <is>
          <t>cleared</t>
        </is>
      </c>
      <c r="J361" s="6" t="inlineStr">
        <is>
          <t>bank feed / RCPT-AR-0031452</t>
        </is>
      </c>
    </row>
    <row r="362">
      <c r="A362" s="6" t="inlineStr">
        <is>
          <t>1000-0357</t>
        </is>
      </c>
      <c r="B362" s="6" t="inlineStr">
        <is>
          <t>2026-06-30</t>
        </is>
      </c>
      <c r="C362" s="6" t="inlineStr">
        <is>
          <t>ACH/CHECK DEPOSIT</t>
        </is>
      </c>
      <c r="D362" s="6" t="inlineStr">
        <is>
          <t>1000</t>
        </is>
      </c>
      <c r="E362" s="6" t="inlineStr">
        <is>
          <t>Klamath County Facilities - South LLC; Customer receipt applied to AR-0031454</t>
        </is>
      </c>
      <c r="F362" s="7" t="n">
        <v>172.01</v>
      </c>
      <c r="G362" s="7" t="n">
        <v>0</v>
      </c>
      <c r="H362" s="7">
        <f>F362+G362</f>
        <v/>
      </c>
      <c r="I362" s="6" t="inlineStr">
        <is>
          <t>cleared</t>
        </is>
      </c>
      <c r="J362" s="6" t="inlineStr">
        <is>
          <t>bank feed / RCPT-AR-0031454</t>
        </is>
      </c>
    </row>
    <row r="363">
      <c r="A363" s="6" t="inlineStr">
        <is>
          <t>1000-0358</t>
        </is>
      </c>
      <c r="B363" s="6" t="inlineStr">
        <is>
          <t>2026-06-30</t>
        </is>
      </c>
      <c r="C363" s="6" t="inlineStr">
        <is>
          <t>ACH/CHECK DEPOSIT</t>
        </is>
      </c>
      <c r="D363" s="6" t="inlineStr">
        <is>
          <t>1000</t>
        </is>
      </c>
      <c r="E363" s="6" t="inlineStr">
        <is>
          <t>Clackamas Health Network Operating Company; Customer receipt applied to AR-0031458</t>
        </is>
      </c>
      <c r="F363" s="7" t="n">
        <v>2004.6</v>
      </c>
      <c r="G363" s="7" t="n">
        <v>0</v>
      </c>
      <c r="H363" s="7">
        <f>F363+G363</f>
        <v/>
      </c>
      <c r="I363" s="6" t="inlineStr">
        <is>
          <t>cleared</t>
        </is>
      </c>
      <c r="J363" s="6" t="inlineStr">
        <is>
          <t>bank feed / RCPT-AR-0031458</t>
        </is>
      </c>
    </row>
    <row r="364">
      <c r="A364" s="6" t="inlineStr">
        <is>
          <t>1000-0359</t>
        </is>
      </c>
      <c r="B364" s="6" t="inlineStr">
        <is>
          <t>2026-06-30</t>
        </is>
      </c>
      <c r="C364" s="6" t="inlineStr">
        <is>
          <t>ACH/CHECK DEPOSIT</t>
        </is>
      </c>
      <c r="D364" s="6" t="inlineStr">
        <is>
          <t>1000</t>
        </is>
      </c>
      <c r="E364" s="6" t="inlineStr">
        <is>
          <t>McKenzie River Foods - Central Facilities; Customer receipt applied to AR-0031468</t>
        </is>
      </c>
      <c r="F364" s="7" t="n">
        <v>936.09</v>
      </c>
      <c r="G364" s="7" t="n">
        <v>0</v>
      </c>
      <c r="H364" s="7">
        <f>F364+G364</f>
        <v/>
      </c>
      <c r="I364" s="6" t="inlineStr">
        <is>
          <t>cleared</t>
        </is>
      </c>
      <c r="J364" s="6" t="inlineStr">
        <is>
          <t>bank feed / RCPT-AR-0031468</t>
        </is>
      </c>
    </row>
    <row r="365">
      <c r="A365" s="6" t="inlineStr">
        <is>
          <t>1000-0360</t>
        </is>
      </c>
      <c r="B365" s="6" t="inlineStr">
        <is>
          <t>2026-06-30</t>
        </is>
      </c>
      <c r="C365" s="6" t="inlineStr">
        <is>
          <t>ACH/CHECK DEPOSIT</t>
        </is>
      </c>
      <c r="D365" s="6" t="inlineStr">
        <is>
          <t>1000</t>
        </is>
      </c>
      <c r="E365" s="6" t="inlineStr">
        <is>
          <t>Clackamas Health Network - Operations Campus Services; Customer receipt applied to AR-0031471</t>
        </is>
      </c>
      <c r="F365" s="7" t="n">
        <v>1903.85</v>
      </c>
      <c r="G365" s="7" t="n">
        <v>0</v>
      </c>
      <c r="H365" s="7">
        <f>F365+G365</f>
        <v/>
      </c>
      <c r="I365" s="6" t="inlineStr">
        <is>
          <t>cleared</t>
        </is>
      </c>
      <c r="J365" s="6" t="inlineStr">
        <is>
          <t>bank feed / RCPT-AR-0031471</t>
        </is>
      </c>
    </row>
    <row r="366">
      <c r="A366" s="6" t="inlineStr">
        <is>
          <t>1000-0361</t>
        </is>
      </c>
      <c r="B366" s="6" t="inlineStr">
        <is>
          <t>2026-06-30</t>
        </is>
      </c>
      <c r="C366" s="6" t="inlineStr">
        <is>
          <t>ACH/CHECK DEPOSIT</t>
        </is>
      </c>
      <c r="D366" s="6" t="inlineStr">
        <is>
          <t>1000</t>
        </is>
      </c>
      <c r="E366" s="6" t="inlineStr">
        <is>
          <t>Mt. Hood Community Health - Operations Development Company; Customer receipt applied to AR-0031477</t>
        </is>
      </c>
      <c r="F366" s="7" t="n">
        <v>1199.96</v>
      </c>
      <c r="G366" s="7" t="n">
        <v>0</v>
      </c>
      <c r="H366" s="7">
        <f>F366+G366</f>
        <v/>
      </c>
      <c r="I366" s="6" t="inlineStr">
        <is>
          <t>cleared</t>
        </is>
      </c>
      <c r="J366" s="6" t="inlineStr">
        <is>
          <t>bank feed / RCPT-AR-0031477</t>
        </is>
      </c>
    </row>
    <row r="367">
      <c r="A367" s="6" t="inlineStr">
        <is>
          <t>1000-0362</t>
        </is>
      </c>
      <c r="B367" s="6" t="inlineStr">
        <is>
          <t>2026-06-30</t>
        </is>
      </c>
      <c r="C367" s="6" t="inlineStr">
        <is>
          <t>ACH DEBIT</t>
        </is>
      </c>
      <c r="D367" s="6" t="inlineStr">
        <is>
          <t>1000</t>
        </is>
      </c>
      <c r="E367" s="6" t="inlineStr">
        <is>
          <t>Cascade Business Systems - Beaverton LLC; Vendor payment applied to AP-0009910</t>
        </is>
      </c>
      <c r="F367" s="7" t="n">
        <v>-2190.54</v>
      </c>
      <c r="G367" s="7" t="n">
        <v>0</v>
      </c>
      <c r="H367" s="7">
        <f>F367+G367</f>
        <v/>
      </c>
      <c r="I367" s="6" t="inlineStr">
        <is>
          <t>cleared</t>
        </is>
      </c>
      <c r="J367" s="6" t="inlineStr">
        <is>
          <t>bank feed / ACH-AP-0009910</t>
        </is>
      </c>
    </row>
    <row r="368">
      <c r="A368" s="6" t="inlineStr">
        <is>
          <t>1000-0363</t>
        </is>
      </c>
      <c r="B368" s="6" t="inlineStr">
        <is>
          <t>2026-06-30</t>
        </is>
      </c>
      <c r="C368" s="6" t="inlineStr">
        <is>
          <t>ACH DEBIT</t>
        </is>
      </c>
      <c r="D368" s="6" t="inlineStr">
        <is>
          <t>1000</t>
        </is>
      </c>
      <c r="E368" s="6" t="inlineStr">
        <is>
          <t>Cascade Business Systems - Beaverton LLC; Vendor payment applied to AP-0009931</t>
        </is>
      </c>
      <c r="F368" s="7" t="n">
        <v>-2646.9</v>
      </c>
      <c r="G368" s="7" t="n">
        <v>0</v>
      </c>
      <c r="H368" s="7">
        <f>F368+G368</f>
        <v/>
      </c>
      <c r="I368" s="6" t="inlineStr">
        <is>
          <t>cleared</t>
        </is>
      </c>
      <c r="J368" s="6" t="inlineStr">
        <is>
          <t>bank feed / ACH-AP-0009931</t>
        </is>
      </c>
    </row>
    <row r="369">
      <c r="A369" s="6" t="inlineStr">
        <is>
          <t>1000-0364</t>
        </is>
      </c>
      <c r="B369" s="6" t="inlineStr">
        <is>
          <t>2026-06-30</t>
        </is>
      </c>
      <c r="C369" s="6" t="inlineStr">
        <is>
          <t>ACH DEBIT</t>
        </is>
      </c>
      <c r="D369" s="6" t="inlineStr">
        <is>
          <t>1000</t>
        </is>
      </c>
      <c r="E369" s="6" t="inlineStr">
        <is>
          <t>Tri-County Safety and Industrial Supply - Eugene LLC; Vendor payment applied to AP-0009942</t>
        </is>
      </c>
      <c r="F369" s="7" t="n">
        <v>-1970.2</v>
      </c>
      <c r="G369" s="7" t="n">
        <v>0</v>
      </c>
      <c r="H369" s="7">
        <f>F369+G369</f>
        <v/>
      </c>
      <c r="I369" s="6" t="inlineStr">
        <is>
          <t>cleared</t>
        </is>
      </c>
      <c r="J369" s="6" t="inlineStr">
        <is>
          <t>bank feed / ACH-AP-0009942</t>
        </is>
      </c>
    </row>
    <row r="370">
      <c r="A370" s="6" t="inlineStr">
        <is>
          <t>1000-0365</t>
        </is>
      </c>
      <c r="B370" s="6" t="inlineStr">
        <is>
          <t>2026-06-30</t>
        </is>
      </c>
      <c r="C370" s="6" t="inlineStr">
        <is>
          <t>ACH DEBIT</t>
        </is>
      </c>
      <c r="D370" s="6" t="inlineStr">
        <is>
          <t>1000</t>
        </is>
      </c>
      <c r="E370" s="6" t="inlineStr">
        <is>
          <t>West Coast Construction Advisory - Eugene Company; Vendor payment applied to AP-0011880</t>
        </is>
      </c>
      <c r="F370" s="7" t="n">
        <v>-11523.91</v>
      </c>
      <c r="G370" s="7" t="n">
        <v>0</v>
      </c>
      <c r="H370" s="7">
        <f>F370+G370</f>
        <v/>
      </c>
      <c r="I370" s="6" t="inlineStr">
        <is>
          <t>cleared</t>
        </is>
      </c>
      <c r="J370" s="6" t="inlineStr">
        <is>
          <t>bank feed / ACH-AP-0011880</t>
        </is>
      </c>
    </row>
    <row r="371">
      <c r="A371" s="6" t="inlineStr">
        <is>
          <t>1000-0366</t>
        </is>
      </c>
      <c r="B371" s="6" t="inlineStr">
        <is>
          <t>2026-06-30</t>
        </is>
      </c>
      <c r="C371" s="6" t="inlineStr">
        <is>
          <t>INTERNAL TRANSFER</t>
        </is>
      </c>
      <c r="D371" s="6" t="inlineStr">
        <is>
          <t>1000</t>
        </is>
      </c>
      <c r="E371" s="6" t="inlineStr">
        <is>
          <t>Payroll account 7718; Fund corporate payroll</t>
        </is>
      </c>
      <c r="F371" s="7" t="n">
        <v>-153019.67</v>
      </c>
      <c r="G371" s="7" t="n">
        <v>0</v>
      </c>
      <c r="H371" s="7">
        <f>F371+G371</f>
        <v/>
      </c>
      <c r="I371" s="6" t="inlineStr">
        <is>
          <t>cleared</t>
        </is>
      </c>
      <c r="J371" s="6" t="inlineStr">
        <is>
          <t>bank feed / FUND-CORP-PAY-202606-2</t>
        </is>
      </c>
    </row>
    <row r="372">
      <c r="A372" s="6" t="inlineStr">
        <is>
          <t>1000-0367</t>
        </is>
      </c>
      <c r="B372" s="6" t="inlineStr">
        <is>
          <t>2026-06-30</t>
        </is>
      </c>
      <c r="C372" s="6" t="inlineStr">
        <is>
          <t>ACH DEBIT</t>
        </is>
      </c>
      <c r="D372" s="6" t="inlineStr">
        <is>
          <t>1000</t>
        </is>
      </c>
      <c r="E372" s="6" t="inlineStr">
        <is>
          <t>Equipment finance lender; Principal and interest EQ-2022-03</t>
        </is>
      </c>
      <c r="F372" s="7" t="n">
        <v>-14777.02</v>
      </c>
      <c r="G372" s="7" t="n">
        <v>0</v>
      </c>
      <c r="H372" s="7">
        <f>F372+G372</f>
        <v/>
      </c>
      <c r="I372" s="6" t="inlineStr">
        <is>
          <t>cleared</t>
        </is>
      </c>
      <c r="J372" s="6" t="inlineStr">
        <is>
          <t>bank feed / DEBT-EQ-2022-03-050</t>
        </is>
      </c>
    </row>
    <row r="373">
      <c r="A373" s="6" t="inlineStr">
        <is>
          <t>1000-0368</t>
        </is>
      </c>
      <c r="B373" s="6" t="inlineStr">
        <is>
          <t>2026-06-30</t>
        </is>
      </c>
      <c r="C373" s="6" t="inlineStr">
        <is>
          <t>ACH DEBIT</t>
        </is>
      </c>
      <c r="D373" s="6" t="inlineStr">
        <is>
          <t>1000</t>
        </is>
      </c>
      <c r="E373" s="6" t="inlineStr">
        <is>
          <t>Equipment finance lender; Principal and interest EQ-2024-04</t>
        </is>
      </c>
      <c r="F373" s="7" t="n">
        <v>-17310</v>
      </c>
      <c r="G373" s="7" t="n">
        <v>0</v>
      </c>
      <c r="H373" s="7">
        <f>F373+G373</f>
        <v/>
      </c>
      <c r="I373" s="6" t="inlineStr">
        <is>
          <t>cleared</t>
        </is>
      </c>
      <c r="J373" s="6" t="inlineStr">
        <is>
          <t>bank feed / DEBT-EQ-2024-04-028</t>
        </is>
      </c>
    </row>
    <row r="374">
      <c r="A374" s="6" t="inlineStr">
        <is>
          <t>1000-0369</t>
        </is>
      </c>
      <c r="B374" s="6" t="inlineStr">
        <is>
          <t>2026-06-30</t>
        </is>
      </c>
      <c r="C374" s="6" t="inlineStr">
        <is>
          <t>ACH DEBIT</t>
        </is>
      </c>
      <c r="D374" s="6" t="inlineStr">
        <is>
          <t>1000</t>
        </is>
      </c>
      <c r="E374" s="6" t="inlineStr">
        <is>
          <t>Equipment finance lender; Principal and interest EQ-2025-05</t>
        </is>
      </c>
      <c r="F374" s="7" t="n">
        <v>-12416.67</v>
      </c>
      <c r="G374" s="7" t="n">
        <v>0</v>
      </c>
      <c r="H374" s="7">
        <f>F374+G374</f>
        <v/>
      </c>
      <c r="I374" s="6" t="inlineStr">
        <is>
          <t>cleared</t>
        </is>
      </c>
      <c r="J374" s="6" t="inlineStr">
        <is>
          <t>bank feed / DEBT-EQ-2025-05-011</t>
        </is>
      </c>
    </row>
    <row r="375">
      <c r="A375" s="6" t="inlineStr">
        <is>
          <t>1000-0370</t>
        </is>
      </c>
      <c r="B375" s="6" t="inlineStr">
        <is>
          <t>2026-06-30</t>
        </is>
      </c>
      <c r="C375" s="6" t="inlineStr">
        <is>
          <t>INTERNAL TRANSFER</t>
        </is>
      </c>
      <c r="D375" s="6" t="inlineStr">
        <is>
          <t>1000</t>
        </is>
      </c>
      <c r="E375" s="6" t="inlineStr">
        <is>
          <t>Money Market 1059; Quarter-end treasury sweep</t>
        </is>
      </c>
      <c r="F375" s="7" t="n">
        <v>-1250000</v>
      </c>
      <c r="G375" s="7" t="n">
        <v>0</v>
      </c>
      <c r="H375" s="7">
        <f>F375+G375</f>
        <v/>
      </c>
      <c r="I375" s="6" t="inlineStr">
        <is>
          <t>cleared</t>
        </is>
      </c>
      <c r="J375" s="6" t="inlineStr">
        <is>
          <t>bank feed / MM-SWEEP-2026Q2</t>
        </is>
      </c>
    </row>
    <row r="376">
      <c r="A376" s="6" t="inlineStr">
        <is>
          <t>1010-0371</t>
        </is>
      </c>
      <c r="B376" s="6" t="inlineStr">
        <is>
          <t>2026-06-21</t>
        </is>
      </c>
      <c r="C376" s="6" t="inlineStr">
        <is>
          <t>INTERNAL TRANSFER</t>
        </is>
      </c>
      <c r="D376" s="6" t="inlineStr">
        <is>
          <t>1010</t>
        </is>
      </c>
      <c r="E376" s="6" t="inlineStr">
        <is>
          <t>Operating account 4431; Payroll funding received</t>
        </is>
      </c>
      <c r="F376" s="7" t="n">
        <v>11068.33</v>
      </c>
      <c r="G376" s="7" t="n">
        <v>0</v>
      </c>
      <c r="H376" s="7">
        <f>F376+G376</f>
        <v/>
      </c>
      <c r="I376" s="6" t="inlineStr">
        <is>
          <t>cleared</t>
        </is>
      </c>
      <c r="J376" s="6" t="inlineStr">
        <is>
          <t>bank feed / FUND-PRJ-PAY-ARM-2318-20260621</t>
        </is>
      </c>
    </row>
    <row r="377">
      <c r="A377" s="6" t="inlineStr">
        <is>
          <t>1010-0372</t>
        </is>
      </c>
      <c r="B377" s="6" t="inlineStr">
        <is>
          <t>2026-06-21</t>
        </is>
      </c>
      <c r="C377" s="6" t="inlineStr">
        <is>
          <t>PAYROLL ACH</t>
        </is>
      </c>
      <c r="D377" s="6" t="inlineStr">
        <is>
          <t>1010</t>
        </is>
      </c>
      <c r="E377" s="6" t="inlineStr">
        <is>
          <t>Employees / payroll processor; Field payroll settlement</t>
        </is>
      </c>
      <c r="F377" s="7" t="n">
        <v>-11068.33</v>
      </c>
      <c r="G377" s="7" t="n">
        <v>0</v>
      </c>
      <c r="H377" s="7">
        <f>F377+G377</f>
        <v/>
      </c>
      <c r="I377" s="6" t="inlineStr">
        <is>
          <t>cleared</t>
        </is>
      </c>
      <c r="J377" s="6" t="inlineStr">
        <is>
          <t>bank feed / PRJ-PAY-ARM-2318-20260621</t>
        </is>
      </c>
    </row>
    <row r="378">
      <c r="A378" s="6" t="inlineStr">
        <is>
          <t>1010-0373</t>
        </is>
      </c>
      <c r="B378" s="6" t="inlineStr">
        <is>
          <t>2026-06-21</t>
        </is>
      </c>
      <c r="C378" s="6" t="inlineStr">
        <is>
          <t>INTERNAL TRANSFER</t>
        </is>
      </c>
      <c r="D378" s="6" t="inlineStr">
        <is>
          <t>1010</t>
        </is>
      </c>
      <c r="E378" s="6" t="inlineStr">
        <is>
          <t>Operating account 4431; Payroll funding received</t>
        </is>
      </c>
      <c r="F378" s="7" t="n">
        <v>9359.67</v>
      </c>
      <c r="G378" s="7" t="n">
        <v>0</v>
      </c>
      <c r="H378" s="7">
        <f>F378+G378</f>
        <v/>
      </c>
      <c r="I378" s="6" t="inlineStr">
        <is>
          <t>cleared</t>
        </is>
      </c>
      <c r="J378" s="6" t="inlineStr">
        <is>
          <t>bank feed / FUND-PRJ-PAY-ARM-2403-20260621</t>
        </is>
      </c>
    </row>
    <row r="379">
      <c r="A379" s="6" t="inlineStr">
        <is>
          <t>1010-0374</t>
        </is>
      </c>
      <c r="B379" s="6" t="inlineStr">
        <is>
          <t>2026-06-21</t>
        </is>
      </c>
      <c r="C379" s="6" t="inlineStr">
        <is>
          <t>PAYROLL ACH</t>
        </is>
      </c>
      <c r="D379" s="6" t="inlineStr">
        <is>
          <t>1010</t>
        </is>
      </c>
      <c r="E379" s="6" t="inlineStr">
        <is>
          <t>Employees / payroll processor; Field payroll settlement</t>
        </is>
      </c>
      <c r="F379" s="7" t="n">
        <v>-9359.67</v>
      </c>
      <c r="G379" s="7" t="n">
        <v>0</v>
      </c>
      <c r="H379" s="7">
        <f>F379+G379</f>
        <v/>
      </c>
      <c r="I379" s="6" t="inlineStr">
        <is>
          <t>cleared</t>
        </is>
      </c>
      <c r="J379" s="6" t="inlineStr">
        <is>
          <t>bank feed / PRJ-PAY-ARM-2403-20260621</t>
        </is>
      </c>
    </row>
    <row r="380">
      <c r="A380" s="6" t="inlineStr">
        <is>
          <t>1010-0375</t>
        </is>
      </c>
      <c r="B380" s="6" t="inlineStr">
        <is>
          <t>2026-06-21</t>
        </is>
      </c>
      <c r="C380" s="6" t="inlineStr">
        <is>
          <t>INTERNAL TRANSFER</t>
        </is>
      </c>
      <c r="D380" s="6" t="inlineStr">
        <is>
          <t>1010</t>
        </is>
      </c>
      <c r="E380" s="6" t="inlineStr">
        <is>
          <t>Operating account 4431; Payroll funding received</t>
        </is>
      </c>
      <c r="F380" s="7" t="n">
        <v>11812.12</v>
      </c>
      <c r="G380" s="7" t="n">
        <v>0</v>
      </c>
      <c r="H380" s="7">
        <f>F380+G380</f>
        <v/>
      </c>
      <c r="I380" s="6" t="inlineStr">
        <is>
          <t>cleared</t>
        </is>
      </c>
      <c r="J380" s="6" t="inlineStr">
        <is>
          <t>bank feed / FUND-PRJ-PAY-ARM-2409-20260621</t>
        </is>
      </c>
    </row>
    <row r="381">
      <c r="A381" s="6" t="inlineStr">
        <is>
          <t>1010-0376</t>
        </is>
      </c>
      <c r="B381" s="6" t="inlineStr">
        <is>
          <t>2026-06-21</t>
        </is>
      </c>
      <c r="C381" s="6" t="inlineStr">
        <is>
          <t>PAYROLL ACH</t>
        </is>
      </c>
      <c r="D381" s="6" t="inlineStr">
        <is>
          <t>1010</t>
        </is>
      </c>
      <c r="E381" s="6" t="inlineStr">
        <is>
          <t>Employees / payroll processor; Field payroll settlement</t>
        </is>
      </c>
      <c r="F381" s="7" t="n">
        <v>-11812.12</v>
      </c>
      <c r="G381" s="7" t="n">
        <v>0</v>
      </c>
      <c r="H381" s="7">
        <f>F381+G381</f>
        <v/>
      </c>
      <c r="I381" s="6" t="inlineStr">
        <is>
          <t>cleared</t>
        </is>
      </c>
      <c r="J381" s="6" t="inlineStr">
        <is>
          <t>bank feed / PRJ-PAY-ARM-2409-20260621</t>
        </is>
      </c>
    </row>
    <row r="382">
      <c r="A382" s="6" t="inlineStr">
        <is>
          <t>1010-0377</t>
        </is>
      </c>
      <c r="B382" s="6" t="inlineStr">
        <is>
          <t>2026-06-21</t>
        </is>
      </c>
      <c r="C382" s="6" t="inlineStr">
        <is>
          <t>INTERNAL TRANSFER</t>
        </is>
      </c>
      <c r="D382" s="6" t="inlineStr">
        <is>
          <t>1010</t>
        </is>
      </c>
      <c r="E382" s="6" t="inlineStr">
        <is>
          <t>Operating account 4431; Payroll funding received</t>
        </is>
      </c>
      <c r="F382" s="7" t="n">
        <v>10994.27</v>
      </c>
      <c r="G382" s="7" t="n">
        <v>0</v>
      </c>
      <c r="H382" s="7">
        <f>F382+G382</f>
        <v/>
      </c>
      <c r="I382" s="6" t="inlineStr">
        <is>
          <t>cleared</t>
        </is>
      </c>
      <c r="J382" s="6" t="inlineStr">
        <is>
          <t>bank feed / FUND-PRJ-PAY-ARM-2412-20260621</t>
        </is>
      </c>
    </row>
    <row r="383">
      <c r="A383" s="6" t="inlineStr">
        <is>
          <t>1010-0378</t>
        </is>
      </c>
      <c r="B383" s="6" t="inlineStr">
        <is>
          <t>2026-06-21</t>
        </is>
      </c>
      <c r="C383" s="6" t="inlineStr">
        <is>
          <t>PAYROLL ACH</t>
        </is>
      </c>
      <c r="D383" s="6" t="inlineStr">
        <is>
          <t>1010</t>
        </is>
      </c>
      <c r="E383" s="6" t="inlineStr">
        <is>
          <t>Employees / payroll processor; Field payroll settlement</t>
        </is>
      </c>
      <c r="F383" s="7" t="n">
        <v>-10994.27</v>
      </c>
      <c r="G383" s="7" t="n">
        <v>0</v>
      </c>
      <c r="H383" s="7">
        <f>F383+G383</f>
        <v/>
      </c>
      <c r="I383" s="6" t="inlineStr">
        <is>
          <t>cleared</t>
        </is>
      </c>
      <c r="J383" s="6" t="inlineStr">
        <is>
          <t>bank feed / PRJ-PAY-ARM-2412-20260621</t>
        </is>
      </c>
    </row>
    <row r="384">
      <c r="A384" s="6" t="inlineStr">
        <is>
          <t>1010-0379</t>
        </is>
      </c>
      <c r="B384" s="6" t="inlineStr">
        <is>
          <t>2026-06-21</t>
        </is>
      </c>
      <c r="C384" s="6" t="inlineStr">
        <is>
          <t>INTERNAL TRANSFER</t>
        </is>
      </c>
      <c r="D384" s="6" t="inlineStr">
        <is>
          <t>1010</t>
        </is>
      </c>
      <c r="E384" s="6" t="inlineStr">
        <is>
          <t>Operating account 4431; Payroll funding received</t>
        </is>
      </c>
      <c r="F384" s="7" t="n">
        <v>19965.36</v>
      </c>
      <c r="G384" s="7" t="n">
        <v>0</v>
      </c>
      <c r="H384" s="7">
        <f>F384+G384</f>
        <v/>
      </c>
      <c r="I384" s="6" t="inlineStr">
        <is>
          <t>cleared</t>
        </is>
      </c>
      <c r="J384" s="6" t="inlineStr">
        <is>
          <t>bank feed / FUND-PRJ-PAY-ARM-2417-20260621</t>
        </is>
      </c>
    </row>
    <row r="385">
      <c r="A385" s="6" t="inlineStr">
        <is>
          <t>1010-0380</t>
        </is>
      </c>
      <c r="B385" s="6" t="inlineStr">
        <is>
          <t>2026-06-21</t>
        </is>
      </c>
      <c r="C385" s="6" t="inlineStr">
        <is>
          <t>PAYROLL ACH</t>
        </is>
      </c>
      <c r="D385" s="6" t="inlineStr">
        <is>
          <t>1010</t>
        </is>
      </c>
      <c r="E385" s="6" t="inlineStr">
        <is>
          <t>Employees / payroll processor; Field payroll settlement</t>
        </is>
      </c>
      <c r="F385" s="7" t="n">
        <v>-19965.36</v>
      </c>
      <c r="G385" s="7" t="n">
        <v>0</v>
      </c>
      <c r="H385" s="7">
        <f>F385+G385</f>
        <v/>
      </c>
      <c r="I385" s="6" t="inlineStr">
        <is>
          <t>cleared</t>
        </is>
      </c>
      <c r="J385" s="6" t="inlineStr">
        <is>
          <t>bank feed / PRJ-PAY-ARM-2417-20260621</t>
        </is>
      </c>
    </row>
    <row r="386">
      <c r="A386" s="6" t="inlineStr">
        <is>
          <t>1010-0381</t>
        </is>
      </c>
      <c r="B386" s="6" t="inlineStr">
        <is>
          <t>2026-06-21</t>
        </is>
      </c>
      <c r="C386" s="6" t="inlineStr">
        <is>
          <t>INTERNAL TRANSFER</t>
        </is>
      </c>
      <c r="D386" s="6" t="inlineStr">
        <is>
          <t>1010</t>
        </is>
      </c>
      <c r="E386" s="6" t="inlineStr">
        <is>
          <t>Operating account 4431; Payroll funding received</t>
        </is>
      </c>
      <c r="F386" s="7" t="n">
        <v>11761.97</v>
      </c>
      <c r="G386" s="7" t="n">
        <v>0</v>
      </c>
      <c r="H386" s="7">
        <f>F386+G386</f>
        <v/>
      </c>
      <c r="I386" s="6" t="inlineStr">
        <is>
          <t>cleared</t>
        </is>
      </c>
      <c r="J386" s="6" t="inlineStr">
        <is>
          <t>bank feed / FUND-PRJ-PAY-ARM-2501-20260621</t>
        </is>
      </c>
    </row>
    <row r="387">
      <c r="A387" s="6" t="inlineStr">
        <is>
          <t>1010-0382</t>
        </is>
      </c>
      <c r="B387" s="6" t="inlineStr">
        <is>
          <t>2026-06-21</t>
        </is>
      </c>
      <c r="C387" s="6" t="inlineStr">
        <is>
          <t>PAYROLL ACH</t>
        </is>
      </c>
      <c r="D387" s="6" t="inlineStr">
        <is>
          <t>1010</t>
        </is>
      </c>
      <c r="E387" s="6" t="inlineStr">
        <is>
          <t>Employees / payroll processor; Field payroll settlement</t>
        </is>
      </c>
      <c r="F387" s="7" t="n">
        <v>-11761.97</v>
      </c>
      <c r="G387" s="7" t="n">
        <v>0</v>
      </c>
      <c r="H387" s="7">
        <f>F387+G387</f>
        <v/>
      </c>
      <c r="I387" s="6" t="inlineStr">
        <is>
          <t>cleared</t>
        </is>
      </c>
      <c r="J387" s="6" t="inlineStr">
        <is>
          <t>bank feed / PRJ-PAY-ARM-2501-20260621</t>
        </is>
      </c>
    </row>
    <row r="388">
      <c r="A388" s="6" t="inlineStr">
        <is>
          <t>1010-0383</t>
        </is>
      </c>
      <c r="B388" s="6" t="inlineStr">
        <is>
          <t>2026-06-21</t>
        </is>
      </c>
      <c r="C388" s="6" t="inlineStr">
        <is>
          <t>INTERNAL TRANSFER</t>
        </is>
      </c>
      <c r="D388" s="6" t="inlineStr">
        <is>
          <t>1010</t>
        </is>
      </c>
      <c r="E388" s="6" t="inlineStr">
        <is>
          <t>Operating account 4431; Payroll funding received</t>
        </is>
      </c>
      <c r="F388" s="7" t="n">
        <v>24731.48</v>
      </c>
      <c r="G388" s="7" t="n">
        <v>0</v>
      </c>
      <c r="H388" s="7">
        <f>F388+G388</f>
        <v/>
      </c>
      <c r="I388" s="6" t="inlineStr">
        <is>
          <t>cleared</t>
        </is>
      </c>
      <c r="J388" s="6" t="inlineStr">
        <is>
          <t>bank feed / FUND-PRJ-PAY-ARM-2506-20260621</t>
        </is>
      </c>
    </row>
    <row r="389">
      <c r="A389" s="6" t="inlineStr">
        <is>
          <t>1010-0384</t>
        </is>
      </c>
      <c r="B389" s="6" t="inlineStr">
        <is>
          <t>2026-06-21</t>
        </is>
      </c>
      <c r="C389" s="6" t="inlineStr">
        <is>
          <t>PAYROLL ACH</t>
        </is>
      </c>
      <c r="D389" s="6" t="inlineStr">
        <is>
          <t>1010</t>
        </is>
      </c>
      <c r="E389" s="6" t="inlineStr">
        <is>
          <t>Employees / payroll processor; Field payroll settlement</t>
        </is>
      </c>
      <c r="F389" s="7" t="n">
        <v>-24731.48</v>
      </c>
      <c r="G389" s="7" t="n">
        <v>0</v>
      </c>
      <c r="H389" s="7">
        <f>F389+G389</f>
        <v/>
      </c>
      <c r="I389" s="6" t="inlineStr">
        <is>
          <t>cleared</t>
        </is>
      </c>
      <c r="J389" s="6" t="inlineStr">
        <is>
          <t>bank feed / PRJ-PAY-ARM-2506-20260621</t>
        </is>
      </c>
    </row>
    <row r="390">
      <c r="A390" s="6" t="inlineStr">
        <is>
          <t>1010-0385</t>
        </is>
      </c>
      <c r="B390" s="6" t="inlineStr">
        <is>
          <t>2026-06-21</t>
        </is>
      </c>
      <c r="C390" s="6" t="inlineStr">
        <is>
          <t>INTERNAL TRANSFER</t>
        </is>
      </c>
      <c r="D390" s="6" t="inlineStr">
        <is>
          <t>1010</t>
        </is>
      </c>
      <c r="E390" s="6" t="inlineStr">
        <is>
          <t>Operating account 4431; Payroll funding received</t>
        </is>
      </c>
      <c r="F390" s="7" t="n">
        <v>17550.33</v>
      </c>
      <c r="G390" s="7" t="n">
        <v>0</v>
      </c>
      <c r="H390" s="7">
        <f>F390+G390</f>
        <v/>
      </c>
      <c r="I390" s="6" t="inlineStr">
        <is>
          <t>cleared</t>
        </is>
      </c>
      <c r="J390" s="6" t="inlineStr">
        <is>
          <t>bank feed / FUND-PRJ-PAY-ARM-2510-20260621</t>
        </is>
      </c>
    </row>
    <row r="391">
      <c r="A391" s="6" t="inlineStr">
        <is>
          <t>1010-0386</t>
        </is>
      </c>
      <c r="B391" s="6" t="inlineStr">
        <is>
          <t>2026-06-21</t>
        </is>
      </c>
      <c r="C391" s="6" t="inlineStr">
        <is>
          <t>PAYROLL ACH</t>
        </is>
      </c>
      <c r="D391" s="6" t="inlineStr">
        <is>
          <t>1010</t>
        </is>
      </c>
      <c r="E391" s="6" t="inlineStr">
        <is>
          <t>Employees / payroll processor; Field payroll settlement</t>
        </is>
      </c>
      <c r="F391" s="7" t="n">
        <v>-17550.33</v>
      </c>
      <c r="G391" s="7" t="n">
        <v>0</v>
      </c>
      <c r="H391" s="7">
        <f>F391+G391</f>
        <v/>
      </c>
      <c r="I391" s="6" t="inlineStr">
        <is>
          <t>cleared</t>
        </is>
      </c>
      <c r="J391" s="6" t="inlineStr">
        <is>
          <t>bank feed / PRJ-PAY-ARM-2510-20260621</t>
        </is>
      </c>
    </row>
    <row r="392">
      <c r="A392" s="6" t="inlineStr">
        <is>
          <t>1010-0387</t>
        </is>
      </c>
      <c r="B392" s="6" t="inlineStr">
        <is>
          <t>2026-06-21</t>
        </is>
      </c>
      <c r="C392" s="6" t="inlineStr">
        <is>
          <t>INTERNAL TRANSFER</t>
        </is>
      </c>
      <c r="D392" s="6" t="inlineStr">
        <is>
          <t>1010</t>
        </is>
      </c>
      <c r="E392" s="6" t="inlineStr">
        <is>
          <t>Operating account 4431; Payroll funding received</t>
        </is>
      </c>
      <c r="F392" s="7" t="n">
        <v>33471.75</v>
      </c>
      <c r="G392" s="7" t="n">
        <v>0</v>
      </c>
      <c r="H392" s="7">
        <f>F392+G392</f>
        <v/>
      </c>
      <c r="I392" s="6" t="inlineStr">
        <is>
          <t>cleared</t>
        </is>
      </c>
      <c r="J392" s="6" t="inlineStr">
        <is>
          <t>bank feed / FUND-PRJ-PAY-ARM-2514-20260621</t>
        </is>
      </c>
    </row>
    <row r="393">
      <c r="A393" s="6" t="inlineStr">
        <is>
          <t>1010-0388</t>
        </is>
      </c>
      <c r="B393" s="6" t="inlineStr">
        <is>
          <t>2026-06-21</t>
        </is>
      </c>
      <c r="C393" s="6" t="inlineStr">
        <is>
          <t>PAYROLL ACH</t>
        </is>
      </c>
      <c r="D393" s="6" t="inlineStr">
        <is>
          <t>1010</t>
        </is>
      </c>
      <c r="E393" s="6" t="inlineStr">
        <is>
          <t>Employees / payroll processor; Field payroll settlement</t>
        </is>
      </c>
      <c r="F393" s="7" t="n">
        <v>-33471.75</v>
      </c>
      <c r="G393" s="7" t="n">
        <v>0</v>
      </c>
      <c r="H393" s="7">
        <f>F393+G393</f>
        <v/>
      </c>
      <c r="I393" s="6" t="inlineStr">
        <is>
          <t>cleared</t>
        </is>
      </c>
      <c r="J393" s="6" t="inlineStr">
        <is>
          <t>bank feed / PRJ-PAY-ARM-2514-20260621</t>
        </is>
      </c>
    </row>
    <row r="394">
      <c r="A394" s="6" t="inlineStr">
        <is>
          <t>1010-0389</t>
        </is>
      </c>
      <c r="B394" s="6" t="inlineStr">
        <is>
          <t>2026-06-21</t>
        </is>
      </c>
      <c r="C394" s="6" t="inlineStr">
        <is>
          <t>INTERNAL TRANSFER</t>
        </is>
      </c>
      <c r="D394" s="6" t="inlineStr">
        <is>
          <t>1010</t>
        </is>
      </c>
      <c r="E394" s="6" t="inlineStr">
        <is>
          <t>Operating account 4431; Payroll funding received</t>
        </is>
      </c>
      <c r="F394" s="7" t="n">
        <v>13288.34</v>
      </c>
      <c r="G394" s="7" t="n">
        <v>0</v>
      </c>
      <c r="H394" s="7">
        <f>F394+G394</f>
        <v/>
      </c>
      <c r="I394" s="6" t="inlineStr">
        <is>
          <t>cleared</t>
        </is>
      </c>
      <c r="J394" s="6" t="inlineStr">
        <is>
          <t>bank feed / FUND-PRJ-PAY-ARM-2518-20260621</t>
        </is>
      </c>
    </row>
    <row r="395">
      <c r="A395" s="6" t="inlineStr">
        <is>
          <t>1010-0390</t>
        </is>
      </c>
      <c r="B395" s="6" t="inlineStr">
        <is>
          <t>2026-06-21</t>
        </is>
      </c>
      <c r="C395" s="6" t="inlineStr">
        <is>
          <t>PAYROLL ACH</t>
        </is>
      </c>
      <c r="D395" s="6" t="inlineStr">
        <is>
          <t>1010</t>
        </is>
      </c>
      <c r="E395" s="6" t="inlineStr">
        <is>
          <t>Employees / payroll processor; Field payroll settlement</t>
        </is>
      </c>
      <c r="F395" s="7" t="n">
        <v>-13288.34</v>
      </c>
      <c r="G395" s="7" t="n">
        <v>0</v>
      </c>
      <c r="H395" s="7">
        <f>F395+G395</f>
        <v/>
      </c>
      <c r="I395" s="6" t="inlineStr">
        <is>
          <t>cleared</t>
        </is>
      </c>
      <c r="J395" s="6" t="inlineStr">
        <is>
          <t>bank feed / PRJ-PAY-ARM-2518-20260621</t>
        </is>
      </c>
    </row>
    <row r="396">
      <c r="A396" s="6" t="inlineStr">
        <is>
          <t>1010-0391</t>
        </is>
      </c>
      <c r="B396" s="6" t="inlineStr">
        <is>
          <t>2026-06-21</t>
        </is>
      </c>
      <c r="C396" s="6" t="inlineStr">
        <is>
          <t>INTERNAL TRANSFER</t>
        </is>
      </c>
      <c r="D396" s="6" t="inlineStr">
        <is>
          <t>1010</t>
        </is>
      </c>
      <c r="E396" s="6" t="inlineStr">
        <is>
          <t>Operating account 4431; Payroll funding received</t>
        </is>
      </c>
      <c r="F396" s="7" t="n">
        <v>14808.95</v>
      </c>
      <c r="G396" s="7" t="n">
        <v>0</v>
      </c>
      <c r="H396" s="7">
        <f>F396+G396</f>
        <v/>
      </c>
      <c r="I396" s="6" t="inlineStr">
        <is>
          <t>cleared</t>
        </is>
      </c>
      <c r="J396" s="6" t="inlineStr">
        <is>
          <t>bank feed / FUND-PRJ-PAY-ARM-2522-20260621</t>
        </is>
      </c>
    </row>
    <row r="397">
      <c r="A397" s="6" t="inlineStr">
        <is>
          <t>1010-0392</t>
        </is>
      </c>
      <c r="B397" s="6" t="inlineStr">
        <is>
          <t>2026-06-21</t>
        </is>
      </c>
      <c r="C397" s="6" t="inlineStr">
        <is>
          <t>PAYROLL ACH</t>
        </is>
      </c>
      <c r="D397" s="6" t="inlineStr">
        <is>
          <t>1010</t>
        </is>
      </c>
      <c r="E397" s="6" t="inlineStr">
        <is>
          <t>Employees / payroll processor; Field payroll settlement</t>
        </is>
      </c>
      <c r="F397" s="7" t="n">
        <v>-14808.95</v>
      </c>
      <c r="G397" s="7" t="n">
        <v>0</v>
      </c>
      <c r="H397" s="7">
        <f>F397+G397</f>
        <v/>
      </c>
      <c r="I397" s="6" t="inlineStr">
        <is>
          <t>cleared</t>
        </is>
      </c>
      <c r="J397" s="6" t="inlineStr">
        <is>
          <t>bank feed / PRJ-PAY-ARM-2522-20260621</t>
        </is>
      </c>
    </row>
    <row r="398">
      <c r="A398" s="6" t="inlineStr">
        <is>
          <t>1010-0393</t>
        </is>
      </c>
      <c r="B398" s="6" t="inlineStr">
        <is>
          <t>2026-06-21</t>
        </is>
      </c>
      <c r="C398" s="6" t="inlineStr">
        <is>
          <t>INTERNAL TRANSFER</t>
        </is>
      </c>
      <c r="D398" s="6" t="inlineStr">
        <is>
          <t>1010</t>
        </is>
      </c>
      <c r="E398" s="6" t="inlineStr">
        <is>
          <t>Operating account 4431; Payroll funding received</t>
        </is>
      </c>
      <c r="F398" s="7" t="n">
        <v>12701.53</v>
      </c>
      <c r="G398" s="7" t="n">
        <v>0</v>
      </c>
      <c r="H398" s="7">
        <f>F398+G398</f>
        <v/>
      </c>
      <c r="I398" s="6" t="inlineStr">
        <is>
          <t>cleared</t>
        </is>
      </c>
      <c r="J398" s="6" t="inlineStr">
        <is>
          <t>bank feed / FUND-PRJ-PAY-ARM-2526-20260621</t>
        </is>
      </c>
    </row>
    <row r="399">
      <c r="A399" s="6" t="inlineStr">
        <is>
          <t>1010-0394</t>
        </is>
      </c>
      <c r="B399" s="6" t="inlineStr">
        <is>
          <t>2026-06-21</t>
        </is>
      </c>
      <c r="C399" s="6" t="inlineStr">
        <is>
          <t>PAYROLL ACH</t>
        </is>
      </c>
      <c r="D399" s="6" t="inlineStr">
        <is>
          <t>1010</t>
        </is>
      </c>
      <c r="E399" s="6" t="inlineStr">
        <is>
          <t>Employees / payroll processor; Field payroll settlement</t>
        </is>
      </c>
      <c r="F399" s="7" t="n">
        <v>-12701.53</v>
      </c>
      <c r="G399" s="7" t="n">
        <v>0</v>
      </c>
      <c r="H399" s="7">
        <f>F399+G399</f>
        <v/>
      </c>
      <c r="I399" s="6" t="inlineStr">
        <is>
          <t>cleared</t>
        </is>
      </c>
      <c r="J399" s="6" t="inlineStr">
        <is>
          <t>bank feed / PRJ-PAY-ARM-2526-20260621</t>
        </is>
      </c>
    </row>
    <row r="400">
      <c r="A400" s="6" t="inlineStr">
        <is>
          <t>1010-0395</t>
        </is>
      </c>
      <c r="B400" s="6" t="inlineStr">
        <is>
          <t>2026-06-21</t>
        </is>
      </c>
      <c r="C400" s="6" t="inlineStr">
        <is>
          <t>INTERNAL TRANSFER</t>
        </is>
      </c>
      <c r="D400" s="6" t="inlineStr">
        <is>
          <t>1010</t>
        </is>
      </c>
      <c r="E400" s="6" t="inlineStr">
        <is>
          <t>Operating account 4431; Payroll funding received</t>
        </is>
      </c>
      <c r="F400" s="7" t="n">
        <v>14686.36</v>
      </c>
      <c r="G400" s="7" t="n">
        <v>0</v>
      </c>
      <c r="H400" s="7">
        <f>F400+G400</f>
        <v/>
      </c>
      <c r="I400" s="6" t="inlineStr">
        <is>
          <t>cleared</t>
        </is>
      </c>
      <c r="J400" s="6" t="inlineStr">
        <is>
          <t>bank feed / FUND-PRJ-PAY-ARM-2602-20260621</t>
        </is>
      </c>
    </row>
    <row r="401">
      <c r="A401" s="6" t="inlineStr">
        <is>
          <t>1010-0396</t>
        </is>
      </c>
      <c r="B401" s="6" t="inlineStr">
        <is>
          <t>2026-06-21</t>
        </is>
      </c>
      <c r="C401" s="6" t="inlineStr">
        <is>
          <t>PAYROLL ACH</t>
        </is>
      </c>
      <c r="D401" s="6" t="inlineStr">
        <is>
          <t>1010</t>
        </is>
      </c>
      <c r="E401" s="6" t="inlineStr">
        <is>
          <t>Employees / payroll processor; Field payroll settlement</t>
        </is>
      </c>
      <c r="F401" s="7" t="n">
        <v>-14686.36</v>
      </c>
      <c r="G401" s="7" t="n">
        <v>0</v>
      </c>
      <c r="H401" s="7">
        <f>F401+G401</f>
        <v/>
      </c>
      <c r="I401" s="6" t="inlineStr">
        <is>
          <t>cleared</t>
        </is>
      </c>
      <c r="J401" s="6" t="inlineStr">
        <is>
          <t>bank feed / PRJ-PAY-ARM-2602-20260621</t>
        </is>
      </c>
    </row>
    <row r="402">
      <c r="A402" s="6" t="inlineStr">
        <is>
          <t>1010-0397</t>
        </is>
      </c>
      <c r="B402" s="6" t="inlineStr">
        <is>
          <t>2026-06-21</t>
        </is>
      </c>
      <c r="C402" s="6" t="inlineStr">
        <is>
          <t>INTERNAL TRANSFER</t>
        </is>
      </c>
      <c r="D402" s="6" t="inlineStr">
        <is>
          <t>1010</t>
        </is>
      </c>
      <c r="E402" s="6" t="inlineStr">
        <is>
          <t>Operating account 4431; Payroll funding received</t>
        </is>
      </c>
      <c r="F402" s="7" t="n">
        <v>11570.38</v>
      </c>
      <c r="G402" s="7" t="n">
        <v>0</v>
      </c>
      <c r="H402" s="7">
        <f>F402+G402</f>
        <v/>
      </c>
      <c r="I402" s="6" t="inlineStr">
        <is>
          <t>cleared</t>
        </is>
      </c>
      <c r="J402" s="6" t="inlineStr">
        <is>
          <t>bank feed / FUND-PRJ-PAY-ARM-2605-20260621</t>
        </is>
      </c>
    </row>
    <row r="403">
      <c r="A403" s="6" t="inlineStr">
        <is>
          <t>1010-0398</t>
        </is>
      </c>
      <c r="B403" s="6" t="inlineStr">
        <is>
          <t>2026-06-21</t>
        </is>
      </c>
      <c r="C403" s="6" t="inlineStr">
        <is>
          <t>PAYROLL ACH</t>
        </is>
      </c>
      <c r="D403" s="6" t="inlineStr">
        <is>
          <t>1010</t>
        </is>
      </c>
      <c r="E403" s="6" t="inlineStr">
        <is>
          <t>Employees / payroll processor; Field payroll settlement</t>
        </is>
      </c>
      <c r="F403" s="7" t="n">
        <v>-11570.38</v>
      </c>
      <c r="G403" s="7" t="n">
        <v>0</v>
      </c>
      <c r="H403" s="7">
        <f>F403+G403</f>
        <v/>
      </c>
      <c r="I403" s="6" t="inlineStr">
        <is>
          <t>cleared</t>
        </is>
      </c>
      <c r="J403" s="6" t="inlineStr">
        <is>
          <t>bank feed / PRJ-PAY-ARM-2605-20260621</t>
        </is>
      </c>
    </row>
    <row r="404">
      <c r="A404" s="6" t="inlineStr">
        <is>
          <t>1010-0399</t>
        </is>
      </c>
      <c r="B404" s="6" t="inlineStr">
        <is>
          <t>2026-06-21</t>
        </is>
      </c>
      <c r="C404" s="6" t="inlineStr">
        <is>
          <t>INTERNAL TRANSFER</t>
        </is>
      </c>
      <c r="D404" s="6" t="inlineStr">
        <is>
          <t>1010</t>
        </is>
      </c>
      <c r="E404" s="6" t="inlineStr">
        <is>
          <t>Operating account 4431; Payroll funding received</t>
        </is>
      </c>
      <c r="F404" s="7" t="n">
        <v>9948.120000000001</v>
      </c>
      <c r="G404" s="7" t="n">
        <v>0</v>
      </c>
      <c r="H404" s="7">
        <f>F404+G404</f>
        <v/>
      </c>
      <c r="I404" s="6" t="inlineStr">
        <is>
          <t>cleared</t>
        </is>
      </c>
      <c r="J404" s="6" t="inlineStr">
        <is>
          <t>bank feed / FUND-PRJ-PAY-ARM-2608-20260621</t>
        </is>
      </c>
    </row>
    <row r="405">
      <c r="A405" s="6" t="inlineStr">
        <is>
          <t>1010-0400</t>
        </is>
      </c>
      <c r="B405" s="6" t="inlineStr">
        <is>
          <t>2026-06-21</t>
        </is>
      </c>
      <c r="C405" s="6" t="inlineStr">
        <is>
          <t>PAYROLL ACH</t>
        </is>
      </c>
      <c r="D405" s="6" t="inlineStr">
        <is>
          <t>1010</t>
        </is>
      </c>
      <c r="E405" s="6" t="inlineStr">
        <is>
          <t>Employees / payroll processor; Field payroll settlement</t>
        </is>
      </c>
      <c r="F405" s="7" t="n">
        <v>-9948.120000000001</v>
      </c>
      <c r="G405" s="7" t="n">
        <v>0</v>
      </c>
      <c r="H405" s="7">
        <f>F405+G405</f>
        <v/>
      </c>
      <c r="I405" s="6" t="inlineStr">
        <is>
          <t>cleared</t>
        </is>
      </c>
      <c r="J405" s="6" t="inlineStr">
        <is>
          <t>bank feed / PRJ-PAY-ARM-2608-20260621</t>
        </is>
      </c>
    </row>
    <row r="406">
      <c r="A406" s="6" t="inlineStr">
        <is>
          <t>1010-0401</t>
        </is>
      </c>
      <c r="B406" s="6" t="inlineStr">
        <is>
          <t>2026-06-21</t>
        </is>
      </c>
      <c r="C406" s="6" t="inlineStr">
        <is>
          <t>INTERNAL TRANSFER</t>
        </is>
      </c>
      <c r="D406" s="6" t="inlineStr">
        <is>
          <t>1010</t>
        </is>
      </c>
      <c r="E406" s="6" t="inlineStr">
        <is>
          <t>Operating account 4431; Service payroll funding received</t>
        </is>
      </c>
      <c r="F406" s="7" t="n">
        <v>67018.61</v>
      </c>
      <c r="G406" s="7" t="n">
        <v>0</v>
      </c>
      <c r="H406" s="7">
        <f>F406+G406</f>
        <v/>
      </c>
      <c r="I406" s="6" t="inlineStr">
        <is>
          <t>cleared</t>
        </is>
      </c>
      <c r="J406" s="6" t="inlineStr">
        <is>
          <t>bank feed / FUND-SVC-PAY-30-20260621</t>
        </is>
      </c>
    </row>
    <row r="407">
      <c r="A407" s="6" t="inlineStr">
        <is>
          <t>1010-0402</t>
        </is>
      </c>
      <c r="B407" s="6" t="inlineStr">
        <is>
          <t>2026-06-21</t>
        </is>
      </c>
      <c r="C407" s="6" t="inlineStr">
        <is>
          <t>PAYROLL ACH</t>
        </is>
      </c>
      <c r="D407" s="6" t="inlineStr">
        <is>
          <t>1010</t>
        </is>
      </c>
      <c r="E407" s="6" t="inlineStr">
        <is>
          <t>Employees / payroll processor; Service direct payroll settlement</t>
        </is>
      </c>
      <c r="F407" s="7" t="n">
        <v>-67018.61</v>
      </c>
      <c r="G407" s="7" t="n">
        <v>0</v>
      </c>
      <c r="H407" s="7">
        <f>F407+G407</f>
        <v/>
      </c>
      <c r="I407" s="6" t="inlineStr">
        <is>
          <t>cleared</t>
        </is>
      </c>
      <c r="J407" s="6" t="inlineStr">
        <is>
          <t>bank feed / SVC-PAY-30-20260621</t>
        </is>
      </c>
    </row>
    <row r="408">
      <c r="A408" s="6" t="inlineStr">
        <is>
          <t>1010-0403</t>
        </is>
      </c>
      <c r="B408" s="6" t="inlineStr">
        <is>
          <t>2026-06-21</t>
        </is>
      </c>
      <c r="C408" s="6" t="inlineStr">
        <is>
          <t>INTERNAL TRANSFER</t>
        </is>
      </c>
      <c r="D408" s="6" t="inlineStr">
        <is>
          <t>1010</t>
        </is>
      </c>
      <c r="E408" s="6" t="inlineStr">
        <is>
          <t>Operating account 4431; Service payroll funding received</t>
        </is>
      </c>
      <c r="F408" s="7" t="n">
        <v>20697.06</v>
      </c>
      <c r="G408" s="7" t="n">
        <v>0</v>
      </c>
      <c r="H408" s="7">
        <f>F408+G408</f>
        <v/>
      </c>
      <c r="I408" s="6" t="inlineStr">
        <is>
          <t>cleared</t>
        </is>
      </c>
      <c r="J408" s="6" t="inlineStr">
        <is>
          <t>bank feed / FUND-SVC-PAY-40-20260621</t>
        </is>
      </c>
    </row>
    <row r="409">
      <c r="A409" s="6" t="inlineStr">
        <is>
          <t>1010-0404</t>
        </is>
      </c>
      <c r="B409" s="6" t="inlineStr">
        <is>
          <t>2026-06-21</t>
        </is>
      </c>
      <c r="C409" s="6" t="inlineStr">
        <is>
          <t>PAYROLL ACH</t>
        </is>
      </c>
      <c r="D409" s="6" t="inlineStr">
        <is>
          <t>1010</t>
        </is>
      </c>
      <c r="E409" s="6" t="inlineStr">
        <is>
          <t>Employees / payroll processor; Service direct payroll settlement</t>
        </is>
      </c>
      <c r="F409" s="7" t="n">
        <v>-20697.06</v>
      </c>
      <c r="G409" s="7" t="n">
        <v>0</v>
      </c>
      <c r="H409" s="7">
        <f>F409+G409</f>
        <v/>
      </c>
      <c r="I409" s="6" t="inlineStr">
        <is>
          <t>cleared</t>
        </is>
      </c>
      <c r="J409" s="6" t="inlineStr">
        <is>
          <t>bank feed / SVC-PAY-40-20260621</t>
        </is>
      </c>
    </row>
    <row r="410">
      <c r="A410" s="6" t="inlineStr">
        <is>
          <t>1010-0405</t>
        </is>
      </c>
      <c r="B410" s="6" t="inlineStr">
        <is>
          <t>2026-06-28</t>
        </is>
      </c>
      <c r="C410" s="6" t="inlineStr">
        <is>
          <t>INTERNAL TRANSFER</t>
        </is>
      </c>
      <c r="D410" s="6" t="inlineStr">
        <is>
          <t>1010</t>
        </is>
      </c>
      <c r="E410" s="6" t="inlineStr">
        <is>
          <t>Operating account 4431; Payroll funding received</t>
        </is>
      </c>
      <c r="F410" s="7" t="n">
        <v>11593.35</v>
      </c>
      <c r="G410" s="7" t="n">
        <v>0</v>
      </c>
      <c r="H410" s="7">
        <f>F410+G410</f>
        <v/>
      </c>
      <c r="I410" s="6" t="inlineStr">
        <is>
          <t>cleared</t>
        </is>
      </c>
      <c r="J410" s="6" t="inlineStr">
        <is>
          <t>bank feed / FUND-PRJ-PAY-ARM-2318-20260628</t>
        </is>
      </c>
    </row>
    <row r="411">
      <c r="A411" s="6" t="inlineStr">
        <is>
          <t>1010-0406</t>
        </is>
      </c>
      <c r="B411" s="6" t="inlineStr">
        <is>
          <t>2026-06-28</t>
        </is>
      </c>
      <c r="C411" s="6" t="inlineStr">
        <is>
          <t>PAYROLL ACH</t>
        </is>
      </c>
      <c r="D411" s="6" t="inlineStr">
        <is>
          <t>1010</t>
        </is>
      </c>
      <c r="E411" s="6" t="inlineStr">
        <is>
          <t>Employees / payroll processor; Field payroll settlement</t>
        </is>
      </c>
      <c r="F411" s="7" t="n">
        <v>-11593.35</v>
      </c>
      <c r="G411" s="7" t="n">
        <v>0</v>
      </c>
      <c r="H411" s="7">
        <f>F411+G411</f>
        <v/>
      </c>
      <c r="I411" s="6" t="inlineStr">
        <is>
          <t>cleared</t>
        </is>
      </c>
      <c r="J411" s="6" t="inlineStr">
        <is>
          <t>bank feed / PRJ-PAY-ARM-2318-20260628</t>
        </is>
      </c>
    </row>
    <row r="412">
      <c r="A412" s="6" t="inlineStr">
        <is>
          <t>1010-0407</t>
        </is>
      </c>
      <c r="B412" s="6" t="inlineStr">
        <is>
          <t>2026-06-28</t>
        </is>
      </c>
      <c r="C412" s="6" t="inlineStr">
        <is>
          <t>INTERNAL TRANSFER</t>
        </is>
      </c>
      <c r="D412" s="6" t="inlineStr">
        <is>
          <t>1010</t>
        </is>
      </c>
      <c r="E412" s="6" t="inlineStr">
        <is>
          <t>Operating account 4431; Payroll funding received</t>
        </is>
      </c>
      <c r="F412" s="7" t="n">
        <v>10103.82</v>
      </c>
      <c r="G412" s="7" t="n">
        <v>0</v>
      </c>
      <c r="H412" s="7">
        <f>F412+G412</f>
        <v/>
      </c>
      <c r="I412" s="6" t="inlineStr">
        <is>
          <t>cleared</t>
        </is>
      </c>
      <c r="J412" s="6" t="inlineStr">
        <is>
          <t>bank feed / FUND-PRJ-PAY-ARM-2403-20260628</t>
        </is>
      </c>
    </row>
    <row r="413">
      <c r="A413" s="6" t="inlineStr">
        <is>
          <t>1010-0408</t>
        </is>
      </c>
      <c r="B413" s="6" t="inlineStr">
        <is>
          <t>2026-06-28</t>
        </is>
      </c>
      <c r="C413" s="6" t="inlineStr">
        <is>
          <t>PAYROLL ACH</t>
        </is>
      </c>
      <c r="D413" s="6" t="inlineStr">
        <is>
          <t>1010</t>
        </is>
      </c>
      <c r="E413" s="6" t="inlineStr">
        <is>
          <t>Employees / payroll processor; Field payroll settlement</t>
        </is>
      </c>
      <c r="F413" s="7" t="n">
        <v>-10103.82</v>
      </c>
      <c r="G413" s="7" t="n">
        <v>0</v>
      </c>
      <c r="H413" s="7">
        <f>F413+G413</f>
        <v/>
      </c>
      <c r="I413" s="6" t="inlineStr">
        <is>
          <t>cleared</t>
        </is>
      </c>
      <c r="J413" s="6" t="inlineStr">
        <is>
          <t>bank feed / PRJ-PAY-ARM-2403-20260628</t>
        </is>
      </c>
    </row>
    <row r="414">
      <c r="A414" s="6" t="inlineStr">
        <is>
          <t>1010-0409</t>
        </is>
      </c>
      <c r="B414" s="6" t="inlineStr">
        <is>
          <t>2026-06-28</t>
        </is>
      </c>
      <c r="C414" s="6" t="inlineStr">
        <is>
          <t>INTERNAL TRANSFER</t>
        </is>
      </c>
      <c r="D414" s="6" t="inlineStr">
        <is>
          <t>1010</t>
        </is>
      </c>
      <c r="E414" s="6" t="inlineStr">
        <is>
          <t>Operating account 4431; Payroll funding received</t>
        </is>
      </c>
      <c r="F414" s="7" t="n">
        <v>10940.53</v>
      </c>
      <c r="G414" s="7" t="n">
        <v>0</v>
      </c>
      <c r="H414" s="7">
        <f>F414+G414</f>
        <v/>
      </c>
      <c r="I414" s="6" t="inlineStr">
        <is>
          <t>cleared</t>
        </is>
      </c>
      <c r="J414" s="6" t="inlineStr">
        <is>
          <t>bank feed / FUND-PRJ-PAY-ARM-2409-20260628</t>
        </is>
      </c>
    </row>
    <row r="415">
      <c r="A415" s="6" t="inlineStr">
        <is>
          <t>1010-0410</t>
        </is>
      </c>
      <c r="B415" s="6" t="inlineStr">
        <is>
          <t>2026-06-28</t>
        </is>
      </c>
      <c r="C415" s="6" t="inlineStr">
        <is>
          <t>PAYROLL ACH</t>
        </is>
      </c>
      <c r="D415" s="6" t="inlineStr">
        <is>
          <t>1010</t>
        </is>
      </c>
      <c r="E415" s="6" t="inlineStr">
        <is>
          <t>Employees / payroll processor; Field payroll settlement</t>
        </is>
      </c>
      <c r="F415" s="7" t="n">
        <v>-10940.53</v>
      </c>
      <c r="G415" s="7" t="n">
        <v>0</v>
      </c>
      <c r="H415" s="7">
        <f>F415+G415</f>
        <v/>
      </c>
      <c r="I415" s="6" t="inlineStr">
        <is>
          <t>cleared</t>
        </is>
      </c>
      <c r="J415" s="6" t="inlineStr">
        <is>
          <t>bank feed / PRJ-PAY-ARM-2409-20260628</t>
        </is>
      </c>
    </row>
    <row r="416">
      <c r="A416" s="6" t="inlineStr">
        <is>
          <t>1010-0411</t>
        </is>
      </c>
      <c r="B416" s="6" t="inlineStr">
        <is>
          <t>2026-06-28</t>
        </is>
      </c>
      <c r="C416" s="6" t="inlineStr">
        <is>
          <t>INTERNAL TRANSFER</t>
        </is>
      </c>
      <c r="D416" s="6" t="inlineStr">
        <is>
          <t>1010</t>
        </is>
      </c>
      <c r="E416" s="6" t="inlineStr">
        <is>
          <t>Operating account 4431; Payroll funding received</t>
        </is>
      </c>
      <c r="F416" s="7" t="n">
        <v>12193.99</v>
      </c>
      <c r="G416" s="7" t="n">
        <v>0</v>
      </c>
      <c r="H416" s="7">
        <f>F416+G416</f>
        <v/>
      </c>
      <c r="I416" s="6" t="inlineStr">
        <is>
          <t>cleared</t>
        </is>
      </c>
      <c r="J416" s="6" t="inlineStr">
        <is>
          <t>bank feed / FUND-PRJ-PAY-ARM-2412-20260628</t>
        </is>
      </c>
    </row>
    <row r="417">
      <c r="A417" s="6" t="inlineStr">
        <is>
          <t>1010-0412</t>
        </is>
      </c>
      <c r="B417" s="6" t="inlineStr">
        <is>
          <t>2026-06-28</t>
        </is>
      </c>
      <c r="C417" s="6" t="inlineStr">
        <is>
          <t>PAYROLL ACH</t>
        </is>
      </c>
      <c r="D417" s="6" t="inlineStr">
        <is>
          <t>1010</t>
        </is>
      </c>
      <c r="E417" s="6" t="inlineStr">
        <is>
          <t>Employees / payroll processor; Field payroll settlement</t>
        </is>
      </c>
      <c r="F417" s="7" t="n">
        <v>-12193.99</v>
      </c>
      <c r="G417" s="7" t="n">
        <v>0</v>
      </c>
      <c r="H417" s="7">
        <f>F417+G417</f>
        <v/>
      </c>
      <c r="I417" s="6" t="inlineStr">
        <is>
          <t>cleared</t>
        </is>
      </c>
      <c r="J417" s="6" t="inlineStr">
        <is>
          <t>bank feed / PRJ-PAY-ARM-2412-20260628</t>
        </is>
      </c>
    </row>
    <row r="418">
      <c r="A418" s="6" t="inlineStr">
        <is>
          <t>1010-0413</t>
        </is>
      </c>
      <c r="B418" s="6" t="inlineStr">
        <is>
          <t>2026-06-28</t>
        </is>
      </c>
      <c r="C418" s="6" t="inlineStr">
        <is>
          <t>INTERNAL TRANSFER</t>
        </is>
      </c>
      <c r="D418" s="6" t="inlineStr">
        <is>
          <t>1010</t>
        </is>
      </c>
      <c r="E418" s="6" t="inlineStr">
        <is>
          <t>Operating account 4431; Payroll funding received</t>
        </is>
      </c>
      <c r="F418" s="7" t="n">
        <v>19807.08</v>
      </c>
      <c r="G418" s="7" t="n">
        <v>0</v>
      </c>
      <c r="H418" s="7">
        <f>F418+G418</f>
        <v/>
      </c>
      <c r="I418" s="6" t="inlineStr">
        <is>
          <t>cleared</t>
        </is>
      </c>
      <c r="J418" s="6" t="inlineStr">
        <is>
          <t>bank feed / FUND-PRJ-PAY-ARM-2417-20260628</t>
        </is>
      </c>
    </row>
    <row r="419">
      <c r="A419" s="6" t="inlineStr">
        <is>
          <t>1010-0414</t>
        </is>
      </c>
      <c r="B419" s="6" t="inlineStr">
        <is>
          <t>2026-06-28</t>
        </is>
      </c>
      <c r="C419" s="6" t="inlineStr">
        <is>
          <t>PAYROLL ACH</t>
        </is>
      </c>
      <c r="D419" s="6" t="inlineStr">
        <is>
          <t>1010</t>
        </is>
      </c>
      <c r="E419" s="6" t="inlineStr">
        <is>
          <t>Employees / payroll processor; Field payroll settlement</t>
        </is>
      </c>
      <c r="F419" s="7" t="n">
        <v>-19807.08</v>
      </c>
      <c r="G419" s="7" t="n">
        <v>0</v>
      </c>
      <c r="H419" s="7">
        <f>F419+G419</f>
        <v/>
      </c>
      <c r="I419" s="6" t="inlineStr">
        <is>
          <t>cleared</t>
        </is>
      </c>
      <c r="J419" s="6" t="inlineStr">
        <is>
          <t>bank feed / PRJ-PAY-ARM-2417-20260628</t>
        </is>
      </c>
    </row>
    <row r="420">
      <c r="A420" s="6" t="inlineStr">
        <is>
          <t>1010-0415</t>
        </is>
      </c>
      <c r="B420" s="6" t="inlineStr">
        <is>
          <t>2026-06-28</t>
        </is>
      </c>
      <c r="C420" s="6" t="inlineStr">
        <is>
          <t>INTERNAL TRANSFER</t>
        </is>
      </c>
      <c r="D420" s="6" t="inlineStr">
        <is>
          <t>1010</t>
        </is>
      </c>
      <c r="E420" s="6" t="inlineStr">
        <is>
          <t>Operating account 4431; Payroll funding received</t>
        </is>
      </c>
      <c r="F420" s="7" t="n">
        <v>12819.96</v>
      </c>
      <c r="G420" s="7" t="n">
        <v>0</v>
      </c>
      <c r="H420" s="7">
        <f>F420+G420</f>
        <v/>
      </c>
      <c r="I420" s="6" t="inlineStr">
        <is>
          <t>cleared</t>
        </is>
      </c>
      <c r="J420" s="6" t="inlineStr">
        <is>
          <t>bank feed / FUND-PRJ-PAY-ARM-2501-20260628</t>
        </is>
      </c>
    </row>
    <row r="421">
      <c r="A421" s="6" t="inlineStr">
        <is>
          <t>1010-0416</t>
        </is>
      </c>
      <c r="B421" s="6" t="inlineStr">
        <is>
          <t>2026-06-28</t>
        </is>
      </c>
      <c r="C421" s="6" t="inlineStr">
        <is>
          <t>PAYROLL ACH</t>
        </is>
      </c>
      <c r="D421" s="6" t="inlineStr">
        <is>
          <t>1010</t>
        </is>
      </c>
      <c r="E421" s="6" t="inlineStr">
        <is>
          <t>Employees / payroll processor; Field payroll settlement</t>
        </is>
      </c>
      <c r="F421" s="7" t="n">
        <v>-12819.96</v>
      </c>
      <c r="G421" s="7" t="n">
        <v>0</v>
      </c>
      <c r="H421" s="7">
        <f>F421+G421</f>
        <v/>
      </c>
      <c r="I421" s="6" t="inlineStr">
        <is>
          <t>cleared</t>
        </is>
      </c>
      <c r="J421" s="6" t="inlineStr">
        <is>
          <t>bank feed / PRJ-PAY-ARM-2501-20260628</t>
        </is>
      </c>
    </row>
    <row r="422">
      <c r="A422" s="6" t="inlineStr">
        <is>
          <t>1010-0417</t>
        </is>
      </c>
      <c r="B422" s="6" t="inlineStr">
        <is>
          <t>2026-06-28</t>
        </is>
      </c>
      <c r="C422" s="6" t="inlineStr">
        <is>
          <t>INTERNAL TRANSFER</t>
        </is>
      </c>
      <c r="D422" s="6" t="inlineStr">
        <is>
          <t>1010</t>
        </is>
      </c>
      <c r="E422" s="6" t="inlineStr">
        <is>
          <t>Operating account 4431; Payroll funding received</t>
        </is>
      </c>
      <c r="F422" s="7" t="n">
        <v>27669.84</v>
      </c>
      <c r="G422" s="7" t="n">
        <v>0</v>
      </c>
      <c r="H422" s="7">
        <f>F422+G422</f>
        <v/>
      </c>
      <c r="I422" s="6" t="inlineStr">
        <is>
          <t>cleared</t>
        </is>
      </c>
      <c r="J422" s="6" t="inlineStr">
        <is>
          <t>bank feed / FUND-PRJ-PAY-ARM-2506-20260628</t>
        </is>
      </c>
    </row>
    <row r="423">
      <c r="A423" s="6" t="inlineStr">
        <is>
          <t>1010-0418</t>
        </is>
      </c>
      <c r="B423" s="6" t="inlineStr">
        <is>
          <t>2026-06-28</t>
        </is>
      </c>
      <c r="C423" s="6" t="inlineStr">
        <is>
          <t>PAYROLL ACH</t>
        </is>
      </c>
      <c r="D423" s="6" t="inlineStr">
        <is>
          <t>1010</t>
        </is>
      </c>
      <c r="E423" s="6" t="inlineStr">
        <is>
          <t>Employees / payroll processor; Field payroll settlement</t>
        </is>
      </c>
      <c r="F423" s="7" t="n">
        <v>-27669.84</v>
      </c>
      <c r="G423" s="7" t="n">
        <v>0</v>
      </c>
      <c r="H423" s="7">
        <f>F423+G423</f>
        <v/>
      </c>
      <c r="I423" s="6" t="inlineStr">
        <is>
          <t>cleared</t>
        </is>
      </c>
      <c r="J423" s="6" t="inlineStr">
        <is>
          <t>bank feed / PRJ-PAY-ARM-2506-20260628</t>
        </is>
      </c>
    </row>
    <row r="424">
      <c r="A424" s="6" t="inlineStr">
        <is>
          <t>1010-0419</t>
        </is>
      </c>
      <c r="B424" s="6" t="inlineStr">
        <is>
          <t>2026-06-28</t>
        </is>
      </c>
      <c r="C424" s="6" t="inlineStr">
        <is>
          <t>INTERNAL TRANSFER</t>
        </is>
      </c>
      <c r="D424" s="6" t="inlineStr">
        <is>
          <t>1010</t>
        </is>
      </c>
      <c r="E424" s="6" t="inlineStr">
        <is>
          <t>Operating account 4431; Payroll funding received</t>
        </is>
      </c>
      <c r="F424" s="7" t="n">
        <v>18051.25</v>
      </c>
      <c r="G424" s="7" t="n">
        <v>0</v>
      </c>
      <c r="H424" s="7">
        <f>F424+G424</f>
        <v/>
      </c>
      <c r="I424" s="6" t="inlineStr">
        <is>
          <t>cleared</t>
        </is>
      </c>
      <c r="J424" s="6" t="inlineStr">
        <is>
          <t>bank feed / FUND-PRJ-PAY-ARM-2510-20260628</t>
        </is>
      </c>
    </row>
    <row r="425">
      <c r="A425" s="6" t="inlineStr">
        <is>
          <t>1010-0420</t>
        </is>
      </c>
      <c r="B425" s="6" t="inlineStr">
        <is>
          <t>2026-06-28</t>
        </is>
      </c>
      <c r="C425" s="6" t="inlineStr">
        <is>
          <t>PAYROLL ACH</t>
        </is>
      </c>
      <c r="D425" s="6" t="inlineStr">
        <is>
          <t>1010</t>
        </is>
      </c>
      <c r="E425" s="6" t="inlineStr">
        <is>
          <t>Employees / payroll processor; Field payroll settlement</t>
        </is>
      </c>
      <c r="F425" s="7" t="n">
        <v>-18051.25</v>
      </c>
      <c r="G425" s="7" t="n">
        <v>0</v>
      </c>
      <c r="H425" s="7">
        <f>F425+G425</f>
        <v/>
      </c>
      <c r="I425" s="6" t="inlineStr">
        <is>
          <t>cleared</t>
        </is>
      </c>
      <c r="J425" s="6" t="inlineStr">
        <is>
          <t>bank feed / PRJ-PAY-ARM-2510-20260628</t>
        </is>
      </c>
    </row>
    <row r="426">
      <c r="A426" s="6" t="inlineStr">
        <is>
          <t>1010-0421</t>
        </is>
      </c>
      <c r="B426" s="6" t="inlineStr">
        <is>
          <t>2026-06-28</t>
        </is>
      </c>
      <c r="C426" s="6" t="inlineStr">
        <is>
          <t>INTERNAL TRANSFER</t>
        </is>
      </c>
      <c r="D426" s="6" t="inlineStr">
        <is>
          <t>1010</t>
        </is>
      </c>
      <c r="E426" s="6" t="inlineStr">
        <is>
          <t>Operating account 4431; Payroll funding received</t>
        </is>
      </c>
      <c r="F426" s="7" t="n">
        <v>29976.18</v>
      </c>
      <c r="G426" s="7" t="n">
        <v>0</v>
      </c>
      <c r="H426" s="7">
        <f>F426+G426</f>
        <v/>
      </c>
      <c r="I426" s="6" t="inlineStr">
        <is>
          <t>cleared</t>
        </is>
      </c>
      <c r="J426" s="6" t="inlineStr">
        <is>
          <t>bank feed / FUND-PRJ-PAY-ARM-2514-20260628</t>
        </is>
      </c>
    </row>
    <row r="427">
      <c r="A427" s="6" t="inlineStr">
        <is>
          <t>1010-0422</t>
        </is>
      </c>
      <c r="B427" s="6" t="inlineStr">
        <is>
          <t>2026-06-28</t>
        </is>
      </c>
      <c r="C427" s="6" t="inlineStr">
        <is>
          <t>PAYROLL ACH</t>
        </is>
      </c>
      <c r="D427" s="6" t="inlineStr">
        <is>
          <t>1010</t>
        </is>
      </c>
      <c r="E427" s="6" t="inlineStr">
        <is>
          <t>Employees / payroll processor; Field payroll settlement</t>
        </is>
      </c>
      <c r="F427" s="7" t="n">
        <v>-29976.18</v>
      </c>
      <c r="G427" s="7" t="n">
        <v>0</v>
      </c>
      <c r="H427" s="7">
        <f>F427+G427</f>
        <v/>
      </c>
      <c r="I427" s="6" t="inlineStr">
        <is>
          <t>cleared</t>
        </is>
      </c>
      <c r="J427" s="6" t="inlineStr">
        <is>
          <t>bank feed / PRJ-PAY-ARM-2514-20260628</t>
        </is>
      </c>
    </row>
    <row r="428">
      <c r="A428" s="6" t="inlineStr">
        <is>
          <t>1010-0423</t>
        </is>
      </c>
      <c r="B428" s="6" t="inlineStr">
        <is>
          <t>2026-06-28</t>
        </is>
      </c>
      <c r="C428" s="6" t="inlineStr">
        <is>
          <t>INTERNAL TRANSFER</t>
        </is>
      </c>
      <c r="D428" s="6" t="inlineStr">
        <is>
          <t>1010</t>
        </is>
      </c>
      <c r="E428" s="6" t="inlineStr">
        <is>
          <t>Operating account 4431; Payroll funding received</t>
        </is>
      </c>
      <c r="F428" s="7" t="n">
        <v>14154.31</v>
      </c>
      <c r="G428" s="7" t="n">
        <v>0</v>
      </c>
      <c r="H428" s="7">
        <f>F428+G428</f>
        <v/>
      </c>
      <c r="I428" s="6" t="inlineStr">
        <is>
          <t>cleared</t>
        </is>
      </c>
      <c r="J428" s="6" t="inlineStr">
        <is>
          <t>bank feed / FUND-PRJ-PAY-ARM-2518-20260628</t>
        </is>
      </c>
    </row>
    <row r="429">
      <c r="A429" s="6" t="inlineStr">
        <is>
          <t>1010-0424</t>
        </is>
      </c>
      <c r="B429" s="6" t="inlineStr">
        <is>
          <t>2026-06-28</t>
        </is>
      </c>
      <c r="C429" s="6" t="inlineStr">
        <is>
          <t>PAYROLL ACH</t>
        </is>
      </c>
      <c r="D429" s="6" t="inlineStr">
        <is>
          <t>1010</t>
        </is>
      </c>
      <c r="E429" s="6" t="inlineStr">
        <is>
          <t>Employees / payroll processor; Field payroll settlement</t>
        </is>
      </c>
      <c r="F429" s="7" t="n">
        <v>-14154.31</v>
      </c>
      <c r="G429" s="7" t="n">
        <v>0</v>
      </c>
      <c r="H429" s="7">
        <f>F429+G429</f>
        <v/>
      </c>
      <c r="I429" s="6" t="inlineStr">
        <is>
          <t>cleared</t>
        </is>
      </c>
      <c r="J429" s="6" t="inlineStr">
        <is>
          <t>bank feed / PRJ-PAY-ARM-2518-20260628</t>
        </is>
      </c>
    </row>
    <row r="430">
      <c r="A430" s="6" t="inlineStr">
        <is>
          <t>1010-0425</t>
        </is>
      </c>
      <c r="B430" s="6" t="inlineStr">
        <is>
          <t>2026-06-28</t>
        </is>
      </c>
      <c r="C430" s="6" t="inlineStr">
        <is>
          <t>INTERNAL TRANSFER</t>
        </is>
      </c>
      <c r="D430" s="6" t="inlineStr">
        <is>
          <t>1010</t>
        </is>
      </c>
      <c r="E430" s="6" t="inlineStr">
        <is>
          <t>Operating account 4431; Payroll funding received</t>
        </is>
      </c>
      <c r="F430" s="7" t="n">
        <v>16626.15</v>
      </c>
      <c r="G430" s="7" t="n">
        <v>0</v>
      </c>
      <c r="H430" s="7">
        <f>F430+G430</f>
        <v/>
      </c>
      <c r="I430" s="6" t="inlineStr">
        <is>
          <t>cleared</t>
        </is>
      </c>
      <c r="J430" s="6" t="inlineStr">
        <is>
          <t>bank feed / FUND-PRJ-PAY-ARM-2522-20260628</t>
        </is>
      </c>
    </row>
    <row r="431">
      <c r="A431" s="6" t="inlineStr">
        <is>
          <t>1010-0426</t>
        </is>
      </c>
      <c r="B431" s="6" t="inlineStr">
        <is>
          <t>2026-06-28</t>
        </is>
      </c>
      <c r="C431" s="6" t="inlineStr">
        <is>
          <t>PAYROLL ACH</t>
        </is>
      </c>
      <c r="D431" s="6" t="inlineStr">
        <is>
          <t>1010</t>
        </is>
      </c>
      <c r="E431" s="6" t="inlineStr">
        <is>
          <t>Employees / payroll processor; Field payroll settlement</t>
        </is>
      </c>
      <c r="F431" s="7" t="n">
        <v>-16626.15</v>
      </c>
      <c r="G431" s="7" t="n">
        <v>0</v>
      </c>
      <c r="H431" s="7">
        <f>F431+G431</f>
        <v/>
      </c>
      <c r="I431" s="6" t="inlineStr">
        <is>
          <t>cleared</t>
        </is>
      </c>
      <c r="J431" s="6" t="inlineStr">
        <is>
          <t>bank feed / PRJ-PAY-ARM-2522-20260628</t>
        </is>
      </c>
    </row>
    <row r="432">
      <c r="A432" s="6" t="inlineStr">
        <is>
          <t>1010-0427</t>
        </is>
      </c>
      <c r="B432" s="6" t="inlineStr">
        <is>
          <t>2026-06-28</t>
        </is>
      </c>
      <c r="C432" s="6" t="inlineStr">
        <is>
          <t>INTERNAL TRANSFER</t>
        </is>
      </c>
      <c r="D432" s="6" t="inlineStr">
        <is>
          <t>1010</t>
        </is>
      </c>
      <c r="E432" s="6" t="inlineStr">
        <is>
          <t>Operating account 4431; Payroll funding received</t>
        </is>
      </c>
      <c r="F432" s="7" t="n">
        <v>11958.01</v>
      </c>
      <c r="G432" s="7" t="n">
        <v>0</v>
      </c>
      <c r="H432" s="7">
        <f>F432+G432</f>
        <v/>
      </c>
      <c r="I432" s="6" t="inlineStr">
        <is>
          <t>cleared</t>
        </is>
      </c>
      <c r="J432" s="6" t="inlineStr">
        <is>
          <t>bank feed / FUND-PRJ-PAY-ARM-2526-20260628</t>
        </is>
      </c>
    </row>
    <row r="433">
      <c r="A433" s="6" t="inlineStr">
        <is>
          <t>1010-0428</t>
        </is>
      </c>
      <c r="B433" s="6" t="inlineStr">
        <is>
          <t>2026-06-28</t>
        </is>
      </c>
      <c r="C433" s="6" t="inlineStr">
        <is>
          <t>PAYROLL ACH</t>
        </is>
      </c>
      <c r="D433" s="6" t="inlineStr">
        <is>
          <t>1010</t>
        </is>
      </c>
      <c r="E433" s="6" t="inlineStr">
        <is>
          <t>Employees / payroll processor; Field payroll settlement</t>
        </is>
      </c>
      <c r="F433" s="7" t="n">
        <v>-11958.01</v>
      </c>
      <c r="G433" s="7" t="n">
        <v>0</v>
      </c>
      <c r="H433" s="7">
        <f>F433+G433</f>
        <v/>
      </c>
      <c r="I433" s="6" t="inlineStr">
        <is>
          <t>cleared</t>
        </is>
      </c>
      <c r="J433" s="6" t="inlineStr">
        <is>
          <t>bank feed / PRJ-PAY-ARM-2526-20260628</t>
        </is>
      </c>
    </row>
    <row r="434">
      <c r="A434" s="6" t="inlineStr">
        <is>
          <t>1010-0429</t>
        </is>
      </c>
      <c r="B434" s="6" t="inlineStr">
        <is>
          <t>2026-06-28</t>
        </is>
      </c>
      <c r="C434" s="6" t="inlineStr">
        <is>
          <t>INTERNAL TRANSFER</t>
        </is>
      </c>
      <c r="D434" s="6" t="inlineStr">
        <is>
          <t>1010</t>
        </is>
      </c>
      <c r="E434" s="6" t="inlineStr">
        <is>
          <t>Operating account 4431; Payroll funding received</t>
        </is>
      </c>
      <c r="F434" s="7" t="n">
        <v>15229.31</v>
      </c>
      <c r="G434" s="7" t="n">
        <v>0</v>
      </c>
      <c r="H434" s="7">
        <f>F434+G434</f>
        <v/>
      </c>
      <c r="I434" s="6" t="inlineStr">
        <is>
          <t>cleared</t>
        </is>
      </c>
      <c r="J434" s="6" t="inlineStr">
        <is>
          <t>bank feed / FUND-PRJ-PAY-ARM-2602-20260628</t>
        </is>
      </c>
    </row>
    <row r="435">
      <c r="A435" s="6" t="inlineStr">
        <is>
          <t>1010-0430</t>
        </is>
      </c>
      <c r="B435" s="6" t="inlineStr">
        <is>
          <t>2026-06-28</t>
        </is>
      </c>
      <c r="C435" s="6" t="inlineStr">
        <is>
          <t>PAYROLL ACH</t>
        </is>
      </c>
      <c r="D435" s="6" t="inlineStr">
        <is>
          <t>1010</t>
        </is>
      </c>
      <c r="E435" s="6" t="inlineStr">
        <is>
          <t>Employees / payroll processor; Field payroll settlement</t>
        </is>
      </c>
      <c r="F435" s="7" t="n">
        <v>-15229.31</v>
      </c>
      <c r="G435" s="7" t="n">
        <v>0</v>
      </c>
      <c r="H435" s="7">
        <f>F435+G435</f>
        <v/>
      </c>
      <c r="I435" s="6" t="inlineStr">
        <is>
          <t>cleared</t>
        </is>
      </c>
      <c r="J435" s="6" t="inlineStr">
        <is>
          <t>bank feed / PRJ-PAY-ARM-2602-20260628</t>
        </is>
      </c>
    </row>
    <row r="436">
      <c r="A436" s="6" t="inlineStr">
        <is>
          <t>1010-0431</t>
        </is>
      </c>
      <c r="B436" s="6" t="inlineStr">
        <is>
          <t>2026-06-28</t>
        </is>
      </c>
      <c r="C436" s="6" t="inlineStr">
        <is>
          <t>INTERNAL TRANSFER</t>
        </is>
      </c>
      <c r="D436" s="6" t="inlineStr">
        <is>
          <t>1010</t>
        </is>
      </c>
      <c r="E436" s="6" t="inlineStr">
        <is>
          <t>Operating account 4431; Payroll funding received</t>
        </is>
      </c>
      <c r="F436" s="7" t="n">
        <v>12915.63</v>
      </c>
      <c r="G436" s="7" t="n">
        <v>0</v>
      </c>
      <c r="H436" s="7">
        <f>F436+G436</f>
        <v/>
      </c>
      <c r="I436" s="6" t="inlineStr">
        <is>
          <t>cleared</t>
        </is>
      </c>
      <c r="J436" s="6" t="inlineStr">
        <is>
          <t>bank feed / FUND-PRJ-PAY-ARM-2605-20260628</t>
        </is>
      </c>
    </row>
    <row r="437">
      <c r="A437" s="6" t="inlineStr">
        <is>
          <t>1010-0432</t>
        </is>
      </c>
      <c r="B437" s="6" t="inlineStr">
        <is>
          <t>2026-06-28</t>
        </is>
      </c>
      <c r="C437" s="6" t="inlineStr">
        <is>
          <t>PAYROLL ACH</t>
        </is>
      </c>
      <c r="D437" s="6" t="inlineStr">
        <is>
          <t>1010</t>
        </is>
      </c>
      <c r="E437" s="6" t="inlineStr">
        <is>
          <t>Employees / payroll processor; Field payroll settlement</t>
        </is>
      </c>
      <c r="F437" s="7" t="n">
        <v>-12915.63</v>
      </c>
      <c r="G437" s="7" t="n">
        <v>0</v>
      </c>
      <c r="H437" s="7">
        <f>F437+G437</f>
        <v/>
      </c>
      <c r="I437" s="6" t="inlineStr">
        <is>
          <t>cleared</t>
        </is>
      </c>
      <c r="J437" s="6" t="inlineStr">
        <is>
          <t>bank feed / PRJ-PAY-ARM-2605-20260628</t>
        </is>
      </c>
    </row>
    <row r="438">
      <c r="A438" s="6" t="inlineStr">
        <is>
          <t>1010-0433</t>
        </is>
      </c>
      <c r="B438" s="6" t="inlineStr">
        <is>
          <t>2026-06-28</t>
        </is>
      </c>
      <c r="C438" s="6" t="inlineStr">
        <is>
          <t>INTERNAL TRANSFER</t>
        </is>
      </c>
      <c r="D438" s="6" t="inlineStr">
        <is>
          <t>1010</t>
        </is>
      </c>
      <c r="E438" s="6" t="inlineStr">
        <is>
          <t>Operating account 4431; Payroll funding received</t>
        </is>
      </c>
      <c r="F438" s="7" t="n">
        <v>10864.78</v>
      </c>
      <c r="G438" s="7" t="n">
        <v>0</v>
      </c>
      <c r="H438" s="7">
        <f>F438+G438</f>
        <v/>
      </c>
      <c r="I438" s="6" t="inlineStr">
        <is>
          <t>cleared</t>
        </is>
      </c>
      <c r="J438" s="6" t="inlineStr">
        <is>
          <t>bank feed / FUND-PRJ-PAY-ARM-2608-20260628</t>
        </is>
      </c>
    </row>
    <row r="439">
      <c r="A439" s="6" t="inlineStr">
        <is>
          <t>1010-0434</t>
        </is>
      </c>
      <c r="B439" s="6" t="inlineStr">
        <is>
          <t>2026-06-28</t>
        </is>
      </c>
      <c r="C439" s="6" t="inlineStr">
        <is>
          <t>PAYROLL ACH</t>
        </is>
      </c>
      <c r="D439" s="6" t="inlineStr">
        <is>
          <t>1010</t>
        </is>
      </c>
      <c r="E439" s="6" t="inlineStr">
        <is>
          <t>Employees / payroll processor; Field payroll settlement</t>
        </is>
      </c>
      <c r="F439" s="7" t="n">
        <v>-10864.78</v>
      </c>
      <c r="G439" s="7" t="n">
        <v>0</v>
      </c>
      <c r="H439" s="7">
        <f>F439+G439</f>
        <v/>
      </c>
      <c r="I439" s="6" t="inlineStr">
        <is>
          <t>cleared</t>
        </is>
      </c>
      <c r="J439" s="6" t="inlineStr">
        <is>
          <t>bank feed / PRJ-PAY-ARM-2608-20260628</t>
        </is>
      </c>
    </row>
    <row r="440">
      <c r="A440" s="6" t="inlineStr">
        <is>
          <t>1010-0435</t>
        </is>
      </c>
      <c r="B440" s="6" t="inlineStr">
        <is>
          <t>2026-06-28</t>
        </is>
      </c>
      <c r="C440" s="6" t="inlineStr">
        <is>
          <t>INTERNAL TRANSFER</t>
        </is>
      </c>
      <c r="D440" s="6" t="inlineStr">
        <is>
          <t>1010</t>
        </is>
      </c>
      <c r="E440" s="6" t="inlineStr">
        <is>
          <t>Operating account 4431; Service payroll funding received</t>
        </is>
      </c>
      <c r="F440" s="7" t="n">
        <v>53046.6</v>
      </c>
      <c r="G440" s="7" t="n">
        <v>0</v>
      </c>
      <c r="H440" s="7">
        <f>F440+G440</f>
        <v/>
      </c>
      <c r="I440" s="6" t="inlineStr">
        <is>
          <t>cleared</t>
        </is>
      </c>
      <c r="J440" s="6" t="inlineStr">
        <is>
          <t>bank feed / FUND-SVC-PAY-30-20260628</t>
        </is>
      </c>
    </row>
    <row r="441">
      <c r="A441" s="6" t="inlineStr">
        <is>
          <t>1010-0436</t>
        </is>
      </c>
      <c r="B441" s="6" t="inlineStr">
        <is>
          <t>2026-06-28</t>
        </is>
      </c>
      <c r="C441" s="6" t="inlineStr">
        <is>
          <t>PAYROLL ACH</t>
        </is>
      </c>
      <c r="D441" s="6" t="inlineStr">
        <is>
          <t>1010</t>
        </is>
      </c>
      <c r="E441" s="6" t="inlineStr">
        <is>
          <t>Employees / payroll processor; Service direct payroll settlement</t>
        </is>
      </c>
      <c r="F441" s="7" t="n">
        <v>-53046.6</v>
      </c>
      <c r="G441" s="7" t="n">
        <v>0</v>
      </c>
      <c r="H441" s="7">
        <f>F441+G441</f>
        <v/>
      </c>
      <c r="I441" s="6" t="inlineStr">
        <is>
          <t>cleared</t>
        </is>
      </c>
      <c r="J441" s="6" t="inlineStr">
        <is>
          <t>bank feed / SVC-PAY-30-20260628</t>
        </is>
      </c>
    </row>
    <row r="442">
      <c r="A442" s="6" t="inlineStr">
        <is>
          <t>1010-0437</t>
        </is>
      </c>
      <c r="B442" s="6" t="inlineStr">
        <is>
          <t>2026-06-28</t>
        </is>
      </c>
      <c r="C442" s="6" t="inlineStr">
        <is>
          <t>INTERNAL TRANSFER</t>
        </is>
      </c>
      <c r="D442" s="6" t="inlineStr">
        <is>
          <t>1010</t>
        </is>
      </c>
      <c r="E442" s="6" t="inlineStr">
        <is>
          <t>Operating account 4431; Service payroll funding received</t>
        </is>
      </c>
      <c r="F442" s="7" t="n">
        <v>16930.66</v>
      </c>
      <c r="G442" s="7" t="n">
        <v>0</v>
      </c>
      <c r="H442" s="7">
        <f>F442+G442</f>
        <v/>
      </c>
      <c r="I442" s="6" t="inlineStr">
        <is>
          <t>cleared</t>
        </is>
      </c>
      <c r="J442" s="6" t="inlineStr">
        <is>
          <t>bank feed / FUND-SVC-PAY-40-20260628</t>
        </is>
      </c>
    </row>
    <row r="443">
      <c r="A443" s="6" t="inlineStr">
        <is>
          <t>1010-0438</t>
        </is>
      </c>
      <c r="B443" s="6" t="inlineStr">
        <is>
          <t>2026-06-28</t>
        </is>
      </c>
      <c r="C443" s="6" t="inlineStr">
        <is>
          <t>PAYROLL ACH</t>
        </is>
      </c>
      <c r="D443" s="6" t="inlineStr">
        <is>
          <t>1010</t>
        </is>
      </c>
      <c r="E443" s="6" t="inlineStr">
        <is>
          <t>Employees / payroll processor; Service direct payroll settlement</t>
        </is>
      </c>
      <c r="F443" s="7" t="n">
        <v>-16930.66</v>
      </c>
      <c r="G443" s="7" t="n">
        <v>0</v>
      </c>
      <c r="H443" s="7">
        <f>F443+G443</f>
        <v/>
      </c>
      <c r="I443" s="6" t="inlineStr">
        <is>
          <t>cleared</t>
        </is>
      </c>
      <c r="J443" s="6" t="inlineStr">
        <is>
          <t>bank feed / SVC-PAY-40-20260628</t>
        </is>
      </c>
    </row>
    <row r="444">
      <c r="A444" s="6" t="inlineStr">
        <is>
          <t>1010-0439</t>
        </is>
      </c>
      <c r="B444" s="6" t="inlineStr">
        <is>
          <t>2026-06-30</t>
        </is>
      </c>
      <c r="C444" s="6" t="inlineStr">
        <is>
          <t>INTERNAL TRANSFER</t>
        </is>
      </c>
      <c r="D444" s="6" t="inlineStr">
        <is>
          <t>1010</t>
        </is>
      </c>
      <c r="E444" s="6" t="inlineStr">
        <is>
          <t>Operating account 4431; Payroll funding received</t>
        </is>
      </c>
      <c r="F444" s="7" t="n">
        <v>13010.38</v>
      </c>
      <c r="G444" s="7" t="n">
        <v>0</v>
      </c>
      <c r="H444" s="7">
        <f>F444+G444</f>
        <v/>
      </c>
      <c r="I444" s="6" t="inlineStr">
        <is>
          <t>cleared</t>
        </is>
      </c>
      <c r="J444" s="6" t="inlineStr">
        <is>
          <t>bank feed / FUND-PRJ-PAY-ARM-2318-20260630</t>
        </is>
      </c>
    </row>
    <row r="445">
      <c r="A445" s="6" t="inlineStr">
        <is>
          <t>1010-0440</t>
        </is>
      </c>
      <c r="B445" s="6" t="inlineStr">
        <is>
          <t>2026-06-30</t>
        </is>
      </c>
      <c r="C445" s="6" t="inlineStr">
        <is>
          <t>PAYROLL ACH</t>
        </is>
      </c>
      <c r="D445" s="6" t="inlineStr">
        <is>
          <t>1010</t>
        </is>
      </c>
      <c r="E445" s="6" t="inlineStr">
        <is>
          <t>Employees / payroll processor; Field payroll settlement</t>
        </is>
      </c>
      <c r="F445" s="7" t="n">
        <v>-13010.38</v>
      </c>
      <c r="G445" s="7" t="n">
        <v>0</v>
      </c>
      <c r="H445" s="7">
        <f>F445+G445</f>
        <v/>
      </c>
      <c r="I445" s="6" t="inlineStr">
        <is>
          <t>cleared</t>
        </is>
      </c>
      <c r="J445" s="6" t="inlineStr">
        <is>
          <t>bank feed / PRJ-PAY-ARM-2318-20260630</t>
        </is>
      </c>
    </row>
    <row r="446">
      <c r="A446" s="6" t="inlineStr">
        <is>
          <t>1010-0441</t>
        </is>
      </c>
      <c r="B446" s="6" t="inlineStr">
        <is>
          <t>2026-06-30</t>
        </is>
      </c>
      <c r="C446" s="6" t="inlineStr">
        <is>
          <t>INTERNAL TRANSFER</t>
        </is>
      </c>
      <c r="D446" s="6" t="inlineStr">
        <is>
          <t>1010</t>
        </is>
      </c>
      <c r="E446" s="6" t="inlineStr">
        <is>
          <t>Operating account 4431; Payroll funding received</t>
        </is>
      </c>
      <c r="F446" s="7" t="n">
        <v>11321.3</v>
      </c>
      <c r="G446" s="7" t="n">
        <v>0</v>
      </c>
      <c r="H446" s="7">
        <f>F446+G446</f>
        <v/>
      </c>
      <c r="I446" s="6" t="inlineStr">
        <is>
          <t>cleared</t>
        </is>
      </c>
      <c r="J446" s="6" t="inlineStr">
        <is>
          <t>bank feed / FUND-PRJ-PAY-ARM-2403-20260630</t>
        </is>
      </c>
    </row>
    <row r="447">
      <c r="A447" s="6" t="inlineStr">
        <is>
          <t>1010-0442</t>
        </is>
      </c>
      <c r="B447" s="6" t="inlineStr">
        <is>
          <t>2026-06-30</t>
        </is>
      </c>
      <c r="C447" s="6" t="inlineStr">
        <is>
          <t>PAYROLL ACH</t>
        </is>
      </c>
      <c r="D447" s="6" t="inlineStr">
        <is>
          <t>1010</t>
        </is>
      </c>
      <c r="E447" s="6" t="inlineStr">
        <is>
          <t>Employees / payroll processor; Field payroll settlement</t>
        </is>
      </c>
      <c r="F447" s="7" t="n">
        <v>-11321.3</v>
      </c>
      <c r="G447" s="7" t="n">
        <v>0</v>
      </c>
      <c r="H447" s="7">
        <f>F447+G447</f>
        <v/>
      </c>
      <c r="I447" s="6" t="inlineStr">
        <is>
          <t>cleared</t>
        </is>
      </c>
      <c r="J447" s="6" t="inlineStr">
        <is>
          <t>bank feed / PRJ-PAY-ARM-2403-20260630</t>
        </is>
      </c>
    </row>
    <row r="448">
      <c r="A448" s="6" t="inlineStr">
        <is>
          <t>1010-0443</t>
        </is>
      </c>
      <c r="B448" s="6" t="inlineStr">
        <is>
          <t>2026-06-30</t>
        </is>
      </c>
      <c r="C448" s="6" t="inlineStr">
        <is>
          <t>INTERNAL TRANSFER</t>
        </is>
      </c>
      <c r="D448" s="6" t="inlineStr">
        <is>
          <t>1010</t>
        </is>
      </c>
      <c r="E448" s="6" t="inlineStr">
        <is>
          <t>Operating account 4431; Payroll funding received</t>
        </is>
      </c>
      <c r="F448" s="7" t="n">
        <v>9752.23</v>
      </c>
      <c r="G448" s="7" t="n">
        <v>0</v>
      </c>
      <c r="H448" s="7">
        <f>F448+G448</f>
        <v/>
      </c>
      <c r="I448" s="6" t="inlineStr">
        <is>
          <t>cleared</t>
        </is>
      </c>
      <c r="J448" s="6" t="inlineStr">
        <is>
          <t>bank feed / FUND-PRJ-PAY-ARM-2409-20260630</t>
        </is>
      </c>
    </row>
    <row r="449">
      <c r="A449" s="6" t="inlineStr">
        <is>
          <t>1010-0444</t>
        </is>
      </c>
      <c r="B449" s="6" t="inlineStr">
        <is>
          <t>2026-06-30</t>
        </is>
      </c>
      <c r="C449" s="6" t="inlineStr">
        <is>
          <t>PAYROLL ACH</t>
        </is>
      </c>
      <c r="D449" s="6" t="inlineStr">
        <is>
          <t>1010</t>
        </is>
      </c>
      <c r="E449" s="6" t="inlineStr">
        <is>
          <t>Employees / payroll processor; Field payroll settlement</t>
        </is>
      </c>
      <c r="F449" s="7" t="n">
        <v>-9752.23</v>
      </c>
      <c r="G449" s="7" t="n">
        <v>0</v>
      </c>
      <c r="H449" s="7">
        <f>F449+G449</f>
        <v/>
      </c>
      <c r="I449" s="6" t="inlineStr">
        <is>
          <t>cleared</t>
        </is>
      </c>
      <c r="J449" s="6" t="inlineStr">
        <is>
          <t>bank feed / PRJ-PAY-ARM-2409-20260630</t>
        </is>
      </c>
    </row>
    <row r="450">
      <c r="A450" s="6" t="inlineStr">
        <is>
          <t>1010-0445</t>
        </is>
      </c>
      <c r="B450" s="6" t="inlineStr">
        <is>
          <t>2026-06-30</t>
        </is>
      </c>
      <c r="C450" s="6" t="inlineStr">
        <is>
          <t>INTERNAL TRANSFER</t>
        </is>
      </c>
      <c r="D450" s="6" t="inlineStr">
        <is>
          <t>1010</t>
        </is>
      </c>
      <c r="E450" s="6" t="inlineStr">
        <is>
          <t>Operating account 4431; Payroll funding received</t>
        </is>
      </c>
      <c r="F450" s="7" t="n">
        <v>12453.83</v>
      </c>
      <c r="G450" s="7" t="n">
        <v>0</v>
      </c>
      <c r="H450" s="7">
        <f>F450+G450</f>
        <v/>
      </c>
      <c r="I450" s="6" t="inlineStr">
        <is>
          <t>cleared</t>
        </is>
      </c>
      <c r="J450" s="6" t="inlineStr">
        <is>
          <t>bank feed / FUND-PRJ-PAY-ARM-2412-20260630</t>
        </is>
      </c>
    </row>
    <row r="451">
      <c r="A451" s="6" t="inlineStr">
        <is>
          <t>1010-0446</t>
        </is>
      </c>
      <c r="B451" s="6" t="inlineStr">
        <is>
          <t>2026-06-30</t>
        </is>
      </c>
      <c r="C451" s="6" t="inlineStr">
        <is>
          <t>PAYROLL ACH</t>
        </is>
      </c>
      <c r="D451" s="6" t="inlineStr">
        <is>
          <t>1010</t>
        </is>
      </c>
      <c r="E451" s="6" t="inlineStr">
        <is>
          <t>Employees / payroll processor; Field payroll settlement</t>
        </is>
      </c>
      <c r="F451" s="7" t="n">
        <v>-12453.83</v>
      </c>
      <c r="G451" s="7" t="n">
        <v>0</v>
      </c>
      <c r="H451" s="7">
        <f>F451+G451</f>
        <v/>
      </c>
      <c r="I451" s="6" t="inlineStr">
        <is>
          <t>cleared</t>
        </is>
      </c>
      <c r="J451" s="6" t="inlineStr">
        <is>
          <t>bank feed / PRJ-PAY-ARM-2412-20260630</t>
        </is>
      </c>
    </row>
    <row r="452">
      <c r="A452" s="6" t="inlineStr">
        <is>
          <t>1010-0447</t>
        </is>
      </c>
      <c r="B452" s="6" t="inlineStr">
        <is>
          <t>2026-06-30</t>
        </is>
      </c>
      <c r="C452" s="6" t="inlineStr">
        <is>
          <t>INTERNAL TRANSFER</t>
        </is>
      </c>
      <c r="D452" s="6" t="inlineStr">
        <is>
          <t>1010</t>
        </is>
      </c>
      <c r="E452" s="6" t="inlineStr">
        <is>
          <t>Operating account 4431; Payroll funding received</t>
        </is>
      </c>
      <c r="F452" s="7" t="n">
        <v>21868.99</v>
      </c>
      <c r="G452" s="7" t="n">
        <v>0</v>
      </c>
      <c r="H452" s="7">
        <f>F452+G452</f>
        <v/>
      </c>
      <c r="I452" s="6" t="inlineStr">
        <is>
          <t>cleared</t>
        </is>
      </c>
      <c r="J452" s="6" t="inlineStr">
        <is>
          <t>bank feed / FUND-PRJ-PAY-ARM-2417-20260630</t>
        </is>
      </c>
    </row>
    <row r="453">
      <c r="A453" s="6" t="inlineStr">
        <is>
          <t>1010-0448</t>
        </is>
      </c>
      <c r="B453" s="6" t="inlineStr">
        <is>
          <t>2026-06-30</t>
        </is>
      </c>
      <c r="C453" s="6" t="inlineStr">
        <is>
          <t>PAYROLL ACH</t>
        </is>
      </c>
      <c r="D453" s="6" t="inlineStr">
        <is>
          <t>1010</t>
        </is>
      </c>
      <c r="E453" s="6" t="inlineStr">
        <is>
          <t>Employees / payroll processor; Field payroll settlement</t>
        </is>
      </c>
      <c r="F453" s="7" t="n">
        <v>-21868.99</v>
      </c>
      <c r="G453" s="7" t="n">
        <v>0</v>
      </c>
      <c r="H453" s="7">
        <f>F453+G453</f>
        <v/>
      </c>
      <c r="I453" s="6" t="inlineStr">
        <is>
          <t>cleared</t>
        </is>
      </c>
      <c r="J453" s="6" t="inlineStr">
        <is>
          <t>bank feed / PRJ-PAY-ARM-2417-20260630</t>
        </is>
      </c>
    </row>
    <row r="454">
      <c r="A454" s="6" t="inlineStr">
        <is>
          <t>1010-0449</t>
        </is>
      </c>
      <c r="B454" s="6" t="inlineStr">
        <is>
          <t>2026-06-30</t>
        </is>
      </c>
      <c r="C454" s="6" t="inlineStr">
        <is>
          <t>INTERNAL TRANSFER</t>
        </is>
      </c>
      <c r="D454" s="6" t="inlineStr">
        <is>
          <t>1010</t>
        </is>
      </c>
      <c r="E454" s="6" t="inlineStr">
        <is>
          <t>Operating account 4431; Payroll funding received</t>
        </is>
      </c>
      <c r="F454" s="7" t="n">
        <v>12714.19</v>
      </c>
      <c r="G454" s="7" t="n">
        <v>0</v>
      </c>
      <c r="H454" s="7">
        <f>F454+G454</f>
        <v/>
      </c>
      <c r="I454" s="6" t="inlineStr">
        <is>
          <t>cleared</t>
        </is>
      </c>
      <c r="J454" s="6" t="inlineStr">
        <is>
          <t>bank feed / FUND-PRJ-PAY-ARM-2501-20260630</t>
        </is>
      </c>
    </row>
    <row r="455">
      <c r="A455" s="6" t="inlineStr">
        <is>
          <t>1010-0450</t>
        </is>
      </c>
      <c r="B455" s="6" t="inlineStr">
        <is>
          <t>2026-06-30</t>
        </is>
      </c>
      <c r="C455" s="6" t="inlineStr">
        <is>
          <t>PAYROLL ACH</t>
        </is>
      </c>
      <c r="D455" s="6" t="inlineStr">
        <is>
          <t>1010</t>
        </is>
      </c>
      <c r="E455" s="6" t="inlineStr">
        <is>
          <t>Employees / payroll processor; Field payroll settlement</t>
        </is>
      </c>
      <c r="F455" s="7" t="n">
        <v>-12714.19</v>
      </c>
      <c r="G455" s="7" t="n">
        <v>0</v>
      </c>
      <c r="H455" s="7">
        <f>F455+G455</f>
        <v/>
      </c>
      <c r="I455" s="6" t="inlineStr">
        <is>
          <t>cleared</t>
        </is>
      </c>
      <c r="J455" s="6" t="inlineStr">
        <is>
          <t>bank feed / PRJ-PAY-ARM-2501-20260630</t>
        </is>
      </c>
    </row>
    <row r="456">
      <c r="A456" s="6" t="inlineStr">
        <is>
          <t>1010-0451</t>
        </is>
      </c>
      <c r="B456" s="6" t="inlineStr">
        <is>
          <t>2026-06-30</t>
        </is>
      </c>
      <c r="C456" s="6" t="inlineStr">
        <is>
          <t>INTERNAL TRANSFER</t>
        </is>
      </c>
      <c r="D456" s="6" t="inlineStr">
        <is>
          <t>1010</t>
        </is>
      </c>
      <c r="E456" s="6" t="inlineStr">
        <is>
          <t>Operating account 4431; Payroll funding received</t>
        </is>
      </c>
      <c r="F456" s="7" t="n">
        <v>30158.75</v>
      </c>
      <c r="G456" s="7" t="n">
        <v>0</v>
      </c>
      <c r="H456" s="7">
        <f>F456+G456</f>
        <v/>
      </c>
      <c r="I456" s="6" t="inlineStr">
        <is>
          <t>cleared</t>
        </is>
      </c>
      <c r="J456" s="6" t="inlineStr">
        <is>
          <t>bank feed / FUND-PRJ-PAY-ARM-2506-20260630</t>
        </is>
      </c>
    </row>
    <row r="457">
      <c r="A457" s="6" t="inlineStr">
        <is>
          <t>1010-0452</t>
        </is>
      </c>
      <c r="B457" s="6" t="inlineStr">
        <is>
          <t>2026-06-30</t>
        </is>
      </c>
      <c r="C457" s="6" t="inlineStr">
        <is>
          <t>PAYROLL ACH</t>
        </is>
      </c>
      <c r="D457" s="6" t="inlineStr">
        <is>
          <t>1010</t>
        </is>
      </c>
      <c r="E457" s="6" t="inlineStr">
        <is>
          <t>Employees / payroll processor; Field payroll settlement</t>
        </is>
      </c>
      <c r="F457" s="7" t="n">
        <v>-30158.75</v>
      </c>
      <c r="G457" s="7" t="n">
        <v>0</v>
      </c>
      <c r="H457" s="7">
        <f>F457+G457</f>
        <v/>
      </c>
      <c r="I457" s="6" t="inlineStr">
        <is>
          <t>cleared</t>
        </is>
      </c>
      <c r="J457" s="6" t="inlineStr">
        <is>
          <t>bank feed / PRJ-PAY-ARM-2506-20260630</t>
        </is>
      </c>
    </row>
    <row r="458">
      <c r="A458" s="6" t="inlineStr">
        <is>
          <t>1010-0453</t>
        </is>
      </c>
      <c r="B458" s="6" t="inlineStr">
        <is>
          <t>2026-06-30</t>
        </is>
      </c>
      <c r="C458" s="6" t="inlineStr">
        <is>
          <t>INTERNAL TRANSFER</t>
        </is>
      </c>
      <c r="D458" s="6" t="inlineStr">
        <is>
          <t>1010</t>
        </is>
      </c>
      <c r="E458" s="6" t="inlineStr">
        <is>
          <t>Operating account 4431; Payroll funding received</t>
        </is>
      </c>
      <c r="F458" s="7" t="n">
        <v>20195.94</v>
      </c>
      <c r="G458" s="7" t="n">
        <v>0</v>
      </c>
      <c r="H458" s="7">
        <f>F458+G458</f>
        <v/>
      </c>
      <c r="I458" s="6" t="inlineStr">
        <is>
          <t>cleared</t>
        </is>
      </c>
      <c r="J458" s="6" t="inlineStr">
        <is>
          <t>bank feed / FUND-PRJ-PAY-ARM-2510-20260630</t>
        </is>
      </c>
    </row>
    <row r="459">
      <c r="A459" s="6" t="inlineStr">
        <is>
          <t>1010-0454</t>
        </is>
      </c>
      <c r="B459" s="6" t="inlineStr">
        <is>
          <t>2026-06-30</t>
        </is>
      </c>
      <c r="C459" s="6" t="inlineStr">
        <is>
          <t>PAYROLL ACH</t>
        </is>
      </c>
      <c r="D459" s="6" t="inlineStr">
        <is>
          <t>1010</t>
        </is>
      </c>
      <c r="E459" s="6" t="inlineStr">
        <is>
          <t>Employees / payroll processor; Field payroll settlement</t>
        </is>
      </c>
      <c r="F459" s="7" t="n">
        <v>-20195.94</v>
      </c>
      <c r="G459" s="7" t="n">
        <v>0</v>
      </c>
      <c r="H459" s="7">
        <f>F459+G459</f>
        <v/>
      </c>
      <c r="I459" s="6" t="inlineStr">
        <is>
          <t>cleared</t>
        </is>
      </c>
      <c r="J459" s="6" t="inlineStr">
        <is>
          <t>bank feed / PRJ-PAY-ARM-2510-20260630</t>
        </is>
      </c>
    </row>
    <row r="460">
      <c r="A460" s="6" t="inlineStr">
        <is>
          <t>1010-0455</t>
        </is>
      </c>
      <c r="B460" s="6" t="inlineStr">
        <is>
          <t>2026-06-30</t>
        </is>
      </c>
      <c r="C460" s="6" t="inlineStr">
        <is>
          <t>INTERNAL TRANSFER</t>
        </is>
      </c>
      <c r="D460" s="6" t="inlineStr">
        <is>
          <t>1010</t>
        </is>
      </c>
      <c r="E460" s="6" t="inlineStr">
        <is>
          <t>Operating account 4431; Payroll funding received</t>
        </is>
      </c>
      <c r="F460" s="7" t="n">
        <v>27466.83</v>
      </c>
      <c r="G460" s="7" t="n">
        <v>0</v>
      </c>
      <c r="H460" s="7">
        <f>F460+G460</f>
        <v/>
      </c>
      <c r="I460" s="6" t="inlineStr">
        <is>
          <t>cleared</t>
        </is>
      </c>
      <c r="J460" s="6" t="inlineStr">
        <is>
          <t>bank feed / FUND-PRJ-PAY-ARM-2514-20260630</t>
        </is>
      </c>
    </row>
    <row r="461">
      <c r="A461" s="6" t="inlineStr">
        <is>
          <t>1010-0456</t>
        </is>
      </c>
      <c r="B461" s="6" t="inlineStr">
        <is>
          <t>2026-06-30</t>
        </is>
      </c>
      <c r="C461" s="6" t="inlineStr">
        <is>
          <t>PAYROLL ACH</t>
        </is>
      </c>
      <c r="D461" s="6" t="inlineStr">
        <is>
          <t>1010</t>
        </is>
      </c>
      <c r="E461" s="6" t="inlineStr">
        <is>
          <t>Employees / payroll processor; Field payroll settlement</t>
        </is>
      </c>
      <c r="F461" s="7" t="n">
        <v>-27466.83</v>
      </c>
      <c r="G461" s="7" t="n">
        <v>0</v>
      </c>
      <c r="H461" s="7">
        <f>F461+G461</f>
        <v/>
      </c>
      <c r="I461" s="6" t="inlineStr">
        <is>
          <t>cleared</t>
        </is>
      </c>
      <c r="J461" s="6" t="inlineStr">
        <is>
          <t>bank feed / PRJ-PAY-ARM-2514-20260630</t>
        </is>
      </c>
    </row>
    <row r="462">
      <c r="A462" s="6" t="inlineStr">
        <is>
          <t>1010-0457</t>
        </is>
      </c>
      <c r="B462" s="6" t="inlineStr">
        <is>
          <t>2026-06-30</t>
        </is>
      </c>
      <c r="C462" s="6" t="inlineStr">
        <is>
          <t>INTERNAL TRANSFER</t>
        </is>
      </c>
      <c r="D462" s="6" t="inlineStr">
        <is>
          <t>1010</t>
        </is>
      </c>
      <c r="E462" s="6" t="inlineStr">
        <is>
          <t>Operating account 4431; Payroll funding received</t>
        </is>
      </c>
      <c r="F462" s="7" t="n">
        <v>13637.68</v>
      </c>
      <c r="G462" s="7" t="n">
        <v>0</v>
      </c>
      <c r="H462" s="7">
        <f>F462+G462</f>
        <v/>
      </c>
      <c r="I462" s="6" t="inlineStr">
        <is>
          <t>cleared</t>
        </is>
      </c>
      <c r="J462" s="6" t="inlineStr">
        <is>
          <t>bank feed / FUND-PRJ-PAY-ARM-2518-20260630</t>
        </is>
      </c>
    </row>
    <row r="463">
      <c r="A463" s="6" t="inlineStr">
        <is>
          <t>1010-0458</t>
        </is>
      </c>
      <c r="B463" s="6" t="inlineStr">
        <is>
          <t>2026-06-30</t>
        </is>
      </c>
      <c r="C463" s="6" t="inlineStr">
        <is>
          <t>PAYROLL ACH</t>
        </is>
      </c>
      <c r="D463" s="6" t="inlineStr">
        <is>
          <t>1010</t>
        </is>
      </c>
      <c r="E463" s="6" t="inlineStr">
        <is>
          <t>Employees / payroll processor; Field payroll settlement</t>
        </is>
      </c>
      <c r="F463" s="7" t="n">
        <v>-13637.68</v>
      </c>
      <c r="G463" s="7" t="n">
        <v>0</v>
      </c>
      <c r="H463" s="7">
        <f>F463+G463</f>
        <v/>
      </c>
      <c r="I463" s="6" t="inlineStr">
        <is>
          <t>cleared</t>
        </is>
      </c>
      <c r="J463" s="6" t="inlineStr">
        <is>
          <t>bank feed / PRJ-PAY-ARM-2518-20260630</t>
        </is>
      </c>
    </row>
    <row r="464">
      <c r="A464" s="6" t="inlineStr">
        <is>
          <t>1010-0459</t>
        </is>
      </c>
      <c r="B464" s="6" t="inlineStr">
        <is>
          <t>2026-06-30</t>
        </is>
      </c>
      <c r="C464" s="6" t="inlineStr">
        <is>
          <t>INTERNAL TRANSFER</t>
        </is>
      </c>
      <c r="D464" s="6" t="inlineStr">
        <is>
          <t>1010</t>
        </is>
      </c>
      <c r="E464" s="6" t="inlineStr">
        <is>
          <t>Operating account 4431; Payroll funding received</t>
        </is>
      </c>
      <c r="F464" s="7" t="n">
        <v>17709.63</v>
      </c>
      <c r="G464" s="7" t="n">
        <v>0</v>
      </c>
      <c r="H464" s="7">
        <f>F464+G464</f>
        <v/>
      </c>
      <c r="I464" s="6" t="inlineStr">
        <is>
          <t>cleared</t>
        </is>
      </c>
      <c r="J464" s="6" t="inlineStr">
        <is>
          <t>bank feed / FUND-PRJ-PAY-ARM-2522-20260630</t>
        </is>
      </c>
    </row>
    <row r="465">
      <c r="A465" s="6" t="inlineStr">
        <is>
          <t>1010-0460</t>
        </is>
      </c>
      <c r="B465" s="6" t="inlineStr">
        <is>
          <t>2026-06-30</t>
        </is>
      </c>
      <c r="C465" s="6" t="inlineStr">
        <is>
          <t>PAYROLL ACH</t>
        </is>
      </c>
      <c r="D465" s="6" t="inlineStr">
        <is>
          <t>1010</t>
        </is>
      </c>
      <c r="E465" s="6" t="inlineStr">
        <is>
          <t>Employees / payroll processor; Field payroll settlement</t>
        </is>
      </c>
      <c r="F465" s="7" t="n">
        <v>-17709.63</v>
      </c>
      <c r="G465" s="7" t="n">
        <v>0</v>
      </c>
      <c r="H465" s="7">
        <f>F465+G465</f>
        <v/>
      </c>
      <c r="I465" s="6" t="inlineStr">
        <is>
          <t>cleared</t>
        </is>
      </c>
      <c r="J465" s="6" t="inlineStr">
        <is>
          <t>bank feed / PRJ-PAY-ARM-2522-20260630</t>
        </is>
      </c>
    </row>
    <row r="466">
      <c r="A466" s="6" t="inlineStr">
        <is>
          <t>1010-0461</t>
        </is>
      </c>
      <c r="B466" s="6" t="inlineStr">
        <is>
          <t>2026-06-30</t>
        </is>
      </c>
      <c r="C466" s="6" t="inlineStr">
        <is>
          <t>INTERNAL TRANSFER</t>
        </is>
      </c>
      <c r="D466" s="6" t="inlineStr">
        <is>
          <t>1010</t>
        </is>
      </c>
      <c r="E466" s="6" t="inlineStr">
        <is>
          <t>Operating account 4431; Payroll funding received</t>
        </is>
      </c>
      <c r="F466" s="7" t="n">
        <v>12713.68</v>
      </c>
      <c r="G466" s="7" t="n">
        <v>0</v>
      </c>
      <c r="H466" s="7">
        <f>F466+G466</f>
        <v/>
      </c>
      <c r="I466" s="6" t="inlineStr">
        <is>
          <t>cleared</t>
        </is>
      </c>
      <c r="J466" s="6" t="inlineStr">
        <is>
          <t>bank feed / FUND-PRJ-PAY-ARM-2526-20260630</t>
        </is>
      </c>
    </row>
    <row r="467">
      <c r="A467" s="6" t="inlineStr">
        <is>
          <t>1010-0462</t>
        </is>
      </c>
      <c r="B467" s="6" t="inlineStr">
        <is>
          <t>2026-06-30</t>
        </is>
      </c>
      <c r="C467" s="6" t="inlineStr">
        <is>
          <t>PAYROLL ACH</t>
        </is>
      </c>
      <c r="D467" s="6" t="inlineStr">
        <is>
          <t>1010</t>
        </is>
      </c>
      <c r="E467" s="6" t="inlineStr">
        <is>
          <t>Employees / payroll processor; Field payroll settlement</t>
        </is>
      </c>
      <c r="F467" s="7" t="n">
        <v>-12713.68</v>
      </c>
      <c r="G467" s="7" t="n">
        <v>0</v>
      </c>
      <c r="H467" s="7">
        <f>F467+G467</f>
        <v/>
      </c>
      <c r="I467" s="6" t="inlineStr">
        <is>
          <t>cleared</t>
        </is>
      </c>
      <c r="J467" s="6" t="inlineStr">
        <is>
          <t>bank feed / PRJ-PAY-ARM-2526-20260630</t>
        </is>
      </c>
    </row>
    <row r="468">
      <c r="A468" s="6" t="inlineStr">
        <is>
          <t>1010-0463</t>
        </is>
      </c>
      <c r="B468" s="6" t="inlineStr">
        <is>
          <t>2026-06-30</t>
        </is>
      </c>
      <c r="C468" s="6" t="inlineStr">
        <is>
          <t>INTERNAL TRANSFER</t>
        </is>
      </c>
      <c r="D468" s="6" t="inlineStr">
        <is>
          <t>1010</t>
        </is>
      </c>
      <c r="E468" s="6" t="inlineStr">
        <is>
          <t>Operating account 4431; Payroll funding received</t>
        </is>
      </c>
      <c r="F468" s="7" t="n">
        <v>14286.34</v>
      </c>
      <c r="G468" s="7" t="n">
        <v>0</v>
      </c>
      <c r="H468" s="7">
        <f>F468+G468</f>
        <v/>
      </c>
      <c r="I468" s="6" t="inlineStr">
        <is>
          <t>cleared</t>
        </is>
      </c>
      <c r="J468" s="6" t="inlineStr">
        <is>
          <t>bank feed / FUND-PRJ-PAY-ARM-2602-20260630</t>
        </is>
      </c>
    </row>
    <row r="469">
      <c r="A469" s="6" t="inlineStr">
        <is>
          <t>1010-0464</t>
        </is>
      </c>
      <c r="B469" s="6" t="inlineStr">
        <is>
          <t>2026-06-30</t>
        </is>
      </c>
      <c r="C469" s="6" t="inlineStr">
        <is>
          <t>PAYROLL ACH</t>
        </is>
      </c>
      <c r="D469" s="6" t="inlineStr">
        <is>
          <t>1010</t>
        </is>
      </c>
      <c r="E469" s="6" t="inlineStr">
        <is>
          <t>Employees / payroll processor; Field payroll settlement</t>
        </is>
      </c>
      <c r="F469" s="7" t="n">
        <v>-14286.34</v>
      </c>
      <c r="G469" s="7" t="n">
        <v>0</v>
      </c>
      <c r="H469" s="7">
        <f>F469+G469</f>
        <v/>
      </c>
      <c r="I469" s="6" t="inlineStr">
        <is>
          <t>cleared</t>
        </is>
      </c>
      <c r="J469" s="6" t="inlineStr">
        <is>
          <t>bank feed / PRJ-PAY-ARM-2602-20260630</t>
        </is>
      </c>
    </row>
    <row r="470">
      <c r="A470" s="6" t="inlineStr">
        <is>
          <t>1010-0465</t>
        </is>
      </c>
      <c r="B470" s="6" t="inlineStr">
        <is>
          <t>2026-06-30</t>
        </is>
      </c>
      <c r="C470" s="6" t="inlineStr">
        <is>
          <t>INTERNAL TRANSFER</t>
        </is>
      </c>
      <c r="D470" s="6" t="inlineStr">
        <is>
          <t>1010</t>
        </is>
      </c>
      <c r="E470" s="6" t="inlineStr">
        <is>
          <t>Operating account 4431; Payroll funding received</t>
        </is>
      </c>
      <c r="F470" s="7" t="n">
        <v>13393.11</v>
      </c>
      <c r="G470" s="7" t="n">
        <v>0</v>
      </c>
      <c r="H470" s="7">
        <f>F470+G470</f>
        <v/>
      </c>
      <c r="I470" s="6" t="inlineStr">
        <is>
          <t>cleared</t>
        </is>
      </c>
      <c r="J470" s="6" t="inlineStr">
        <is>
          <t>bank feed / FUND-PRJ-PAY-ARM-2605-20260630</t>
        </is>
      </c>
    </row>
    <row r="471">
      <c r="A471" s="6" t="inlineStr">
        <is>
          <t>1010-0466</t>
        </is>
      </c>
      <c r="B471" s="6" t="inlineStr">
        <is>
          <t>2026-06-30</t>
        </is>
      </c>
      <c r="C471" s="6" t="inlineStr">
        <is>
          <t>PAYROLL ACH</t>
        </is>
      </c>
      <c r="D471" s="6" t="inlineStr">
        <is>
          <t>1010</t>
        </is>
      </c>
      <c r="E471" s="6" t="inlineStr">
        <is>
          <t>Employees / payroll processor; Field payroll settlement</t>
        </is>
      </c>
      <c r="F471" s="7" t="n">
        <v>-13393.11</v>
      </c>
      <c r="G471" s="7" t="n">
        <v>0</v>
      </c>
      <c r="H471" s="7">
        <f>F471+G471</f>
        <v/>
      </c>
      <c r="I471" s="6" t="inlineStr">
        <is>
          <t>cleared</t>
        </is>
      </c>
      <c r="J471" s="6" t="inlineStr">
        <is>
          <t>bank feed / PRJ-PAY-ARM-2605-20260630</t>
        </is>
      </c>
    </row>
    <row r="472">
      <c r="A472" s="6" t="inlineStr">
        <is>
          <t>1010-0467</t>
        </is>
      </c>
      <c r="B472" s="6" t="inlineStr">
        <is>
          <t>2026-06-30</t>
        </is>
      </c>
      <c r="C472" s="6" t="inlineStr">
        <is>
          <t>INTERNAL TRANSFER</t>
        </is>
      </c>
      <c r="D472" s="6" t="inlineStr">
        <is>
          <t>1010</t>
        </is>
      </c>
      <c r="E472" s="6" t="inlineStr">
        <is>
          <t>Operating account 4431; Payroll funding received</t>
        </is>
      </c>
      <c r="F472" s="7" t="n">
        <v>12127.99</v>
      </c>
      <c r="G472" s="7" t="n">
        <v>0</v>
      </c>
      <c r="H472" s="7">
        <f>F472+G472</f>
        <v/>
      </c>
      <c r="I472" s="6" t="inlineStr">
        <is>
          <t>cleared</t>
        </is>
      </c>
      <c r="J472" s="6" t="inlineStr">
        <is>
          <t>bank feed / FUND-PRJ-PAY-ARM-2608-20260630</t>
        </is>
      </c>
    </row>
    <row r="473">
      <c r="A473" s="6" t="inlineStr">
        <is>
          <t>1010-0468</t>
        </is>
      </c>
      <c r="B473" s="6" t="inlineStr">
        <is>
          <t>2026-06-30</t>
        </is>
      </c>
      <c r="C473" s="6" t="inlineStr">
        <is>
          <t>PAYROLL ACH</t>
        </is>
      </c>
      <c r="D473" s="6" t="inlineStr">
        <is>
          <t>1010</t>
        </is>
      </c>
      <c r="E473" s="6" t="inlineStr">
        <is>
          <t>Employees / payroll processor; Field payroll settlement</t>
        </is>
      </c>
      <c r="F473" s="7" t="n">
        <v>-12127.99</v>
      </c>
      <c r="G473" s="7" t="n">
        <v>0</v>
      </c>
      <c r="H473" s="7">
        <f>F473+G473</f>
        <v/>
      </c>
      <c r="I473" s="6" t="inlineStr">
        <is>
          <t>cleared</t>
        </is>
      </c>
      <c r="J473" s="6" t="inlineStr">
        <is>
          <t>bank feed / PRJ-PAY-ARM-2608-20260630</t>
        </is>
      </c>
    </row>
    <row r="474">
      <c r="A474" s="6" t="inlineStr">
        <is>
          <t>1010-0469</t>
        </is>
      </c>
      <c r="B474" s="6" t="inlineStr">
        <is>
          <t>2026-06-30</t>
        </is>
      </c>
      <c r="C474" s="6" t="inlineStr">
        <is>
          <t>INTERNAL TRANSFER</t>
        </is>
      </c>
      <c r="D474" s="6" t="inlineStr">
        <is>
          <t>1010</t>
        </is>
      </c>
      <c r="E474" s="6" t="inlineStr">
        <is>
          <t>Operating account 4431; Corporate payroll funding received</t>
        </is>
      </c>
      <c r="F474" s="7" t="n">
        <v>153019.67</v>
      </c>
      <c r="G474" s="7" t="n">
        <v>0</v>
      </c>
      <c r="H474" s="7">
        <f>F474+G474</f>
        <v/>
      </c>
      <c r="I474" s="6" t="inlineStr">
        <is>
          <t>cleared</t>
        </is>
      </c>
      <c r="J474" s="6" t="inlineStr">
        <is>
          <t>bank feed / FUND-CORP-PAY-202606-2</t>
        </is>
      </c>
    </row>
    <row r="475">
      <c r="A475" s="6" t="inlineStr">
        <is>
          <t>1010-0470</t>
        </is>
      </c>
      <c r="B475" s="6" t="inlineStr">
        <is>
          <t>2026-06-30</t>
        </is>
      </c>
      <c r="C475" s="6" t="inlineStr">
        <is>
          <t>PAYROLL ACH</t>
        </is>
      </c>
      <c r="D475" s="6" t="inlineStr">
        <is>
          <t>1010</t>
        </is>
      </c>
      <c r="E475" s="6" t="inlineStr">
        <is>
          <t>Employees / payroll processor; Corporate payroll settlement</t>
        </is>
      </c>
      <c r="F475" s="7" t="n">
        <v>-153019.67</v>
      </c>
      <c r="G475" s="7" t="n">
        <v>0</v>
      </c>
      <c r="H475" s="7">
        <f>F475+G475</f>
        <v/>
      </c>
      <c r="I475" s="6" t="inlineStr">
        <is>
          <t>cleared</t>
        </is>
      </c>
      <c r="J475" s="6" t="inlineStr">
        <is>
          <t>bank feed / CORP-PAY-202606-2</t>
        </is>
      </c>
    </row>
    <row r="476">
      <c r="A476" s="6" t="inlineStr">
        <is>
          <t>1020-0471</t>
        </is>
      </c>
      <c r="B476" s="6" t="inlineStr">
        <is>
          <t>2026-06-30</t>
        </is>
      </c>
      <c r="C476" s="6" t="inlineStr">
        <is>
          <t>INTERNAL TRANSFER</t>
        </is>
      </c>
      <c r="D476" s="6" t="inlineStr">
        <is>
          <t>1020</t>
        </is>
      </c>
      <c r="E476" s="6" t="inlineStr">
        <is>
          <t>Operating account 4431; Quarter-end treasury sweep received</t>
        </is>
      </c>
      <c r="F476" s="7" t="n">
        <v>1250000</v>
      </c>
      <c r="G476" s="7" t="n">
        <v>0</v>
      </c>
      <c r="H476" s="7">
        <f>F476+G476</f>
        <v/>
      </c>
      <c r="I476" s="6" t="inlineStr">
        <is>
          <t>cleared</t>
        </is>
      </c>
      <c r="J476" s="6" t="inlineStr">
        <is>
          <t>bank feed / MM-SWEEP-2026Q2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June bank reconciliations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3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ACH DEBIT</t>
        </is>
      </c>
      <c r="B6" s="8">
        <f>COUNTIF('detail - working'!C6:C476,A6)</f>
        <v/>
      </c>
      <c r="C6" s="9">
        <f>SUMIF('detail - working'!C6:C476,A6,'detail - working'!F6:F476)</f>
        <v/>
      </c>
      <c r="D6" s="9">
        <f>SUMIF('detail - working'!C6:C476,A6,'detail - working'!G6:G476)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ACH/CHECK DEPOSIT</t>
        </is>
      </c>
      <c r="B7" s="8">
        <f>COUNTIF('detail - working'!C6:C476,A7)</f>
        <v/>
      </c>
      <c r="C7" s="9">
        <f>SUMIF('detail - working'!C6:C476,A7,'detail - working'!F6:F476)</f>
        <v/>
      </c>
      <c r="D7" s="9">
        <f>SUMIF('detail - working'!C6:C476,A7,'detail - working'!G6:G476)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INTERNAL TRANSFER</t>
        </is>
      </c>
      <c r="B8" s="8">
        <f>COUNTIF('detail - working'!C6:C476,A8)</f>
        <v/>
      </c>
      <c r="C8" s="9">
        <f>SUMIF('detail - working'!C6:C476,A8,'detail - working'!F6:F476)</f>
        <v/>
      </c>
      <c r="D8" s="9">
        <f>SUMIF('detail - working'!C6:C476,A8,'detail - working'!G6:G476)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PAYROLL ACH</t>
        </is>
      </c>
      <c r="B9" s="8">
        <f>COUNTIF('detail - working'!C6:C476,A9)</f>
        <v/>
      </c>
      <c r="C9" s="9">
        <f>SUMIF('detail - working'!C6:C476,A9,'detail - working'!F6:F476)</f>
        <v/>
      </c>
      <c r="D9" s="9">
        <f>SUMIF('detail - working'!C6:C476,A9,'detail - working'!G6:G476)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TB rec_6.30 prelim - NB v4.xlsx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working'!H6:H476)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working'!F6:F476)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working'!G6:G476)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June bank reconciliations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working'!H6:H476)-SUM('detail - working'!F6:F476)-SUM('detail - working'!G6:G476)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471</v>
      </c>
      <c r="C7" s="8">
        <f>COUNTA('detail - working'!A6:A476)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471</v>
      </c>
      <c r="C8" s="8">
        <f>COUNTA('detail - working'!J6:J476)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working'!G6:G476)-COUNTBLANK('detail - working'!A6:A476)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2026-07-28T10:45:28Z</dcterms:modified>
  <cp:lastModifiedBy>Unknown</cp:lastModifiedBy>
</cp:coreProperties>
</file>