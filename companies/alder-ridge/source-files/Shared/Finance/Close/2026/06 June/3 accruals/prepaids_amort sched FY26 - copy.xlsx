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Prepaid expense and amortization schedule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The roll-forward retains fully amortized history alongside active insurance, software, license and facility items.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PP-18-0005</t>
        </is>
      </c>
      <c r="B6" s="6" t="inlineStr">
        <is>
          <t>2019-03-31</t>
        </is>
      </c>
      <c r="C6" s="6" t="inlineStr">
        <is>
          <t>Other prepaid</t>
        </is>
      </c>
      <c r="D6" s="6" t="inlineStr">
        <is>
          <t>1310</t>
        </is>
      </c>
      <c r="E6" s="6" t="inlineStr">
        <is>
          <t>Annual facility service and security contract; High Desert Fleet Service Center - Eugene Services, LLC; 2018-04-16 to 2019-03-31</t>
        </is>
      </c>
      <c r="F6" s="7" t="n">
        <v>32500</v>
      </c>
      <c r="G6" s="7" t="n">
        <v>-32500</v>
      </c>
      <c r="H6" s="7">
        <f>F6+G6</f>
        <v/>
      </c>
      <c r="I6" s="6" t="inlineStr">
        <is>
          <t>Fully amortized</t>
        </is>
      </c>
      <c r="J6" s="6" t="inlineStr">
        <is>
          <t>prepaid subledger / June amortization tie-out</t>
        </is>
      </c>
    </row>
    <row r="7">
      <c r="A7" s="6" t="inlineStr">
        <is>
          <t>PP-18-0001</t>
        </is>
      </c>
      <c r="B7" s="6" t="inlineStr">
        <is>
          <t>2019-06-30</t>
        </is>
      </c>
      <c r="C7" s="6" t="inlineStr">
        <is>
          <t>Insurance</t>
        </is>
      </c>
      <c r="D7" s="6" t="inlineStr">
        <is>
          <t>1300</t>
        </is>
      </c>
      <c r="E7" s="6" t="inlineStr">
        <is>
          <t>Annual commercial general liability program; Cintas Corporation; 2018-07-01 to 2019-06-30</t>
        </is>
      </c>
      <c r="F7" s="7" t="n">
        <v>132000</v>
      </c>
      <c r="G7" s="7" t="n">
        <v>-132000</v>
      </c>
      <c r="H7" s="7">
        <f>F7+G7</f>
        <v/>
      </c>
      <c r="I7" s="6" t="inlineStr">
        <is>
          <t>Fully amortized</t>
        </is>
      </c>
      <c r="J7" s="6" t="inlineStr">
        <is>
          <t>prepaid subledger / June amortization tie-out</t>
        </is>
      </c>
    </row>
    <row r="8">
      <c r="A8" s="6" t="inlineStr">
        <is>
          <t>PP-18-0002</t>
        </is>
      </c>
      <c r="B8" s="6" t="inlineStr">
        <is>
          <t>2019-06-30</t>
        </is>
      </c>
      <c r="C8" s="6" t="inlineStr">
        <is>
          <t>Insurance</t>
        </is>
      </c>
      <c r="D8" s="6" t="inlineStr">
        <is>
          <t>1300</t>
        </is>
      </c>
      <c r="E8" s="6" t="inlineStr">
        <is>
          <t>Annual business auto and inland marine program; Evergreen Mechanical Insulation - Bend Company; 2018-07-01 to 2019-06-30</t>
        </is>
      </c>
      <c r="F8" s="7" t="n">
        <v>113800</v>
      </c>
      <c r="G8" s="7" t="n">
        <v>-113800</v>
      </c>
      <c r="H8" s="7">
        <f>F8+G8</f>
        <v/>
      </c>
      <c r="I8" s="6" t="inlineStr">
        <is>
          <t>Fully amortized</t>
        </is>
      </c>
      <c r="J8" s="6" t="inlineStr">
        <is>
          <t>prepaid subledger / June amortization tie-out</t>
        </is>
      </c>
    </row>
    <row r="9">
      <c r="A9" s="6" t="inlineStr">
        <is>
          <t>PP-18-0003</t>
        </is>
      </c>
      <c r="B9" s="6" t="inlineStr">
        <is>
          <t>2019-06-30</t>
        </is>
      </c>
      <c r="C9" s="6" t="inlineStr">
        <is>
          <t>Insurance</t>
        </is>
      </c>
      <c r="D9" s="6" t="inlineStr">
        <is>
          <t>1300</t>
        </is>
      </c>
      <c r="E9" s="6" t="inlineStr">
        <is>
          <t>Workers compensation deposit premium; Rainier Fleet Service Center - Beaverton Company; 2018-07-01 to 2019-06-30</t>
        </is>
      </c>
      <c r="F9" s="7" t="n">
        <v>214800</v>
      </c>
      <c r="G9" s="7" t="n">
        <v>-214800</v>
      </c>
      <c r="H9" s="7">
        <f>F9+G9</f>
        <v/>
      </c>
      <c r="I9" s="6" t="inlineStr">
        <is>
          <t>Fully amortized</t>
        </is>
      </c>
      <c r="J9" s="6" t="inlineStr">
        <is>
          <t>prepaid subledger / June amortization tie-out</t>
        </is>
      </c>
    </row>
    <row r="10">
      <c r="A10" s="6" t="inlineStr">
        <is>
          <t>PP-18-0004</t>
        </is>
      </c>
      <c r="B10" s="6" t="inlineStr">
        <is>
          <t>2019-09-30</t>
        </is>
      </c>
      <c r="C10" s="6" t="inlineStr">
        <is>
          <t>Other prepaid</t>
        </is>
      </c>
      <c r="D10" s="6" t="inlineStr">
        <is>
          <t>1310</t>
        </is>
      </c>
      <c r="E10" s="6" t="inlineStr">
        <is>
          <t>ERP, estimating and field operations annual subscription; Blue Mountain Mechanical Insulation - Salem Company; 2018-10-01 to 2019-09-30</t>
        </is>
      </c>
      <c r="F10" s="7" t="n">
        <v>80200</v>
      </c>
      <c r="G10" s="7" t="n">
        <v>-80200</v>
      </c>
      <c r="H10" s="7">
        <f>F10+G10</f>
        <v/>
      </c>
      <c r="I10" s="6" t="inlineStr">
        <is>
          <t>Fully amortized</t>
        </is>
      </c>
      <c r="J10" s="6" t="inlineStr">
        <is>
          <t>prepaid subledger / June amortization tie-out</t>
        </is>
      </c>
    </row>
    <row r="11">
      <c r="A11" s="6" t="inlineStr">
        <is>
          <t>PP-19-0011</t>
        </is>
      </c>
      <c r="B11" s="6" t="inlineStr">
        <is>
          <t>2019-12-31</t>
        </is>
      </c>
      <c r="C11" s="6" t="inlineStr">
        <is>
          <t>Other prepaid</t>
        </is>
      </c>
      <c r="D11" s="6" t="inlineStr">
        <is>
          <t>1310</t>
        </is>
      </c>
      <c r="E11" s="6" t="inlineStr">
        <is>
          <t>Contractor licenses, memberships and training portal; West Coast Electrical Contracting - Beaverton Company; 2019-01-01 to 2019-12-31</t>
        </is>
      </c>
      <c r="F11" s="7" t="n">
        <v>23400</v>
      </c>
      <c r="G11" s="7" t="n">
        <v>-23400</v>
      </c>
      <c r="H11" s="7">
        <f>F11+G11</f>
        <v/>
      </c>
      <c r="I11" s="6" t="inlineStr">
        <is>
          <t>Fully amortized</t>
        </is>
      </c>
      <c r="J11" s="6" t="inlineStr">
        <is>
          <t>prepaid subledger / June amortization tie-out</t>
        </is>
      </c>
    </row>
    <row r="12">
      <c r="A12" s="6" t="inlineStr">
        <is>
          <t>PP-19-0010</t>
        </is>
      </c>
      <c r="B12" s="6" t="inlineStr">
        <is>
          <t>2020-02-29</t>
        </is>
      </c>
      <c r="C12" s="6" t="inlineStr">
        <is>
          <t>Other prepaid</t>
        </is>
      </c>
      <c r="D12" s="6" t="inlineStr">
        <is>
          <t>1310</t>
        </is>
      </c>
      <c r="E12" s="6" t="inlineStr">
        <is>
          <t>BIM, controls and design software annual subscription; Cascade Sheet Metal Fabrication - Salem LLC; 2019-03-01 to 2020-02-29</t>
        </is>
      </c>
      <c r="F12" s="7" t="n">
        <v>73500</v>
      </c>
      <c r="G12" s="7" t="n">
        <v>-73500</v>
      </c>
      <c r="H12" s="7">
        <f>F12+G12</f>
        <v/>
      </c>
      <c r="I12" s="6" t="inlineStr">
        <is>
          <t>Fully amortized</t>
        </is>
      </c>
      <c r="J12" s="6" t="inlineStr">
        <is>
          <t>prepaid subledger / June amortization tie-out</t>
        </is>
      </c>
    </row>
    <row r="13">
      <c r="A13" s="6" t="inlineStr">
        <is>
          <t>PP-19-0012</t>
        </is>
      </c>
      <c r="B13" s="6" t="inlineStr">
        <is>
          <t>2020-03-31</t>
        </is>
      </c>
      <c r="C13" s="6" t="inlineStr">
        <is>
          <t>Other prepaid</t>
        </is>
      </c>
      <c r="D13" s="6" t="inlineStr">
        <is>
          <t>1310</t>
        </is>
      </c>
      <c r="E13" s="6" t="inlineStr">
        <is>
          <t>Annual facility service and security contract; Bridge City Equipment Rental &amp; Services - Bend Group; 2019-04-01 to 2020-03-31</t>
        </is>
      </c>
      <c r="F13" s="7" t="n">
        <v>36400</v>
      </c>
      <c r="G13" s="7" t="n">
        <v>-36400</v>
      </c>
      <c r="H13" s="7">
        <f>F13+G13</f>
        <v/>
      </c>
      <c r="I13" s="6" t="inlineStr">
        <is>
          <t>Fully amortized</t>
        </is>
      </c>
      <c r="J13" s="6" t="inlineStr">
        <is>
          <t>prepaid subledger / June amortization tie-out</t>
        </is>
      </c>
    </row>
    <row r="14">
      <c r="A14" s="6" t="inlineStr">
        <is>
          <t>PP-19-0006</t>
        </is>
      </c>
      <c r="B14" s="6" t="inlineStr">
        <is>
          <t>2020-06-30</t>
        </is>
      </c>
      <c r="C14" s="6" t="inlineStr">
        <is>
          <t>Insurance</t>
        </is>
      </c>
      <c r="D14" s="6" t="inlineStr">
        <is>
          <t>1300</t>
        </is>
      </c>
      <c r="E14" s="6" t="inlineStr">
        <is>
          <t>Annual commercial general liability program; Cedar Mill Crane and Rigging - Gresham Services, LLC; 2019-07-01 to 2020-06-30</t>
        </is>
      </c>
      <c r="F14" s="7" t="n">
        <v>147900</v>
      </c>
      <c r="G14" s="7" t="n">
        <v>-147900</v>
      </c>
      <c r="H14" s="7">
        <f>F14+G14</f>
        <v/>
      </c>
      <c r="I14" s="6" t="inlineStr">
        <is>
          <t>Fully amortized</t>
        </is>
      </c>
      <c r="J14" s="6" t="inlineStr">
        <is>
          <t>prepaid subledger / June amortization tie-out</t>
        </is>
      </c>
    </row>
    <row r="15">
      <c r="A15" s="6" t="inlineStr">
        <is>
          <t>PP-19-0007</t>
        </is>
      </c>
      <c r="B15" s="6" t="inlineStr">
        <is>
          <t>2020-06-30</t>
        </is>
      </c>
      <c r="C15" s="6" t="inlineStr">
        <is>
          <t>Insurance</t>
        </is>
      </c>
      <c r="D15" s="6" t="inlineStr">
        <is>
          <t>1300</t>
        </is>
      </c>
      <c r="E15" s="6" t="inlineStr">
        <is>
          <t>Annual business auto and inland marine program; Interstate Building Services - Vancouver Services, LLC; 2019-07-01 to 2020-06-30</t>
        </is>
      </c>
      <c r="F15" s="7" t="n">
        <v>127500</v>
      </c>
      <c r="G15" s="7" t="n">
        <v>-127500</v>
      </c>
      <c r="H15" s="7">
        <f>F15+G15</f>
        <v/>
      </c>
      <c r="I15" s="6" t="inlineStr">
        <is>
          <t>Fully amortized</t>
        </is>
      </c>
      <c r="J15" s="6" t="inlineStr">
        <is>
          <t>prepaid subledger / June amortization tie-out</t>
        </is>
      </c>
    </row>
    <row r="16">
      <c r="A16" s="6" t="inlineStr">
        <is>
          <t>PP-19-0008</t>
        </is>
      </c>
      <c r="B16" s="6" t="inlineStr">
        <is>
          <t>2020-06-30</t>
        </is>
      </c>
      <c r="C16" s="6" t="inlineStr">
        <is>
          <t>Insurance</t>
        </is>
      </c>
      <c r="D16" s="6" t="inlineStr">
        <is>
          <t>1300</t>
        </is>
      </c>
      <c r="E16" s="6" t="inlineStr">
        <is>
          <t>Workers compensation deposit premium; Northwest Building Services - Bend Group; 2019-07-01 to 2020-06-30</t>
        </is>
      </c>
      <c r="F16" s="7" t="n">
        <v>240700</v>
      </c>
      <c r="G16" s="7" t="n">
        <v>-240700</v>
      </c>
      <c r="H16" s="7">
        <f>F16+G16</f>
        <v/>
      </c>
      <c r="I16" s="6" t="inlineStr">
        <is>
          <t>Fully amortized</t>
        </is>
      </c>
      <c r="J16" s="6" t="inlineStr">
        <is>
          <t>prepaid subledger / June amortization tie-out</t>
        </is>
      </c>
    </row>
    <row r="17">
      <c r="A17" s="6" t="inlineStr">
        <is>
          <t>PP-19-0009</t>
        </is>
      </c>
      <c r="B17" s="6" t="inlineStr">
        <is>
          <t>2020-09-30</t>
        </is>
      </c>
      <c r="C17" s="6" t="inlineStr">
        <is>
          <t>Other prepaid</t>
        </is>
      </c>
      <c r="D17" s="6" t="inlineStr">
        <is>
          <t>1310</t>
        </is>
      </c>
      <c r="E17" s="6" t="inlineStr">
        <is>
          <t>ERP, estimating and field operations annual subscription; High Desert Building Services - Gresham Services, LLC; 2019-10-01 to 2020-09-30</t>
        </is>
      </c>
      <c r="F17" s="7" t="n">
        <v>89900</v>
      </c>
      <c r="G17" s="7" t="n">
        <v>-89900</v>
      </c>
      <c r="H17" s="7">
        <f>F17+G17</f>
        <v/>
      </c>
      <c r="I17" s="6" t="inlineStr">
        <is>
          <t>Fully amortized</t>
        </is>
      </c>
      <c r="J17" s="6" t="inlineStr">
        <is>
          <t>prepaid subledger / June amortization tie-out</t>
        </is>
      </c>
    </row>
    <row r="18">
      <c r="A18" s="6" t="inlineStr">
        <is>
          <t>PP-20-0018</t>
        </is>
      </c>
      <c r="B18" s="6" t="inlineStr">
        <is>
          <t>2020-12-31</t>
        </is>
      </c>
      <c r="C18" s="6" t="inlineStr">
        <is>
          <t>Other prepaid</t>
        </is>
      </c>
      <c r="D18" s="6" t="inlineStr">
        <is>
          <t>1310</t>
        </is>
      </c>
      <c r="E18" s="6" t="inlineStr">
        <is>
          <t>Contractor licenses, memberships and training portal; Rose City Business Systems - Salem Services, LLC; 2020-01-01 to 2020-12-31</t>
        </is>
      </c>
      <c r="F18" s="7" t="n">
        <v>26000</v>
      </c>
      <c r="G18" s="7" t="n">
        <v>-26000</v>
      </c>
      <c r="H18" s="7">
        <f>F18+G18</f>
        <v/>
      </c>
      <c r="I18" s="6" t="inlineStr">
        <is>
          <t>Fully amortized</t>
        </is>
      </c>
      <c r="J18" s="6" t="inlineStr">
        <is>
          <t>prepaid subledger / June amortization tie-out</t>
        </is>
      </c>
    </row>
    <row r="19">
      <c r="A19" s="6" t="inlineStr">
        <is>
          <t>PP-20-0017</t>
        </is>
      </c>
      <c r="B19" s="6" t="inlineStr">
        <is>
          <t>2021-02-28</t>
        </is>
      </c>
      <c r="C19" s="6" t="inlineStr">
        <is>
          <t>Other prepaid</t>
        </is>
      </c>
      <c r="D19" s="6" t="inlineStr">
        <is>
          <t>1310</t>
        </is>
      </c>
      <c r="E19" s="6" t="inlineStr">
        <is>
          <t>BIM, controls and design software annual subscription; Willamette Safety and Industrial Supply - Gresham Inc.; 2020-03-01 to 2021-02-28</t>
        </is>
      </c>
      <c r="F19" s="7" t="n">
        <v>81400</v>
      </c>
      <c r="G19" s="7" t="n">
        <v>-81400</v>
      </c>
      <c r="H19" s="7">
        <f>F19+G19</f>
        <v/>
      </c>
      <c r="I19" s="6" t="inlineStr">
        <is>
          <t>Fully amortized</t>
        </is>
      </c>
      <c r="J19" s="6" t="inlineStr">
        <is>
          <t>prepaid subledger / June amortization tie-out</t>
        </is>
      </c>
    </row>
    <row r="20">
      <c r="A20" s="6" t="inlineStr">
        <is>
          <t>PP-20-0019</t>
        </is>
      </c>
      <c r="B20" s="6" t="inlineStr">
        <is>
          <t>2021-03-31</t>
        </is>
      </c>
      <c r="C20" s="6" t="inlineStr">
        <is>
          <t>Other prepaid</t>
        </is>
      </c>
      <c r="D20" s="6" t="inlineStr">
        <is>
          <t>1310</t>
        </is>
      </c>
      <c r="E20" s="6" t="inlineStr">
        <is>
          <t>Annual facility service and security contract; Pacific Pipe, Valve &amp; Fitting Supply - Beaverton LLC; 2020-04-01 to 2021-03-31</t>
        </is>
      </c>
      <c r="F20" s="7" t="n">
        <v>40300</v>
      </c>
      <c r="G20" s="7" t="n">
        <v>-40300</v>
      </c>
      <c r="H20" s="7">
        <f>F20+G20</f>
        <v/>
      </c>
      <c r="I20" s="6" t="inlineStr">
        <is>
          <t>Fully amortized</t>
        </is>
      </c>
      <c r="J20" s="6" t="inlineStr">
        <is>
          <t>prepaid subledger / June amortization tie-out</t>
        </is>
      </c>
    </row>
    <row r="21">
      <c r="A21" s="6" t="inlineStr">
        <is>
          <t>PP-20-0013</t>
        </is>
      </c>
      <c r="B21" s="6" t="inlineStr">
        <is>
          <t>2021-06-30</t>
        </is>
      </c>
      <c r="C21" s="6" t="inlineStr">
        <is>
          <t>Insurance</t>
        </is>
      </c>
      <c r="D21" s="6" t="inlineStr">
        <is>
          <t>1300</t>
        </is>
      </c>
      <c r="E21" s="6" t="inlineStr">
        <is>
          <t>Annual commercial general liability program; Summit Electrical Contracting - Bend Group; 2020-07-01 to 2021-06-30</t>
        </is>
      </c>
      <c r="F21" s="7" t="n">
        <v>163700</v>
      </c>
      <c r="G21" s="7" t="n">
        <v>-163700</v>
      </c>
      <c r="H21" s="7">
        <f>F21+G21</f>
        <v/>
      </c>
      <c r="I21" s="6" t="inlineStr">
        <is>
          <t>Fully amortized</t>
        </is>
      </c>
      <c r="J21" s="6" t="inlineStr">
        <is>
          <t>prepaid subledger / June amortization tie-out</t>
        </is>
      </c>
    </row>
    <row r="22">
      <c r="A22" s="6" t="inlineStr">
        <is>
          <t>PP-20-0014</t>
        </is>
      </c>
      <c r="B22" s="6" t="inlineStr">
        <is>
          <t>2021-06-30</t>
        </is>
      </c>
      <c r="C22" s="6" t="inlineStr">
        <is>
          <t>Insurance</t>
        </is>
      </c>
      <c r="D22" s="6" t="inlineStr">
        <is>
          <t>1300</t>
        </is>
      </c>
      <c r="E22" s="6" t="inlineStr">
        <is>
          <t>Annual business auto and inland marine program; Rogue Valley Sheet Metal Fabrication - Gresham LLC; 2020-07-01 to 2021-06-30</t>
        </is>
      </c>
      <c r="F22" s="7" t="n">
        <v>141200</v>
      </c>
      <c r="G22" s="7" t="n">
        <v>-141200</v>
      </c>
      <c r="H22" s="7">
        <f>F22+G22</f>
        <v/>
      </c>
      <c r="I22" s="6" t="inlineStr">
        <is>
          <t>Fully amortized</t>
        </is>
      </c>
      <c r="J22" s="6" t="inlineStr">
        <is>
          <t>prepaid subledger / June amortization tie-out</t>
        </is>
      </c>
    </row>
    <row r="23">
      <c r="A23" s="6" t="inlineStr">
        <is>
          <t>PP-20-0015</t>
        </is>
      </c>
      <c r="B23" s="6" t="inlineStr">
        <is>
          <t>2021-06-30</t>
        </is>
      </c>
      <c r="C23" s="6" t="inlineStr">
        <is>
          <t>Insurance</t>
        </is>
      </c>
      <c r="D23" s="6" t="inlineStr">
        <is>
          <t>1300</t>
        </is>
      </c>
      <c r="E23" s="6" t="inlineStr">
        <is>
          <t>Workers compensation deposit premium; West Coast Equipment Rental &amp; Services - Portland Company; 2020-07-01 to 2021-06-30</t>
        </is>
      </c>
      <c r="F23" s="7" t="n">
        <v>266500</v>
      </c>
      <c r="G23" s="7" t="n">
        <v>-266500</v>
      </c>
      <c r="H23" s="7">
        <f>F23+G23</f>
        <v/>
      </c>
      <c r="I23" s="6" t="inlineStr">
        <is>
          <t>Fully amortized</t>
        </is>
      </c>
      <c r="J23" s="6" t="inlineStr">
        <is>
          <t>prepaid subledger / June amortization tie-out</t>
        </is>
      </c>
    </row>
    <row r="24">
      <c r="A24" s="6" t="inlineStr">
        <is>
          <t>PP-20-0016</t>
        </is>
      </c>
      <c r="B24" s="6" t="inlineStr">
        <is>
          <t>2021-09-30</t>
        </is>
      </c>
      <c r="C24" s="6" t="inlineStr">
        <is>
          <t>Other prepaid</t>
        </is>
      </c>
      <c r="D24" s="6" t="inlineStr">
        <is>
          <t>1310</t>
        </is>
      </c>
      <c r="E24" s="6" t="inlineStr">
        <is>
          <t>ERP, estimating and field operations annual subscription; Bridge City Testing and Balancing - Vancouver Group; 2020-10-01 to 2021-09-30</t>
        </is>
      </c>
      <c r="F24" s="7" t="n">
        <v>99500</v>
      </c>
      <c r="G24" s="7" t="n">
        <v>-99500</v>
      </c>
      <c r="H24" s="7">
        <f>F24+G24</f>
        <v/>
      </c>
      <c r="I24" s="6" t="inlineStr">
        <is>
          <t>Fully amortized</t>
        </is>
      </c>
      <c r="J24" s="6" t="inlineStr">
        <is>
          <t>prepaid subledger / June amortization tie-out</t>
        </is>
      </c>
    </row>
    <row r="25">
      <c r="A25" s="6" t="inlineStr">
        <is>
          <t>PP-21-0025</t>
        </is>
      </c>
      <c r="B25" s="6" t="inlineStr">
        <is>
          <t>2021-12-31</t>
        </is>
      </c>
      <c r="C25" s="6" t="inlineStr">
        <is>
          <t>Other prepaid</t>
        </is>
      </c>
      <c r="D25" s="6" t="inlineStr">
        <is>
          <t>1310</t>
        </is>
      </c>
      <c r="E25" s="6" t="inlineStr">
        <is>
          <t>Contractor licenses, memberships and training portal; Metro Crane and Rigging - Gresham Group; 2021-01-01 to 2021-12-31</t>
        </is>
      </c>
      <c r="F25" s="7" t="n">
        <v>28500</v>
      </c>
      <c r="G25" s="7" t="n">
        <v>-28500</v>
      </c>
      <c r="H25" s="7">
        <f>F25+G25</f>
        <v/>
      </c>
      <c r="I25" s="6" t="inlineStr">
        <is>
          <t>Fully amortized</t>
        </is>
      </c>
      <c r="J25" s="6" t="inlineStr">
        <is>
          <t>prepaid subledger / June amortization tie-out</t>
        </is>
      </c>
    </row>
    <row r="26">
      <c r="A26" s="6" t="inlineStr">
        <is>
          <t>PP-21-0024</t>
        </is>
      </c>
      <c r="B26" s="6" t="inlineStr">
        <is>
          <t>2022-02-28</t>
        </is>
      </c>
      <c r="C26" s="6" t="inlineStr">
        <is>
          <t>Other prepaid</t>
        </is>
      </c>
      <c r="D26" s="6" t="inlineStr">
        <is>
          <t>1310</t>
        </is>
      </c>
      <c r="E26" s="6" t="inlineStr">
        <is>
          <t>BIM, controls and design software annual subscription; Evergreen Equipment Rental &amp; Services - Vancouver Company; 2021-03-01 to 2022-02-28</t>
        </is>
      </c>
      <c r="F26" s="7" t="n">
        <v>89300</v>
      </c>
      <c r="G26" s="7" t="n">
        <v>-89300</v>
      </c>
      <c r="H26" s="7">
        <f>F26+G26</f>
        <v/>
      </c>
      <c r="I26" s="6" t="inlineStr">
        <is>
          <t>Fully amortized</t>
        </is>
      </c>
      <c r="J26" s="6" t="inlineStr">
        <is>
          <t>prepaid subledger / June amortization tie-out</t>
        </is>
      </c>
    </row>
    <row r="27">
      <c r="A27" s="6" t="inlineStr">
        <is>
          <t>PP-21-0026</t>
        </is>
      </c>
      <c r="B27" s="6" t="inlineStr">
        <is>
          <t>2022-03-31</t>
        </is>
      </c>
      <c r="C27" s="6" t="inlineStr">
        <is>
          <t>Other prepaid</t>
        </is>
      </c>
      <c r="D27" s="6" t="inlineStr">
        <is>
          <t>1310</t>
        </is>
      </c>
      <c r="E27" s="6" t="inlineStr">
        <is>
          <t>Annual facility service and security contract; Tualatin Construction Advisory - Salem Inc.; 2021-04-01 to 2022-03-31</t>
        </is>
      </c>
      <c r="F27" s="7" t="n">
        <v>44200</v>
      </c>
      <c r="G27" s="7" t="n">
        <v>-44200</v>
      </c>
      <c r="H27" s="7">
        <f>F27+G27</f>
        <v/>
      </c>
      <c r="I27" s="6" t="inlineStr">
        <is>
          <t>Fully amortized</t>
        </is>
      </c>
      <c r="J27" s="6" t="inlineStr">
        <is>
          <t>prepaid subledger / June amortization tie-out</t>
        </is>
      </c>
    </row>
    <row r="28">
      <c r="A28" s="6" t="inlineStr">
        <is>
          <t>PP-21-0020</t>
        </is>
      </c>
      <c r="B28" s="6" t="inlineStr">
        <is>
          <t>2022-06-30</t>
        </is>
      </c>
      <c r="C28" s="6" t="inlineStr">
        <is>
          <t>Insurance</t>
        </is>
      </c>
      <c r="D28" s="6" t="inlineStr">
        <is>
          <t>1300</t>
        </is>
      </c>
      <c r="E28" s="6" t="inlineStr">
        <is>
          <t>Annual commercial general liability program; Pioneer Equipment Rental &amp; Services - Eugene Inc.; 2021-07-01 to 2022-06-30</t>
        </is>
      </c>
      <c r="F28" s="7" t="n">
        <v>179600</v>
      </c>
      <c r="G28" s="7" t="n">
        <v>-179600</v>
      </c>
      <c r="H28" s="7">
        <f>F28+G28</f>
        <v/>
      </c>
      <c r="I28" s="6" t="inlineStr">
        <is>
          <t>Fully amortized</t>
        </is>
      </c>
      <c r="J28" s="6" t="inlineStr">
        <is>
          <t>prepaid subledger / June amortization tie-out</t>
        </is>
      </c>
    </row>
    <row r="29">
      <c r="A29" s="6" t="inlineStr">
        <is>
          <t>PP-21-0021</t>
        </is>
      </c>
      <c r="B29" s="6" t="inlineStr">
        <is>
          <t>2022-06-30</t>
        </is>
      </c>
      <c r="C29" s="6" t="inlineStr">
        <is>
          <t>Insurance</t>
        </is>
      </c>
      <c r="D29" s="6" t="inlineStr">
        <is>
          <t>1300</t>
        </is>
      </c>
      <c r="E29" s="6" t="inlineStr">
        <is>
          <t>Annual business auto and inland marine program; Willamette Business Systems - Bend Inc.; 2021-07-01 to 2022-06-30</t>
        </is>
      </c>
      <c r="F29" s="7" t="n">
        <v>154900</v>
      </c>
      <c r="G29" s="7" t="n">
        <v>-154900</v>
      </c>
      <c r="H29" s="7">
        <f>F29+G29</f>
        <v/>
      </c>
      <c r="I29" s="6" t="inlineStr">
        <is>
          <t>Fully amortized</t>
        </is>
      </c>
      <c r="J29" s="6" t="inlineStr">
        <is>
          <t>prepaid subledger / June amortization tie-out</t>
        </is>
      </c>
    </row>
    <row r="30">
      <c r="A30" s="6" t="inlineStr">
        <is>
          <t>PP-21-0022</t>
        </is>
      </c>
      <c r="B30" s="6" t="inlineStr">
        <is>
          <t>2022-06-30</t>
        </is>
      </c>
      <c r="C30" s="6" t="inlineStr">
        <is>
          <t>Insurance</t>
        </is>
      </c>
      <c r="D30" s="6" t="inlineStr">
        <is>
          <t>1300</t>
        </is>
      </c>
      <c r="E30" s="6" t="inlineStr">
        <is>
          <t>Workers compensation deposit premium; Rose City Pipe, Valve &amp; Fitting Supply - Eugene Services, LLC; 2021-07-01 to 2022-06-30</t>
        </is>
      </c>
      <c r="F30" s="7" t="n">
        <v>292400</v>
      </c>
      <c r="G30" s="7" t="n">
        <v>-292400</v>
      </c>
      <c r="H30" s="7">
        <f>F30+G30</f>
        <v/>
      </c>
      <c r="I30" s="6" t="inlineStr">
        <is>
          <t>Fully amortized</t>
        </is>
      </c>
      <c r="J30" s="6" t="inlineStr">
        <is>
          <t>prepaid subledger / June amortization tie-out</t>
        </is>
      </c>
    </row>
    <row r="31">
      <c r="A31" s="6" t="inlineStr">
        <is>
          <t>PP-21-0023</t>
        </is>
      </c>
      <c r="B31" s="6" t="inlineStr">
        <is>
          <t>2022-09-30</t>
        </is>
      </c>
      <c r="C31" s="6" t="inlineStr">
        <is>
          <t>Other prepaid</t>
        </is>
      </c>
      <c r="D31" s="6" t="inlineStr">
        <is>
          <t>1310</t>
        </is>
      </c>
      <c r="E31" s="6" t="inlineStr">
        <is>
          <t>ERP, estimating and field operations annual subscription; Pacific Electrical Contracting - Portland LLC; 2021-10-01 to 2022-09-30</t>
        </is>
      </c>
      <c r="F31" s="7" t="n">
        <v>109200</v>
      </c>
      <c r="G31" s="7" t="n">
        <v>-109200</v>
      </c>
      <c r="H31" s="7">
        <f>F31+G31</f>
        <v/>
      </c>
      <c r="I31" s="6" t="inlineStr">
        <is>
          <t>Fully amortized</t>
        </is>
      </c>
      <c r="J31" s="6" t="inlineStr">
        <is>
          <t>prepaid subledger / June amortization tie-out</t>
        </is>
      </c>
    </row>
    <row r="32">
      <c r="A32" s="6" t="inlineStr">
        <is>
          <t>PP-22-0032</t>
        </is>
      </c>
      <c r="B32" s="6" t="inlineStr">
        <is>
          <t>2022-12-31</t>
        </is>
      </c>
      <c r="C32" s="6" t="inlineStr">
        <is>
          <t>Other prepaid</t>
        </is>
      </c>
      <c r="D32" s="6" t="inlineStr">
        <is>
          <t>1310</t>
        </is>
      </c>
      <c r="E32" s="6" t="inlineStr">
        <is>
          <t>Contractor licenses, memberships and training portal; Tri-County Sheet Metal Fabrication - Vancouver LLC; 2022-01-01 to 2022-12-31</t>
        </is>
      </c>
      <c r="F32" s="7" t="n">
        <v>31000</v>
      </c>
      <c r="G32" s="7" t="n">
        <v>-31000</v>
      </c>
      <c r="H32" s="7">
        <f>F32+G32</f>
        <v/>
      </c>
      <c r="I32" s="6" t="inlineStr">
        <is>
          <t>Fully amortized</t>
        </is>
      </c>
      <c r="J32" s="6" t="inlineStr">
        <is>
          <t>prepaid subledger / June amortization tie-out</t>
        </is>
      </c>
    </row>
    <row r="33">
      <c r="A33" s="6" t="inlineStr">
        <is>
          <t>PP-22-0031</t>
        </is>
      </c>
      <c r="B33" s="6" t="inlineStr">
        <is>
          <t>2023-02-28</t>
        </is>
      </c>
      <c r="C33" s="6" t="inlineStr">
        <is>
          <t>Other prepaid</t>
        </is>
      </c>
      <c r="D33" s="6" t="inlineStr">
        <is>
          <t>1310</t>
        </is>
      </c>
      <c r="E33" s="6" t="inlineStr">
        <is>
          <t>BIM, controls and design software annual subscription; Cedar Mill Building Services - Portland Services, LLC; 2022-03-01 to 2023-02-28</t>
        </is>
      </c>
      <c r="F33" s="7" t="n">
        <v>97200</v>
      </c>
      <c r="G33" s="7" t="n">
        <v>-97200</v>
      </c>
      <c r="H33" s="7">
        <f>F33+G33</f>
        <v/>
      </c>
      <c r="I33" s="6" t="inlineStr">
        <is>
          <t>Fully amortized</t>
        </is>
      </c>
      <c r="J33" s="6" t="inlineStr">
        <is>
          <t>prepaid subledger / June amortization tie-out</t>
        </is>
      </c>
    </row>
    <row r="34">
      <c r="A34" s="6" t="inlineStr">
        <is>
          <t>PP-22-0033</t>
        </is>
      </c>
      <c r="B34" s="6" t="inlineStr">
        <is>
          <t>2023-03-31</t>
        </is>
      </c>
      <c r="C34" s="6" t="inlineStr">
        <is>
          <t>Other prepaid</t>
        </is>
      </c>
      <c r="D34" s="6" t="inlineStr">
        <is>
          <t>1310</t>
        </is>
      </c>
      <c r="E34" s="6" t="inlineStr">
        <is>
          <t>Annual facility service and security contract; Rainier Mechanical Insulation - Gresham Company; 2022-04-01 to 2023-03-31</t>
        </is>
      </c>
      <c r="F34" s="7" t="n">
        <v>48100</v>
      </c>
      <c r="G34" s="7" t="n">
        <v>-48100</v>
      </c>
      <c r="H34" s="7">
        <f>F34+G34</f>
        <v/>
      </c>
      <c r="I34" s="6" t="inlineStr">
        <is>
          <t>Fully amortized</t>
        </is>
      </c>
      <c r="J34" s="6" t="inlineStr">
        <is>
          <t>prepaid subledger / June amortization tie-out</t>
        </is>
      </c>
    </row>
    <row r="35">
      <c r="A35" s="6" t="inlineStr">
        <is>
          <t>PP-22-0027</t>
        </is>
      </c>
      <c r="B35" s="6" t="inlineStr">
        <is>
          <t>2023-06-30</t>
        </is>
      </c>
      <c r="C35" s="6" t="inlineStr">
        <is>
          <t>Insurance</t>
        </is>
      </c>
      <c r="D35" s="6" t="inlineStr">
        <is>
          <t>1300</t>
        </is>
      </c>
      <c r="E35" s="6" t="inlineStr">
        <is>
          <t>Annual commercial general liability program; Evergreen Sheet Metal Fabrication - Gresham Company; 2022-07-01 to 2023-06-30</t>
        </is>
      </c>
      <c r="F35" s="7" t="n">
        <v>195500</v>
      </c>
      <c r="G35" s="7" t="n">
        <v>-195500</v>
      </c>
      <c r="H35" s="7">
        <f>F35+G35</f>
        <v/>
      </c>
      <c r="I35" s="6" t="inlineStr">
        <is>
          <t>Fully amortized</t>
        </is>
      </c>
      <c r="J35" s="6" t="inlineStr">
        <is>
          <t>prepaid subledger / June amortization tie-out</t>
        </is>
      </c>
    </row>
    <row r="36">
      <c r="A36" s="6" t="inlineStr">
        <is>
          <t>PP-22-0028</t>
        </is>
      </c>
      <c r="B36" s="6" t="inlineStr">
        <is>
          <t>2023-06-30</t>
        </is>
      </c>
      <c r="C36" s="6" t="inlineStr">
        <is>
          <t>Insurance</t>
        </is>
      </c>
      <c r="D36" s="6" t="inlineStr">
        <is>
          <t>1300</t>
        </is>
      </c>
      <c r="E36" s="6" t="inlineStr">
        <is>
          <t>Annual business auto and inland marine program; Evergreen Testing and Balancing - Beaverton Company; 2022-07-01 to 2023-06-30</t>
        </is>
      </c>
      <c r="F36" s="7" t="n">
        <v>168600</v>
      </c>
      <c r="G36" s="7" t="n">
        <v>-168600</v>
      </c>
      <c r="H36" s="7">
        <f>F36+G36</f>
        <v/>
      </c>
      <c r="I36" s="6" t="inlineStr">
        <is>
          <t>Fully amortized</t>
        </is>
      </c>
      <c r="J36" s="6" t="inlineStr">
        <is>
          <t>prepaid subledger / June amortization tie-out</t>
        </is>
      </c>
    </row>
    <row r="37">
      <c r="A37" s="6" t="inlineStr">
        <is>
          <t>PP-22-0029</t>
        </is>
      </c>
      <c r="B37" s="6" t="inlineStr">
        <is>
          <t>2023-06-30</t>
        </is>
      </c>
      <c r="C37" s="6" t="inlineStr">
        <is>
          <t>Insurance</t>
        </is>
      </c>
      <c r="D37" s="6" t="inlineStr">
        <is>
          <t>1300</t>
        </is>
      </c>
      <c r="E37" s="6" t="inlineStr">
        <is>
          <t>Workers compensation deposit premium; Metro Construction Advisory - Bend Group; 2022-07-01 to 2023-06-30</t>
        </is>
      </c>
      <c r="F37" s="7" t="n">
        <v>318200</v>
      </c>
      <c r="G37" s="7" t="n">
        <v>-318200</v>
      </c>
      <c r="H37" s="7">
        <f>F37+G37</f>
        <v/>
      </c>
      <c r="I37" s="6" t="inlineStr">
        <is>
          <t>Fully amortized</t>
        </is>
      </c>
      <c r="J37" s="6" t="inlineStr">
        <is>
          <t>prepaid subledger / June amortization tie-out</t>
        </is>
      </c>
    </row>
    <row r="38">
      <c r="A38" s="6" t="inlineStr">
        <is>
          <t>PP-22-0030</t>
        </is>
      </c>
      <c r="B38" s="6" t="inlineStr">
        <is>
          <t>2023-09-30</t>
        </is>
      </c>
      <c r="C38" s="6" t="inlineStr">
        <is>
          <t>Other prepaid</t>
        </is>
      </c>
      <c r="D38" s="6" t="inlineStr">
        <is>
          <t>1310</t>
        </is>
      </c>
      <c r="E38" s="6" t="inlineStr">
        <is>
          <t>ERP, estimating and field operations annual subscription; Tualatin Fleet Service Center - Eugene Inc.; 2022-10-01 to 2023-09-30</t>
        </is>
      </c>
      <c r="F38" s="7" t="n">
        <v>118800</v>
      </c>
      <c r="G38" s="7" t="n">
        <v>-118800</v>
      </c>
      <c r="H38" s="7">
        <f>F38+G38</f>
        <v/>
      </c>
      <c r="I38" s="6" t="inlineStr">
        <is>
          <t>Fully amortized</t>
        </is>
      </c>
      <c r="J38" s="6" t="inlineStr">
        <is>
          <t>prepaid subledger / June amortization tie-out</t>
        </is>
      </c>
    </row>
    <row r="39">
      <c r="A39" s="6" t="inlineStr">
        <is>
          <t>PP-23-0039</t>
        </is>
      </c>
      <c r="B39" s="6" t="inlineStr">
        <is>
          <t>2023-12-31</t>
        </is>
      </c>
      <c r="C39" s="6" t="inlineStr">
        <is>
          <t>Other prepaid</t>
        </is>
      </c>
      <c r="D39" s="6" t="inlineStr">
        <is>
          <t>1310</t>
        </is>
      </c>
      <c r="E39" s="6" t="inlineStr">
        <is>
          <t>Contractor licenses, memberships and training portal; Columbia Fleet Service Center - Portland Inc.; 2023-01-01 to 2023-12-31</t>
        </is>
      </c>
      <c r="F39" s="7" t="n">
        <v>33500</v>
      </c>
      <c r="G39" s="7" t="n">
        <v>-33500</v>
      </c>
      <c r="H39" s="7">
        <f>F39+G39</f>
        <v/>
      </c>
      <c r="I39" s="6" t="inlineStr">
        <is>
          <t>Fully amortized</t>
        </is>
      </c>
      <c r="J39" s="6" t="inlineStr">
        <is>
          <t>prepaid subledger / June amortization tie-out</t>
        </is>
      </c>
    </row>
    <row r="40">
      <c r="A40" s="6" t="inlineStr">
        <is>
          <t>PP-23-0038</t>
        </is>
      </c>
      <c r="B40" s="6" t="inlineStr">
        <is>
          <t>2024-02-29</t>
        </is>
      </c>
      <c r="C40" s="6" t="inlineStr">
        <is>
          <t>Other prepaid</t>
        </is>
      </c>
      <c r="D40" s="6" t="inlineStr">
        <is>
          <t>1310</t>
        </is>
      </c>
      <c r="E40" s="6" t="inlineStr">
        <is>
          <t>BIM, controls and design software annual subscription; Northwest Construction Advisory - Eugene Group; 2023-03-01 to 2024-02-29</t>
        </is>
      </c>
      <c r="F40" s="7" t="n">
        <v>105100</v>
      </c>
      <c r="G40" s="7" t="n">
        <v>-105100</v>
      </c>
      <c r="H40" s="7">
        <f>F40+G40</f>
        <v/>
      </c>
      <c r="I40" s="6" t="inlineStr">
        <is>
          <t>Fully amortized</t>
        </is>
      </c>
      <c r="J40" s="6" t="inlineStr">
        <is>
          <t>prepaid subledger / June amortization tie-out</t>
        </is>
      </c>
    </row>
    <row r="41">
      <c r="A41" s="6" t="inlineStr">
        <is>
          <t>PP-23-0040</t>
        </is>
      </c>
      <c r="B41" s="6" t="inlineStr">
        <is>
          <t>2024-03-31</t>
        </is>
      </c>
      <c r="C41" s="6" t="inlineStr">
        <is>
          <t>Other prepaid</t>
        </is>
      </c>
      <c r="D41" s="6" t="inlineStr">
        <is>
          <t>1310</t>
        </is>
      </c>
      <c r="E41" s="6" t="inlineStr">
        <is>
          <t>Annual facility service and security contract; Interstate Business Systems - Vancouver Services, LLC; 2023-04-01 to 2024-03-31</t>
        </is>
      </c>
      <c r="F41" s="7" t="n">
        <v>52000</v>
      </c>
      <c r="G41" s="7" t="n">
        <v>-52000</v>
      </c>
      <c r="H41" s="7">
        <f>F41+G41</f>
        <v/>
      </c>
      <c r="I41" s="6" t="inlineStr">
        <is>
          <t>Fully amortized</t>
        </is>
      </c>
      <c r="J41" s="6" t="inlineStr">
        <is>
          <t>prepaid subledger / June amortization tie-out</t>
        </is>
      </c>
    </row>
    <row r="42">
      <c r="A42" s="6" t="inlineStr">
        <is>
          <t>PP-23-0034</t>
        </is>
      </c>
      <c r="B42" s="6" t="inlineStr">
        <is>
          <t>2024-06-30</t>
        </is>
      </c>
      <c r="C42" s="6" t="inlineStr">
        <is>
          <t>Insurance</t>
        </is>
      </c>
      <c r="D42" s="6" t="inlineStr">
        <is>
          <t>1300</t>
        </is>
      </c>
      <c r="E42" s="6" t="inlineStr">
        <is>
          <t>Annual commercial general liability program; Tualatin Building Services - Gresham Inc.; 2023-07-01 to 2024-06-30</t>
        </is>
      </c>
      <c r="F42" s="7" t="n">
        <v>211400</v>
      </c>
      <c r="G42" s="7" t="n">
        <v>-211400</v>
      </c>
      <c r="H42" s="7">
        <f>F42+G42</f>
        <v/>
      </c>
      <c r="I42" s="6" t="inlineStr">
        <is>
          <t>Fully amortized</t>
        </is>
      </c>
      <c r="J42" s="6" t="inlineStr">
        <is>
          <t>prepaid subledger / June amortization tie-out</t>
        </is>
      </c>
    </row>
    <row r="43">
      <c r="A43" s="6" t="inlineStr">
        <is>
          <t>PP-23-0035</t>
        </is>
      </c>
      <c r="B43" s="6" t="inlineStr">
        <is>
          <t>2024-06-30</t>
        </is>
      </c>
      <c r="C43" s="6" t="inlineStr">
        <is>
          <t>Insurance</t>
        </is>
      </c>
      <c r="D43" s="6" t="inlineStr">
        <is>
          <t>1300</t>
        </is>
      </c>
      <c r="E43" s="6" t="inlineStr">
        <is>
          <t>Annual business auto and inland marine program; Cedar Mill Sheet Metal Fabrication - Salem Services, LLC; 2023-07-01 to 2024-06-30</t>
        </is>
      </c>
      <c r="F43" s="7" t="n">
        <v>182300</v>
      </c>
      <c r="G43" s="7" t="n">
        <v>-182300</v>
      </c>
      <c r="H43" s="7">
        <f>F43+G43</f>
        <v/>
      </c>
      <c r="I43" s="6" t="inlineStr">
        <is>
          <t>Fully amortized</t>
        </is>
      </c>
      <c r="J43" s="6" t="inlineStr">
        <is>
          <t>prepaid subledger / June amortization tie-out</t>
        </is>
      </c>
    </row>
    <row r="44">
      <c r="A44" s="6" t="inlineStr">
        <is>
          <t>PP-23-0036</t>
        </is>
      </c>
      <c r="B44" s="6" t="inlineStr">
        <is>
          <t>2024-06-30</t>
        </is>
      </c>
      <c r="C44" s="6" t="inlineStr">
        <is>
          <t>Insurance</t>
        </is>
      </c>
      <c r="D44" s="6" t="inlineStr">
        <is>
          <t>1300</t>
        </is>
      </c>
      <c r="E44" s="6" t="inlineStr">
        <is>
          <t>Workers compensation deposit premium; Tri-County Mechanical Insulation - Beaverton LLC; 2023-07-01 to 2024-06-30</t>
        </is>
      </c>
      <c r="F44" s="7" t="n">
        <v>344100</v>
      </c>
      <c r="G44" s="7" t="n">
        <v>-344100</v>
      </c>
      <c r="H44" s="7">
        <f>F44+G44</f>
        <v/>
      </c>
      <c r="I44" s="6" t="inlineStr">
        <is>
          <t>Fully amortized</t>
        </is>
      </c>
      <c r="J44" s="6" t="inlineStr">
        <is>
          <t>prepaid subledger / June amortization tie-out</t>
        </is>
      </c>
    </row>
    <row r="45">
      <c r="A45" s="6" t="inlineStr">
        <is>
          <t>PP-23-0037</t>
        </is>
      </c>
      <c r="B45" s="6" t="inlineStr">
        <is>
          <t>2024-09-30</t>
        </is>
      </c>
      <c r="C45" s="6" t="inlineStr">
        <is>
          <t>Other prepaid</t>
        </is>
      </c>
      <c r="D45" s="6" t="inlineStr">
        <is>
          <t>1310</t>
        </is>
      </c>
      <c r="E45" s="6" t="inlineStr">
        <is>
          <t>ERP, estimating and field operations annual subscription; Rainier Crane and Rigging - Bend Company; 2023-10-01 to 2024-09-30</t>
        </is>
      </c>
      <c r="F45" s="7" t="n">
        <v>128500</v>
      </c>
      <c r="G45" s="7" t="n">
        <v>-128500</v>
      </c>
      <c r="H45" s="7">
        <f>F45+G45</f>
        <v/>
      </c>
      <c r="I45" s="6" t="inlineStr">
        <is>
          <t>Fully amortized</t>
        </is>
      </c>
      <c r="J45" s="6" t="inlineStr">
        <is>
          <t>prepaid subledger / June amortization tie-out</t>
        </is>
      </c>
    </row>
    <row r="46">
      <c r="A46" s="6" t="inlineStr">
        <is>
          <t>PP-24-0046</t>
        </is>
      </c>
      <c r="B46" s="6" t="inlineStr">
        <is>
          <t>2024-12-31</t>
        </is>
      </c>
      <c r="C46" s="6" t="inlineStr">
        <is>
          <t>Other prepaid</t>
        </is>
      </c>
      <c r="D46" s="6" t="inlineStr">
        <is>
          <t>1310</t>
        </is>
      </c>
      <c r="E46" s="6" t="inlineStr">
        <is>
          <t>Contractor licenses, memberships and training portal; Blue Mountain Equipment Rental &amp; Services - Eugene Company; 2024-01-01 to 2024-12-31</t>
        </is>
      </c>
      <c r="F46" s="7" t="n">
        <v>36000</v>
      </c>
      <c r="G46" s="7" t="n">
        <v>-36000</v>
      </c>
      <c r="H46" s="7">
        <f>F46+G46</f>
        <v/>
      </c>
      <c r="I46" s="6" t="inlineStr">
        <is>
          <t>Fully amortized</t>
        </is>
      </c>
      <c r="J46" s="6" t="inlineStr">
        <is>
          <t>prepaid subledger / June amortization tie-out</t>
        </is>
      </c>
    </row>
    <row r="47">
      <c r="A47" s="6" t="inlineStr">
        <is>
          <t>PP-24-0045</t>
        </is>
      </c>
      <c r="B47" s="6" t="inlineStr">
        <is>
          <t>2025-02-28</t>
        </is>
      </c>
      <c r="C47" s="6" t="inlineStr">
        <is>
          <t>Other prepaid</t>
        </is>
      </c>
      <c r="D47" s="6" t="inlineStr">
        <is>
          <t>1310</t>
        </is>
      </c>
      <c r="E47" s="6" t="inlineStr">
        <is>
          <t>BIM, controls and design software annual subscription; Rogue Valley Electrical Contracting - Bend LLC; 2024-03-01 to 2025-02-28</t>
        </is>
      </c>
      <c r="F47" s="7" t="n">
        <v>113000</v>
      </c>
      <c r="G47" s="7" t="n">
        <v>-113000</v>
      </c>
      <c r="H47" s="7">
        <f>F47+G47</f>
        <v/>
      </c>
      <c r="I47" s="6" t="inlineStr">
        <is>
          <t>Fully amortized</t>
        </is>
      </c>
      <c r="J47" s="6" t="inlineStr">
        <is>
          <t>prepaid subledger / June amortization tie-out</t>
        </is>
      </c>
    </row>
    <row r="48">
      <c r="A48" s="6" t="inlineStr">
        <is>
          <t>PP-24-0047</t>
        </is>
      </c>
      <c r="B48" s="6" t="inlineStr">
        <is>
          <t>2025-03-31</t>
        </is>
      </c>
      <c r="C48" s="6" t="inlineStr">
        <is>
          <t>Other prepaid</t>
        </is>
      </c>
      <c r="D48" s="6" t="inlineStr">
        <is>
          <t>1310</t>
        </is>
      </c>
      <c r="E48" s="6" t="inlineStr">
        <is>
          <t>Annual facility service and security contract; Summit Testing and Balancing - Portland Group; 2024-04-01 to 2025-03-31</t>
        </is>
      </c>
      <c r="F48" s="7" t="n">
        <v>55900</v>
      </c>
      <c r="G48" s="7" t="n">
        <v>-55900</v>
      </c>
      <c r="H48" s="7">
        <f>F48+G48</f>
        <v/>
      </c>
      <c r="I48" s="6" t="inlineStr">
        <is>
          <t>Fully amortized</t>
        </is>
      </c>
      <c r="J48" s="6" t="inlineStr">
        <is>
          <t>prepaid subledger / June amortization tie-out</t>
        </is>
      </c>
    </row>
    <row r="49">
      <c r="A49" s="6" t="inlineStr">
        <is>
          <t>PP-24-0041</t>
        </is>
      </c>
      <c r="B49" s="6" t="inlineStr">
        <is>
          <t>2025-06-30</t>
        </is>
      </c>
      <c r="C49" s="6" t="inlineStr">
        <is>
          <t>Insurance</t>
        </is>
      </c>
      <c r="D49" s="6" t="inlineStr">
        <is>
          <t>1300</t>
        </is>
      </c>
      <c r="E49" s="6" t="inlineStr">
        <is>
          <t>Annual commercial general liability program; Rainier Construction Advisory - Vancouver Company; 2024-07-01 to 2025-06-30</t>
        </is>
      </c>
      <c r="F49" s="7" t="n">
        <v>227300</v>
      </c>
      <c r="G49" s="7" t="n">
        <v>-227300</v>
      </c>
      <c r="H49" s="7">
        <f>F49+G49</f>
        <v/>
      </c>
      <c r="I49" s="6" t="inlineStr">
        <is>
          <t>Fully amortized</t>
        </is>
      </c>
      <c r="J49" s="6" t="inlineStr">
        <is>
          <t>prepaid subledger / June amortization tie-out</t>
        </is>
      </c>
    </row>
    <row r="50">
      <c r="A50" s="6" t="inlineStr">
        <is>
          <t>PP-24-0042</t>
        </is>
      </c>
      <c r="B50" s="6" t="inlineStr">
        <is>
          <t>2025-06-30</t>
        </is>
      </c>
      <c r="C50" s="6" t="inlineStr">
        <is>
          <t>Insurance</t>
        </is>
      </c>
      <c r="D50" s="6" t="inlineStr">
        <is>
          <t>1300</t>
        </is>
      </c>
      <c r="E50" s="6" t="inlineStr">
        <is>
          <t>Annual business auto and inland marine program; Northwest Fleet Service Center - Gresham Group; 2024-07-01 to 2025-06-30</t>
        </is>
      </c>
      <c r="F50" s="7" t="n">
        <v>196000</v>
      </c>
      <c r="G50" s="7" t="n">
        <v>-196000</v>
      </c>
      <c r="H50" s="7">
        <f>F50+G50</f>
        <v/>
      </c>
      <c r="I50" s="6" t="inlineStr">
        <is>
          <t>Fully amortized</t>
        </is>
      </c>
      <c r="J50" s="6" t="inlineStr">
        <is>
          <t>prepaid subledger / June amortization tie-out</t>
        </is>
      </c>
    </row>
    <row r="51">
      <c r="A51" s="6" t="inlineStr">
        <is>
          <t>PP-24-0043</t>
        </is>
      </c>
      <c r="B51" s="6" t="inlineStr">
        <is>
          <t>2025-06-30</t>
        </is>
      </c>
      <c r="C51" s="6" t="inlineStr">
        <is>
          <t>Insurance</t>
        </is>
      </c>
      <c r="D51" s="6" t="inlineStr">
        <is>
          <t>1300</t>
        </is>
      </c>
      <c r="E51" s="6" t="inlineStr">
        <is>
          <t>Workers compensation deposit premium; Columbia Building Services - Salem Inc.; 2024-07-01 to 2025-06-30</t>
        </is>
      </c>
      <c r="F51" s="7" t="n">
        <v>370000</v>
      </c>
      <c r="G51" s="7" t="n">
        <v>-370000</v>
      </c>
      <c r="H51" s="7">
        <f>F51+G51</f>
        <v/>
      </c>
      <c r="I51" s="6" t="inlineStr">
        <is>
          <t>Fully amortized</t>
        </is>
      </c>
      <c r="J51" s="6" t="inlineStr">
        <is>
          <t>prepaid subledger / June amortization tie-out</t>
        </is>
      </c>
    </row>
    <row r="52">
      <c r="A52" s="6" t="inlineStr">
        <is>
          <t>PP-24-0044</t>
        </is>
      </c>
      <c r="B52" s="6" t="inlineStr">
        <is>
          <t>2025-09-30</t>
        </is>
      </c>
      <c r="C52" s="6" t="inlineStr">
        <is>
          <t>Other prepaid</t>
        </is>
      </c>
      <c r="D52" s="6" t="inlineStr">
        <is>
          <t>1310</t>
        </is>
      </c>
      <c r="E52" s="6" t="inlineStr">
        <is>
          <t>ERP, estimating and field operations annual subscription; Interstate Pipe, Valve &amp; Fitting Supply - Beaverton Services, LLC; 2024-10-01 to 2025-09-30</t>
        </is>
      </c>
      <c r="F52" s="7" t="n">
        <v>138100</v>
      </c>
      <c r="G52" s="7" t="n">
        <v>-138100</v>
      </c>
      <c r="H52" s="7">
        <f>F52+G52</f>
        <v/>
      </c>
      <c r="I52" s="6" t="inlineStr">
        <is>
          <t>Fully amortized</t>
        </is>
      </c>
      <c r="J52" s="6" t="inlineStr">
        <is>
          <t>prepaid subledger / June amortization tie-out</t>
        </is>
      </c>
    </row>
    <row r="53">
      <c r="A53" s="6" t="inlineStr">
        <is>
          <t>PP-25-0053</t>
        </is>
      </c>
      <c r="B53" s="6" t="inlineStr">
        <is>
          <t>2025-12-31</t>
        </is>
      </c>
      <c r="C53" s="6" t="inlineStr">
        <is>
          <t>Other prepaid</t>
        </is>
      </c>
      <c r="D53" s="6" t="inlineStr">
        <is>
          <t>1310</t>
        </is>
      </c>
      <c r="E53" s="6" t="inlineStr">
        <is>
          <t>Contractor licenses, memberships and training portal; High Desert Pipe, Valve &amp; Fitting Supply - Bend Services, LLC; 2025-01-01 to 2025-12-31</t>
        </is>
      </c>
      <c r="F53" s="7" t="n">
        <v>38600</v>
      </c>
      <c r="G53" s="7" t="n">
        <v>-38600</v>
      </c>
      <c r="H53" s="7">
        <f>F53+G53</f>
        <v/>
      </c>
      <c r="I53" s="6" t="inlineStr">
        <is>
          <t>Fully amortized</t>
        </is>
      </c>
      <c r="J53" s="6" t="inlineStr">
        <is>
          <t>prepaid subledger / June amortization tie-out</t>
        </is>
      </c>
    </row>
    <row r="54">
      <c r="A54" s="6" t="inlineStr">
        <is>
          <t>PP-25-0052</t>
        </is>
      </c>
      <c r="B54" s="6" t="inlineStr">
        <is>
          <t>2026-02-28</t>
        </is>
      </c>
      <c r="C54" s="6" t="inlineStr">
        <is>
          <t>Other prepaid</t>
        </is>
      </c>
      <c r="D54" s="6" t="inlineStr">
        <is>
          <t>1310</t>
        </is>
      </c>
      <c r="E54" s="6" t="inlineStr">
        <is>
          <t>BIM, controls and design software annual subscription; Pioneer Business Systems - Beaverton Inc.; 2025-03-01 to 2026-02-28</t>
        </is>
      </c>
      <c r="F54" s="7" t="n">
        <v>120900</v>
      </c>
      <c r="G54" s="7" t="n">
        <v>-120900</v>
      </c>
      <c r="H54" s="7">
        <f>F54+G54</f>
        <v/>
      </c>
      <c r="I54" s="6" t="inlineStr">
        <is>
          <t>Fully amortized</t>
        </is>
      </c>
      <c r="J54" s="6" t="inlineStr">
        <is>
          <t>prepaid subledger / June amortization tie-out</t>
        </is>
      </c>
    </row>
    <row r="55">
      <c r="A55" s="6" t="inlineStr">
        <is>
          <t>PP-25-0054</t>
        </is>
      </c>
      <c r="B55" s="6" t="inlineStr">
        <is>
          <t>2026-03-31</t>
        </is>
      </c>
      <c r="C55" s="6" t="inlineStr">
        <is>
          <t>Other prepaid</t>
        </is>
      </c>
      <c r="D55" s="6" t="inlineStr">
        <is>
          <t>1310</t>
        </is>
      </c>
      <c r="E55" s="6" t="inlineStr">
        <is>
          <t>Annual facility service and security contract; Cascade Electrical Contracting - Eugene LLC; 2025-04-01 to 2026-03-31</t>
        </is>
      </c>
      <c r="F55" s="7" t="n">
        <v>59900</v>
      </c>
      <c r="G55" s="7" t="n">
        <v>-59900</v>
      </c>
      <c r="H55" s="7">
        <f>F55+G55</f>
        <v/>
      </c>
      <c r="I55" s="6" t="inlineStr">
        <is>
          <t>Fully amortized</t>
        </is>
      </c>
      <c r="J55" s="6" t="inlineStr">
        <is>
          <t>prepaid subledger / June amortization tie-out</t>
        </is>
      </c>
    </row>
    <row r="56">
      <c r="A56" s="6" t="inlineStr">
        <is>
          <t>PP-25-0048</t>
        </is>
      </c>
      <c r="B56" s="6" t="inlineStr">
        <is>
          <t>2026-06-30</t>
        </is>
      </c>
      <c r="C56" s="6" t="inlineStr">
        <is>
          <t>Insurance</t>
        </is>
      </c>
      <c r="D56" s="6" t="inlineStr">
        <is>
          <t>1300</t>
        </is>
      </c>
      <c r="E56" s="6" t="inlineStr">
        <is>
          <t>Annual commercial general liability program; Interstate Electrical Contracting - Portland Services, LLC; 2025-07-01 to 2026-06-30</t>
        </is>
      </c>
      <c r="F56" s="7" t="n">
        <v>243200</v>
      </c>
      <c r="G56" s="7" t="n">
        <v>-243200</v>
      </c>
      <c r="H56" s="7">
        <f>F56+G56</f>
        <v/>
      </c>
      <c r="I56" s="6" t="inlineStr">
        <is>
          <t>Fully amortized</t>
        </is>
      </c>
      <c r="J56" s="6" t="inlineStr">
        <is>
          <t>prepaid subledger / June amortization tie-out</t>
        </is>
      </c>
    </row>
    <row r="57">
      <c r="A57" s="6" t="inlineStr">
        <is>
          <t>PP-25-0049</t>
        </is>
      </c>
      <c r="B57" s="6" t="inlineStr">
        <is>
          <t>2026-06-30</t>
        </is>
      </c>
      <c r="C57" s="6" t="inlineStr">
        <is>
          <t>Insurance</t>
        </is>
      </c>
      <c r="D57" s="6" t="inlineStr">
        <is>
          <t>1300</t>
        </is>
      </c>
      <c r="E57" s="6" t="inlineStr">
        <is>
          <t>Annual business auto and inland marine program; Rogue Valley Equipment Rental &amp; Services - Vancouver LLC; 2025-07-01 to 2026-06-30</t>
        </is>
      </c>
      <c r="F57" s="7" t="n">
        <v>209600</v>
      </c>
      <c r="G57" s="7" t="n">
        <v>-209600</v>
      </c>
      <c r="H57" s="7">
        <f>F57+G57</f>
        <v/>
      </c>
      <c r="I57" s="6" t="inlineStr">
        <is>
          <t>Fully amortized</t>
        </is>
      </c>
      <c r="J57" s="6" t="inlineStr">
        <is>
          <t>prepaid subledger / June amortization tie-out</t>
        </is>
      </c>
    </row>
    <row r="58">
      <c r="A58" s="6" t="inlineStr">
        <is>
          <t>PP-25-0050</t>
        </is>
      </c>
      <c r="B58" s="6" t="inlineStr">
        <is>
          <t>2026-06-30</t>
        </is>
      </c>
      <c r="C58" s="6" t="inlineStr">
        <is>
          <t>Insurance</t>
        </is>
      </c>
      <c r="D58" s="6" t="inlineStr">
        <is>
          <t>1300</t>
        </is>
      </c>
      <c r="E58" s="6" t="inlineStr">
        <is>
          <t>Workers compensation deposit premium; Blue Mountain Testing and Balancing - Gresham Company; 2025-07-01 to 2026-06-30</t>
        </is>
      </c>
      <c r="F58" s="7" t="n">
        <v>395800</v>
      </c>
      <c r="G58" s="7" t="n">
        <v>-395800</v>
      </c>
      <c r="H58" s="7">
        <f>F58+G58</f>
        <v/>
      </c>
      <c r="I58" s="6" t="inlineStr">
        <is>
          <t>Fully amortized</t>
        </is>
      </c>
      <c r="J58" s="6" t="inlineStr">
        <is>
          <t>prepaid subledger / June amortization tie-out</t>
        </is>
      </c>
    </row>
    <row r="59">
      <c r="A59" s="6" t="inlineStr">
        <is>
          <t>PP-25-0051</t>
        </is>
      </c>
      <c r="B59" s="6" t="inlineStr">
        <is>
          <t>2026-09-30</t>
        </is>
      </c>
      <c r="C59" s="6" t="inlineStr">
        <is>
          <t>Other prepaid</t>
        </is>
      </c>
      <c r="D59" s="6" t="inlineStr">
        <is>
          <t>1310</t>
        </is>
      </c>
      <c r="E59" s="6" t="inlineStr">
        <is>
          <t>ERP, estimating and field operations annual subscription; Summit Safety and Industrial Supply - Salem Group; 2025-10-01 to 2026-09-30</t>
        </is>
      </c>
      <c r="F59" s="7" t="n">
        <v>147800</v>
      </c>
      <c r="G59" s="7" t="n">
        <v>-110850.03</v>
      </c>
      <c r="H59" s="7">
        <f>F59+G59</f>
        <v/>
      </c>
      <c r="I59" s="6" t="inlineStr">
        <is>
          <t>Active</t>
        </is>
      </c>
      <c r="J59" s="6" t="inlineStr">
        <is>
          <t>prepaid subledger / June amortization tie-out</t>
        </is>
      </c>
    </row>
    <row r="60">
      <c r="A60" s="6" t="inlineStr">
        <is>
          <t>PP-26-0056</t>
        </is>
      </c>
      <c r="B60" s="6" t="inlineStr">
        <is>
          <t>2026-12-31</t>
        </is>
      </c>
      <c r="C60" s="6" t="inlineStr">
        <is>
          <t>Other prepaid</t>
        </is>
      </c>
      <c r="D60" s="6" t="inlineStr">
        <is>
          <t>1310</t>
        </is>
      </c>
      <c r="E60" s="6" t="inlineStr">
        <is>
          <t>Contractor licenses, memberships and training portal; Bridge City Construction Advisory - Beaverton Group; 2026-01-01 to 2026-12-31</t>
        </is>
      </c>
      <c r="F60" s="7" t="n">
        <v>41100</v>
      </c>
      <c r="G60" s="7" t="n">
        <v>-20550</v>
      </c>
      <c r="H60" s="7">
        <f>F60+G60</f>
        <v/>
      </c>
      <c r="I60" s="6" t="inlineStr">
        <is>
          <t>Active</t>
        </is>
      </c>
      <c r="J60" s="6" t="inlineStr">
        <is>
          <t>prepaid subledger / June amortization tie-out</t>
        </is>
      </c>
    </row>
    <row r="61">
      <c r="A61" s="6" t="inlineStr">
        <is>
          <t>PP-26-0055</t>
        </is>
      </c>
      <c r="B61" s="6" t="inlineStr">
        <is>
          <t>2027-02-28</t>
        </is>
      </c>
      <c r="C61" s="6" t="inlineStr">
        <is>
          <t>Other prepaid</t>
        </is>
      </c>
      <c r="D61" s="6" t="inlineStr">
        <is>
          <t>1310</t>
        </is>
      </c>
      <c r="E61" s="6" t="inlineStr">
        <is>
          <t>BIM, controls and design software annual subscription; West Coast Crane and Rigging - Salem Company; 2026-03-01 to 2027-02-28</t>
        </is>
      </c>
      <c r="F61" s="7" t="n">
        <v>128800</v>
      </c>
      <c r="G61" s="7" t="n">
        <v>-42933.32</v>
      </c>
      <c r="H61" s="7">
        <f>F61+G61</f>
        <v/>
      </c>
      <c r="I61" s="6" t="inlineStr">
        <is>
          <t>Active</t>
        </is>
      </c>
      <c r="J61" s="6" t="inlineStr">
        <is>
          <t>prepaid subledger / June amortization tie-out</t>
        </is>
      </c>
    </row>
    <row r="62">
      <c r="A62" s="6" t="inlineStr">
        <is>
          <t>PP-26-0057</t>
        </is>
      </c>
      <c r="B62" s="6" t="inlineStr">
        <is>
          <t>2027-03-31</t>
        </is>
      </c>
      <c r="C62" s="6" t="inlineStr">
        <is>
          <t>Other prepaid</t>
        </is>
      </c>
      <c r="D62" s="6" t="inlineStr">
        <is>
          <t>1310</t>
        </is>
      </c>
      <c r="E62" s="6" t="inlineStr">
        <is>
          <t>Annual facility service and security contract; Willamette Fleet Service Center - Bend Inc.; 2026-04-01 to 2027-03-31</t>
        </is>
      </c>
      <c r="F62" s="7" t="n">
        <v>63800</v>
      </c>
      <c r="G62" s="7" t="n">
        <v>-15950.01</v>
      </c>
      <c r="H62" s="7">
        <f>F62+G62</f>
        <v/>
      </c>
      <c r="I62" s="6" t="inlineStr">
        <is>
          <t>Active</t>
        </is>
      </c>
      <c r="J62" s="6" t="inlineStr">
        <is>
          <t>prepaid subledger / June amortization tie-out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Prepaid expense and amortization schedule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rev 2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Other prepaid</t>
        </is>
      </c>
      <c r="B6" s="8">
        <f>COUNTIF('detail - working'!C6:C62,A6)</f>
        <v/>
      </c>
      <c r="C6" s="9">
        <f>SUMIF('detail - working'!C6:C62,A6,'detail - working'!F6:F62)</f>
        <v/>
      </c>
      <c r="D6" s="9">
        <f>SUMIF('detail - working'!C6:C62,A6,'detail - working'!G6:G62)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  <row r="7">
      <c r="A7" s="8" t="inlineStr">
        <is>
          <t>Insurance</t>
        </is>
      </c>
      <c r="B7" s="8">
        <f>COUNTIF('detail - working'!C6:C62,A7)</f>
        <v/>
      </c>
      <c r="C7" s="9">
        <f>SUMIF('detail - working'!C6:C62,A7,'detail - working'!F6:F62)</f>
        <v/>
      </c>
      <c r="D7" s="9">
        <f>SUMIF('detail - working'!C6:C62,A7,'detail - working'!G6:G62)</f>
        <v/>
      </c>
      <c r="E7" s="9">
        <f>C7+D7</f>
        <v/>
      </c>
      <c r="F7" s="8" t="inlineStr">
        <is>
          <t>KS</t>
        </is>
      </c>
      <c r="G7" s="8" t="inlineStr">
        <is>
          <t>tied</t>
        </is>
      </c>
      <c r="H7" s="8" t="inlineStr">
        <is>
          <t>Formula-linked to full supporting detail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TB rec_6.30 prelim - NB v4.xlsx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working'!H6:H62)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working'!F6:F62)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working'!G6:G62)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Prepaid expense and amortization schedule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working'!H6:H62)-SUM('detail - working'!F6:F62)-SUM('detail - working'!G6:G62)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57</v>
      </c>
      <c r="C7" s="8">
        <f>COUNTA('detail - working'!A6:A62)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57</v>
      </c>
      <c r="C8" s="8">
        <f>COUNTA('detail - working'!J6:J62)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working'!G6:G62)-COUNTBLANK('detail - working'!A6:A62)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2026-07-28T10:45:29Z</dcterms:modified>
  <cp:lastModifiedBy>Unknown</cp:lastModifiedBy>
</cp:coreProperties>
</file>