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Fixed assets and construction-in-progress roll-forward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The fixed-asset register is complete through 6/30; approved future capital requests remain outside the ledger until acquired.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FA-1500-0001</t>
        </is>
      </c>
      <c r="B6" s="6" t="inlineStr">
        <is>
          <t>2018-05-01</t>
        </is>
      </c>
      <c r="C6" s="6" t="inlineStr">
        <is>
          <t>1500</t>
        </is>
      </c>
      <c r="D6" s="6" t="inlineStr">
        <is>
          <t>30</t>
        </is>
      </c>
      <c r="E6" s="6" t="inlineStr">
        <is>
          <t>Ford Transit service van; ARM-1500-18-001; Bend branch</t>
        </is>
      </c>
      <c r="F6" s="7" t="n">
        <v>45900</v>
      </c>
      <c r="G6" s="7" t="n">
        <v>-43605</v>
      </c>
      <c r="H6" s="7">
        <f>F6+G6</f>
        <v/>
      </c>
      <c r="I6" s="6" t="inlineStr">
        <is>
          <t>In service</t>
        </is>
      </c>
      <c r="J6" s="6" t="inlineStr">
        <is>
          <t>fixed-asset register / June GL tie-out</t>
        </is>
      </c>
    </row>
    <row r="7">
      <c r="A7" s="6" t="inlineStr">
        <is>
          <t>FA-1500-0022</t>
        </is>
      </c>
      <c r="B7" s="6" t="inlineStr">
        <is>
          <t>2018-05-16</t>
        </is>
      </c>
      <c r="C7" s="6" t="inlineStr">
        <is>
          <t>1500</t>
        </is>
      </c>
      <c r="D7" s="6" t="inlineStr">
        <is>
          <t>30</t>
        </is>
      </c>
      <c r="E7" s="6" t="inlineStr">
        <is>
          <t>Chevrolet Silverado field truck; ARM-1500-18-022; Portland / assigned field unit</t>
        </is>
      </c>
      <c r="F7" s="7" t="n">
        <v>45900</v>
      </c>
      <c r="G7" s="7" t="n">
        <v>-43605</v>
      </c>
      <c r="H7" s="7">
        <f>F7+G7</f>
        <v/>
      </c>
      <c r="I7" s="6" t="inlineStr">
        <is>
          <t>In service</t>
        </is>
      </c>
      <c r="J7" s="6" t="inlineStr">
        <is>
          <t>fixed-asset register / June GL tie-out</t>
        </is>
      </c>
    </row>
    <row r="8">
      <c r="A8" s="6" t="inlineStr">
        <is>
          <t>FA-1530-0076</t>
        </is>
      </c>
      <c r="B8" s="6" t="inlineStr">
        <is>
          <t>2018-06-06</t>
        </is>
      </c>
      <c r="C8" s="6" t="inlineStr">
        <is>
          <t>1530</t>
        </is>
      </c>
      <c r="D8" s="6" t="inlineStr">
        <is>
          <t>30</t>
        </is>
      </c>
      <c r="E8" s="6" t="inlineStr">
        <is>
          <t>Shop material handling system; ARM-1530-18-008; Portland fabrication shop</t>
        </is>
      </c>
      <c r="F8" s="7" t="n">
        <v>107300</v>
      </c>
      <c r="G8" s="7" t="n">
        <v>-101935</v>
      </c>
      <c r="H8" s="7">
        <f>F8+G8</f>
        <v/>
      </c>
      <c r="I8" s="6" t="inlineStr">
        <is>
          <t>In service</t>
        </is>
      </c>
      <c r="J8" s="6" t="inlineStr">
        <is>
          <t>fixed-asset register / June GL tie-out</t>
        </is>
      </c>
    </row>
    <row r="9">
      <c r="A9" s="6" t="inlineStr">
        <is>
          <t>FA-1500-0015</t>
        </is>
      </c>
      <c r="B9" s="6" t="inlineStr">
        <is>
          <t>2018-06-11</t>
        </is>
      </c>
      <c r="C9" s="6" t="inlineStr">
        <is>
          <t>1500</t>
        </is>
      </c>
      <c r="D9" s="6" t="inlineStr">
        <is>
          <t>30</t>
        </is>
      </c>
      <c r="E9" s="6" t="inlineStr">
        <is>
          <t>Ram ProMaster service van; ARM-1500-18-015; Portland / assigned field unit</t>
        </is>
      </c>
      <c r="F9" s="7" t="n">
        <v>45900</v>
      </c>
      <c r="G9" s="7" t="n">
        <v>-43605</v>
      </c>
      <c r="H9" s="7">
        <f>F9+G9</f>
        <v/>
      </c>
      <c r="I9" s="6" t="inlineStr">
        <is>
          <t>In service</t>
        </is>
      </c>
      <c r="J9" s="6" t="inlineStr">
        <is>
          <t>fixed-asset register / June GL tie-out</t>
        </is>
      </c>
    </row>
    <row r="10">
      <c r="A10" s="6" t="inlineStr">
        <is>
          <t>FA-1520-0064</t>
        </is>
      </c>
      <c r="B10" s="6" t="inlineStr">
        <is>
          <t>2018-08-04</t>
        </is>
      </c>
      <c r="C10" s="6" t="inlineStr">
        <is>
          <t>1520</t>
        </is>
      </c>
      <c r="D10" s="6" t="inlineStr">
        <is>
          <t>90</t>
        </is>
      </c>
      <c r="E10" s="6" t="inlineStr">
        <is>
          <t>BIM coordination workstation set; ARM-1520-18-010; Bend branch</t>
        </is>
      </c>
      <c r="F10" s="7" t="n">
        <v>31300</v>
      </c>
      <c r="G10" s="7" t="n">
        <v>-29735</v>
      </c>
      <c r="H10" s="7">
        <f>F10+G10</f>
        <v/>
      </c>
      <c r="I10" s="6" t="inlineStr">
        <is>
          <t>In service</t>
        </is>
      </c>
      <c r="J10" s="6" t="inlineStr">
        <is>
          <t>fixed-asset register / June GL tie-out</t>
        </is>
      </c>
    </row>
    <row r="11">
      <c r="A11" s="6" t="inlineStr">
        <is>
          <t>FA-1530-0069</t>
        </is>
      </c>
      <c r="B11" s="6" t="inlineStr">
        <is>
          <t>2018-10-01</t>
        </is>
      </c>
      <c r="C11" s="6" t="inlineStr">
        <is>
          <t>1530</t>
        </is>
      </c>
      <c r="D11" s="6" t="inlineStr">
        <is>
          <t>30</t>
        </is>
      </c>
      <c r="E11" s="6" t="inlineStr">
        <is>
          <t>Sheet metal fabrication brake; ARM-1530-18-001; Bend branch</t>
        </is>
      </c>
      <c r="F11" s="7" t="n">
        <v>107300</v>
      </c>
      <c r="G11" s="7" t="n">
        <v>-101935</v>
      </c>
      <c r="H11" s="7">
        <f>F11+G11</f>
        <v/>
      </c>
      <c r="I11" s="6" t="inlineStr">
        <is>
          <t>In service</t>
        </is>
      </c>
      <c r="J11" s="6" t="inlineStr">
        <is>
          <t>fixed-asset register / June GL tie-out</t>
        </is>
      </c>
    </row>
    <row r="12">
      <c r="A12" s="6" t="inlineStr">
        <is>
          <t>FA-1500-0008</t>
        </is>
      </c>
      <c r="B12" s="6" t="inlineStr">
        <is>
          <t>2018-10-06</t>
        </is>
      </c>
      <c r="C12" s="6" t="inlineStr">
        <is>
          <t>1500</t>
        </is>
      </c>
      <c r="D12" s="6" t="inlineStr">
        <is>
          <t>30</t>
        </is>
      </c>
      <c r="E12" s="6" t="inlineStr">
        <is>
          <t>Ford F-350 project truck; ARM-1500-18-008; Portland / assigned field unit</t>
        </is>
      </c>
      <c r="F12" s="7" t="n">
        <v>45900</v>
      </c>
      <c r="G12" s="7" t="n">
        <v>-43605</v>
      </c>
      <c r="H12" s="7">
        <f>F12+G12</f>
        <v/>
      </c>
      <c r="I12" s="6" t="inlineStr">
        <is>
          <t>In service</t>
        </is>
      </c>
      <c r="J12" s="6" t="inlineStr">
        <is>
          <t>fixed-asset register / June GL tie-out</t>
        </is>
      </c>
    </row>
    <row r="13">
      <c r="A13" s="6" t="inlineStr">
        <is>
          <t>FA-1500-0029</t>
        </is>
      </c>
      <c r="B13" s="6" t="inlineStr">
        <is>
          <t>2018-10-21</t>
        </is>
      </c>
      <c r="C13" s="6" t="inlineStr">
        <is>
          <t>1500</t>
        </is>
      </c>
      <c r="D13" s="6" t="inlineStr">
        <is>
          <t>30</t>
        </is>
      </c>
      <c r="E13" s="6" t="inlineStr">
        <is>
          <t>Ford Transit service van; ARM-1500-18-029; Portland / assigned field unit</t>
        </is>
      </c>
      <c r="F13" s="7" t="n">
        <v>45900</v>
      </c>
      <c r="G13" s="7" t="n">
        <v>-43605</v>
      </c>
      <c r="H13" s="7">
        <f>F13+G13</f>
        <v/>
      </c>
      <c r="I13" s="6" t="inlineStr">
        <is>
          <t>In service</t>
        </is>
      </c>
      <c r="J13" s="6" t="inlineStr">
        <is>
          <t>fixed-asset register / June GL tie-out</t>
        </is>
      </c>
    </row>
    <row r="14">
      <c r="A14" s="6" t="inlineStr">
        <is>
          <t>FA-1520-0057</t>
        </is>
      </c>
      <c r="B14" s="6" t="inlineStr">
        <is>
          <t>2018-12-23</t>
        </is>
      </c>
      <c r="C14" s="6" t="inlineStr">
        <is>
          <t>1520</t>
        </is>
      </c>
      <c r="D14" s="6" t="inlineStr">
        <is>
          <t>90</t>
        </is>
      </c>
      <c r="E14" s="6" t="inlineStr">
        <is>
          <t>Field tablet deployment; ARM-1520-18-003; Portland / assigned field unit</t>
        </is>
      </c>
      <c r="F14" s="7" t="n">
        <v>31300</v>
      </c>
      <c r="G14" s="7" t="n">
        <v>-29735</v>
      </c>
      <c r="H14" s="7">
        <f>F14+G14</f>
        <v/>
      </c>
      <c r="I14" s="6" t="inlineStr">
        <is>
          <t>In service</t>
        </is>
      </c>
      <c r="J14" s="6" t="inlineStr">
        <is>
          <t>fixed-asset register / June GL tie-out</t>
        </is>
      </c>
    </row>
    <row r="15">
      <c r="A15" s="6" t="inlineStr">
        <is>
          <t>FA-1500-0010</t>
        </is>
      </c>
      <c r="B15" s="6" t="inlineStr">
        <is>
          <t>2019-02-04</t>
        </is>
      </c>
      <c r="C15" s="6" t="inlineStr">
        <is>
          <t>1500</t>
        </is>
      </c>
      <c r="D15" s="6" t="inlineStr">
        <is>
          <t>30</t>
        </is>
      </c>
      <c r="E15" s="6" t="inlineStr">
        <is>
          <t>Chevrolet Silverado field truck; ARM-1500-19-010; Bend branch</t>
        </is>
      </c>
      <c r="F15" s="7" t="n">
        <v>58500</v>
      </c>
      <c r="G15" s="7" t="n">
        <v>-55575</v>
      </c>
      <c r="H15" s="7">
        <f>F15+G15</f>
        <v/>
      </c>
      <c r="I15" s="6" t="inlineStr">
        <is>
          <t>In service</t>
        </is>
      </c>
      <c r="J15" s="6" t="inlineStr">
        <is>
          <t>fixed-asset register / June GL tie-out</t>
        </is>
      </c>
    </row>
    <row r="16">
      <c r="A16" s="6" t="inlineStr">
        <is>
          <t>FA-1500-0031</t>
        </is>
      </c>
      <c r="B16" s="6" t="inlineStr">
        <is>
          <t>2019-02-19</t>
        </is>
      </c>
      <c r="C16" s="6" t="inlineStr">
        <is>
          <t>1500</t>
        </is>
      </c>
      <c r="D16" s="6" t="inlineStr">
        <is>
          <t>30</t>
        </is>
      </c>
      <c r="E16" s="6" t="inlineStr">
        <is>
          <t>Ram ProMaster service van; ARM-1500-19-031; Portland / assigned field unit</t>
        </is>
      </c>
      <c r="F16" s="7" t="n">
        <v>58500</v>
      </c>
      <c r="G16" s="7" t="n">
        <v>-55575</v>
      </c>
      <c r="H16" s="7">
        <f>F16+G16</f>
        <v/>
      </c>
      <c r="I16" s="6" t="inlineStr">
        <is>
          <t>In service</t>
        </is>
      </c>
      <c r="J16" s="6" t="inlineStr">
        <is>
          <t>fixed-asset register / June GL tie-out</t>
        </is>
      </c>
    </row>
    <row r="17">
      <c r="A17" s="6" t="inlineStr">
        <is>
          <t>FA-1510-0043</t>
        </is>
      </c>
      <c r="B17" s="6" t="inlineStr">
        <is>
          <t>2019-04-17</t>
        </is>
      </c>
      <c r="C17" s="6" t="inlineStr">
        <is>
          <t>1510</t>
        </is>
      </c>
      <c r="D17" s="6" t="inlineStr">
        <is>
          <t>30</t>
        </is>
      </c>
      <c r="E17" s="6" t="inlineStr">
        <is>
          <t>Victaulic grooving set; ARM-1510-19-009; Portland / assigned field unit</t>
        </is>
      </c>
      <c r="F17" s="7" t="n">
        <v>34900</v>
      </c>
      <c r="G17" s="7" t="n">
        <v>-33155</v>
      </c>
      <c r="H17" s="7">
        <f>F17+G17</f>
        <v/>
      </c>
      <c r="I17" s="6" t="inlineStr">
        <is>
          <t>In service</t>
        </is>
      </c>
      <c r="J17" s="6" t="inlineStr">
        <is>
          <t>fixed-asset register / June GL tie-out</t>
        </is>
      </c>
    </row>
    <row r="18">
      <c r="A18" s="6" t="inlineStr">
        <is>
          <t>FA-1520-0059</t>
        </is>
      </c>
      <c r="B18" s="6" t="inlineStr">
        <is>
          <t>2019-04-21</t>
        </is>
      </c>
      <c r="C18" s="6" t="inlineStr">
        <is>
          <t>1520</t>
        </is>
      </c>
      <c r="D18" s="6" t="inlineStr">
        <is>
          <t>90</t>
        </is>
      </c>
      <c r="E18" s="6" t="inlineStr">
        <is>
          <t>Controls commissioning bench; ARM-1520-19-005; Portland / assigned field unit</t>
        </is>
      </c>
      <c r="F18" s="7" t="n">
        <v>38300</v>
      </c>
      <c r="G18" s="7" t="n">
        <v>-36385</v>
      </c>
      <c r="H18" s="7">
        <f>F18+G18</f>
        <v/>
      </c>
      <c r="I18" s="6" t="inlineStr">
        <is>
          <t>In service</t>
        </is>
      </c>
      <c r="J18" s="6" t="inlineStr">
        <is>
          <t>fixed-asset register / June GL tie-out</t>
        </is>
      </c>
    </row>
    <row r="19">
      <c r="A19" s="6" t="inlineStr">
        <is>
          <t>FA-1500-0024</t>
        </is>
      </c>
      <c r="B19" s="6" t="inlineStr">
        <is>
          <t>2019-06-14</t>
        </is>
      </c>
      <c r="C19" s="6" t="inlineStr">
        <is>
          <t>1500</t>
        </is>
      </c>
      <c r="D19" s="6" t="inlineStr">
        <is>
          <t>30</t>
        </is>
      </c>
      <c r="E19" s="6" t="inlineStr">
        <is>
          <t>Ford F-350 project truck; ARM-1500-19-024; Portland / assigned field unit</t>
        </is>
      </c>
      <c r="F19" s="7" t="n">
        <v>58500</v>
      </c>
      <c r="G19" s="7" t="n">
        <v>-55575</v>
      </c>
      <c r="H19" s="7">
        <f>F19+G19</f>
        <v/>
      </c>
      <c r="I19" s="6" t="inlineStr">
        <is>
          <t>In service</t>
        </is>
      </c>
      <c r="J19" s="6" t="inlineStr">
        <is>
          <t>fixed-asset register / June GL tie-out</t>
        </is>
      </c>
    </row>
    <row r="20">
      <c r="A20" s="6" t="inlineStr">
        <is>
          <t>FA-1500-0003</t>
        </is>
      </c>
      <c r="B20" s="6" t="inlineStr">
        <is>
          <t>2019-06-23</t>
        </is>
      </c>
      <c r="C20" s="6" t="inlineStr">
        <is>
          <t>1500</t>
        </is>
      </c>
      <c r="D20" s="6" t="inlineStr">
        <is>
          <t>30</t>
        </is>
      </c>
      <c r="E20" s="6" t="inlineStr">
        <is>
          <t>Ram ProMaster service van; ARM-1500-19-003; Portland / assigned field unit</t>
        </is>
      </c>
      <c r="F20" s="7" t="n">
        <v>58500</v>
      </c>
      <c r="G20" s="7" t="n">
        <v>-55575</v>
      </c>
      <c r="H20" s="7">
        <f>F20+G20</f>
        <v/>
      </c>
      <c r="I20" s="6" t="inlineStr">
        <is>
          <t>In service</t>
        </is>
      </c>
      <c r="J20" s="6" t="inlineStr">
        <is>
          <t>fixed-asset register / June GL tie-out</t>
        </is>
      </c>
    </row>
    <row r="21">
      <c r="A21" s="6" t="inlineStr">
        <is>
          <t>FA-1510-0036</t>
        </is>
      </c>
      <c r="B21" s="6" t="inlineStr">
        <is>
          <t>2019-08-12</t>
        </is>
      </c>
      <c r="C21" s="6" t="inlineStr">
        <is>
          <t>1510</t>
        </is>
      </c>
      <c r="D21" s="6" t="inlineStr">
        <is>
          <t>30</t>
        </is>
      </c>
      <c r="E21" s="6" t="inlineStr">
        <is>
          <t>Miller welding package; ARM-1510-19-002; Portland / assigned field unit</t>
        </is>
      </c>
      <c r="F21" s="7" t="n">
        <v>34900</v>
      </c>
      <c r="G21" s="7" t="n">
        <v>-33155</v>
      </c>
      <c r="H21" s="7">
        <f>F21+G21</f>
        <v/>
      </c>
      <c r="I21" s="6" t="inlineStr">
        <is>
          <t>In service</t>
        </is>
      </c>
      <c r="J21" s="6" t="inlineStr">
        <is>
          <t>fixed-asset register / June GL tie-out</t>
        </is>
      </c>
    </row>
    <row r="22">
      <c r="A22" s="6" t="inlineStr">
        <is>
          <t>FA-1500-0017</t>
        </is>
      </c>
      <c r="B22" s="6" t="inlineStr">
        <is>
          <t>2019-10-09</t>
        </is>
      </c>
      <c r="C22" s="6" t="inlineStr">
        <is>
          <t>1500</t>
        </is>
      </c>
      <c r="D22" s="6" t="inlineStr">
        <is>
          <t>30</t>
        </is>
      </c>
      <c r="E22" s="6" t="inlineStr">
        <is>
          <t>Ford Transit service van; ARM-1500-19-017; Portland / assigned field unit</t>
        </is>
      </c>
      <c r="F22" s="7" t="n">
        <v>58500</v>
      </c>
      <c r="G22" s="7" t="n">
        <v>-55575</v>
      </c>
      <c r="H22" s="7">
        <f>F22+G22</f>
        <v/>
      </c>
      <c r="I22" s="6" t="inlineStr">
        <is>
          <t>In service</t>
        </is>
      </c>
      <c r="J22" s="6" t="inlineStr">
        <is>
          <t>fixed-asset register / June GL tie-out</t>
        </is>
      </c>
    </row>
    <row r="23">
      <c r="A23" s="6" t="inlineStr">
        <is>
          <t>FA-1520-0066</t>
        </is>
      </c>
      <c r="B23" s="6" t="inlineStr">
        <is>
          <t>2019-12-02</t>
        </is>
      </c>
      <c r="C23" s="6" t="inlineStr">
        <is>
          <t>1520</t>
        </is>
      </c>
      <c r="D23" s="6" t="inlineStr">
        <is>
          <t>90</t>
        </is>
      </c>
      <c r="E23" s="6" t="inlineStr">
        <is>
          <t>Network testing kit; ARM-1520-19-012; Portland / assigned field unit</t>
        </is>
      </c>
      <c r="F23" s="7" t="n">
        <v>38300</v>
      </c>
      <c r="G23" s="7" t="n">
        <v>-36385</v>
      </c>
      <c r="H23" s="7">
        <f>F23+G23</f>
        <v/>
      </c>
      <c r="I23" s="6" t="inlineStr">
        <is>
          <t>In service</t>
        </is>
      </c>
      <c r="J23" s="6" t="inlineStr">
        <is>
          <t>fixed-asset register / June GL tie-out</t>
        </is>
      </c>
    </row>
    <row r="24">
      <c r="A24" s="6" t="inlineStr">
        <is>
          <t>FA-1510-0050</t>
        </is>
      </c>
      <c r="B24" s="6" t="inlineStr">
        <is>
          <t>2019-12-22</t>
        </is>
      </c>
      <c r="C24" s="6" t="inlineStr">
        <is>
          <t>1510</t>
        </is>
      </c>
      <c r="D24" s="6" t="inlineStr">
        <is>
          <t>30</t>
        </is>
      </c>
      <c r="E24" s="6" t="inlineStr">
        <is>
          <t>Field testing instrument set; ARM-1510-19-016; Portland / assigned field unit</t>
        </is>
      </c>
      <c r="F24" s="7" t="n">
        <v>34900</v>
      </c>
      <c r="G24" s="7" t="n">
        <v>-33155</v>
      </c>
      <c r="H24" s="7">
        <f>F24+G24</f>
        <v/>
      </c>
      <c r="I24" s="6" t="inlineStr">
        <is>
          <t>In service</t>
        </is>
      </c>
      <c r="J24" s="6" t="inlineStr">
        <is>
          <t>fixed-asset register / June GL tie-out</t>
        </is>
      </c>
    </row>
    <row r="25">
      <c r="A25" s="6" t="inlineStr">
        <is>
          <t>FA-1500-0019</t>
        </is>
      </c>
      <c r="B25" s="6" t="inlineStr">
        <is>
          <t>2020-02-07</t>
        </is>
      </c>
      <c r="C25" s="6" t="inlineStr">
        <is>
          <t>1500</t>
        </is>
      </c>
      <c r="D25" s="6" t="inlineStr">
        <is>
          <t>30</t>
        </is>
      </c>
      <c r="E25" s="6" t="inlineStr">
        <is>
          <t>Ram ProMaster service van; ARM-1500-20-019; Bend branch</t>
        </is>
      </c>
      <c r="F25" s="7" t="n">
        <v>71600</v>
      </c>
      <c r="G25" s="7" t="n">
        <v>-68020</v>
      </c>
      <c r="H25" s="7">
        <f>F25+G25</f>
        <v/>
      </c>
      <c r="I25" s="6" t="inlineStr">
        <is>
          <t>In service</t>
        </is>
      </c>
      <c r="J25" s="6" t="inlineStr">
        <is>
          <t>fixed-asset register / June GL tie-out</t>
        </is>
      </c>
    </row>
    <row r="26">
      <c r="A26" s="6" t="inlineStr">
        <is>
          <t>FA-1530-0071</t>
        </is>
      </c>
      <c r="B26" s="6" t="inlineStr">
        <is>
          <t>2020-02-23</t>
        </is>
      </c>
      <c r="C26" s="6" t="inlineStr">
        <is>
          <t>1530</t>
        </is>
      </c>
      <c r="D26" s="6" t="inlineStr">
        <is>
          <t>30</t>
        </is>
      </c>
      <c r="E26" s="6" t="inlineStr">
        <is>
          <t>Pipe spool positioner; ARM-1530-20-003; Portland fabrication shop</t>
        </is>
      </c>
      <c r="F26" s="7" t="n">
        <v>140100</v>
      </c>
      <c r="G26" s="7" t="n">
        <v>-128425</v>
      </c>
      <c r="H26" s="7">
        <f>F26+G26</f>
        <v/>
      </c>
      <c r="I26" s="6" t="inlineStr">
        <is>
          <t>In service</t>
        </is>
      </c>
      <c r="J26" s="6" t="inlineStr">
        <is>
          <t>fixed-asset register / June GL tie-out</t>
        </is>
      </c>
    </row>
    <row r="27">
      <c r="A27" s="6" t="inlineStr">
        <is>
          <t>FA-1510-0052</t>
        </is>
      </c>
      <c r="B27" s="6" t="inlineStr">
        <is>
          <t>2020-04-20</t>
        </is>
      </c>
      <c r="C27" s="6" t="inlineStr">
        <is>
          <t>1510</t>
        </is>
      </c>
      <c r="D27" s="6" t="inlineStr">
        <is>
          <t>30</t>
        </is>
      </c>
      <c r="E27" s="6" t="inlineStr">
        <is>
          <t>Miller welding package; ARM-1510-20-018; Portland / assigned field unit</t>
        </is>
      </c>
      <c r="F27" s="7" t="n">
        <v>43500</v>
      </c>
      <c r="G27" s="7" t="n">
        <v>-41325</v>
      </c>
      <c r="H27" s="7">
        <f>F27+G27</f>
        <v/>
      </c>
      <c r="I27" s="6" t="inlineStr">
        <is>
          <t>In service</t>
        </is>
      </c>
      <c r="J27" s="6" t="inlineStr">
        <is>
          <t>fixed-asset register / June GL tie-out</t>
        </is>
      </c>
    </row>
    <row r="28">
      <c r="A28" s="6" t="inlineStr">
        <is>
          <t>FA-1520-0068</t>
        </is>
      </c>
      <c r="B28" s="6" t="inlineStr">
        <is>
          <t>2020-04-24</t>
        </is>
      </c>
      <c r="C28" s="6" t="inlineStr">
        <is>
          <t>1520</t>
        </is>
      </c>
      <c r="D28" s="6" t="inlineStr">
        <is>
          <t>90</t>
        </is>
      </c>
      <c r="E28" s="6" t="inlineStr">
        <is>
          <t>BIM coordination workstation set; ARM-1520-20-014; Portland / assigned field unit</t>
        </is>
      </c>
      <c r="F28" s="7" t="n">
        <v>45700</v>
      </c>
      <c r="G28" s="7" t="n">
        <v>-43415</v>
      </c>
      <c r="H28" s="7">
        <f>F28+G28</f>
        <v/>
      </c>
      <c r="I28" s="6" t="inlineStr">
        <is>
          <t>In service</t>
        </is>
      </c>
      <c r="J28" s="6" t="inlineStr">
        <is>
          <t>fixed-asset register / June GL tie-out</t>
        </is>
      </c>
    </row>
    <row r="29">
      <c r="A29" s="6" t="inlineStr">
        <is>
          <t>FA-1540-0077</t>
        </is>
      </c>
      <c r="B29" s="6" t="inlineStr">
        <is>
          <t>2020-06-01</t>
        </is>
      </c>
      <c r="C29" s="6" t="inlineStr">
        <is>
          <t>1540</t>
        </is>
      </c>
      <c r="D29" s="6" t="inlineStr">
        <is>
          <t>90</t>
        </is>
      </c>
      <c r="E29" s="6" t="inlineStr">
        <is>
          <t>Portland office improvement; ARM-1540-20-001; Bend branch</t>
        </is>
      </c>
      <c r="F29" s="7" t="n">
        <v>91700</v>
      </c>
      <c r="G29" s="7" t="n">
        <v>-55784.17</v>
      </c>
      <c r="H29" s="7">
        <f>F29+G29</f>
        <v/>
      </c>
      <c r="I29" s="6" t="inlineStr">
        <is>
          <t>In service</t>
        </is>
      </c>
      <c r="J29" s="6" t="inlineStr">
        <is>
          <t>fixed-asset register / June GL tie-out</t>
        </is>
      </c>
    </row>
    <row r="30">
      <c r="A30" s="6" t="inlineStr">
        <is>
          <t>FA-1500-0012</t>
        </is>
      </c>
      <c r="B30" s="6" t="inlineStr">
        <is>
          <t>2020-06-02</t>
        </is>
      </c>
      <c r="C30" s="6" t="inlineStr">
        <is>
          <t>1500</t>
        </is>
      </c>
      <c r="D30" s="6" t="inlineStr">
        <is>
          <t>30</t>
        </is>
      </c>
      <c r="E30" s="6" t="inlineStr">
        <is>
          <t>Ford F-350 project truck; ARM-1500-20-012; Portland / assigned field unit</t>
        </is>
      </c>
      <c r="F30" s="7" t="n">
        <v>71600</v>
      </c>
      <c r="G30" s="7" t="n">
        <v>-68020</v>
      </c>
      <c r="H30" s="7">
        <f>F30+G30</f>
        <v/>
      </c>
      <c r="I30" s="6" t="inlineStr">
        <is>
          <t>In service</t>
        </is>
      </c>
      <c r="J30" s="6" t="inlineStr">
        <is>
          <t>fixed-asset register / June GL tie-out</t>
        </is>
      </c>
    </row>
    <row r="31">
      <c r="A31" s="6" t="inlineStr">
        <is>
          <t>FA-1500-0033</t>
        </is>
      </c>
      <c r="B31" s="6" t="inlineStr">
        <is>
          <t>2020-06-17</t>
        </is>
      </c>
      <c r="C31" s="6" t="inlineStr">
        <is>
          <t>1500</t>
        </is>
      </c>
      <c r="D31" s="6" t="inlineStr">
        <is>
          <t>30</t>
        </is>
      </c>
      <c r="E31" s="6" t="inlineStr">
        <is>
          <t>Ford Transit service van; ARM-1500-20-033; Portland / assigned field unit</t>
        </is>
      </c>
      <c r="F31" s="7" t="n">
        <v>71600</v>
      </c>
      <c r="G31" s="7" t="n">
        <v>-68020</v>
      </c>
      <c r="H31" s="7">
        <f>F31+G31</f>
        <v/>
      </c>
      <c r="I31" s="6" t="inlineStr">
        <is>
          <t>In service</t>
        </is>
      </c>
      <c r="J31" s="6" t="inlineStr">
        <is>
          <t>fixed-asset register / June GL tie-out</t>
        </is>
      </c>
    </row>
    <row r="32">
      <c r="A32" s="6" t="inlineStr">
        <is>
          <t>FA-1510-0045</t>
        </is>
      </c>
      <c r="B32" s="6" t="inlineStr">
        <is>
          <t>2020-08-15</t>
        </is>
      </c>
      <c r="C32" s="6" t="inlineStr">
        <is>
          <t>1510</t>
        </is>
      </c>
      <c r="D32" s="6" t="inlineStr">
        <is>
          <t>30</t>
        </is>
      </c>
      <c r="E32" s="6" t="inlineStr">
        <is>
          <t>Ridgid pipe machine; ARM-1510-20-011; Portland / assigned field unit</t>
        </is>
      </c>
      <c r="F32" s="7" t="n">
        <v>43500</v>
      </c>
      <c r="G32" s="7" t="n">
        <v>-41325</v>
      </c>
      <c r="H32" s="7">
        <f>F32+G32</f>
        <v/>
      </c>
      <c r="I32" s="6" t="inlineStr">
        <is>
          <t>In service</t>
        </is>
      </c>
      <c r="J32" s="6" t="inlineStr">
        <is>
          <t>fixed-asset register / June GL tie-out</t>
        </is>
      </c>
    </row>
    <row r="33">
      <c r="A33" s="6" t="inlineStr">
        <is>
          <t>FA-1520-0061</t>
        </is>
      </c>
      <c r="B33" s="6" t="inlineStr">
        <is>
          <t>2020-08-19</t>
        </is>
      </c>
      <c r="C33" s="6" t="inlineStr">
        <is>
          <t>1520</t>
        </is>
      </c>
      <c r="D33" s="6" t="inlineStr">
        <is>
          <t>90</t>
        </is>
      </c>
      <c r="E33" s="6" t="inlineStr">
        <is>
          <t>Field tablet deployment; ARM-1520-20-007; Portland / assigned field unit</t>
        </is>
      </c>
      <c r="F33" s="7" t="n">
        <v>45700</v>
      </c>
      <c r="G33" s="7" t="n">
        <v>-43415</v>
      </c>
      <c r="H33" s="7">
        <f>F33+G33</f>
        <v/>
      </c>
      <c r="I33" s="6" t="inlineStr">
        <is>
          <t>In service</t>
        </is>
      </c>
      <c r="J33" s="6" t="inlineStr">
        <is>
          <t>fixed-asset register / June GL tie-out</t>
        </is>
      </c>
    </row>
    <row r="34">
      <c r="A34" s="6" t="inlineStr">
        <is>
          <t>FA-1500-0026</t>
        </is>
      </c>
      <c r="B34" s="6" t="inlineStr">
        <is>
          <t>2020-10-12</t>
        </is>
      </c>
      <c r="C34" s="6" t="inlineStr">
        <is>
          <t>1500</t>
        </is>
      </c>
      <c r="D34" s="6" t="inlineStr">
        <is>
          <t>30</t>
        </is>
      </c>
      <c r="E34" s="6" t="inlineStr">
        <is>
          <t>Chevrolet Silverado field truck; ARM-1500-20-026; Portland / assigned field unit</t>
        </is>
      </c>
      <c r="F34" s="7" t="n">
        <v>71600</v>
      </c>
      <c r="G34" s="7" t="n">
        <v>-68020</v>
      </c>
      <c r="H34" s="7">
        <f>F34+G34</f>
        <v/>
      </c>
      <c r="I34" s="6" t="inlineStr">
        <is>
          <t>In service</t>
        </is>
      </c>
      <c r="J34" s="6" t="inlineStr">
        <is>
          <t>fixed-asset register / June GL tie-out</t>
        </is>
      </c>
    </row>
    <row r="35">
      <c r="A35" s="6" t="inlineStr">
        <is>
          <t>FA-1500-0005</t>
        </is>
      </c>
      <c r="B35" s="6" t="inlineStr">
        <is>
          <t>2020-10-21</t>
        </is>
      </c>
      <c r="C35" s="6" t="inlineStr">
        <is>
          <t>1500</t>
        </is>
      </c>
      <c r="D35" s="6" t="inlineStr">
        <is>
          <t>30</t>
        </is>
      </c>
      <c r="E35" s="6" t="inlineStr">
        <is>
          <t>Ford Transit service van; ARM-1500-20-005; Portland / assigned field unit</t>
        </is>
      </c>
      <c r="F35" s="7" t="n">
        <v>71600</v>
      </c>
      <c r="G35" s="7" t="n">
        <v>-68020</v>
      </c>
      <c r="H35" s="7">
        <f>F35+G35</f>
        <v/>
      </c>
      <c r="I35" s="6" t="inlineStr">
        <is>
          <t>In service</t>
        </is>
      </c>
      <c r="J35" s="6" t="inlineStr">
        <is>
          <t>fixed-asset register / June GL tie-out</t>
        </is>
      </c>
    </row>
    <row r="36">
      <c r="A36" s="6" t="inlineStr">
        <is>
          <t>FA-1510-0038</t>
        </is>
      </c>
      <c r="B36" s="6" t="inlineStr">
        <is>
          <t>2020-12-10</t>
        </is>
      </c>
      <c r="C36" s="6" t="inlineStr">
        <is>
          <t>1510</t>
        </is>
      </c>
      <c r="D36" s="6" t="inlineStr">
        <is>
          <t>30</t>
        </is>
      </c>
      <c r="E36" s="6" t="inlineStr">
        <is>
          <t>Field testing instrument set; ARM-1510-20-004; Portland / assigned field unit</t>
        </is>
      </c>
      <c r="F36" s="7" t="n">
        <v>43500</v>
      </c>
      <c r="G36" s="7" t="n">
        <v>-41325</v>
      </c>
      <c r="H36" s="7">
        <f>F36+G36</f>
        <v/>
      </c>
      <c r="I36" s="6" t="inlineStr">
        <is>
          <t>In service</t>
        </is>
      </c>
      <c r="J36" s="6" t="inlineStr">
        <is>
          <t>fixed-asset register / June GL tie-out</t>
        </is>
      </c>
    </row>
    <row r="37">
      <c r="A37" s="6" t="inlineStr">
        <is>
          <t>FA-1510-0040</t>
        </is>
      </c>
      <c r="B37" s="6" t="inlineStr">
        <is>
          <t>2021-04-08</t>
        </is>
      </c>
      <c r="C37" s="6" t="inlineStr">
        <is>
          <t>1510</t>
        </is>
      </c>
      <c r="D37" s="6" t="inlineStr">
        <is>
          <t>30</t>
        </is>
      </c>
      <c r="E37" s="6" t="inlineStr">
        <is>
          <t>Miller welding package; ARM-1510-21-006; Portland / assigned field unit</t>
        </is>
      </c>
      <c r="F37" s="7" t="n">
        <v>52400</v>
      </c>
      <c r="G37" s="7" t="n">
        <v>-49780</v>
      </c>
      <c r="H37" s="7">
        <f>F37+G37</f>
        <v/>
      </c>
      <c r="I37" s="6" t="inlineStr">
        <is>
          <t>In service</t>
        </is>
      </c>
      <c r="J37" s="6" t="inlineStr">
        <is>
          <t>fixed-asset register / June GL tie-out</t>
        </is>
      </c>
    </row>
    <row r="38">
      <c r="A38" s="6" t="inlineStr">
        <is>
          <t>FA-1530-0073</t>
        </is>
      </c>
      <c r="B38" s="6" t="inlineStr">
        <is>
          <t>2021-06-21</t>
        </is>
      </c>
      <c r="C38" s="6" t="inlineStr">
        <is>
          <t>1530</t>
        </is>
      </c>
      <c r="D38" s="6" t="inlineStr">
        <is>
          <t>30</t>
        </is>
      </c>
      <c r="E38" s="6" t="inlineStr">
        <is>
          <t>Sheet metal fabrication brake; ARM-1530-21-005; Portland fabrication shop</t>
        </is>
      </c>
      <c r="F38" s="7" t="n">
        <v>171500</v>
      </c>
      <c r="G38" s="7" t="n">
        <v>-124541.67</v>
      </c>
      <c r="H38" s="7">
        <f>F38+G38</f>
        <v/>
      </c>
      <c r="I38" s="6" t="inlineStr">
        <is>
          <t>In service</t>
        </is>
      </c>
      <c r="J38" s="6" t="inlineStr">
        <is>
          <t>fixed-asset register / June GL tie-out</t>
        </is>
      </c>
    </row>
    <row r="39">
      <c r="A39" s="6" t="inlineStr">
        <is>
          <t>FA-1510-0054</t>
        </is>
      </c>
      <c r="B39" s="6" t="inlineStr">
        <is>
          <t>2021-08-18</t>
        </is>
      </c>
      <c r="C39" s="6" t="inlineStr">
        <is>
          <t>1510</t>
        </is>
      </c>
      <c r="D39" s="6" t="inlineStr">
        <is>
          <t>30</t>
        </is>
      </c>
      <c r="E39" s="6" t="inlineStr">
        <is>
          <t>Field testing instrument set; ARM-1510-21-020; Portland / assigned field unit</t>
        </is>
      </c>
      <c r="F39" s="7" t="n">
        <v>52400</v>
      </c>
      <c r="G39" s="7" t="n">
        <v>-49780</v>
      </c>
      <c r="H39" s="7">
        <f>F39+G39</f>
        <v/>
      </c>
      <c r="I39" s="6" t="inlineStr">
        <is>
          <t>In service</t>
        </is>
      </c>
      <c r="J39" s="6" t="inlineStr">
        <is>
          <t>fixed-asset register / June GL tie-out</t>
        </is>
      </c>
    </row>
    <row r="40">
      <c r="A40" s="6" t="inlineStr">
        <is>
          <t>FA-1540-0079</t>
        </is>
      </c>
      <c r="B40" s="6" t="inlineStr">
        <is>
          <t>2021-10-23</t>
        </is>
      </c>
      <c r="C40" s="6" t="inlineStr">
        <is>
          <t>1540</t>
        </is>
      </c>
      <c r="D40" s="6" t="inlineStr">
        <is>
          <t>90</t>
        </is>
      </c>
      <c r="E40" s="6" t="inlineStr">
        <is>
          <t>Warehouse electrical improvement; ARM-1540-21-003; Portland / assigned field unit</t>
        </is>
      </c>
      <c r="F40" s="7" t="n">
        <v>116700</v>
      </c>
      <c r="G40" s="7" t="n">
        <v>-55432.5</v>
      </c>
      <c r="H40" s="7">
        <f>F40+G40</f>
        <v/>
      </c>
      <c r="I40" s="6" t="inlineStr">
        <is>
          <t>In service</t>
        </is>
      </c>
      <c r="J40" s="6" t="inlineStr">
        <is>
          <t>fixed-asset register / June GL tie-out</t>
        </is>
      </c>
    </row>
    <row r="41">
      <c r="A41" s="6" t="inlineStr">
        <is>
          <t>FA-1510-0047</t>
        </is>
      </c>
      <c r="B41" s="6" t="inlineStr">
        <is>
          <t>2021-12-13</t>
        </is>
      </c>
      <c r="C41" s="6" t="inlineStr">
        <is>
          <t>1510</t>
        </is>
      </c>
      <c r="D41" s="6" t="inlineStr">
        <is>
          <t>30</t>
        </is>
      </c>
      <c r="E41" s="6" t="inlineStr">
        <is>
          <t>Victaulic grooving set; ARM-1510-21-013; Portland / assigned field unit</t>
        </is>
      </c>
      <c r="F41" s="7" t="n">
        <v>52400</v>
      </c>
      <c r="G41" s="7" t="n">
        <v>-48033.15</v>
      </c>
      <c r="H41" s="7">
        <f>F41+G41</f>
        <v/>
      </c>
      <c r="I41" s="6" t="inlineStr">
        <is>
          <t>In service</t>
        </is>
      </c>
      <c r="J41" s="6" t="inlineStr">
        <is>
          <t>fixed-asset register / June GL tie-out</t>
        </is>
      </c>
    </row>
    <row r="42">
      <c r="A42" s="6" t="inlineStr">
        <is>
          <t>FA-1500-0028</t>
        </is>
      </c>
      <c r="B42" s="6" t="inlineStr">
        <is>
          <t>2022-02-10</t>
        </is>
      </c>
      <c r="C42" s="6" t="inlineStr">
        <is>
          <t>1500</t>
        </is>
      </c>
      <c r="D42" s="6" t="inlineStr">
        <is>
          <t>30</t>
        </is>
      </c>
      <c r="E42" s="6" t="inlineStr">
        <is>
          <t>Ford F-350 project truck; ARM-1500-22-028; Bend branch</t>
        </is>
      </c>
      <c r="F42" s="7" t="n">
        <v>87300</v>
      </c>
      <c r="G42" s="7" t="n">
        <v>-77115</v>
      </c>
      <c r="H42" s="7">
        <f>F42+G42</f>
        <v/>
      </c>
      <c r="I42" s="6" t="inlineStr">
        <is>
          <t>In service</t>
        </is>
      </c>
      <c r="J42" s="6" t="inlineStr">
        <is>
          <t>fixed-asset register / June GL tie-out</t>
        </is>
      </c>
    </row>
    <row r="43">
      <c r="A43" s="6" t="inlineStr">
        <is>
          <t>FA-1500-0007</t>
        </is>
      </c>
      <c r="B43" s="6" t="inlineStr">
        <is>
          <t>2022-02-19</t>
        </is>
      </c>
      <c r="C43" s="6" t="inlineStr">
        <is>
          <t>1500</t>
        </is>
      </c>
      <c r="D43" s="6" t="inlineStr">
        <is>
          <t>30</t>
        </is>
      </c>
      <c r="E43" s="6" t="inlineStr">
        <is>
          <t>Ram ProMaster service van; ARM-1500-22-007; Portland / assigned field unit</t>
        </is>
      </c>
      <c r="F43" s="7" t="n">
        <v>87300</v>
      </c>
      <c r="G43" s="7" t="n">
        <v>-77115</v>
      </c>
      <c r="H43" s="7">
        <f>F43+G43</f>
        <v/>
      </c>
      <c r="I43" s="6" t="inlineStr">
        <is>
          <t>In service</t>
        </is>
      </c>
      <c r="J43" s="6" t="inlineStr">
        <is>
          <t>fixed-asset register / June GL tie-out</t>
        </is>
      </c>
    </row>
    <row r="44">
      <c r="A44" s="6" t="inlineStr">
        <is>
          <t>FA-1540-0081</t>
        </is>
      </c>
      <c r="B44" s="6" t="inlineStr">
        <is>
          <t>2022-02-21</t>
        </is>
      </c>
      <c r="C44" s="6" t="inlineStr">
        <is>
          <t>1540</t>
        </is>
      </c>
      <c r="D44" s="6" t="inlineStr">
        <is>
          <t>90</t>
        </is>
      </c>
      <c r="E44" s="6" t="inlineStr">
        <is>
          <t>Bend branch build-out; ARM-1540-22-005; Portland / assigned field unit</t>
        </is>
      </c>
      <c r="F44" s="7" t="n">
        <v>142800</v>
      </c>
      <c r="G44" s="7" t="n">
        <v>-63070</v>
      </c>
      <c r="H44" s="7">
        <f>F44+G44</f>
        <v/>
      </c>
      <c r="I44" s="6" t="inlineStr">
        <is>
          <t>In service</t>
        </is>
      </c>
      <c r="J44" s="6" t="inlineStr">
        <is>
          <t>fixed-asset register / June GL tie-out</t>
        </is>
      </c>
    </row>
    <row r="45">
      <c r="A45" s="6" t="inlineStr">
        <is>
          <t>FA-1520-0056</t>
        </is>
      </c>
      <c r="B45" s="6" t="inlineStr">
        <is>
          <t>2022-04-12</t>
        </is>
      </c>
      <c r="C45" s="6" t="inlineStr">
        <is>
          <t>1520</t>
        </is>
      </c>
      <c r="D45" s="6" t="inlineStr">
        <is>
          <t>90</t>
        </is>
      </c>
      <c r="E45" s="6" t="inlineStr">
        <is>
          <t>BIM coordination workstation set; ARM-1520-22-002; Portland / assigned field unit</t>
        </is>
      </c>
      <c r="F45" s="7" t="n">
        <v>31000</v>
      </c>
      <c r="G45" s="7" t="n">
        <v>-29450</v>
      </c>
      <c r="H45" s="7">
        <f>F45+G45</f>
        <v/>
      </c>
      <c r="I45" s="6" t="inlineStr">
        <is>
          <t>In service</t>
        </is>
      </c>
      <c r="J45" s="6" t="inlineStr">
        <is>
          <t>fixed-asset register / June GL tie-out</t>
        </is>
      </c>
    </row>
    <row r="46">
      <c r="A46" s="6" t="inlineStr">
        <is>
          <t>FA-1500-0021</t>
        </is>
      </c>
      <c r="B46" s="6" t="inlineStr">
        <is>
          <t>2022-06-05</t>
        </is>
      </c>
      <c r="C46" s="6" t="inlineStr">
        <is>
          <t>1500</t>
        </is>
      </c>
      <c r="D46" s="6" t="inlineStr">
        <is>
          <t>30</t>
        </is>
      </c>
      <c r="E46" s="6" t="inlineStr">
        <is>
          <t>Ford Transit service van; ARM-1500-22-021; Portland / assigned field unit</t>
        </is>
      </c>
      <c r="F46" s="7" t="n">
        <v>87300</v>
      </c>
      <c r="G46" s="7" t="n">
        <v>-71295</v>
      </c>
      <c r="H46" s="7">
        <f>F46+G46</f>
        <v/>
      </c>
      <c r="I46" s="6" t="inlineStr">
        <is>
          <t>In service</t>
        </is>
      </c>
      <c r="J46" s="6" t="inlineStr">
        <is>
          <t>fixed-asset register / June GL tie-out</t>
        </is>
      </c>
    </row>
    <row r="47">
      <c r="A47" s="6" t="inlineStr">
        <is>
          <t>FA-1530-0075</t>
        </is>
      </c>
      <c r="B47" s="6" t="inlineStr">
        <is>
          <t>2022-10-19</t>
        </is>
      </c>
      <c r="C47" s="6" t="inlineStr">
        <is>
          <t>1530</t>
        </is>
      </c>
      <c r="D47" s="6" t="inlineStr">
        <is>
          <t>30</t>
        </is>
      </c>
      <c r="E47" s="6" t="inlineStr">
        <is>
          <t>Pipe spool positioner; ARM-1530-22-007; Portland fabrication shop</t>
        </is>
      </c>
      <c r="F47" s="7" t="n">
        <v>204200</v>
      </c>
      <c r="G47" s="7" t="n">
        <v>-109392.75</v>
      </c>
      <c r="H47" s="7">
        <f>F47+G47</f>
        <v/>
      </c>
      <c r="I47" s="6" t="inlineStr">
        <is>
          <t>In service</t>
        </is>
      </c>
      <c r="J47" s="6" t="inlineStr">
        <is>
          <t>fixed-asset register / June GL tie-out</t>
        </is>
      </c>
    </row>
    <row r="48">
      <c r="A48" s="6" t="inlineStr">
        <is>
          <t>FA-1500-0014</t>
        </is>
      </c>
      <c r="B48" s="6" t="inlineStr">
        <is>
          <t>2022-10-24</t>
        </is>
      </c>
      <c r="C48" s="6" t="inlineStr">
        <is>
          <t>1500</t>
        </is>
      </c>
      <c r="D48" s="6" t="inlineStr">
        <is>
          <t>30</t>
        </is>
      </c>
      <c r="E48" s="6" t="inlineStr">
        <is>
          <t>Chevrolet Silverado field truck; ARM-1500-22-014; Portland / assigned field unit</t>
        </is>
      </c>
      <c r="F48" s="7" t="n">
        <v>87300</v>
      </c>
      <c r="G48" s="7" t="n">
        <v>-65475</v>
      </c>
      <c r="H48" s="7">
        <f>F48+G48</f>
        <v/>
      </c>
      <c r="I48" s="6" t="inlineStr">
        <is>
          <t>In service</t>
        </is>
      </c>
      <c r="J48" s="6" t="inlineStr">
        <is>
          <t>fixed-asset register / June GL tie-out</t>
        </is>
      </c>
    </row>
    <row r="49">
      <c r="A49" s="6" t="inlineStr">
        <is>
          <t>FA-1520-0063</t>
        </is>
      </c>
      <c r="B49" s="6" t="inlineStr">
        <is>
          <t>2022-12-17</t>
        </is>
      </c>
      <c r="C49" s="6" t="inlineStr">
        <is>
          <t>1520</t>
        </is>
      </c>
      <c r="D49" s="6" t="inlineStr">
        <is>
          <t>90</t>
        </is>
      </c>
      <c r="E49" s="6" t="inlineStr">
        <is>
          <t>Controls commissioning bench; ARM-1520-22-009; Portland / assigned field unit</t>
        </is>
      </c>
      <c r="F49" s="7" t="n">
        <v>31000</v>
      </c>
      <c r="G49" s="7" t="n">
        <v>-27770.69</v>
      </c>
      <c r="H49" s="7">
        <f>F49+G49</f>
        <v/>
      </c>
      <c r="I49" s="6" t="inlineStr">
        <is>
          <t>In service</t>
        </is>
      </c>
      <c r="J49" s="6" t="inlineStr">
        <is>
          <t>fixed-asset register / June GL tie-out</t>
        </is>
      </c>
    </row>
    <row r="50">
      <c r="A50" s="6" t="inlineStr">
        <is>
          <t>FA-1500-0016</t>
        </is>
      </c>
      <c r="B50" s="6" t="inlineStr">
        <is>
          <t>2023-02-22</t>
        </is>
      </c>
      <c r="C50" s="6" t="inlineStr">
        <is>
          <t>1500</t>
        </is>
      </c>
      <c r="D50" s="6" t="inlineStr">
        <is>
          <t>30</t>
        </is>
      </c>
      <c r="E50" s="6" t="inlineStr">
        <is>
          <t>Ford F-350 project truck; ARM-1500-23-016; Portland / assigned field unit</t>
        </is>
      </c>
      <c r="F50" s="7" t="n">
        <v>57900</v>
      </c>
      <c r="G50" s="7" t="n">
        <v>-39565</v>
      </c>
      <c r="H50" s="7">
        <f>F50+G50</f>
        <v/>
      </c>
      <c r="I50" s="6" t="inlineStr">
        <is>
          <t>In service</t>
        </is>
      </c>
      <c r="J50" s="6" t="inlineStr">
        <is>
          <t>fixed-asset register / June GL tie-out</t>
        </is>
      </c>
    </row>
    <row r="51">
      <c r="A51" s="6" t="inlineStr">
        <is>
          <t>FA-1510-0049</t>
        </is>
      </c>
      <c r="B51" s="6" t="inlineStr">
        <is>
          <t>2023-04-11</t>
        </is>
      </c>
      <c r="C51" s="6" t="inlineStr">
        <is>
          <t>1510</t>
        </is>
      </c>
      <c r="D51" s="6" t="inlineStr">
        <is>
          <t>30</t>
        </is>
      </c>
      <c r="E51" s="6" t="inlineStr">
        <is>
          <t>Ridgid pipe machine; ARM-1510-23-015; Portland / assigned field unit</t>
        </is>
      </c>
      <c r="F51" s="7" t="n">
        <v>34100</v>
      </c>
      <c r="G51" s="7" t="n">
        <v>-22164.87</v>
      </c>
      <c r="H51" s="7">
        <f>F51+G51</f>
        <v/>
      </c>
      <c r="I51" s="6" t="inlineStr">
        <is>
          <t>In service</t>
        </is>
      </c>
      <c r="J51" s="6" t="inlineStr">
        <is>
          <t>fixed-asset register / June GL tie-out</t>
        </is>
      </c>
    </row>
    <row r="52">
      <c r="A52" s="6" t="inlineStr">
        <is>
          <t>FA-1520-0065</t>
        </is>
      </c>
      <c r="B52" s="6" t="inlineStr">
        <is>
          <t>2023-04-15</t>
        </is>
      </c>
      <c r="C52" s="6" t="inlineStr">
        <is>
          <t>1520</t>
        </is>
      </c>
      <c r="D52" s="6" t="inlineStr">
        <is>
          <t>90</t>
        </is>
      </c>
      <c r="E52" s="6" t="inlineStr">
        <is>
          <t>Field tablet deployment; ARM-1520-23-011; Portland / assigned field unit</t>
        </is>
      </c>
      <c r="F52" s="7" t="n">
        <v>38600</v>
      </c>
      <c r="G52" s="7" t="n">
        <v>-31362.5</v>
      </c>
      <c r="H52" s="7">
        <f>F52+G52</f>
        <v/>
      </c>
      <c r="I52" s="6" t="inlineStr">
        <is>
          <t>In service</t>
        </is>
      </c>
      <c r="J52" s="6" t="inlineStr">
        <is>
          <t>fixed-asset register / June GL tie-out</t>
        </is>
      </c>
    </row>
    <row r="53">
      <c r="A53" s="6" t="inlineStr">
        <is>
          <t>FA-1500-0030</t>
        </is>
      </c>
      <c r="B53" s="6" t="inlineStr">
        <is>
          <t>2023-06-08</t>
        </is>
      </c>
      <c r="C53" s="6" t="inlineStr">
        <is>
          <t>1500</t>
        </is>
      </c>
      <c r="D53" s="6" t="inlineStr">
        <is>
          <t>30</t>
        </is>
      </c>
      <c r="E53" s="6" t="inlineStr">
        <is>
          <t>Chevrolet Silverado field truck; ARM-1500-23-030; Portland / assigned field unit</t>
        </is>
      </c>
      <c r="F53" s="7" t="n">
        <v>57900</v>
      </c>
      <c r="G53" s="7" t="n">
        <v>-35705</v>
      </c>
      <c r="H53" s="7">
        <f>F53+G53</f>
        <v/>
      </c>
      <c r="I53" s="6" t="inlineStr">
        <is>
          <t>In service</t>
        </is>
      </c>
      <c r="J53" s="6" t="inlineStr">
        <is>
          <t>fixed-asset register / June GL tie-out</t>
        </is>
      </c>
    </row>
    <row r="54">
      <c r="A54" s="6" t="inlineStr">
        <is>
          <t>FA-1500-0009</t>
        </is>
      </c>
      <c r="B54" s="6" t="inlineStr">
        <is>
          <t>2023-06-17</t>
        </is>
      </c>
      <c r="C54" s="6" t="inlineStr">
        <is>
          <t>1500</t>
        </is>
      </c>
      <c r="D54" s="6" t="inlineStr">
        <is>
          <t>30</t>
        </is>
      </c>
      <c r="E54" s="6" t="inlineStr">
        <is>
          <t>Ford Transit service van; ARM-1500-23-009; Portland / assigned field unit</t>
        </is>
      </c>
      <c r="F54" s="7" t="n">
        <v>57900</v>
      </c>
      <c r="G54" s="7" t="n">
        <v>-35705</v>
      </c>
      <c r="H54" s="7">
        <f>F54+G54</f>
        <v/>
      </c>
      <c r="I54" s="6" t="inlineStr">
        <is>
          <t>In service</t>
        </is>
      </c>
      <c r="J54" s="6" t="inlineStr">
        <is>
          <t>fixed-asset register / June GL tie-out</t>
        </is>
      </c>
    </row>
    <row r="55">
      <c r="A55" s="6" t="inlineStr">
        <is>
          <t>FA-1510-0042</t>
        </is>
      </c>
      <c r="B55" s="6" t="inlineStr">
        <is>
          <t>2023-08-06</t>
        </is>
      </c>
      <c r="C55" s="6" t="inlineStr">
        <is>
          <t>1510</t>
        </is>
      </c>
      <c r="D55" s="6" t="inlineStr">
        <is>
          <t>30</t>
        </is>
      </c>
      <c r="E55" s="6" t="inlineStr">
        <is>
          <t>Field testing instrument set; ARM-1510-23-008; Portland / assigned field unit</t>
        </is>
      </c>
      <c r="F55" s="7" t="n">
        <v>34100</v>
      </c>
      <c r="G55" s="7" t="n">
        <v>-19891.55</v>
      </c>
      <c r="H55" s="7">
        <f>F55+G55</f>
        <v/>
      </c>
      <c r="I55" s="6" t="inlineStr">
        <is>
          <t>In service</t>
        </is>
      </c>
      <c r="J55" s="6" t="inlineStr">
        <is>
          <t>fixed-asset register / June GL tie-out</t>
        </is>
      </c>
    </row>
    <row r="56">
      <c r="A56" s="6" t="inlineStr">
        <is>
          <t>FA-1520-0058</t>
        </is>
      </c>
      <c r="B56" s="6" t="inlineStr">
        <is>
          <t>2023-08-10</t>
        </is>
      </c>
      <c r="C56" s="6" t="inlineStr">
        <is>
          <t>1520</t>
        </is>
      </c>
      <c r="D56" s="6" t="inlineStr">
        <is>
          <t>90</t>
        </is>
      </c>
      <c r="E56" s="6" t="inlineStr">
        <is>
          <t>Network testing kit; ARM-1520-23-004; Portland / assigned field unit</t>
        </is>
      </c>
      <c r="F56" s="7" t="n">
        <v>38600</v>
      </c>
      <c r="G56" s="7" t="n">
        <v>-28145.83</v>
      </c>
      <c r="H56" s="7">
        <f>F56+G56</f>
        <v/>
      </c>
      <c r="I56" s="6" t="inlineStr">
        <is>
          <t>In service</t>
        </is>
      </c>
      <c r="J56" s="6" t="inlineStr">
        <is>
          <t>fixed-asset register / June GL tie-out</t>
        </is>
      </c>
    </row>
    <row r="57">
      <c r="A57" s="6" t="inlineStr">
        <is>
          <t>FA-1500-0023</t>
        </is>
      </c>
      <c r="B57" s="6" t="inlineStr">
        <is>
          <t>2023-10-03</t>
        </is>
      </c>
      <c r="C57" s="6" t="inlineStr">
        <is>
          <t>1500</t>
        </is>
      </c>
      <c r="D57" s="6" t="inlineStr">
        <is>
          <t>30</t>
        </is>
      </c>
      <c r="E57" s="6" t="inlineStr">
        <is>
          <t>Ram ProMaster service van; ARM-1500-23-023; Portland / assigned field unit</t>
        </is>
      </c>
      <c r="F57" s="7" t="n">
        <v>57900</v>
      </c>
      <c r="G57" s="7" t="n">
        <v>-31845</v>
      </c>
      <c r="H57" s="7">
        <f>F57+G57</f>
        <v/>
      </c>
      <c r="I57" s="6" t="inlineStr">
        <is>
          <t>In service</t>
        </is>
      </c>
      <c r="J57" s="6" t="inlineStr">
        <is>
          <t>fixed-asset register / June GL tie-out</t>
        </is>
      </c>
    </row>
    <row r="58">
      <c r="A58" s="6" t="inlineStr">
        <is>
          <t>FA-1500-0002</t>
        </is>
      </c>
      <c r="B58" s="6" t="inlineStr">
        <is>
          <t>2023-10-12</t>
        </is>
      </c>
      <c r="C58" s="6" t="inlineStr">
        <is>
          <t>1500</t>
        </is>
      </c>
      <c r="D58" s="6" t="inlineStr">
        <is>
          <t>30</t>
        </is>
      </c>
      <c r="E58" s="6" t="inlineStr">
        <is>
          <t>Chevrolet Silverado field truck; ARM-1500-23-002; Portland / assigned field unit</t>
        </is>
      </c>
      <c r="F58" s="7" t="n">
        <v>57900</v>
      </c>
      <c r="G58" s="7" t="n">
        <v>-31845</v>
      </c>
      <c r="H58" s="7">
        <f>F58+G58</f>
        <v/>
      </c>
      <c r="I58" s="6" t="inlineStr">
        <is>
          <t>In service</t>
        </is>
      </c>
      <c r="J58" s="6" t="inlineStr">
        <is>
          <t>fixed-asset register / June GL tie-out</t>
        </is>
      </c>
    </row>
    <row r="59">
      <c r="A59" s="6" t="inlineStr">
        <is>
          <t>FA-1510-0035</t>
        </is>
      </c>
      <c r="B59" s="6" t="inlineStr">
        <is>
          <t>2023-12-01</t>
        </is>
      </c>
      <c r="C59" s="6" t="inlineStr">
        <is>
          <t>1510</t>
        </is>
      </c>
      <c r="D59" s="6" t="inlineStr">
        <is>
          <t>30</t>
        </is>
      </c>
      <c r="E59" s="6" t="inlineStr">
        <is>
          <t>Victaulic grooving set; ARM-1510-23-001; Bend branch</t>
        </is>
      </c>
      <c r="F59" s="7" t="n">
        <v>34100</v>
      </c>
      <c r="G59" s="7" t="n">
        <v>-17618.23</v>
      </c>
      <c r="H59" s="7">
        <f>F59+G59</f>
        <v/>
      </c>
      <c r="I59" s="6" t="inlineStr">
        <is>
          <t>In service</t>
        </is>
      </c>
      <c r="J59" s="6" t="inlineStr">
        <is>
          <t>fixed-asset register / June GL tie-out</t>
        </is>
      </c>
    </row>
    <row r="60">
      <c r="A60" s="6" t="inlineStr">
        <is>
          <t>FA-1500-0025</t>
        </is>
      </c>
      <c r="B60" s="6" t="inlineStr">
        <is>
          <t>2024-02-01</t>
        </is>
      </c>
      <c r="C60" s="6" t="inlineStr">
        <is>
          <t>1500</t>
        </is>
      </c>
      <c r="D60" s="6" t="inlineStr">
        <is>
          <t>30</t>
        </is>
      </c>
      <c r="E60" s="6" t="inlineStr">
        <is>
          <t>Ford Transit service van; ARM-1500-24-025; Portland / assigned field unit</t>
        </is>
      </c>
      <c r="F60" s="7" t="n">
        <v>72000</v>
      </c>
      <c r="G60" s="7" t="n">
        <v>-34800</v>
      </c>
      <c r="H60" s="7">
        <f>F60+G60</f>
        <v/>
      </c>
      <c r="I60" s="6" t="inlineStr">
        <is>
          <t>In service</t>
        </is>
      </c>
      <c r="J60" s="6" t="inlineStr">
        <is>
          <t>fixed-asset register / June GL tie-out</t>
        </is>
      </c>
    </row>
    <row r="61">
      <c r="A61" s="6" t="inlineStr">
        <is>
          <t>FA-1500-0004</t>
        </is>
      </c>
      <c r="B61" s="6" t="inlineStr">
        <is>
          <t>2024-02-10</t>
        </is>
      </c>
      <c r="C61" s="6" t="inlineStr">
        <is>
          <t>1500</t>
        </is>
      </c>
      <c r="D61" s="6" t="inlineStr">
        <is>
          <t>30</t>
        </is>
      </c>
      <c r="E61" s="6" t="inlineStr">
        <is>
          <t>Ford F-350 project truck; ARM-1500-24-004; Portland / assigned field unit</t>
        </is>
      </c>
      <c r="F61" s="7" t="n">
        <v>72000</v>
      </c>
      <c r="G61" s="7" t="n">
        <v>-34800</v>
      </c>
      <c r="H61" s="7">
        <f>F61+G61</f>
        <v/>
      </c>
      <c r="I61" s="6" t="inlineStr">
        <is>
          <t>In service</t>
        </is>
      </c>
      <c r="J61" s="6" t="inlineStr">
        <is>
          <t>fixed-asset register / June GL tie-out</t>
        </is>
      </c>
    </row>
    <row r="62">
      <c r="A62" s="6" t="inlineStr">
        <is>
          <t>FA-1510-0037</t>
        </is>
      </c>
      <c r="B62" s="6" t="inlineStr">
        <is>
          <t>2024-04-23</t>
        </is>
      </c>
      <c r="C62" s="6" t="inlineStr">
        <is>
          <t>1510</t>
        </is>
      </c>
      <c r="D62" s="6" t="inlineStr">
        <is>
          <t>30</t>
        </is>
      </c>
      <c r="E62" s="6" t="inlineStr">
        <is>
          <t>Ridgid pipe machine; ARM-1510-24-003; Portland / assigned field unit</t>
        </is>
      </c>
      <c r="F62" s="7" t="n">
        <v>43400</v>
      </c>
      <c r="G62" s="7" t="n">
        <v>-19529.91</v>
      </c>
      <c r="H62" s="7">
        <f>F62+G62</f>
        <v/>
      </c>
      <c r="I62" s="6" t="inlineStr">
        <is>
          <t>In service</t>
        </is>
      </c>
      <c r="J62" s="6" t="inlineStr">
        <is>
          <t>fixed-asset register / June GL tie-out</t>
        </is>
      </c>
    </row>
    <row r="63">
      <c r="A63" s="6" t="inlineStr">
        <is>
          <t>FA-1530-0070</t>
        </is>
      </c>
      <c r="B63" s="6" t="inlineStr">
        <is>
          <t>2024-06-12</t>
        </is>
      </c>
      <c r="C63" s="6" t="inlineStr">
        <is>
          <t>1530</t>
        </is>
      </c>
      <c r="D63" s="6" t="inlineStr">
        <is>
          <t>30</t>
        </is>
      </c>
      <c r="E63" s="6" t="inlineStr">
        <is>
          <t>Plasma cutting table; ARM-1530-24-002; Portland fabrication shop</t>
        </is>
      </c>
      <c r="F63" s="7" t="n">
        <v>138400</v>
      </c>
      <c r="G63" s="7" t="n">
        <v>-41190.48</v>
      </c>
      <c r="H63" s="7">
        <f>F63+G63</f>
        <v/>
      </c>
      <c r="I63" s="6" t="inlineStr">
        <is>
          <t>In service</t>
        </is>
      </c>
      <c r="J63" s="6" t="inlineStr">
        <is>
          <t>fixed-asset register / June GL tie-out</t>
        </is>
      </c>
    </row>
    <row r="64">
      <c r="A64" s="6" t="inlineStr">
        <is>
          <t>FA-1500-0018</t>
        </is>
      </c>
      <c r="B64" s="6" t="inlineStr">
        <is>
          <t>2024-06-20</t>
        </is>
      </c>
      <c r="C64" s="6" t="inlineStr">
        <is>
          <t>1500</t>
        </is>
      </c>
      <c r="D64" s="6" t="inlineStr">
        <is>
          <t>30</t>
        </is>
      </c>
      <c r="E64" s="6" t="inlineStr">
        <is>
          <t>Chevrolet Silverado field truck; ARM-1500-24-018; Portland / assigned field unit</t>
        </is>
      </c>
      <c r="F64" s="7" t="n">
        <v>72000</v>
      </c>
      <c r="G64" s="7" t="n">
        <v>-30000</v>
      </c>
      <c r="H64" s="7">
        <f>F64+G64</f>
        <v/>
      </c>
      <c r="I64" s="6" t="inlineStr">
        <is>
          <t>In service</t>
        </is>
      </c>
      <c r="J64" s="6" t="inlineStr">
        <is>
          <t>fixed-asset register / June GL tie-out</t>
        </is>
      </c>
    </row>
    <row r="65">
      <c r="A65" s="6" t="inlineStr">
        <is>
          <t>FA-1510-0051</t>
        </is>
      </c>
      <c r="B65" s="6" t="inlineStr">
        <is>
          <t>2024-08-09</t>
        </is>
      </c>
      <c r="C65" s="6" t="inlineStr">
        <is>
          <t>1510</t>
        </is>
      </c>
      <c r="D65" s="6" t="inlineStr">
        <is>
          <t>30</t>
        </is>
      </c>
      <c r="E65" s="6" t="inlineStr">
        <is>
          <t>Victaulic grooving set; ARM-1510-24-017; Portland / assigned field unit</t>
        </is>
      </c>
      <c r="F65" s="7" t="n">
        <v>43400</v>
      </c>
      <c r="G65" s="7" t="n">
        <v>-16636.59</v>
      </c>
      <c r="H65" s="7">
        <f>F65+G65</f>
        <v/>
      </c>
      <c r="I65" s="6" t="inlineStr">
        <is>
          <t>In service</t>
        </is>
      </c>
      <c r="J65" s="6" t="inlineStr">
        <is>
          <t>fixed-asset register / June GL tie-out</t>
        </is>
      </c>
    </row>
    <row r="66">
      <c r="A66" s="6" t="inlineStr">
        <is>
          <t>FA-1520-0067</t>
        </is>
      </c>
      <c r="B66" s="6" t="inlineStr">
        <is>
          <t>2024-08-13</t>
        </is>
      </c>
      <c r="C66" s="6" t="inlineStr">
        <is>
          <t>1520</t>
        </is>
      </c>
      <c r="D66" s="6" t="inlineStr">
        <is>
          <t>90</t>
        </is>
      </c>
      <c r="E66" s="6" t="inlineStr">
        <is>
          <t>Controls commissioning bench; ARM-1520-24-013; Portland / assigned field unit</t>
        </is>
      </c>
      <c r="F66" s="7" t="n">
        <v>46500</v>
      </c>
      <c r="G66" s="7" t="n">
        <v>-22281.25</v>
      </c>
      <c r="H66" s="7">
        <f>F66+G66</f>
        <v/>
      </c>
      <c r="I66" s="6" t="inlineStr">
        <is>
          <t>In service</t>
        </is>
      </c>
      <c r="J66" s="6" t="inlineStr">
        <is>
          <t>fixed-asset register / June GL tie-out</t>
        </is>
      </c>
    </row>
    <row r="67">
      <c r="A67" s="6" t="inlineStr">
        <is>
          <t>FA-1500-0032</t>
        </is>
      </c>
      <c r="B67" s="6" t="inlineStr">
        <is>
          <t>2024-10-06</t>
        </is>
      </c>
      <c r="C67" s="6" t="inlineStr">
        <is>
          <t>1500</t>
        </is>
      </c>
      <c r="D67" s="6" t="inlineStr">
        <is>
          <t>30</t>
        </is>
      </c>
      <c r="E67" s="6" t="inlineStr">
        <is>
          <t>Ford F-350 project truck; ARM-1500-24-032; Portland / assigned field unit</t>
        </is>
      </c>
      <c r="F67" s="7" t="n">
        <v>72000</v>
      </c>
      <c r="G67" s="7" t="n">
        <v>-25200</v>
      </c>
      <c r="H67" s="7">
        <f>F67+G67</f>
        <v/>
      </c>
      <c r="I67" s="6" t="inlineStr">
        <is>
          <t>In service</t>
        </is>
      </c>
      <c r="J67" s="6" t="inlineStr">
        <is>
          <t>fixed-asset register / June GL tie-out</t>
        </is>
      </c>
    </row>
    <row r="68">
      <c r="A68" s="6" t="inlineStr">
        <is>
          <t>FA-1500-0011</t>
        </is>
      </c>
      <c r="B68" s="6" t="inlineStr">
        <is>
          <t>2024-10-15</t>
        </is>
      </c>
      <c r="C68" s="6" t="inlineStr">
        <is>
          <t>1500</t>
        </is>
      </c>
      <c r="D68" s="6" t="inlineStr">
        <is>
          <t>30</t>
        </is>
      </c>
      <c r="E68" s="6" t="inlineStr">
        <is>
          <t>Ram ProMaster service van; ARM-1500-24-011; Portland / assigned field unit</t>
        </is>
      </c>
      <c r="F68" s="7" t="n">
        <v>72000</v>
      </c>
      <c r="G68" s="7" t="n">
        <v>-25200</v>
      </c>
      <c r="H68" s="7">
        <f>F68+G68</f>
        <v/>
      </c>
      <c r="I68" s="6" t="inlineStr">
        <is>
          <t>In service</t>
        </is>
      </c>
      <c r="J68" s="6" t="inlineStr">
        <is>
          <t>fixed-asset register / June GL tie-out</t>
        </is>
      </c>
    </row>
    <row r="69">
      <c r="A69" s="6" t="inlineStr">
        <is>
          <t>FA-1510-0044</t>
        </is>
      </c>
      <c r="B69" s="6" t="inlineStr">
        <is>
          <t>2024-12-04</t>
        </is>
      </c>
      <c r="C69" s="6" t="inlineStr">
        <is>
          <t>1510</t>
        </is>
      </c>
      <c r="D69" s="6" t="inlineStr">
        <is>
          <t>30</t>
        </is>
      </c>
      <c r="E69" s="6" t="inlineStr">
        <is>
          <t>Miller welding package; ARM-1510-24-010; Bend branch</t>
        </is>
      </c>
      <c r="F69" s="7" t="n">
        <v>43400</v>
      </c>
      <c r="G69" s="7" t="n">
        <v>-13743.27</v>
      </c>
      <c r="H69" s="7">
        <f>F69+G69</f>
        <v/>
      </c>
      <c r="I69" s="6" t="inlineStr">
        <is>
          <t>In service</t>
        </is>
      </c>
      <c r="J69" s="6" t="inlineStr">
        <is>
          <t>fixed-asset register / June GL tie-out</t>
        </is>
      </c>
    </row>
    <row r="70">
      <c r="A70" s="6" t="inlineStr">
        <is>
          <t>FA-1520-0060</t>
        </is>
      </c>
      <c r="B70" s="6" t="inlineStr">
        <is>
          <t>2024-12-08</t>
        </is>
      </c>
      <c r="C70" s="6" t="inlineStr">
        <is>
          <t>1520</t>
        </is>
      </c>
      <c r="D70" s="6" t="inlineStr">
        <is>
          <t>90</t>
        </is>
      </c>
      <c r="E70" s="6" t="inlineStr">
        <is>
          <t>BIM coordination workstation set; ARM-1520-24-006; Portland / assigned field unit</t>
        </is>
      </c>
      <c r="F70" s="7" t="n">
        <v>46500</v>
      </c>
      <c r="G70" s="7" t="n">
        <v>-18406.25</v>
      </c>
      <c r="H70" s="7">
        <f>F70+G70</f>
        <v/>
      </c>
      <c r="I70" s="6" t="inlineStr">
        <is>
          <t>In service</t>
        </is>
      </c>
      <c r="J70" s="6" t="inlineStr">
        <is>
          <t>fixed-asset register / June GL tie-out</t>
        </is>
      </c>
    </row>
    <row r="71">
      <c r="A71" s="6" t="inlineStr">
        <is>
          <t>FA-1500-0034</t>
        </is>
      </c>
      <c r="B71" s="6" t="inlineStr">
        <is>
          <t>2025-02-04</t>
        </is>
      </c>
      <c r="C71" s="6" t="inlineStr">
        <is>
          <t>1500</t>
        </is>
      </c>
      <c r="D71" s="6" t="inlineStr">
        <is>
          <t>30</t>
        </is>
      </c>
      <c r="E71" s="6" t="inlineStr">
        <is>
          <t>Chevrolet Silverado field truck; ARM-1500-25-034; Portland / assigned field unit</t>
        </is>
      </c>
      <c r="F71" s="7" t="n">
        <v>86700</v>
      </c>
      <c r="G71" s="7" t="n">
        <v>-24565</v>
      </c>
      <c r="H71" s="7">
        <f>F71+G71</f>
        <v/>
      </c>
      <c r="I71" s="6" t="inlineStr">
        <is>
          <t>In service</t>
        </is>
      </c>
      <c r="J71" s="6" t="inlineStr">
        <is>
          <t>fixed-asset register / June GL tie-out</t>
        </is>
      </c>
    </row>
    <row r="72">
      <c r="A72" s="6" t="inlineStr">
        <is>
          <t>FA-1540-0078</t>
        </is>
      </c>
      <c r="B72" s="6" t="inlineStr">
        <is>
          <t>2025-02-12</t>
        </is>
      </c>
      <c r="C72" s="6" t="inlineStr">
        <is>
          <t>1540</t>
        </is>
      </c>
      <c r="D72" s="6" t="inlineStr">
        <is>
          <t>90</t>
        </is>
      </c>
      <c r="E72" s="6" t="inlineStr">
        <is>
          <t>Bend branch build-out; ARM-1540-25-002; Portland / assigned field unit</t>
        </is>
      </c>
      <c r="F72" s="7" t="n">
        <v>115100</v>
      </c>
      <c r="G72" s="7" t="n">
        <v>-16305.83</v>
      </c>
      <c r="H72" s="7">
        <f>F72+G72</f>
        <v/>
      </c>
      <c r="I72" s="6" t="inlineStr">
        <is>
          <t>In service</t>
        </is>
      </c>
      <c r="J72" s="6" t="inlineStr">
        <is>
          <t>fixed-asset register / June GL tie-out</t>
        </is>
      </c>
    </row>
    <row r="73">
      <c r="A73" s="6" t="inlineStr">
        <is>
          <t>FA-1500-0013</t>
        </is>
      </c>
      <c r="B73" s="6" t="inlineStr">
        <is>
          <t>2025-02-13</t>
        </is>
      </c>
      <c r="C73" s="6" t="inlineStr">
        <is>
          <t>1500</t>
        </is>
      </c>
      <c r="D73" s="6" t="inlineStr">
        <is>
          <t>30</t>
        </is>
      </c>
      <c r="E73" s="6" t="inlineStr">
        <is>
          <t>Ford Transit service van; ARM-1500-25-013; Portland / assigned field unit</t>
        </is>
      </c>
      <c r="F73" s="7" t="n">
        <v>86700</v>
      </c>
      <c r="G73" s="7" t="n">
        <v>-24565</v>
      </c>
      <c r="H73" s="7">
        <f>F73+G73</f>
        <v/>
      </c>
      <c r="I73" s="6" t="inlineStr">
        <is>
          <t>In service</t>
        </is>
      </c>
      <c r="J73" s="6" t="inlineStr">
        <is>
          <t>fixed-asset register / June GL tie-out</t>
        </is>
      </c>
    </row>
    <row r="74">
      <c r="A74" s="6" t="inlineStr">
        <is>
          <t>FA-1510-0046</t>
        </is>
      </c>
      <c r="B74" s="6" t="inlineStr">
        <is>
          <t>2025-04-02</t>
        </is>
      </c>
      <c r="C74" s="6" t="inlineStr">
        <is>
          <t>1510</t>
        </is>
      </c>
      <c r="D74" s="6" t="inlineStr">
        <is>
          <t>30</t>
        </is>
      </c>
      <c r="E74" s="6" t="inlineStr">
        <is>
          <t>Field testing instrument set; ARM-1510-25-012; Portland / assigned field unit</t>
        </is>
      </c>
      <c r="F74" s="7" t="n">
        <v>53000</v>
      </c>
      <c r="G74" s="7" t="n">
        <v>-13249.95</v>
      </c>
      <c r="H74" s="7">
        <f>F74+G74</f>
        <v/>
      </c>
      <c r="I74" s="6" t="inlineStr">
        <is>
          <t>In service</t>
        </is>
      </c>
      <c r="J74" s="6" t="inlineStr">
        <is>
          <t>fixed-asset register / June GL tie-out</t>
        </is>
      </c>
    </row>
    <row r="75">
      <c r="A75" s="6" t="inlineStr">
        <is>
          <t>FA-1520-0062</t>
        </is>
      </c>
      <c r="B75" s="6" t="inlineStr">
        <is>
          <t>2025-04-06</t>
        </is>
      </c>
      <c r="C75" s="6" t="inlineStr">
        <is>
          <t>1520</t>
        </is>
      </c>
      <c r="D75" s="6" t="inlineStr">
        <is>
          <t>90</t>
        </is>
      </c>
      <c r="E75" s="6" t="inlineStr">
        <is>
          <t>Network testing kit; ARM-1520-25-008; Portland / assigned field unit</t>
        </is>
      </c>
      <c r="F75" s="7" t="n">
        <v>29600</v>
      </c>
      <c r="G75" s="7" t="n">
        <v>-9250</v>
      </c>
      <c r="H75" s="7">
        <f>F75+G75</f>
        <v/>
      </c>
      <c r="I75" s="6" t="inlineStr">
        <is>
          <t>In service</t>
        </is>
      </c>
      <c r="J75" s="6" t="inlineStr">
        <is>
          <t>fixed-asset register / June GL tie-out</t>
        </is>
      </c>
    </row>
    <row r="76">
      <c r="A76" s="6" t="inlineStr">
        <is>
          <t>FA-1500-0006</t>
        </is>
      </c>
      <c r="B76" s="6" t="inlineStr">
        <is>
          <t>2025-06-08</t>
        </is>
      </c>
      <c r="C76" s="6" t="inlineStr">
        <is>
          <t>1500</t>
        </is>
      </c>
      <c r="D76" s="6" t="inlineStr">
        <is>
          <t>30</t>
        </is>
      </c>
      <c r="E76" s="6" t="inlineStr">
        <is>
          <t>Chevrolet Silverado field truck; ARM-1500-25-006; Portland / assigned field unit</t>
        </is>
      </c>
      <c r="F76" s="7" t="n">
        <v>86700</v>
      </c>
      <c r="G76" s="7" t="n">
        <v>-18785</v>
      </c>
      <c r="H76" s="7">
        <f>F76+G76</f>
        <v/>
      </c>
      <c r="I76" s="6" t="inlineStr">
        <is>
          <t>In service</t>
        </is>
      </c>
      <c r="J76" s="6" t="inlineStr">
        <is>
          <t>fixed-asset register / June GL tie-out</t>
        </is>
      </c>
    </row>
    <row r="77">
      <c r="A77" s="6" t="inlineStr">
        <is>
          <t>FA-1500-0027</t>
        </is>
      </c>
      <c r="B77" s="6" t="inlineStr">
        <is>
          <t>2025-06-23</t>
        </is>
      </c>
      <c r="C77" s="6" t="inlineStr">
        <is>
          <t>1500</t>
        </is>
      </c>
      <c r="D77" s="6" t="inlineStr">
        <is>
          <t>30</t>
        </is>
      </c>
      <c r="E77" s="6" t="inlineStr">
        <is>
          <t>Ram ProMaster service van; ARM-1500-25-027; Portland / assigned field unit</t>
        </is>
      </c>
      <c r="F77" s="7" t="n">
        <v>86700</v>
      </c>
      <c r="G77" s="7" t="n">
        <v>-18785</v>
      </c>
      <c r="H77" s="7">
        <f>F77+G77</f>
        <v/>
      </c>
      <c r="I77" s="6" t="inlineStr">
        <is>
          <t>In service</t>
        </is>
      </c>
      <c r="J77" s="6" t="inlineStr">
        <is>
          <t>fixed-asset register / June GL tie-out</t>
        </is>
      </c>
    </row>
    <row r="78">
      <c r="A78" s="6" t="inlineStr">
        <is>
          <t>FA-1520-0055</t>
        </is>
      </c>
      <c r="B78" s="6" t="inlineStr">
        <is>
          <t>2025-08-01</t>
        </is>
      </c>
      <c r="C78" s="6" t="inlineStr">
        <is>
          <t>1520</t>
        </is>
      </c>
      <c r="D78" s="6" t="inlineStr">
        <is>
          <t>90</t>
        </is>
      </c>
      <c r="E78" s="6" t="inlineStr">
        <is>
          <t>Controls commissioning bench; ARM-1520-25-001; Bend branch</t>
        </is>
      </c>
      <c r="F78" s="7" t="n">
        <v>29600</v>
      </c>
      <c r="G78" s="7" t="n">
        <v>-6783.33</v>
      </c>
      <c r="H78" s="7">
        <f>F78+G78</f>
        <v/>
      </c>
      <c r="I78" s="6" t="inlineStr">
        <is>
          <t>In service</t>
        </is>
      </c>
      <c r="J78" s="6" t="inlineStr">
        <is>
          <t>fixed-asset register / June GL tie-out</t>
        </is>
      </c>
    </row>
    <row r="79">
      <c r="A79" s="6" t="inlineStr">
        <is>
          <t>FA-1510-0039</t>
        </is>
      </c>
      <c r="B79" s="6" t="inlineStr">
        <is>
          <t>2025-08-21</t>
        </is>
      </c>
      <c r="C79" s="6" t="inlineStr">
        <is>
          <t>1510</t>
        </is>
      </c>
      <c r="D79" s="6" t="inlineStr">
        <is>
          <t>30</t>
        </is>
      </c>
      <c r="E79" s="6" t="inlineStr">
        <is>
          <t>Victaulic grooving set; ARM-1510-25-005; Portland / assigned field unit</t>
        </is>
      </c>
      <c r="F79" s="7" t="n">
        <v>53000</v>
      </c>
      <c r="G79" s="7" t="n">
        <v>-9716.629999999999</v>
      </c>
      <c r="H79" s="7">
        <f>F79+G79</f>
        <v/>
      </c>
      <c r="I79" s="6" t="inlineStr">
        <is>
          <t>In service</t>
        </is>
      </c>
      <c r="J79" s="6" t="inlineStr">
        <is>
          <t>fixed-asset register / June GL tie-out</t>
        </is>
      </c>
    </row>
    <row r="80">
      <c r="A80" s="6" t="inlineStr">
        <is>
          <t>FA-1530-0072</t>
        </is>
      </c>
      <c r="B80" s="6" t="inlineStr">
        <is>
          <t>2025-10-10</t>
        </is>
      </c>
      <c r="C80" s="6" t="inlineStr">
        <is>
          <t>1530</t>
        </is>
      </c>
      <c r="D80" s="6" t="inlineStr">
        <is>
          <t>30</t>
        </is>
      </c>
      <c r="E80" s="6" t="inlineStr">
        <is>
          <t>Shop material handling system; ARM-1530-25-004; Portland fabrication shop</t>
        </is>
      </c>
      <c r="F80" s="7" t="n">
        <v>172100</v>
      </c>
      <c r="G80" s="7" t="n">
        <v>-18439.29</v>
      </c>
      <c r="H80" s="7">
        <f>F80+G80</f>
        <v/>
      </c>
      <c r="I80" s="6" t="inlineStr">
        <is>
          <t>In service</t>
        </is>
      </c>
      <c r="J80" s="6" t="inlineStr">
        <is>
          <t>fixed-asset register / June GL tie-out</t>
        </is>
      </c>
    </row>
    <row r="81">
      <c r="A81" s="6" t="inlineStr">
        <is>
          <t>FA-1500-0020</t>
        </is>
      </c>
      <c r="B81" s="6" t="inlineStr">
        <is>
          <t>2025-10-18</t>
        </is>
      </c>
      <c r="C81" s="6" t="inlineStr">
        <is>
          <t>1500</t>
        </is>
      </c>
      <c r="D81" s="6" t="inlineStr">
        <is>
          <t>30</t>
        </is>
      </c>
      <c r="E81" s="6" t="inlineStr">
        <is>
          <t>Ford F-350 project truck; ARM-1500-25-020; Portland / assigned field unit</t>
        </is>
      </c>
      <c r="F81" s="7" t="n">
        <v>86700</v>
      </c>
      <c r="G81" s="7" t="n">
        <v>-13005</v>
      </c>
      <c r="H81" s="7">
        <f>F81+G81</f>
        <v/>
      </c>
      <c r="I81" s="6" t="inlineStr">
        <is>
          <t>In service</t>
        </is>
      </c>
      <c r="J81" s="6" t="inlineStr">
        <is>
          <t>fixed-asset register / June GL tie-out</t>
        </is>
      </c>
    </row>
    <row r="82">
      <c r="A82" s="6" t="inlineStr">
        <is>
          <t>FA-1510-0053</t>
        </is>
      </c>
      <c r="B82" s="6" t="inlineStr">
        <is>
          <t>2025-12-07</t>
        </is>
      </c>
      <c r="C82" s="6" t="inlineStr">
        <is>
          <t>1510</t>
        </is>
      </c>
      <c r="D82" s="6" t="inlineStr">
        <is>
          <t>30</t>
        </is>
      </c>
      <c r="E82" s="6" t="inlineStr">
        <is>
          <t>Ridgid pipe machine; ARM-1510-25-019; Bend branch</t>
        </is>
      </c>
      <c r="F82" s="7" t="n">
        <v>53000</v>
      </c>
      <c r="G82" s="7" t="n">
        <v>-6183.31</v>
      </c>
      <c r="H82" s="7">
        <f>F82+G82</f>
        <v/>
      </c>
      <c r="I82" s="6" t="inlineStr">
        <is>
          <t>In service</t>
        </is>
      </c>
      <c r="J82" s="6" t="inlineStr">
        <is>
          <t>fixed-asset register / June GL tie-out</t>
        </is>
      </c>
    </row>
    <row r="83">
      <c r="A83" s="6" t="inlineStr">
        <is>
          <t>FA-1530-0074</t>
        </is>
      </c>
      <c r="B83" s="6" t="inlineStr">
        <is>
          <t>2026-02-08</t>
        </is>
      </c>
      <c r="C83" s="6" t="inlineStr">
        <is>
          <t>1530</t>
        </is>
      </c>
      <c r="D83" s="6" t="inlineStr">
        <is>
          <t>30</t>
        </is>
      </c>
      <c r="E83" s="6" t="inlineStr">
        <is>
          <t>Plasma cutting table; ARM-1530-26-006; Portland fabrication shop</t>
        </is>
      </c>
      <c r="F83" s="7" t="n">
        <v>207100</v>
      </c>
      <c r="G83" s="7" t="n">
        <v>-12327.38</v>
      </c>
      <c r="H83" s="7">
        <f>F83+G83</f>
        <v/>
      </c>
      <c r="I83" s="6" t="inlineStr">
        <is>
          <t>In service</t>
        </is>
      </c>
      <c r="J83" s="6" t="inlineStr">
        <is>
          <t>fixed-asset register / June GL tie-out</t>
        </is>
      </c>
    </row>
    <row r="84">
      <c r="A84" s="6" t="inlineStr">
        <is>
          <t>FA-1510-0041</t>
        </is>
      </c>
      <c r="B84" s="6" t="inlineStr">
        <is>
          <t>2026-05-07</t>
        </is>
      </c>
      <c r="C84" s="6" t="inlineStr">
        <is>
          <t>1510</t>
        </is>
      </c>
      <c r="D84" s="6" t="inlineStr">
        <is>
          <t>30</t>
        </is>
      </c>
      <c r="E84" s="6" t="inlineStr">
        <is>
          <t>Ridgid pipe machine; ARM-1510-26-007; Portland / assigned field unit</t>
        </is>
      </c>
      <c r="F84" s="7" t="n">
        <v>63000</v>
      </c>
      <c r="G84" s="7" t="n">
        <v>-2100</v>
      </c>
      <c r="H84" s="7">
        <f>F84+G84</f>
        <v/>
      </c>
      <c r="I84" s="6" t="inlineStr">
        <is>
          <t>In service</t>
        </is>
      </c>
      <c r="J84" s="6" t="inlineStr">
        <is>
          <t>fixed-asset register / June GL tie-out</t>
        </is>
      </c>
    </row>
    <row r="85">
      <c r="A85" s="6" t="inlineStr">
        <is>
          <t>FA-1510-0048</t>
        </is>
      </c>
      <c r="B85" s="6" t="inlineStr">
        <is>
          <t>2026-05-14</t>
        </is>
      </c>
      <c r="C85" s="6" t="inlineStr">
        <is>
          <t>1510</t>
        </is>
      </c>
      <c r="D85" s="6" t="inlineStr">
        <is>
          <t>30</t>
        </is>
      </c>
      <c r="E85" s="6" t="inlineStr">
        <is>
          <t>Miller welding package; ARM-1510-26-014; Portland / assigned field unit</t>
        </is>
      </c>
      <c r="F85" s="7" t="n">
        <v>63000</v>
      </c>
      <c r="G85" s="7" t="n">
        <v>-2100</v>
      </c>
      <c r="H85" s="7">
        <f>F85+G85</f>
        <v/>
      </c>
      <c r="I85" s="6" t="inlineStr">
        <is>
          <t>In service</t>
        </is>
      </c>
      <c r="J85" s="6" t="inlineStr">
        <is>
          <t>fixed-asset register / June GL tie-out</t>
        </is>
      </c>
    </row>
    <row r="86">
      <c r="A86" s="6" t="inlineStr">
        <is>
          <t>FA-1540-0080</t>
        </is>
      </c>
      <c r="B86" s="6" t="inlineStr">
        <is>
          <t>2026-06-10</t>
        </is>
      </c>
      <c r="C86" s="6" t="inlineStr">
        <is>
          <t>1540</t>
        </is>
      </c>
      <c r="D86" s="6" t="inlineStr">
        <is>
          <t>90</t>
        </is>
      </c>
      <c r="E86" s="6" t="inlineStr">
        <is>
          <t>Portland office improvement; ARM-1540-26-004; Portland / assigned field unit</t>
        </is>
      </c>
      <c r="F86" s="7" t="n">
        <v>143000</v>
      </c>
      <c r="G86" s="7" t="n">
        <v>-1191.67</v>
      </c>
      <c r="H86" s="7">
        <f>F86+G86</f>
        <v/>
      </c>
      <c r="I86" s="6" t="inlineStr">
        <is>
          <t>In service</t>
        </is>
      </c>
      <c r="J86" s="6" t="inlineStr">
        <is>
          <t>fixed-asset register / June GL tie-out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Fixed assets and construction-in-progress roll-forward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working / not final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1500</t>
        </is>
      </c>
      <c r="B6" s="8">
        <f>COUNTIF('detail - working'!C6:C86,A6)</f>
        <v/>
      </c>
      <c r="C6" s="9">
        <f>SUMIF('detail - working'!C6:C86,A6,'detail - working'!F6:F86)</f>
        <v/>
      </c>
      <c r="D6" s="9">
        <f>SUMIF('detail - working'!C6:C86,A6,'detail - working'!G6:G86)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1530</t>
        </is>
      </c>
      <c r="B7" s="8">
        <f>COUNTIF('detail - working'!C6:C86,A7)</f>
        <v/>
      </c>
      <c r="C7" s="9">
        <f>SUMIF('detail - working'!C6:C86,A7,'detail - working'!F6:F86)</f>
        <v/>
      </c>
      <c r="D7" s="9">
        <f>SUMIF('detail - working'!C6:C86,A7,'detail - working'!G6:G86)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  <row r="8">
      <c r="A8" s="8" t="inlineStr">
        <is>
          <t>1520</t>
        </is>
      </c>
      <c r="B8" s="8">
        <f>COUNTIF('detail - working'!C6:C86,A8)</f>
        <v/>
      </c>
      <c r="C8" s="9">
        <f>SUMIF('detail - working'!C6:C86,A8,'detail - working'!F6:F86)</f>
        <v/>
      </c>
      <c r="D8" s="9">
        <f>SUMIF('detail - working'!C6:C86,A8,'detail - working'!G6:G86)</f>
        <v/>
      </c>
      <c r="E8" s="9">
        <f>C8+D8</f>
        <v/>
      </c>
      <c r="F8" s="8" t="inlineStr">
        <is>
          <t>OL</t>
        </is>
      </c>
      <c r="G8" s="8" t="inlineStr">
        <is>
          <t>tied</t>
        </is>
      </c>
      <c r="H8" s="8" t="inlineStr">
        <is>
          <t>Formula-linked to full supporting detail</t>
        </is>
      </c>
    </row>
    <row r="9">
      <c r="A9" s="8" t="inlineStr">
        <is>
          <t>1510</t>
        </is>
      </c>
      <c r="B9" s="8">
        <f>COUNTIF('detail - working'!C6:C86,A9)</f>
        <v/>
      </c>
      <c r="C9" s="9">
        <f>SUMIF('detail - working'!C6:C86,A9,'detail - working'!F6:F86)</f>
        <v/>
      </c>
      <c r="D9" s="9">
        <f>SUMIF('detail - working'!C6:C86,A9,'detail - working'!G6:G86)</f>
        <v/>
      </c>
      <c r="E9" s="9">
        <f>C9+D9</f>
        <v/>
      </c>
      <c r="F9" s="8" t="inlineStr">
        <is>
          <t>MW</t>
        </is>
      </c>
      <c r="G9" s="8" t="inlineStr">
        <is>
          <t>tied</t>
        </is>
      </c>
      <c r="H9" s="8" t="inlineStr">
        <is>
          <t>Formula-linked to full supporting detail</t>
        </is>
      </c>
    </row>
    <row r="10">
      <c r="A10" s="8" t="inlineStr">
        <is>
          <t>1540</t>
        </is>
      </c>
      <c r="B10" s="8">
        <f>COUNTIF('detail - working'!C6:C86,A10)</f>
        <v/>
      </c>
      <c r="C10" s="9">
        <f>SUMIF('detail - working'!C6:C86,A10,'detail - working'!F6:F86)</f>
        <v/>
      </c>
      <c r="D10" s="9">
        <f>SUMIF('detail - working'!C6:C86,A10,'detail - working'!G6:G86)</f>
        <v/>
      </c>
      <c r="E10" s="9">
        <f>C10+D10</f>
        <v/>
      </c>
      <c r="F10" s="8" t="inlineStr">
        <is>
          <t>MP</t>
        </is>
      </c>
      <c r="G10" s="8" t="inlineStr">
        <is>
          <t>tied</t>
        </is>
      </c>
      <c r="H10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TB rec_6.30 prelim - NB v4.xlsx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working'!H6:H86)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working'!F6:F86)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working'!G6:G86)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Fixed assets and construction-in-progress roll-forward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working'!H6:H86)-SUM('detail - working'!F6:F86)-SUM('detail - working'!G6:G86)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81</v>
      </c>
      <c r="C7" s="8">
        <f>COUNTA('detail - working'!A6:A86)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81</v>
      </c>
      <c r="C8" s="8">
        <f>COUNTA('detail - working'!J6:J86)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working'!G6:G86)-COUNTBLANK('detail - working'!A6:A86)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2026-07-28T10:45:29Z</dcterms:modified>
  <cp:lastModifiedBy>Unknown</cp:lastModifiedBy>
</cp:coreProperties>
</file>