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Insurance, bonding and surety exposure schedule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Broker schedules and internal job list use different project names; mapping remains manual.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POL-1</t>
        </is>
      </c>
      <c r="B6" s="6" t="inlineStr">
        <is>
          <t>2026-07-01</t>
        </is>
      </c>
      <c r="C6" s="6" t="inlineStr">
        <is>
          <t>Commercial general liability</t>
        </is>
      </c>
      <c r="D6" s="6" t="inlineStr">
        <is>
          <t>Travelers</t>
        </is>
      </c>
      <c r="E6" s="6" t="inlineStr">
        <is>
          <t>2026-07-01 to 2027-07-01; limit 2,000,000; deductible 25,000</t>
        </is>
      </c>
      <c r="F6" s="7" t="n">
        <v>284000</v>
      </c>
      <c r="G6" s="7" t="n">
        <v>0</v>
      </c>
      <c r="H6" s="7">
        <f>F6+G6</f>
        <v/>
      </c>
      <c r="I6" s="6" t="inlineStr">
        <is>
          <t>Broker draft - bind pending</t>
        </is>
      </c>
      <c r="J6" s="6" t="inlineStr">
        <is>
          <t>broker draft + internal schedule</t>
        </is>
      </c>
    </row>
    <row r="7">
      <c r="A7" s="6" t="inlineStr">
        <is>
          <t>POL-2</t>
        </is>
      </c>
      <c r="B7" s="6" t="inlineStr">
        <is>
          <t>2026-07-01</t>
        </is>
      </c>
      <c r="C7" s="6" t="inlineStr">
        <is>
          <t>Business auto</t>
        </is>
      </c>
      <c r="D7" s="6" t="inlineStr">
        <is>
          <t>Travelers</t>
        </is>
      </c>
      <c r="E7" s="6" t="inlineStr">
        <is>
          <t>2026-07-01 to 2027-07-01; limit 1,000,000; deductible 5,000</t>
        </is>
      </c>
      <c r="F7" s="7" t="n">
        <v>196000</v>
      </c>
      <c r="G7" s="7" t="n">
        <v>0</v>
      </c>
      <c r="H7" s="7">
        <f>F7+G7</f>
        <v/>
      </c>
      <c r="I7" s="6" t="inlineStr">
        <is>
          <t>Fleet reconciliation open</t>
        </is>
      </c>
      <c r="J7" s="6" t="inlineStr">
        <is>
          <t>broker draft + internal schedule</t>
        </is>
      </c>
    </row>
    <row r="8">
      <c r="A8" s="6" t="inlineStr">
        <is>
          <t>POL-3</t>
        </is>
      </c>
      <c r="B8" s="6" t="inlineStr">
        <is>
          <t>2026-07-01</t>
        </is>
      </c>
      <c r="C8" s="6" t="inlineStr">
        <is>
          <t>Workers compensation</t>
        </is>
      </c>
      <c r="D8" s="6" t="inlineStr">
        <is>
          <t>SAIF</t>
        </is>
      </c>
      <c r="E8" s="6" t="inlineStr">
        <is>
          <t>2026-07-01 to 2027-07-01; limit 1,000,000; deductible 0</t>
        </is>
      </c>
      <c r="F8" s="7" t="n">
        <v>442000</v>
      </c>
      <c r="G8" s="7" t="n">
        <v>0</v>
      </c>
      <c r="H8" s="7">
        <f>F8+G8</f>
        <v/>
      </c>
      <c r="I8" s="6" t="inlineStr">
        <is>
          <t>Payroll exposure review</t>
        </is>
      </c>
      <c r="J8" s="6" t="inlineStr">
        <is>
          <t>broker draft + internal schedule</t>
        </is>
      </c>
    </row>
    <row r="9">
      <c r="A9" s="6" t="inlineStr">
        <is>
          <t>POL-4</t>
        </is>
      </c>
      <c r="B9" s="6" t="inlineStr">
        <is>
          <t>2026-07-01</t>
        </is>
      </c>
      <c r="C9" s="6" t="inlineStr">
        <is>
          <t>Umbrella</t>
        </is>
      </c>
      <c r="D9" s="6" t="inlineStr">
        <is>
          <t>Chubb</t>
        </is>
      </c>
      <c r="E9" s="6" t="inlineStr">
        <is>
          <t>2026-07-01 to 2027-07-01; limit 10,000,000; deductible 10,000</t>
        </is>
      </c>
      <c r="F9" s="7" t="n">
        <v>138000</v>
      </c>
      <c r="G9" s="7" t="n">
        <v>0</v>
      </c>
      <c r="H9" s="7">
        <f>F9+G9</f>
        <v/>
      </c>
      <c r="I9" s="6" t="inlineStr">
        <is>
          <t>Quoted</t>
        </is>
      </c>
      <c r="J9" s="6" t="inlineStr">
        <is>
          <t>broker draft + internal schedule</t>
        </is>
      </c>
    </row>
    <row r="10">
      <c r="A10" s="6" t="inlineStr">
        <is>
          <t>POL-5</t>
        </is>
      </c>
      <c r="B10" s="6" t="inlineStr">
        <is>
          <t>2026-07-01</t>
        </is>
      </c>
      <c r="C10" s="6" t="inlineStr">
        <is>
          <t>Inland marine / tools</t>
        </is>
      </c>
      <c r="D10" s="6" t="inlineStr">
        <is>
          <t>Travelers</t>
        </is>
      </c>
      <c r="E10" s="6" t="inlineStr">
        <is>
          <t>2026-07-01 to 2027-07-01; limit 3,500,000; deductible 10,000</t>
        </is>
      </c>
      <c r="F10" s="7" t="n">
        <v>82000</v>
      </c>
      <c r="G10" s="7" t="n">
        <v>0</v>
      </c>
      <c r="H10" s="7">
        <f>F10+G10</f>
        <v/>
      </c>
      <c r="I10" s="6" t="inlineStr">
        <is>
          <t>Equipment schedule open</t>
        </is>
      </c>
      <c r="J10" s="6" t="inlineStr">
        <is>
          <t>broker draft + internal schedule</t>
        </is>
      </c>
    </row>
    <row r="11">
      <c r="A11" s="6" t="inlineStr">
        <is>
          <t>EXP-ARM-2318</t>
        </is>
      </c>
      <c r="B11" s="6" t="inlineStr">
        <is>
          <t>2026-06-30</t>
        </is>
      </c>
      <c r="C11" s="6" t="inlineStr">
        <is>
          <t>open-project exposure</t>
        </is>
      </c>
      <c r="D11" s="6" t="inlineStr">
        <is>
          <t>ARM-2318</t>
        </is>
      </c>
      <c r="E11" s="6" t="inlineStr">
        <is>
          <t>Columbia Biologics Clean Utilities; unearned contract exposure</t>
        </is>
      </c>
      <c r="F11" s="7" t="n">
        <v>280434.3499999996</v>
      </c>
      <c r="G11" s="7" t="n">
        <v>0</v>
      </c>
      <c r="H11" s="7">
        <f>F11+G11</f>
        <v/>
      </c>
      <c r="I11" s="6" t="inlineStr">
        <is>
          <t>Substantially Complete</t>
        </is>
      </c>
      <c r="J11" s="6" t="inlineStr">
        <is>
          <t>WIP schedule / surety exposure mapping</t>
        </is>
      </c>
    </row>
    <row r="12">
      <c r="A12" s="6" t="inlineStr">
        <is>
          <t>EXP-ARM-2403</t>
        </is>
      </c>
      <c r="B12" s="6" t="inlineStr">
        <is>
          <t>2026-06-30</t>
        </is>
      </c>
      <c r="C12" s="6" t="inlineStr">
        <is>
          <t>open-project exposure</t>
        </is>
      </c>
      <c r="D12" s="6" t="inlineStr">
        <is>
          <t>ARM-2403</t>
        </is>
      </c>
      <c r="E12" s="6" t="inlineStr">
        <is>
          <t>Riverton Civic Center HVAC Renewal; unearned contract exposure</t>
        </is>
      </c>
      <c r="F12" s="7" t="n">
        <v>1169422.95</v>
      </c>
      <c r="G12" s="7" t="n">
        <v>0</v>
      </c>
      <c r="H12" s="7">
        <f>F12+G12</f>
        <v/>
      </c>
      <c r="I12" s="6" t="inlineStr">
        <is>
          <t>Active</t>
        </is>
      </c>
      <c r="J12" s="6" t="inlineStr">
        <is>
          <t>WIP schedule / surety exposure mapping</t>
        </is>
      </c>
    </row>
    <row r="13">
      <c r="A13" s="6" t="inlineStr">
        <is>
          <t>EXP-ARM-2409</t>
        </is>
      </c>
      <c r="B13" s="6" t="inlineStr">
        <is>
          <t>2026-06-30</t>
        </is>
      </c>
      <c r="C13" s="6" t="inlineStr">
        <is>
          <t>open-project exposure</t>
        </is>
      </c>
      <c r="D13" s="6" t="inlineStr">
        <is>
          <t>ARM-2409</t>
        </is>
      </c>
      <c r="E13" s="6" t="inlineStr">
        <is>
          <t>Northline Cold Storage Expansion; unearned contract exposure</t>
        </is>
      </c>
      <c r="F13" s="7" t="n">
        <v>944227.0899999999</v>
      </c>
      <c r="G13" s="7" t="n">
        <v>0</v>
      </c>
      <c r="H13" s="7">
        <f>F13+G13</f>
        <v/>
      </c>
      <c r="I13" s="6" t="inlineStr">
        <is>
          <t>Active</t>
        </is>
      </c>
      <c r="J13" s="6" t="inlineStr">
        <is>
          <t>WIP schedule / surety exposure mapping</t>
        </is>
      </c>
    </row>
    <row r="14">
      <c r="A14" s="6" t="inlineStr">
        <is>
          <t>EXP-ARM-2412</t>
        </is>
      </c>
      <c r="B14" s="6" t="inlineStr">
        <is>
          <t>2026-06-30</t>
        </is>
      </c>
      <c r="C14" s="6" t="inlineStr">
        <is>
          <t>open-project exposure</t>
        </is>
      </c>
      <c r="D14" s="6" t="inlineStr">
        <is>
          <t>ARM-2412</t>
        </is>
      </c>
      <c r="E14" s="6" t="inlineStr">
        <is>
          <t>OSU Kelley Engineering Lab Ventilation; unearned contract exposure</t>
        </is>
      </c>
      <c r="F14" s="7" t="n">
        <v>1248834.32</v>
      </c>
      <c r="G14" s="7" t="n">
        <v>0</v>
      </c>
      <c r="H14" s="7">
        <f>F14+G14</f>
        <v/>
      </c>
      <c r="I14" s="6" t="inlineStr">
        <is>
          <t>Active</t>
        </is>
      </c>
      <c r="J14" s="6" t="inlineStr">
        <is>
          <t>WIP schedule / surety exposure mapping</t>
        </is>
      </c>
    </row>
    <row r="15">
      <c r="A15" s="6" t="inlineStr">
        <is>
          <t>EXP-ARM-2417</t>
        </is>
      </c>
      <c r="B15" s="6" t="inlineStr">
        <is>
          <t>2026-06-30</t>
        </is>
      </c>
      <c r="C15" s="6" t="inlineStr">
        <is>
          <t>open-project exposure</t>
        </is>
      </c>
      <c r="D15" s="6" t="inlineStr">
        <is>
          <t>ARM-2417</t>
        </is>
      </c>
      <c r="E15" s="6" t="inlineStr">
        <is>
          <t>Cascade Health Ambulatory Pavilion; unearned contract exposure</t>
        </is>
      </c>
      <c r="F15" s="7" t="n">
        <v>4084040.53</v>
      </c>
      <c r="G15" s="7" t="n">
        <v>0</v>
      </c>
      <c r="H15" s="7">
        <f>F15+G15</f>
        <v/>
      </c>
      <c r="I15" s="6" t="inlineStr">
        <is>
          <t>Active</t>
        </is>
      </c>
      <c r="J15" s="6" t="inlineStr">
        <is>
          <t>WIP schedule / surety exposure mapping</t>
        </is>
      </c>
    </row>
    <row r="16">
      <c r="A16" s="6" t="inlineStr">
        <is>
          <t>EXP-ARM-2421</t>
        </is>
      </c>
      <c r="B16" s="6" t="inlineStr">
        <is>
          <t>2026-06-30</t>
        </is>
      </c>
      <c r="C16" s="6" t="inlineStr">
        <is>
          <t>open-project exposure</t>
        </is>
      </c>
      <c r="D16" s="6" t="inlineStr">
        <is>
          <t>ARM-2421</t>
        </is>
      </c>
      <c r="E16" s="6" t="inlineStr">
        <is>
          <t>Juniper Hotel Boiler Plant Replacement; unearned contract exposure</t>
        </is>
      </c>
      <c r="F16" s="7" t="n">
        <v>40449.25</v>
      </c>
      <c r="G16" s="7" t="n">
        <v>0</v>
      </c>
      <c r="H16" s="7">
        <f>F16+G16</f>
        <v/>
      </c>
      <c r="I16" s="6" t="inlineStr">
        <is>
          <t>Warranty</t>
        </is>
      </c>
      <c r="J16" s="6" t="inlineStr">
        <is>
          <t>WIP schedule / surety exposure mapping</t>
        </is>
      </c>
    </row>
    <row r="17">
      <c r="A17" s="6" t="inlineStr">
        <is>
          <t>EXP-ARM-2501</t>
        </is>
      </c>
      <c r="B17" s="6" t="inlineStr">
        <is>
          <t>2026-06-30</t>
        </is>
      </c>
      <c r="C17" s="6" t="inlineStr">
        <is>
          <t>open-project exposure</t>
        </is>
      </c>
      <c r="D17" s="6" t="inlineStr">
        <is>
          <t>ARM-2501</t>
        </is>
      </c>
      <c r="E17" s="6" t="inlineStr">
        <is>
          <t>PDX Concourse E Controls Retrofit; unearned contract exposure</t>
        </is>
      </c>
      <c r="F17" s="7" t="n">
        <v>1178488.97</v>
      </c>
      <c r="G17" s="7" t="n">
        <v>0</v>
      </c>
      <c r="H17" s="7">
        <f>F17+G17</f>
        <v/>
      </c>
      <c r="I17" s="6" t="inlineStr">
        <is>
          <t>Active</t>
        </is>
      </c>
      <c r="J17" s="6" t="inlineStr">
        <is>
          <t>WIP schedule / surety exposure mapping</t>
        </is>
      </c>
    </row>
    <row r="18">
      <c r="A18" s="6" t="inlineStr">
        <is>
          <t>EXP-ARM-2506</t>
        </is>
      </c>
      <c r="B18" s="6" t="inlineStr">
        <is>
          <t>2026-06-30</t>
        </is>
      </c>
      <c r="C18" s="6" t="inlineStr">
        <is>
          <t>open-project exposure</t>
        </is>
      </c>
      <c r="D18" s="6" t="inlineStr">
        <is>
          <t>ARM-2506</t>
        </is>
      </c>
      <c r="E18" s="6" t="inlineStr">
        <is>
          <t>Eastbank Data Hall Cooling Expansion; unearned contract exposure</t>
        </is>
      </c>
      <c r="F18" s="7" t="n">
        <v>6202428.21</v>
      </c>
      <c r="G18" s="7" t="n">
        <v>0</v>
      </c>
      <c r="H18" s="7">
        <f>F18+G18</f>
        <v/>
      </c>
      <c r="I18" s="6" t="inlineStr">
        <is>
          <t>Active</t>
        </is>
      </c>
      <c r="J18" s="6" t="inlineStr">
        <is>
          <t>WIP schedule / surety exposure mapping</t>
        </is>
      </c>
    </row>
    <row r="19">
      <c r="A19" s="6" t="inlineStr">
        <is>
          <t>EXP-ARM-2510</t>
        </is>
      </c>
      <c r="B19" s="6" t="inlineStr">
        <is>
          <t>2026-06-30</t>
        </is>
      </c>
      <c r="C19" s="6" t="inlineStr">
        <is>
          <t>open-project exposure</t>
        </is>
      </c>
      <c r="D19" s="6" t="inlineStr">
        <is>
          <t>ARM-2510</t>
        </is>
      </c>
      <c r="E19" s="6" t="inlineStr">
        <is>
          <t>Hawthorne Yard Mixed-Use Mechanical; unearned contract exposure</t>
        </is>
      </c>
      <c r="F19" s="7" t="n">
        <v>4202610.4</v>
      </c>
      <c r="G19" s="7" t="n">
        <v>0</v>
      </c>
      <c r="H19" s="7">
        <f>F19+G19</f>
        <v/>
      </c>
      <c r="I19" s="6" t="inlineStr">
        <is>
          <t>Active</t>
        </is>
      </c>
      <c r="J19" s="6" t="inlineStr">
        <is>
          <t>WIP schedule / surety exposure mapping</t>
        </is>
      </c>
    </row>
    <row r="20">
      <c r="A20" s="6" t="inlineStr">
        <is>
          <t>EXP-ARM-2514</t>
        </is>
      </c>
      <c r="B20" s="6" t="inlineStr">
        <is>
          <t>2026-06-30</t>
        </is>
      </c>
      <c r="C20" s="6" t="inlineStr">
        <is>
          <t>open-project exposure</t>
        </is>
      </c>
      <c r="D20" s="6" t="inlineStr">
        <is>
          <t>ARM-2514</t>
        </is>
      </c>
      <c r="E20" s="6" t="inlineStr">
        <is>
          <t>Redmond Unified Schools Phase 2; unearned contract exposure</t>
        </is>
      </c>
      <c r="F20" s="7" t="n">
        <v>2007078.51</v>
      </c>
      <c r="G20" s="7" t="n">
        <v>0</v>
      </c>
      <c r="H20" s="7">
        <f>F20+G20</f>
        <v/>
      </c>
      <c r="I20" s="6" t="inlineStr">
        <is>
          <t>Active</t>
        </is>
      </c>
      <c r="J20" s="6" t="inlineStr">
        <is>
          <t>WIP schedule / surety exposure mapping</t>
        </is>
      </c>
    </row>
    <row r="21">
      <c r="A21" s="6" t="inlineStr">
        <is>
          <t>EXP-ARM-2518</t>
        </is>
      </c>
      <c r="B21" s="6" t="inlineStr">
        <is>
          <t>2026-06-30</t>
        </is>
      </c>
      <c r="C21" s="6" t="inlineStr">
        <is>
          <t>open-project exposure</t>
        </is>
      </c>
      <c r="D21" s="6" t="inlineStr">
        <is>
          <t>ARM-2518</t>
        </is>
      </c>
      <c r="E21" s="6" t="inlineStr">
        <is>
          <t>Deschutes Fleet Services Maintenance Facility; unearned contract exposure</t>
        </is>
      </c>
      <c r="F21" s="7" t="n">
        <v>1678857.81</v>
      </c>
      <c r="G21" s="7" t="n">
        <v>0</v>
      </c>
      <c r="H21" s="7">
        <f>F21+G21</f>
        <v/>
      </c>
      <c r="I21" s="6" t="inlineStr">
        <is>
          <t>Active</t>
        </is>
      </c>
      <c r="J21" s="6" t="inlineStr">
        <is>
          <t>WIP schedule / surety exposure mapping</t>
        </is>
      </c>
    </row>
    <row r="22">
      <c r="A22" s="6" t="inlineStr">
        <is>
          <t>EXP-ARM-2522</t>
        </is>
      </c>
      <c r="B22" s="6" t="inlineStr">
        <is>
          <t>2026-06-30</t>
        </is>
      </c>
      <c r="C22" s="6" t="inlineStr">
        <is>
          <t>open-project exposure</t>
        </is>
      </c>
      <c r="D22" s="6" t="inlineStr">
        <is>
          <t>ARM-2522</t>
        </is>
      </c>
      <c r="E22" s="6" t="inlineStr">
        <is>
          <t>Summit Surgical Center Central Plant; unearned contract exposure</t>
        </is>
      </c>
      <c r="F22" s="7" t="n">
        <v>2618037.51</v>
      </c>
      <c r="G22" s="7" t="n">
        <v>0</v>
      </c>
      <c r="H22" s="7">
        <f>F22+G22</f>
        <v/>
      </c>
      <c r="I22" s="6" t="inlineStr">
        <is>
          <t>Active</t>
        </is>
      </c>
      <c r="J22" s="6" t="inlineStr">
        <is>
          <t>WIP schedule / surety exposure mapping</t>
        </is>
      </c>
    </row>
    <row r="23">
      <c r="A23" s="6" t="inlineStr">
        <is>
          <t>EXP-ARM-2526</t>
        </is>
      </c>
      <c r="B23" s="6" t="inlineStr">
        <is>
          <t>2026-06-30</t>
        </is>
      </c>
      <c r="C23" s="6" t="inlineStr">
        <is>
          <t>open-project exposure</t>
        </is>
      </c>
      <c r="D23" s="6" t="inlineStr">
        <is>
          <t>ARM-2526</t>
        </is>
      </c>
      <c r="E23" s="6" t="inlineStr">
        <is>
          <t>Willamette Food Co-op Refrigeration Upgrade; unearned contract exposure</t>
        </is>
      </c>
      <c r="F23" s="7" t="n">
        <v>457912.45</v>
      </c>
      <c r="G23" s="7" t="n">
        <v>0</v>
      </c>
      <c r="H23" s="7">
        <f>F23+G23</f>
        <v/>
      </c>
      <c r="I23" s="6" t="inlineStr">
        <is>
          <t>Active</t>
        </is>
      </c>
      <c r="J23" s="6" t="inlineStr">
        <is>
          <t>WIP schedule / surety exposure mapping</t>
        </is>
      </c>
    </row>
    <row r="24">
      <c r="A24" s="6" t="inlineStr">
        <is>
          <t>EXP-ARM-2602</t>
        </is>
      </c>
      <c r="B24" s="6" t="inlineStr">
        <is>
          <t>2026-06-30</t>
        </is>
      </c>
      <c r="C24" s="6" t="inlineStr">
        <is>
          <t>open-project exposure</t>
        </is>
      </c>
      <c r="D24" s="6" t="inlineStr">
        <is>
          <t>ARM-2602</t>
        </is>
      </c>
      <c r="E24" s="6" t="inlineStr">
        <is>
          <t>Pacific NW Distribution Center Heat Recovery; unearned contract exposure</t>
        </is>
      </c>
      <c r="F24" s="7" t="n">
        <v>4728111.16</v>
      </c>
      <c r="G24" s="7" t="n">
        <v>0</v>
      </c>
      <c r="H24" s="7">
        <f>F24+G24</f>
        <v/>
      </c>
      <c r="I24" s="6" t="inlineStr">
        <is>
          <t>Active</t>
        </is>
      </c>
      <c r="J24" s="6" t="inlineStr">
        <is>
          <t>WIP schedule / surety exposure mapping</t>
        </is>
      </c>
    </row>
    <row r="25">
      <c r="A25" s="6" t="inlineStr">
        <is>
          <t>EXP-ARM-2605</t>
        </is>
      </c>
      <c r="B25" s="6" t="inlineStr">
        <is>
          <t>2026-06-30</t>
        </is>
      </c>
      <c r="C25" s="6" t="inlineStr">
        <is>
          <t>open-project exposure</t>
        </is>
      </c>
      <c r="D25" s="6" t="inlineStr">
        <is>
          <t>ARM-2605</t>
        </is>
      </c>
      <c r="E25" s="6" t="inlineStr">
        <is>
          <t>Rose Quarter Event Level Ventilation; unearned contract exposure</t>
        </is>
      </c>
      <c r="F25" s="7" t="n">
        <v>5432384.74</v>
      </c>
      <c r="G25" s="7" t="n">
        <v>0</v>
      </c>
      <c r="H25" s="7">
        <f>F25+G25</f>
        <v/>
      </c>
      <c r="I25" s="6" t="inlineStr">
        <is>
          <t>Active</t>
        </is>
      </c>
      <c r="J25" s="6" t="inlineStr">
        <is>
          <t>WIP schedule / surety exposure mapping</t>
        </is>
      </c>
    </row>
    <row r="26">
      <c r="A26" s="6" t="inlineStr">
        <is>
          <t>EXP-ARM-2608</t>
        </is>
      </c>
      <c r="B26" s="6" t="inlineStr">
        <is>
          <t>2026-06-30</t>
        </is>
      </c>
      <c r="C26" s="6" t="inlineStr">
        <is>
          <t>open-project exposure</t>
        </is>
      </c>
      <c r="D26" s="6" t="inlineStr">
        <is>
          <t>ARM-2608</t>
        </is>
      </c>
      <c r="E26" s="6" t="inlineStr">
        <is>
          <t>Cascade Health Imaging Suite Controls; unearned contract exposure</t>
        </is>
      </c>
      <c r="F26" s="7" t="n">
        <v>1235070.02</v>
      </c>
      <c r="G26" s="7" t="n">
        <v>0</v>
      </c>
      <c r="H26" s="7">
        <f>F26+G26</f>
        <v/>
      </c>
      <c r="I26" s="6" t="inlineStr">
        <is>
          <t>Active</t>
        </is>
      </c>
      <c r="J26" s="6" t="inlineStr">
        <is>
          <t>WIP schedule / surety exposure mapping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Insurance, bonding and surety exposure schedule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working / not final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Commercial general liability</t>
        </is>
      </c>
      <c r="B6" s="8">
        <f>COUNTIF('detail - working'!C6:C26,A6)</f>
        <v/>
      </c>
      <c r="C6" s="9">
        <f>SUMIF('detail - working'!C6:C26,A6,'detail - working'!F6:F26)</f>
        <v/>
      </c>
      <c r="D6" s="9">
        <f>SUMIF('detail - working'!C6:C26,A6,'detail - working'!G6:G26)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Business auto</t>
        </is>
      </c>
      <c r="B7" s="8">
        <f>COUNTIF('detail - working'!C6:C26,A7)</f>
        <v/>
      </c>
      <c r="C7" s="9">
        <f>SUMIF('detail - working'!C6:C26,A7,'detail - working'!F6:F26)</f>
        <v/>
      </c>
      <c r="D7" s="9">
        <f>SUMIF('detail - working'!C6:C26,A7,'detail - working'!G6:G26)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Workers compensation</t>
        </is>
      </c>
      <c r="B8" s="8">
        <f>COUNTIF('detail - working'!C6:C26,A8)</f>
        <v/>
      </c>
      <c r="C8" s="9">
        <f>SUMIF('detail - working'!C6:C26,A8,'detail - working'!F6:F26)</f>
        <v/>
      </c>
      <c r="D8" s="9">
        <f>SUMIF('detail - working'!C6:C26,A8,'detail - working'!G6:G26)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Umbrella</t>
        </is>
      </c>
      <c r="B9" s="8">
        <f>COUNTIF('detail - working'!C6:C26,A9)</f>
        <v/>
      </c>
      <c r="C9" s="9">
        <f>SUMIF('detail - working'!C6:C26,A9,'detail - working'!F6:F26)</f>
        <v/>
      </c>
      <c r="D9" s="9">
        <f>SUMIF('detail - working'!C6:C26,A9,'detail - working'!G6:G26)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Inland marine / tools</t>
        </is>
      </c>
      <c r="B10" s="8">
        <f>COUNTIF('detail - working'!C6:C26,A10)</f>
        <v/>
      </c>
      <c r="C10" s="9">
        <f>SUMIF('detail - working'!C6:C26,A10,'detail - working'!F6:F26)</f>
        <v/>
      </c>
      <c r="D10" s="9">
        <f>SUMIF('detail - working'!C6:C26,A10,'detail - working'!G6:G26)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  <row r="11">
      <c r="A11" s="8" t="inlineStr">
        <is>
          <t>open-project exposure</t>
        </is>
      </c>
      <c r="B11" s="8">
        <f>COUNTIF('detail - working'!C6:C26,A11)</f>
        <v/>
      </c>
      <c r="C11" s="9">
        <f>SUMIF('detail - working'!C6:C26,A11,'detail - working'!F6:F26)</f>
        <v/>
      </c>
      <c r="D11" s="9">
        <f>SUMIF('detail - working'!C6:C26,A11,'detail - working'!G6:G26)</f>
        <v/>
      </c>
      <c r="E11" s="9">
        <f>C11+D11</f>
        <v/>
      </c>
      <c r="F11" s="8" t="inlineStr">
        <is>
          <t>PR</t>
        </is>
      </c>
      <c r="G11" s="8" t="inlineStr">
        <is>
          <t>review</t>
        </is>
      </c>
      <c r="H11" s="8" t="inlineStr">
        <is>
          <t>Documented timing/classification item; not an arbitrary plug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prepaids_amort sched FY26 - copy.xlsx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working'!H6:H26)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working'!F6:F26)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working'!G6:G26)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Insurance, bonding and surety exposure schedule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working'!H6:H26)-SUM('detail - working'!F6:F26)-SUM('detail - working'!G6:G26)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21</v>
      </c>
      <c r="C7" s="8">
        <f>COUNTA('detail - working'!A6:A26)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21</v>
      </c>
      <c r="C8" s="8">
        <f>COUNTA('detail - working'!J6:J26)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working'!G6:G26)-COUNTBLANK('detail - working'!A6:A26)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2026-07-28T10:45:31Z</dcterms:modified>
  <cp:lastModifiedBy>Unknown</cp:lastModifiedBy>
</cp:coreProperties>
</file>