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QoE and Working Capita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Transaction Models" sheetId="4" state="visible" r:id="rId4"/>
    <sheet xmlns:r="http://schemas.openxmlformats.org/officeDocument/2006/relationships" name="Carveout and Integration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'QoE and Working Capital'!$A$4:$M$47</definedName>
    <definedName name="_xlnm._FilterDatabase" localSheetId="2" hidden="1">'Valuation'!$A$4:$M$34</definedName>
    <definedName name="_xlnm._FilterDatabase" localSheetId="3" hidden="1">'Transaction Models'!$A$4:$M$100</definedName>
    <definedName name="_xlnm._FilterDatabase" localSheetId="4" hidden="1">'Carveout and Integration'!$A$4:$M$44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QoE and Working Capital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DEV-00059</t>
        </is>
      </c>
      <c r="B5" s="27" t="inlineStr">
        <is>
          <t>Redwood Controls quality-of-earnings normalization</t>
        </is>
      </c>
      <c r="C5" s="27" t="inlineStr">
        <is>
          <t>Redwood monthly P&amp;L</t>
        </is>
      </c>
      <c r="D5" s="27" t="inlineStr">
        <is>
          <t>Target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Revenue</t>
        </is>
      </c>
      <c r="H5" s="46" t="n">
        <v>2317500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DEV-00060</t>
        </is>
      </c>
      <c r="B6" s="27" t="inlineStr">
        <is>
          <t>Redwood Controls quality-of-earnings normalization</t>
        </is>
      </c>
      <c r="C6" s="27" t="inlineStr">
        <is>
          <t>Redwood monthly P&amp;L</t>
        </is>
      </c>
      <c r="D6" s="27" t="inlineStr">
        <is>
          <t>Target</t>
        </is>
      </c>
      <c r="E6" s="27" t="inlineStr">
        <is>
          <t>2025-09</t>
        </is>
      </c>
      <c r="F6" s="27" t="inlineStr">
        <is>
          <t>Management stretch</t>
        </is>
      </c>
      <c r="G6" s="27" t="inlineStr">
        <is>
          <t>Gross profit</t>
        </is>
      </c>
      <c r="H6" s="46" t="n">
        <v>842.2939200000001</v>
      </c>
      <c r="I6" s="27" t="inlineStr"/>
      <c r="J6" s="27" t="inlineStr">
        <is>
          <t>USD thousands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DEV-00061</t>
        </is>
      </c>
      <c r="B7" s="27" t="inlineStr">
        <is>
          <t>Redwood Controls quality-of-earnings normalization</t>
        </is>
      </c>
      <c r="C7" s="27" t="inlineStr">
        <is>
          <t>Redwood monthly P&amp;L</t>
        </is>
      </c>
      <c r="D7" s="27" t="inlineStr">
        <is>
          <t>Target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Operating expense before D&amp;A</t>
        </is>
      </c>
      <c r="H7" s="46" t="n">
        <v>758100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DEV-00062</t>
        </is>
      </c>
      <c r="B8" s="27" t="inlineStr">
        <is>
          <t>Redwood Controls quality-of-earnings normalization</t>
        </is>
      </c>
      <c r="C8" s="27" t="inlineStr">
        <is>
          <t>Redwood monthly P&amp;L</t>
        </is>
      </c>
      <c r="D8" s="27" t="inlineStr">
        <is>
          <t>Target</t>
        </is>
      </c>
      <c r="E8" s="27" t="inlineStr">
        <is>
          <t>2026-02</t>
        </is>
      </c>
      <c r="F8" s="27" t="inlineStr">
        <is>
          <t>Management stretch</t>
        </is>
      </c>
      <c r="G8" s="27" t="inlineStr">
        <is>
          <t>Revenue</t>
        </is>
      </c>
      <c r="H8" s="46" t="n">
        <v>2620320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DEV-00063</t>
        </is>
      </c>
      <c r="B9" s="27" t="inlineStr">
        <is>
          <t>Redwood Controls quality-of-earnings normalization</t>
        </is>
      </c>
      <c r="C9" s="27" t="inlineStr">
        <is>
          <t>Redwood monthly P&amp;L</t>
        </is>
      </c>
      <c r="D9" s="27" t="inlineStr">
        <is>
          <t>Target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Gross profit</t>
        </is>
      </c>
      <c r="H9" s="46" t="n">
        <v>1036713.6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DEV-00064</t>
        </is>
      </c>
      <c r="B10" s="27" t="inlineStr">
        <is>
          <t>Redwood Controls quality-of-earnings normalization</t>
        </is>
      </c>
      <c r="C10" s="27" t="inlineStr">
        <is>
          <t>Redwood monthly P&amp;L</t>
        </is>
      </c>
      <c r="D10" s="27" t="inlineStr">
        <is>
          <t>Target</t>
        </is>
      </c>
      <c r="E10" s="27" t="inlineStr">
        <is>
          <t>2026-06</t>
        </is>
      </c>
      <c r="F10" s="27" t="inlineStr">
        <is>
          <t>Management stretch</t>
        </is>
      </c>
      <c r="G10" s="27" t="inlineStr">
        <is>
          <t>Operating expense before D&amp;A</t>
        </is>
      </c>
      <c r="H10" s="46" t="n">
        <v>816.9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DEV-00065</t>
        </is>
      </c>
      <c r="B11" s="27" t="inlineStr">
        <is>
          <t>Redwood Controls quality-of-earnings normalization</t>
        </is>
      </c>
      <c r="C11" s="27" t="inlineStr">
        <is>
          <t>QoE adjustment evidence</t>
        </is>
      </c>
      <c r="D11" s="27" t="inlineStr">
        <is>
          <t>Vacant CFO run-rate cost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Seller proposed EBITDA adjustment</t>
        </is>
      </c>
      <c r="H11" s="46" t="n">
        <v>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DEV-00066</t>
        </is>
      </c>
      <c r="B12" s="27" t="inlineStr">
        <is>
          <t>Redwood Controls quality-of-earnings normalization</t>
        </is>
      </c>
      <c r="C12" s="27" t="inlineStr">
        <is>
          <t>Remaining risk register</t>
        </is>
      </c>
      <c r="D12" s="27" t="inlineStr">
        <is>
          <t>Top-customer concentration</t>
        </is>
      </c>
      <c r="E12" s="27" t="inlineStr">
        <is>
          <t>Diligence</t>
        </is>
      </c>
      <c r="F12" s="27" t="inlineStr">
        <is>
          <t>Management stretch</t>
        </is>
      </c>
      <c r="G12" s="27" t="inlineStr">
        <is>
          <t>Probability</t>
        </is>
      </c>
      <c r="H12" s="46" t="n">
        <v>0.8320000000000001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DEV-00067</t>
        </is>
      </c>
      <c r="B13" s="27" t="inlineStr">
        <is>
          <t>Redwood Controls quality-of-earnings normalization</t>
        </is>
      </c>
      <c r="C13" s="27" t="inlineStr">
        <is>
          <t>Redwood monthly P&amp;L</t>
        </is>
      </c>
      <c r="D13" s="27" t="inlineStr">
        <is>
          <t>Target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Revenue</t>
        </is>
      </c>
      <c r="H13" s="46" t="n">
        <v>2362500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DEV-00068</t>
        </is>
      </c>
      <c r="B14" s="27" t="inlineStr">
        <is>
          <t>Redwood Controls quality-of-earnings normalization</t>
        </is>
      </c>
      <c r="C14" s="27" t="inlineStr">
        <is>
          <t>Redwood monthly P&amp;L</t>
        </is>
      </c>
      <c r="D14" s="27" t="inlineStr">
        <is>
          <t>Target</t>
        </is>
      </c>
      <c r="E14" s="27" t="inlineStr">
        <is>
          <t>2025-09</t>
        </is>
      </c>
      <c r="F14" s="27" t="inlineStr">
        <is>
          <t>Management stretch</t>
        </is>
      </c>
      <c r="G14" s="27" t="inlineStr">
        <is>
          <t>Gross profit</t>
        </is>
      </c>
      <c r="H14" s="46" t="n">
        <v>834.1949400000001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DEV-00069</t>
        </is>
      </c>
      <c r="B15" s="27" t="inlineStr">
        <is>
          <t>Redwood Controls quality-of-earnings normalization</t>
        </is>
      </c>
      <c r="C15" s="27" t="inlineStr">
        <is>
          <t>Redwood monthly P&amp;L</t>
        </is>
      </c>
      <c r="D15" s="27" t="inlineStr">
        <is>
          <t>Target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Operating expense before D&amp;A</t>
        </is>
      </c>
      <c r="H15" s="46" t="n">
        <v>750880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DEV-00148</t>
        </is>
      </c>
      <c r="B16" s="27" t="inlineStr">
        <is>
          <t>BluePeak normalized working-capital peg</t>
        </is>
      </c>
      <c r="C16" s="27" t="inlineStr">
        <is>
          <t>Historical normalized NWC</t>
        </is>
      </c>
      <c r="D16" s="27" t="inlineStr">
        <is>
          <t>BluePeak</t>
        </is>
      </c>
      <c r="E16" s="27" t="inlineStr">
        <is>
          <t>2026-05 working copy</t>
        </is>
      </c>
      <c r="F16" s="27" t="inlineStr">
        <is>
          <t>Approved case</t>
        </is>
      </c>
      <c r="G16" s="27" t="inlineStr">
        <is>
          <t>Trade AR</t>
        </is>
      </c>
      <c r="H16" s="46" t="n">
        <v>4171500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DEV-00149</t>
        </is>
      </c>
      <c r="B17" s="27" t="inlineStr">
        <is>
          <t>BluePeak normalized working-capital peg</t>
        </is>
      </c>
      <c r="C17" s="27" t="inlineStr">
        <is>
          <t>Historical normalized NWC</t>
        </is>
      </c>
      <c r="D17" s="27" t="inlineStr">
        <is>
          <t>BluePeak</t>
        </is>
      </c>
      <c r="E17" s="27" t="inlineStr">
        <is>
          <t>2025-08</t>
        </is>
      </c>
      <c r="F17" s="27" t="inlineStr">
        <is>
          <t>Management stretch</t>
        </is>
      </c>
      <c r="G17" s="27" t="inlineStr">
        <is>
          <t>Trade AP</t>
        </is>
      </c>
      <c r="H17" s="46" t="n">
        <v>2137.2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DEV-00150</t>
        </is>
      </c>
      <c r="B18" s="27" t="inlineStr">
        <is>
          <t>BluePeak normalized working-capital peg</t>
        </is>
      </c>
      <c r="C18" s="27" t="inlineStr">
        <is>
          <t>Historical normalized NWC</t>
        </is>
      </c>
      <c r="D18" s="27" t="inlineStr">
        <is>
          <t>BluePeak</t>
        </is>
      </c>
      <c r="E18" s="27" t="inlineStr">
        <is>
          <t>2026-05 working copy</t>
        </is>
      </c>
      <c r="F18" s="27" t="inlineStr">
        <is>
          <t>Approved case</t>
        </is>
      </c>
      <c r="G18" s="27" t="inlineStr">
        <is>
          <t>Deferred revenue</t>
        </is>
      </c>
      <c r="H18" s="46" t="n">
        <v>312900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DEV-00151</t>
        </is>
      </c>
      <c r="B19" s="27" t="inlineStr">
        <is>
          <t>BluePeak normalized working-capital peg</t>
        </is>
      </c>
      <c r="C19" s="27" t="inlineStr">
        <is>
          <t>Historical normalized NWC</t>
        </is>
      </c>
      <c r="D19" s="27" t="inlineStr">
        <is>
          <t>BluePeak</t>
        </is>
      </c>
      <c r="E19" s="27" t="inlineStr">
        <is>
          <t>2025-11</t>
        </is>
      </c>
      <c r="F19" s="27" t="inlineStr">
        <is>
          <t>Management stretch</t>
        </is>
      </c>
      <c r="G19" s="27" t="inlineStr">
        <is>
          <t>Inventory</t>
        </is>
      </c>
      <c r="H19" s="46" t="n">
        <v>1258660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DEV-00152</t>
        </is>
      </c>
      <c r="B20" s="27" t="inlineStr">
        <is>
          <t>BluePeak normalized working-capital peg</t>
        </is>
      </c>
      <c r="C20" s="27" t="inlineStr">
        <is>
          <t>Historical normalized NWC</t>
        </is>
      </c>
      <c r="D20" s="27" t="inlineStr">
        <is>
          <t>BluePeak</t>
        </is>
      </c>
      <c r="E20" s="27" t="inlineStr">
        <is>
          <t>2026-05 working copy</t>
        </is>
      </c>
      <c r="F20" s="27" t="inlineStr">
        <is>
          <t>Approved case</t>
        </is>
      </c>
      <c r="G20" s="27" t="inlineStr">
        <is>
          <t>Accrued operating liabilities</t>
        </is>
      </c>
      <c r="H20" s="46" t="n">
        <v>473200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DEV-00153</t>
        </is>
      </c>
      <c r="B21" s="27" t="inlineStr">
        <is>
          <t>BluePeak normalized working-capital peg</t>
        </is>
      </c>
      <c r="C21" s="27" t="inlineStr">
        <is>
          <t>Historical normalized NWC</t>
        </is>
      </c>
      <c r="D21" s="27" t="inlineStr">
        <is>
          <t>BluePeak</t>
        </is>
      </c>
      <c r="E21" s="27" t="inlineStr">
        <is>
          <t>2026-02</t>
        </is>
      </c>
      <c r="F21" s="27" t="inlineStr">
        <is>
          <t>Management stretch</t>
        </is>
      </c>
      <c r="G21" s="27" t="inlineStr">
        <is>
          <t>Trade AR</t>
        </is>
      </c>
      <c r="H21" s="46" t="n">
        <v>4656.75</v>
      </c>
      <c r="I21" s="27" t="inlineStr"/>
      <c r="J21" s="27" t="inlineStr">
        <is>
          <t>USD thousands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DEV-00154</t>
        </is>
      </c>
      <c r="B22" s="27" t="inlineStr">
        <is>
          <t>BluePeak normalized working-capital peg</t>
        </is>
      </c>
      <c r="C22" s="27" t="inlineStr">
        <is>
          <t>Historical normalized NWC</t>
        </is>
      </c>
      <c r="D22" s="27" t="inlineStr">
        <is>
          <t>BluePeak</t>
        </is>
      </c>
      <c r="E22" s="27" t="inlineStr">
        <is>
          <t>2026-05 working copy</t>
        </is>
      </c>
      <c r="F22" s="27" t="inlineStr">
        <is>
          <t>Approved case</t>
        </is>
      </c>
      <c r="G22" s="27" t="inlineStr">
        <is>
          <t>Trade AP</t>
        </is>
      </c>
      <c r="H22" s="46" t="n">
        <v>2369000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DEV-00155</t>
        </is>
      </c>
      <c r="B23" s="27" t="inlineStr">
        <is>
          <t>BluePeak normalized working-capital peg</t>
        </is>
      </c>
      <c r="C23" s="27" t="inlineStr">
        <is>
          <t>Historical normalized NWC</t>
        </is>
      </c>
      <c r="D23" s="27" t="inlineStr">
        <is>
          <t>BluePeak</t>
        </is>
      </c>
      <c r="E23" s="27" t="inlineStr">
        <is>
          <t>2026-04</t>
        </is>
      </c>
      <c r="F23" s="27" t="inlineStr">
        <is>
          <t>Management stretch</t>
        </is>
      </c>
      <c r="G23" s="27" t="inlineStr">
        <is>
          <t>Deferred revenue</t>
        </is>
      </c>
      <c r="H23" s="46" t="n">
        <v>339040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DEV-00156</t>
        </is>
      </c>
      <c r="B24" s="27" t="inlineStr">
        <is>
          <t>BluePeak normalized working-capital peg</t>
        </is>
      </c>
      <c r="C24" s="27" t="inlineStr">
        <is>
          <t>Historical normalized NWC</t>
        </is>
      </c>
      <c r="D24" s="27" t="inlineStr">
        <is>
          <t>BluePeak</t>
        </is>
      </c>
      <c r="E24" s="27" t="inlineStr">
        <is>
          <t>2026-05 working copy</t>
        </is>
      </c>
      <c r="F24" s="27" t="inlineStr">
        <is>
          <t>Approved case</t>
        </is>
      </c>
      <c r="G24" s="27" t="inlineStr">
        <is>
          <t>Inventory</t>
        </is>
      </c>
      <c r="H24" s="46" t="n">
        <v>1415400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DEV-00157</t>
        </is>
      </c>
      <c r="B25" s="27" t="inlineStr">
        <is>
          <t>BluePeak normalized working-capital peg</t>
        </is>
      </c>
      <c r="C25" s="27" t="inlineStr">
        <is>
          <t>Estimated closing balance sheet</t>
        </is>
      </c>
      <c r="D25" s="27" t="inlineStr">
        <is>
          <t>Payroll and benefits accrual</t>
        </is>
      </c>
      <c r="E25" s="27" t="inlineStr">
        <is>
          <t>Estimated closing</t>
        </is>
      </c>
      <c r="F25" s="27" t="inlineStr">
        <is>
          <t>Management stretch</t>
        </is>
      </c>
      <c r="G25" s="27" t="inlineStr">
        <is>
          <t>Balance</t>
        </is>
      </c>
      <c r="H25" s="46" t="n">
        <v>319.3</v>
      </c>
      <c r="I25" s="27" t="inlineStr"/>
      <c r="J25" s="27" t="inlineStr">
        <is>
          <t>USD thousands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DEV-00460</t>
        </is>
      </c>
      <c r="B26" s="27" t="inlineStr">
        <is>
          <t>Create the Pioneer QoE and purchase-price bridge</t>
        </is>
      </c>
      <c r="C26" s="27" t="inlineStr">
        <is>
          <t>Target reported results</t>
        </is>
      </c>
      <c r="D26" s="27" t="inlineStr">
        <is>
          <t>Pioneer HVAC</t>
        </is>
      </c>
      <c r="E26" s="27" t="inlineStr">
        <is>
          <t>2026-05 working copy</t>
        </is>
      </c>
      <c r="F26" s="27" t="inlineStr">
        <is>
          <t>Approved case</t>
        </is>
      </c>
      <c r="G26" s="27" t="inlineStr">
        <is>
          <t>Reported EBITDA</t>
        </is>
      </c>
      <c r="H26" s="46" t="n">
        <v>5005.8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DEV-00461</t>
        </is>
      </c>
      <c r="B27" s="27" t="inlineStr">
        <is>
          <t>Create the Pioneer QoE and purchase-price bridge</t>
        </is>
      </c>
      <c r="C27" s="27" t="inlineStr">
        <is>
          <t>QoE adjustments</t>
        </is>
      </c>
      <c r="D27" s="27" t="inlineStr">
        <is>
          <t>Proposed procurement synergy</t>
        </is>
      </c>
      <c r="E27" s="27" t="inlineStr">
        <is>
          <t>LTM 2026-06-30</t>
        </is>
      </c>
      <c r="F27" s="27" t="inlineStr">
        <is>
          <t>Management stretch</t>
        </is>
      </c>
      <c r="G27" s="27" t="inlineStr">
        <is>
          <t>EBITDA adjustment</t>
        </is>
      </c>
      <c r="H27" s="46" t="n">
        <v>634400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DEV-00462</t>
        </is>
      </c>
      <c r="B28" s="27" t="inlineStr">
        <is>
          <t>Create the Pioneer QoE and purchase-price bridge</t>
        </is>
      </c>
      <c r="C28" s="27" t="inlineStr">
        <is>
          <t>Target monthly working capital</t>
        </is>
      </c>
      <c r="D28" s="27" t="inlineStr">
        <is>
          <t>Pioneer HVAC</t>
        </is>
      </c>
      <c r="E28" s="27" t="inlineStr">
        <is>
          <t>2026-05 working copy</t>
        </is>
      </c>
      <c r="F28" s="27" t="inlineStr">
        <is>
          <t>Approved case</t>
        </is>
      </c>
      <c r="G28" s="27" t="inlineStr">
        <is>
          <t>Accounts receivable</t>
        </is>
      </c>
      <c r="H28" s="46" t="n">
        <v>2152500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DEV-00463</t>
        </is>
      </c>
      <c r="B29" s="27" t="inlineStr">
        <is>
          <t>Create the Pioneer QoE and purchase-price bridge</t>
        </is>
      </c>
      <c r="C29" s="27" t="inlineStr">
        <is>
          <t>Target monthly working capital</t>
        </is>
      </c>
      <c r="D29" s="27" t="inlineStr">
        <is>
          <t>Pioneer HVAC</t>
        </is>
      </c>
      <c r="E29" s="27" t="inlineStr">
        <is>
          <t>2026-03</t>
        </is>
      </c>
      <c r="F29" s="27" t="inlineStr">
        <is>
          <t>Management stretch</t>
        </is>
      </c>
      <c r="G29" s="27" t="inlineStr">
        <is>
          <t>Revenue</t>
        </is>
      </c>
      <c r="H29" s="46" t="n">
        <v>7055500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DEV-00464</t>
        </is>
      </c>
      <c r="B30" s="27" t="inlineStr">
        <is>
          <t>Create the Pioneer QoE and purchase-price bridge</t>
        </is>
      </c>
      <c r="C30" s="27" t="inlineStr">
        <is>
          <t>Target monthly working capital</t>
        </is>
      </c>
      <c r="D30" s="27" t="inlineStr">
        <is>
          <t>Pioneer HVAC</t>
        </is>
      </c>
      <c r="E30" s="27" t="inlineStr">
        <is>
          <t>2026-05 working copy</t>
        </is>
      </c>
      <c r="F30" s="27" t="inlineStr">
        <is>
          <t>Approved case</t>
        </is>
      </c>
      <c r="G30" s="27" t="inlineStr">
        <is>
          <t>Accounts payable</t>
        </is>
      </c>
      <c r="H30" s="46" t="n">
        <v>1341.6</v>
      </c>
      <c r="I30" s="27" t="inlineStr"/>
      <c r="J30" s="27" t="inlineStr">
        <is>
          <t>USD thousands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DEV-00465</t>
        </is>
      </c>
      <c r="B31" s="27" t="inlineStr">
        <is>
          <t>Create the Pioneer QoE and purchase-price bridge</t>
        </is>
      </c>
      <c r="C31" s="27" t="inlineStr">
        <is>
          <t>Target monthly working capital</t>
        </is>
      </c>
      <c r="D31" s="27" t="inlineStr">
        <is>
          <t>Pioneer HVAC</t>
        </is>
      </c>
      <c r="E31" s="27" t="inlineStr">
        <is>
          <t>2026-06</t>
        </is>
      </c>
      <c r="F31" s="27" t="inlineStr">
        <is>
          <t>Management stretch</t>
        </is>
      </c>
      <c r="G31" s="27" t="inlineStr">
        <is>
          <t>Inventory</t>
        </is>
      </c>
      <c r="H31" s="46" t="n">
        <v>3055500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DEV-00466</t>
        </is>
      </c>
      <c r="B32" s="27" t="inlineStr">
        <is>
          <t>Create the Pioneer QoE and purchase-price bridge</t>
        </is>
      </c>
      <c r="C32" s="27" t="inlineStr">
        <is>
          <t>Purchase price terms</t>
        </is>
      </c>
      <c r="D32" s="27" t="inlineStr">
        <is>
          <t>Pioneer HVAC</t>
        </is>
      </c>
      <c r="E32" s="27" t="inlineStr">
        <is>
          <t>2026-05 working copy</t>
        </is>
      </c>
      <c r="F32" s="27" t="inlineStr">
        <is>
          <t>Approved case</t>
        </is>
      </c>
      <c r="G32" s="27" t="inlineStr">
        <is>
          <t>Seller retained tax receivable</t>
        </is>
      </c>
      <c r="H32" s="46" t="n">
        <v>247200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DEV-00467</t>
        </is>
      </c>
      <c r="B33" s="27" t="inlineStr">
        <is>
          <t>Create the Pioneer QoE and purchase-price bridge</t>
        </is>
      </c>
      <c r="C33" s="27" t="inlineStr">
        <is>
          <t>QoE adjustments</t>
        </is>
      </c>
      <c r="D33" s="27" t="inlineStr">
        <is>
          <t>Uninsured storm loss</t>
        </is>
      </c>
      <c r="E33" s="27" t="inlineStr">
        <is>
          <t>LTM 2026-06-30</t>
        </is>
      </c>
      <c r="F33" s="27" t="inlineStr">
        <is>
          <t>Management stretch</t>
        </is>
      </c>
      <c r="G33" s="27" t="inlineStr">
        <is>
          <t>Include in QoE</t>
        </is>
      </c>
      <c r="H33" s="46" t="n">
        <v>1.04</v>
      </c>
      <c r="I33" s="27" t="inlineStr"/>
      <c r="J33" s="27" t="inlineStr">
        <is>
          <t>boolean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DEV-00468</t>
        </is>
      </c>
      <c r="B34" s="27" t="inlineStr">
        <is>
          <t>Create the Pioneer QoE and purchase-price bridge</t>
        </is>
      </c>
      <c r="C34" s="27" t="inlineStr">
        <is>
          <t>QoE adjustments</t>
        </is>
      </c>
      <c r="D34" s="27" t="inlineStr">
        <is>
          <t>Banker revenue uplift</t>
        </is>
      </c>
      <c r="E34" s="27" t="inlineStr">
        <is>
          <t>2026-05 working copy</t>
        </is>
      </c>
      <c r="F34" s="27" t="inlineStr">
        <is>
          <t>Approved case</t>
        </is>
      </c>
      <c r="G34" s="27" t="inlineStr">
        <is>
          <t>EBITDA adjustment</t>
        </is>
      </c>
      <c r="H34" s="46" t="n">
        <v>567</v>
      </c>
      <c r="I34" s="27" t="inlineStr"/>
      <c r="J34" s="27" t="inlineStr">
        <is>
          <t>USD thousands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DEV-00469</t>
        </is>
      </c>
      <c r="B35" s="27" t="inlineStr">
        <is>
          <t>Create the Pioneer QoE and purchase-price bridge</t>
        </is>
      </c>
      <c r="C35" s="27" t="inlineStr">
        <is>
          <t>Target monthly working capital</t>
        </is>
      </c>
      <c r="D35" s="27" t="inlineStr">
        <is>
          <t>Pioneer HVAC</t>
        </is>
      </c>
      <c r="E35" s="27" t="inlineStr">
        <is>
          <t>2026-02</t>
        </is>
      </c>
      <c r="F35" s="27" t="inlineStr">
        <is>
          <t>Management stretch</t>
        </is>
      </c>
      <c r="G35" s="27" t="inlineStr">
        <is>
          <t>Accounts receivable</t>
        </is>
      </c>
      <c r="H35" s="46" t="n">
        <v>2276300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DEV-00470</t>
        </is>
      </c>
      <c r="B36" s="27" t="inlineStr">
        <is>
          <t>Create the Pioneer QoE and purchase-price bridge</t>
        </is>
      </c>
      <c r="C36" s="27" t="inlineStr">
        <is>
          <t>Target monthly working capital</t>
        </is>
      </c>
      <c r="D36" s="27" t="inlineStr">
        <is>
          <t>Pioneer HVAC</t>
        </is>
      </c>
      <c r="E36" s="27" t="inlineStr">
        <is>
          <t>2026-05 working copy</t>
        </is>
      </c>
      <c r="F36" s="27" t="inlineStr">
        <is>
          <t>Approved case</t>
        </is>
      </c>
      <c r="G36" s="27" t="inlineStr">
        <is>
          <t>Revenue</t>
        </is>
      </c>
      <c r="H36" s="46" t="n">
        <v>7030400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DEV-00471</t>
        </is>
      </c>
      <c r="B37" s="27" t="inlineStr">
        <is>
          <t>Create the Pioneer QoE and purchase-price bridge</t>
        </is>
      </c>
      <c r="C37" s="27" t="inlineStr">
        <is>
          <t>Target monthly working capital</t>
        </is>
      </c>
      <c r="D37" s="27" t="inlineStr">
        <is>
          <t>Pioneer HVAC</t>
        </is>
      </c>
      <c r="E37" s="27" t="inlineStr">
        <is>
          <t>2026-05</t>
        </is>
      </c>
      <c r="F37" s="27" t="inlineStr">
        <is>
          <t>Management stretch</t>
        </is>
      </c>
      <c r="G37" s="27" t="inlineStr">
        <is>
          <t>Accounts payable</t>
        </is>
      </c>
      <c r="H37" s="46" t="n">
        <v>1396500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DEV-00472</t>
        </is>
      </c>
      <c r="B38" s="27" t="inlineStr">
        <is>
          <t>Create the Pioneer QoE and purchase-price bridge</t>
        </is>
      </c>
      <c r="C38" s="27" t="inlineStr">
        <is>
          <t>Purchase price terms</t>
        </is>
      </c>
      <c r="D38" s="27" t="inlineStr">
        <is>
          <t>Pioneer HVAC</t>
        </is>
      </c>
      <c r="E38" s="27" t="inlineStr">
        <is>
          <t>2026-05 working copy</t>
        </is>
      </c>
      <c r="F38" s="27" t="inlineStr">
        <is>
          <t>Approved case</t>
        </is>
      </c>
      <c r="G38" s="27" t="inlineStr">
        <is>
          <t>Funded debt</t>
        </is>
      </c>
      <c r="H38" s="46" t="n">
        <v>4841</v>
      </c>
      <c r="I38" s="27" t="inlineStr"/>
      <c r="J38" s="27" t="inlineStr">
        <is>
          <t>USD thousands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DEV-00473</t>
        </is>
      </c>
      <c r="B39" s="27" t="inlineStr">
        <is>
          <t>Create the Pioneer QoE and purchase-price bridge</t>
        </is>
      </c>
      <c r="C39" s="27" t="inlineStr">
        <is>
          <t>QoE adjustments</t>
        </is>
      </c>
      <c r="D39" s="27" t="inlineStr">
        <is>
          <t>Owner compensation normalization</t>
        </is>
      </c>
      <c r="E39" s="27" t="inlineStr">
        <is>
          <t>LTM 2026-06-30</t>
        </is>
      </c>
      <c r="F39" s="27" t="inlineStr">
        <is>
          <t>Management stretch</t>
        </is>
      </c>
      <c r="G39" s="27" t="inlineStr">
        <is>
          <t>EBITDA adjustment</t>
        </is>
      </c>
      <c r="H39" s="46" t="n">
        <v>436800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DEV-00474</t>
        </is>
      </c>
      <c r="B40" s="27" t="inlineStr">
        <is>
          <t>Create the Pioneer QoE and purchase-price bridge</t>
        </is>
      </c>
      <c r="C40" s="27" t="inlineStr">
        <is>
          <t>QoE adjustments</t>
        </is>
      </c>
      <c r="D40" s="27" t="inlineStr">
        <is>
          <t>Proposed procurement synergy</t>
        </is>
      </c>
      <c r="E40" s="27" t="inlineStr">
        <is>
          <t>2026-05 working copy</t>
        </is>
      </c>
      <c r="F40" s="27" t="inlineStr">
        <is>
          <t>Approved case</t>
        </is>
      </c>
      <c r="G40" s="27" t="inlineStr">
        <is>
          <t>Include in QoE</t>
        </is>
      </c>
      <c r="H40" s="46" t="n">
        <v>0</v>
      </c>
      <c r="I40" s="27" t="inlineStr"/>
      <c r="J40" s="27" t="inlineStr">
        <is>
          <t>boolean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DEV-00475</t>
        </is>
      </c>
      <c r="B41" s="27" t="inlineStr">
        <is>
          <t>Create the Pioneer QoE and purchase-price bridge</t>
        </is>
      </c>
      <c r="C41" s="27" t="inlineStr">
        <is>
          <t>Target monthly working capital</t>
        </is>
      </c>
      <c r="D41" s="27" t="inlineStr">
        <is>
          <t>Pioneer HVAC</t>
        </is>
      </c>
      <c r="E41" s="27" t="inlineStr">
        <is>
          <t>2026-01</t>
        </is>
      </c>
      <c r="F41" s="27" t="inlineStr">
        <is>
          <t>Management stretch</t>
        </is>
      </c>
      <c r="G41" s="27" t="inlineStr">
        <is>
          <t>Inventory</t>
        </is>
      </c>
      <c r="H41" s="46" t="n">
        <v>2492600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DEV-00489</t>
        </is>
      </c>
      <c r="B42" s="27" t="inlineStr">
        <is>
          <t>Create the Pioneer QoE and purchase-price bridge</t>
        </is>
      </c>
      <c r="C42" s="27" t="inlineStr">
        <is>
          <t>Locked box leakage review</t>
        </is>
      </c>
      <c r="D42" s="27" t="inlineStr">
        <is>
          <t>Owner dividend</t>
        </is>
      </c>
      <c r="E42" s="27" t="inlineStr">
        <is>
          <t>2026-05 working copy</t>
        </is>
      </c>
      <c r="F42" s="27" t="inlineStr">
        <is>
          <t>Approved case</t>
        </is>
      </c>
      <c r="G42" s="27" t="inlineStr">
        <is>
          <t>Cash outflow</t>
        </is>
      </c>
      <c r="H42" s="46" t="n">
        <v>319300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DEV-00490</t>
        </is>
      </c>
      <c r="B43" s="27" t="inlineStr">
        <is>
          <t>Create the Pioneer QoE and purchase-price bridge</t>
        </is>
      </c>
      <c r="C43" s="27" t="inlineStr">
        <is>
          <t>Locked box leakage review</t>
        </is>
      </c>
      <c r="D43" s="27" t="inlineStr">
        <is>
          <t>Ordinary payroll</t>
        </is>
      </c>
      <c r="E43" s="27" t="inlineStr">
        <is>
          <t>Signing to close</t>
        </is>
      </c>
      <c r="F43" s="27" t="inlineStr">
        <is>
          <t>Management stretch</t>
        </is>
      </c>
      <c r="G43" s="27" t="inlineStr">
        <is>
          <t>Permitted leakage</t>
        </is>
      </c>
      <c r="H43" s="46" t="n">
        <v>1.04</v>
      </c>
      <c r="I43" s="27" t="inlineStr"/>
      <c r="J43" s="27" t="inlineStr">
        <is>
          <t>boolean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DEV-00491</t>
        </is>
      </c>
      <c r="B44" s="27" t="inlineStr">
        <is>
          <t>Create the Pioneer QoE and purchase-price bridge</t>
        </is>
      </c>
      <c r="C44" s="27" t="inlineStr">
        <is>
          <t>Locked box leakage review</t>
        </is>
      </c>
      <c r="D44" s="27" t="inlineStr">
        <is>
          <t>Owner dividend</t>
        </is>
      </c>
      <c r="E44" s="27" t="inlineStr">
        <is>
          <t>2026-05 working copy</t>
        </is>
      </c>
      <c r="F44" s="27" t="inlineStr">
        <is>
          <t>Approved case</t>
        </is>
      </c>
      <c r="G44" s="27" t="inlineStr">
        <is>
          <t>Permitted leakage</t>
        </is>
      </c>
      <c r="H44" s="46" t="n">
        <v>0</v>
      </c>
      <c r="I44" s="27" t="inlineStr"/>
      <c r="J44" s="27" t="inlineStr">
        <is>
          <t>boolean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DEV-00492</t>
        </is>
      </c>
      <c r="B45" s="27" t="inlineStr">
        <is>
          <t>Create the Pioneer QoE and purchase-price bridge</t>
        </is>
      </c>
      <c r="C45" s="27" t="inlineStr">
        <is>
          <t>Closing funds flow terms</t>
        </is>
      </c>
      <c r="D45" s="27" t="inlineStr">
        <is>
          <t>Pioneer HVAC</t>
        </is>
      </c>
      <c r="E45" s="27" t="inlineStr">
        <is>
          <t>Closing</t>
        </is>
      </c>
      <c r="F45" s="27" t="inlineStr">
        <is>
          <t>Management stretch</t>
        </is>
      </c>
      <c r="G45" s="27" t="inlineStr">
        <is>
          <t>Escrow percent of adjusted equity price</t>
        </is>
      </c>
      <c r="H45" s="46" t="n">
        <v>0.07725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DEV-00493</t>
        </is>
      </c>
      <c r="B46" s="27" t="inlineStr">
        <is>
          <t>Create the Pioneer QoE and purchase-price bridge</t>
        </is>
      </c>
      <c r="C46" s="27" t="inlineStr">
        <is>
          <t>Locked box leakage review</t>
        </is>
      </c>
      <c r="D46" s="27" t="inlineStr">
        <is>
          <t>Tax distribution</t>
        </is>
      </c>
      <c r="E46" s="27" t="inlineStr">
        <is>
          <t>2026-05 working copy</t>
        </is>
      </c>
      <c r="F46" s="27" t="inlineStr">
        <is>
          <t>Approved case</t>
        </is>
      </c>
      <c r="G46" s="27" t="inlineStr">
        <is>
          <t>Cash outflow</t>
        </is>
      </c>
      <c r="H46" s="46" t="n">
        <v>192400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DEV-00494</t>
        </is>
      </c>
      <c r="B47" s="27" t="inlineStr">
        <is>
          <t>Create the Pioneer QoE and purchase-price bridge</t>
        </is>
      </c>
      <c r="C47" s="27" t="inlineStr">
        <is>
          <t>Closing funds flow terms</t>
        </is>
      </c>
      <c r="D47" s="27" t="inlineStr">
        <is>
          <t>Pioneer HVAC</t>
        </is>
      </c>
      <c r="E47" s="27" t="inlineStr">
        <is>
          <t>Closing</t>
        </is>
      </c>
      <c r="F47" s="27" t="inlineStr">
        <is>
          <t>Management stretch</t>
        </is>
      </c>
      <c r="G47" s="27" t="inlineStr">
        <is>
          <t>Earnout face value</t>
        </is>
      </c>
      <c r="H47" s="46" t="n">
        <v>4725000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</sheetData>
  <autoFilter ref="A4:M47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Valuation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DEV-00192</t>
        </is>
      </c>
      <c r="B5" s="27" t="inlineStr">
        <is>
          <t>Create the Northstar standalone DCF</t>
        </is>
      </c>
      <c r="C5" s="27" t="inlineStr">
        <is>
          <t>Historical</t>
        </is>
      </c>
      <c r="D5" s="27" t="inlineStr">
        <is>
          <t>Northstar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Revenue</t>
        </is>
      </c>
      <c r="H5" s="46" t="n">
        <v>32445000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DEV-00193</t>
        </is>
      </c>
      <c r="B6" s="27" t="inlineStr">
        <is>
          <t>Create the Northstar standalone DCF</t>
        </is>
      </c>
      <c r="C6" s="27" t="inlineStr">
        <is>
          <t>Forecast</t>
        </is>
      </c>
      <c r="D6" s="27" t="inlineStr">
        <is>
          <t>Northstar</t>
        </is>
      </c>
      <c r="E6" s="27" t="inlineStr">
        <is>
          <t>2028</t>
        </is>
      </c>
      <c r="F6" s="27" t="inlineStr">
        <is>
          <t>Management stretch</t>
        </is>
      </c>
      <c r="G6" s="27" t="inlineStr">
        <is>
          <t>EBIT margin</t>
        </is>
      </c>
      <c r="H6" s="46" t="n">
        <v>0.19968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DEV-00194</t>
        </is>
      </c>
      <c r="B7" s="27" t="inlineStr">
        <is>
          <t>Create the Northstar standalone DCF</t>
        </is>
      </c>
      <c r="C7" s="27" t="inlineStr">
        <is>
          <t>Forecast</t>
        </is>
      </c>
      <c r="D7" s="27" t="inlineStr">
        <is>
          <t>Northstar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Capex percent of revenue</t>
        </is>
      </c>
      <c r="H7" s="46" t="n">
        <v>0.04305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DEV-00195</t>
        </is>
      </c>
      <c r="B8" s="27" t="inlineStr">
        <is>
          <t>Create the Northstar standalone DCF</t>
        </is>
      </c>
      <c r="C8" s="27" t="inlineStr">
        <is>
          <t>Forecast</t>
        </is>
      </c>
      <c r="D8" s="27" t="inlineStr">
        <is>
          <t>Northstar</t>
        </is>
      </c>
      <c r="E8" s="27" t="inlineStr">
        <is>
          <t>2031</t>
        </is>
      </c>
      <c r="F8" s="27" t="inlineStr">
        <is>
          <t>Management stretch</t>
        </is>
      </c>
      <c r="G8" s="27" t="inlineStr">
        <is>
          <t>Revenue growth</t>
        </is>
      </c>
      <c r="H8" s="46" t="n">
        <v>0.06695000000000001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DEV-00196</t>
        </is>
      </c>
      <c r="B9" s="27" t="inlineStr">
        <is>
          <t>Create the Northstar standalone DCF</t>
        </is>
      </c>
      <c r="C9" s="27" t="inlineStr">
        <is>
          <t>DCF assumptions</t>
        </is>
      </c>
      <c r="D9" s="27" t="inlineStr">
        <is>
          <t>Northstar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Equity risk premium</t>
        </is>
      </c>
      <c r="H9" s="46" t="n">
        <v>0.0572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DEV-00197</t>
        </is>
      </c>
      <c r="B10" s="27" t="inlineStr">
        <is>
          <t>Create the Northstar standalone DCF</t>
        </is>
      </c>
      <c r="C10" s="27" t="inlineStr">
        <is>
          <t>Forecast</t>
        </is>
      </c>
      <c r="D10" s="27" t="inlineStr">
        <is>
          <t>Northstar</t>
        </is>
      </c>
      <c r="E10" s="27" t="inlineStr">
        <is>
          <t>2027</t>
        </is>
      </c>
      <c r="F10" s="27" t="inlineStr">
        <is>
          <t>Management stretch</t>
        </is>
      </c>
      <c r="G10" s="27" t="inlineStr">
        <is>
          <t>Revenue growth</t>
        </is>
      </c>
      <c r="H10" s="46" t="n">
        <v>0.11025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DEV-00198</t>
        </is>
      </c>
      <c r="B11" s="27" t="inlineStr">
        <is>
          <t>Create the Northstar standalone DCF</t>
        </is>
      </c>
      <c r="C11" s="27" t="inlineStr">
        <is>
          <t>Forecast</t>
        </is>
      </c>
      <c r="D11" s="27" t="inlineStr">
        <is>
          <t>Northstar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D&amp;A percent of revenue</t>
        </is>
      </c>
      <c r="H11" s="46" t="n">
        <v>0.03193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DEV-00199</t>
        </is>
      </c>
      <c r="B12" s="27" t="inlineStr">
        <is>
          <t>Create the Northstar standalone DCF</t>
        </is>
      </c>
      <c r="C12" s="27" t="inlineStr">
        <is>
          <t>Forecast</t>
        </is>
      </c>
      <c r="D12" s="27" t="inlineStr">
        <is>
          <t>Northstar</t>
        </is>
      </c>
      <c r="E12" s="27" t="inlineStr">
        <is>
          <t>2029</t>
        </is>
      </c>
      <c r="F12" s="27" t="inlineStr">
        <is>
          <t>Management stretch</t>
        </is>
      </c>
      <c r="G12" s="27" t="inlineStr">
        <is>
          <t>NWC investment percent of revenue</t>
        </is>
      </c>
      <c r="H12" s="46" t="n">
        <v>0.01664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DEV-00200</t>
        </is>
      </c>
      <c r="B13" s="27" t="inlineStr">
        <is>
          <t>Create the Northstar standalone DCF</t>
        </is>
      </c>
      <c r="C13" s="27" t="inlineStr">
        <is>
          <t>Forecast</t>
        </is>
      </c>
      <c r="D13" s="27" t="inlineStr">
        <is>
          <t>Northstar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EBIT margin</t>
        </is>
      </c>
      <c r="H13" s="46" t="n">
        <v>0.2184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DEV-00201</t>
        </is>
      </c>
      <c r="B14" s="27" t="inlineStr">
        <is>
          <t>Create the Northstar standalone DCF</t>
        </is>
      </c>
      <c r="C14" s="27" t="inlineStr">
        <is>
          <t>DCF assumptions</t>
        </is>
      </c>
      <c r="D14" s="27" t="inlineStr">
        <is>
          <t>Northstar</t>
        </is>
      </c>
      <c r="E14" s="27" t="inlineStr">
        <is>
          <t>2026-07-01</t>
        </is>
      </c>
      <c r="F14" s="27" t="inlineStr">
        <is>
          <t>Management stretch</t>
        </is>
      </c>
      <c r="G14" s="27" t="inlineStr">
        <is>
          <t>Relevered beta</t>
        </is>
      </c>
      <c r="H14" s="46" t="n">
        <v>1.1124</v>
      </c>
      <c r="I14" s="27" t="inlineStr"/>
      <c r="J14" s="27" t="inlineStr">
        <is>
          <t>beta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DEV-00722</t>
        </is>
      </c>
      <c r="B15" s="27" t="inlineStr">
        <is>
          <t>Valuation triangulation and bid ceiling</t>
        </is>
      </c>
      <c r="C15" s="27" t="inlineStr">
        <is>
          <t>Approved trading peers</t>
        </is>
      </c>
      <c r="D15" s="27" t="inlineStr">
        <is>
          <t>Peer A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EV EBITDA multiple</t>
        </is>
      </c>
      <c r="H15" s="46" t="n">
        <v>7.622000000000001</v>
      </c>
      <c r="I15" s="27" t="inlineStr"/>
      <c r="J15" s="27" t="inlineStr">
        <is>
          <t>multiple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DEV-00723</t>
        </is>
      </c>
      <c r="B16" s="27" t="inlineStr">
        <is>
          <t>Valuation triangulation and bid ceiling</t>
        </is>
      </c>
      <c r="C16" s="27" t="inlineStr">
        <is>
          <t>Approved trading peers</t>
        </is>
      </c>
      <c r="D16" s="27" t="inlineStr">
        <is>
          <t>Peer C</t>
        </is>
      </c>
      <c r="E16" s="27" t="inlineStr">
        <is>
          <t>2026-07-05</t>
        </is>
      </c>
      <c r="F16" s="27" t="inlineStr">
        <is>
          <t>Management stretch</t>
        </is>
      </c>
      <c r="G16" s="27" t="inlineStr">
        <is>
          <t>EV revenue multiple</t>
        </is>
      </c>
      <c r="H16" s="46" t="n">
        <v>1.612</v>
      </c>
      <c r="I16" s="27" t="inlineStr"/>
      <c r="J16" s="27" t="inlineStr">
        <is>
          <t>multiple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DEV-00724</t>
        </is>
      </c>
      <c r="B17" s="27" t="inlineStr">
        <is>
          <t>Valuation triangulation and bid ceiling</t>
        </is>
      </c>
      <c r="C17" s="27" t="inlineStr">
        <is>
          <t>Approved trading peers</t>
        </is>
      </c>
      <c r="D17" s="27" t="inlineStr">
        <is>
          <t>Peer 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Comparable</t>
        </is>
      </c>
      <c r="H17" s="46" t="n">
        <v>1.05</v>
      </c>
      <c r="I17" s="27" t="inlineStr"/>
      <c r="J17" s="27" t="inlineStr">
        <is>
          <t>boolean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DEV-00725</t>
        </is>
      </c>
      <c r="B18" s="27" t="inlineStr">
        <is>
          <t>Valuation triangulation and bid ceiling</t>
        </is>
      </c>
      <c r="C18" s="27" t="inlineStr">
        <is>
          <t>Precedent transactions</t>
        </is>
      </c>
      <c r="D18" s="27" t="inlineStr">
        <is>
          <t>Western Services</t>
        </is>
      </c>
      <c r="E18" s="27" t="inlineStr">
        <is>
          <t>Close date</t>
        </is>
      </c>
      <c r="F18" s="27" t="inlineStr">
        <is>
          <t>Management stretch</t>
        </is>
      </c>
      <c r="G18" s="27" t="inlineStr">
        <is>
          <t>EV EBITDA multiple</t>
        </is>
      </c>
      <c r="H18" s="46" t="n">
        <v>9.167</v>
      </c>
      <c r="I18" s="27" t="inlineStr"/>
      <c r="J18" s="27" t="inlineStr">
        <is>
          <t>multiple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DEV-00726</t>
        </is>
      </c>
      <c r="B19" s="27" t="inlineStr">
        <is>
          <t>Valuation triangulation and bid ceiling</t>
        </is>
      </c>
      <c r="C19" s="27" t="inlineStr">
        <is>
          <t>Valuation and bid policy</t>
        </is>
      </c>
      <c r="D19" s="27" t="inlineStr">
        <is>
          <t>Pioneer HVAC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Trading EBITDA weight</t>
        </is>
      </c>
      <c r="H19" s="46" t="n">
        <v>0.364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DEV-00727</t>
        </is>
      </c>
      <c r="B20" s="27" t="inlineStr">
        <is>
          <t>Valuation triangulation and bid ceiling</t>
        </is>
      </c>
      <c r="C20" s="27" t="inlineStr">
        <is>
          <t>Approved trading peers</t>
        </is>
      </c>
      <c r="D20" s="27" t="inlineStr">
        <is>
          <t>Peer A</t>
        </is>
      </c>
      <c r="E20" s="27" t="inlineStr">
        <is>
          <t>2026-07-05</t>
        </is>
      </c>
      <c r="F20" s="27" t="inlineStr">
        <is>
          <t>Management stretch</t>
        </is>
      </c>
      <c r="G20" s="27" t="inlineStr">
        <is>
          <t>EV revenue multiple</t>
        </is>
      </c>
      <c r="H20" s="46" t="n">
        <v>1.176</v>
      </c>
      <c r="I20" s="27" t="inlineStr"/>
      <c r="J20" s="27" t="inlineStr">
        <is>
          <t>multiple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DEV-00728</t>
        </is>
      </c>
      <c r="B21" s="27" t="inlineStr">
        <is>
          <t>Valuation triangulation and bid ceiling</t>
        </is>
      </c>
      <c r="C21" s="27" t="inlineStr">
        <is>
          <t>Approved trading peers</t>
        </is>
      </c>
      <c r="D21" s="27" t="inlineStr">
        <is>
          <t>Peer C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Comparable</t>
        </is>
      </c>
      <c r="H21" s="46" t="n">
        <v>0</v>
      </c>
      <c r="I21" s="27" t="inlineStr"/>
      <c r="J21" s="27" t="inlineStr">
        <is>
          <t>boolean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DEV-00729</t>
        </is>
      </c>
      <c r="B22" s="27" t="inlineStr">
        <is>
          <t>Valuation triangulation and bid ceiling</t>
        </is>
      </c>
      <c r="C22" s="27" t="inlineStr">
        <is>
          <t>Precedent transactions</t>
        </is>
      </c>
      <c r="D22" s="27" t="inlineStr">
        <is>
          <t>Northwest Mechanical</t>
        </is>
      </c>
      <c r="E22" s="27" t="inlineStr">
        <is>
          <t>Close date</t>
        </is>
      </c>
      <c r="F22" s="27" t="inlineStr">
        <is>
          <t>Management stretch</t>
        </is>
      </c>
      <c r="G22" s="27" t="inlineStr">
        <is>
          <t>EV EBITDA multiple</t>
        </is>
      </c>
      <c r="H22" s="46" t="n">
        <v>8.943999999999999</v>
      </c>
      <c r="I22" s="27" t="inlineStr"/>
      <c r="J22" s="27" t="inlineStr">
        <is>
          <t>multiple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DEV-00730</t>
        </is>
      </c>
      <c r="B23" s="27" t="inlineStr">
        <is>
          <t>Valuation triangulation and bid ceiling</t>
        </is>
      </c>
      <c r="C23" s="27" t="inlineStr">
        <is>
          <t>Precedent transactions</t>
        </is>
      </c>
      <c r="D23" s="27" t="inlineStr">
        <is>
          <t>Western Services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Comparable</t>
        </is>
      </c>
      <c r="H23" s="46" t="n">
        <v>1.05</v>
      </c>
      <c r="I23" s="27" t="inlineStr"/>
      <c r="J23" s="27" t="inlineStr">
        <is>
          <t>boolean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DEV-00731</t>
        </is>
      </c>
      <c r="B24" s="27" t="inlineStr">
        <is>
          <t>Valuation triangulation and bid ceiling</t>
        </is>
      </c>
      <c r="C24" s="27" t="inlineStr">
        <is>
          <t>Valuation and bid policy</t>
        </is>
      </c>
      <c r="D24" s="27" t="inlineStr">
        <is>
          <t>Pioneer HVAC</t>
        </is>
      </c>
      <c r="E24" s="27" t="inlineStr">
        <is>
          <t>IC case</t>
        </is>
      </c>
      <c r="F24" s="27" t="inlineStr">
        <is>
          <t>Management stretch</t>
        </is>
      </c>
      <c r="G24" s="27" t="inlineStr">
        <is>
          <t>Trading revenue weight</t>
        </is>
      </c>
      <c r="H24" s="46" t="n">
        <v>0.1545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DEV-00732</t>
        </is>
      </c>
      <c r="B25" s="27" t="inlineStr">
        <is>
          <t>Valuation triangulation and bid ceiling</t>
        </is>
      </c>
      <c r="C25" s="27" t="inlineStr">
        <is>
          <t>Approved trading peers</t>
        </is>
      </c>
      <c r="D25" s="27" t="inlineStr">
        <is>
          <t>Peer A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Comparable</t>
        </is>
      </c>
      <c r="H25" s="46" t="n">
        <v>1.04</v>
      </c>
      <c r="I25" s="27" t="inlineStr"/>
      <c r="J25" s="27" t="inlineStr">
        <is>
          <t>boolean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DEV-00733</t>
        </is>
      </c>
      <c r="B26" s="27" t="inlineStr">
        <is>
          <t>Valuation triangulation and bid ceiling</t>
        </is>
      </c>
      <c r="C26" s="27" t="inlineStr">
        <is>
          <t>Approved trading peers</t>
        </is>
      </c>
      <c r="D26" s="27" t="inlineStr">
        <is>
          <t>Peer D</t>
        </is>
      </c>
      <c r="E26" s="27" t="inlineStr">
        <is>
          <t>2026-07-05</t>
        </is>
      </c>
      <c r="F26" s="27" t="inlineStr">
        <is>
          <t>Management stretch</t>
        </is>
      </c>
      <c r="G26" s="27" t="inlineStr">
        <is>
          <t>EV EBITDA multiple</t>
        </is>
      </c>
      <c r="H26" s="46" t="n">
        <v>7.245000000000001</v>
      </c>
      <c r="I26" s="27" t="inlineStr"/>
      <c r="J26" s="27" t="inlineStr">
        <is>
          <t>multiple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DEV-00734</t>
        </is>
      </c>
      <c r="B27" s="27" t="inlineStr">
        <is>
          <t>Valuation triangulation and bid ceiling</t>
        </is>
      </c>
      <c r="C27" s="27" t="inlineStr">
        <is>
          <t>Precedent transactions</t>
        </is>
      </c>
      <c r="D27" s="27" t="inlineStr">
        <is>
          <t>Northwest Mechanical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Comparable</t>
        </is>
      </c>
      <c r="H27" s="46" t="n">
        <v>1.03</v>
      </c>
      <c r="I27" s="27" t="inlineStr"/>
      <c r="J27" s="27" t="inlineStr">
        <is>
          <t>boolean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DEV-00735</t>
        </is>
      </c>
      <c r="B28" s="27" t="inlineStr">
        <is>
          <t>Valuation triangulation and bid ceiling</t>
        </is>
      </c>
      <c r="C28" s="27" t="inlineStr">
        <is>
          <t>Valuation and bid policy</t>
        </is>
      </c>
      <c r="D28" s="27" t="inlineStr">
        <is>
          <t>Pioneer HVAC</t>
        </is>
      </c>
      <c r="E28" s="27" t="inlineStr">
        <is>
          <t>IC case</t>
        </is>
      </c>
      <c r="F28" s="27" t="inlineStr">
        <is>
          <t>Management stretch</t>
        </is>
      </c>
      <c r="G28" s="27" t="inlineStr">
        <is>
          <t>Target revenue</t>
        </is>
      </c>
      <c r="H28" s="46" t="n">
        <v>29536</v>
      </c>
      <c r="I28" s="27" t="inlineStr"/>
      <c r="J28" s="27" t="inlineStr">
        <is>
          <t>USD thousands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DEV-00744</t>
        </is>
      </c>
      <c r="B29" s="27" t="inlineStr">
        <is>
          <t>Valuation triangulation and bid ceiling</t>
        </is>
      </c>
      <c r="C29" s="27" t="inlineStr">
        <is>
          <t>Pioneer DCF support</t>
        </is>
      </c>
      <c r="D29" s="27" t="inlineStr">
        <is>
          <t>Pioneer HVAC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Unlevered free cash flow</t>
        </is>
      </c>
      <c r="H29" s="46" t="n">
        <v>2163000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DEV-00745</t>
        </is>
      </c>
      <c r="B30" s="27" t="inlineStr">
        <is>
          <t>Valuation triangulation and bid ceiling</t>
        </is>
      </c>
      <c r="C30" s="27" t="inlineStr">
        <is>
          <t>Pioneer DCF support</t>
        </is>
      </c>
      <c r="D30" s="27" t="inlineStr">
        <is>
          <t>Pioneer HVAC</t>
        </is>
      </c>
      <c r="E30" s="27" t="inlineStr">
        <is>
          <t>IC case</t>
        </is>
      </c>
      <c r="F30" s="27" t="inlineStr">
        <is>
          <t>Management stretch</t>
        </is>
      </c>
      <c r="G30" s="27" t="inlineStr">
        <is>
          <t>Execution risk deduction</t>
        </is>
      </c>
      <c r="H30" s="46" t="n">
        <v>572000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DEV-00746</t>
        </is>
      </c>
      <c r="B31" s="27" t="inlineStr">
        <is>
          <t>Valuation triangulation and bid ceiling</t>
        </is>
      </c>
      <c r="C31" s="27" t="inlineStr">
        <is>
          <t>Pioneer DCF support</t>
        </is>
      </c>
      <c r="D31" s="27" t="inlineStr">
        <is>
          <t>Pioneer HVAC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Terminal growth</t>
        </is>
      </c>
      <c r="H31" s="46" t="n">
        <v>0.02625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DEV-00747</t>
        </is>
      </c>
      <c r="B32" s="27" t="inlineStr">
        <is>
          <t>Valuation triangulation and bid ceiling</t>
        </is>
      </c>
      <c r="C32" s="27" t="inlineStr">
        <is>
          <t>Pioneer DCF support</t>
        </is>
      </c>
      <c r="D32" s="27" t="inlineStr">
        <is>
          <t>Pioneer HVAC</t>
        </is>
      </c>
      <c r="E32" s="27" t="inlineStr">
        <is>
          <t>IC case</t>
        </is>
      </c>
      <c r="F32" s="27" t="inlineStr">
        <is>
          <t>Management stretch</t>
        </is>
      </c>
      <c r="G32" s="27" t="inlineStr">
        <is>
          <t>WACC</t>
        </is>
      </c>
      <c r="H32" s="46" t="n">
        <v>0.1133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DEV-00748</t>
        </is>
      </c>
      <c r="B33" s="27" t="inlineStr">
        <is>
          <t>Valuation triangulation and bid ceiling</t>
        </is>
      </c>
      <c r="C33" s="27" t="inlineStr">
        <is>
          <t>Pioneer DCF support</t>
        </is>
      </c>
      <c r="D33" s="27" t="inlineStr">
        <is>
          <t>Pioneer HVAC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Unlevered free cash flow</t>
        </is>
      </c>
      <c r="H33" s="46" t="n">
        <v>3536000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DEV-00749</t>
        </is>
      </c>
      <c r="B34" s="27" t="inlineStr">
        <is>
          <t>Valuation triangulation and bid ceiling</t>
        </is>
      </c>
      <c r="C34" s="27" t="inlineStr">
        <is>
          <t>Pioneer DCF support</t>
        </is>
      </c>
      <c r="D34" s="27" t="inlineStr">
        <is>
          <t>Pioneer HVAC</t>
        </is>
      </c>
      <c r="E34" s="27" t="inlineStr">
        <is>
          <t>Year 4</t>
        </is>
      </c>
      <c r="F34" s="27" t="inlineStr">
        <is>
          <t>Management stretch</t>
        </is>
      </c>
      <c r="G34" s="27" t="inlineStr">
        <is>
          <t>Unlevered free cash flow</t>
        </is>
      </c>
      <c r="H34" s="46" t="n">
        <v>3150000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</sheetData>
  <autoFilter ref="A4:M34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Transaction Models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DEV-00220</t>
        </is>
      </c>
      <c r="B5" s="27" t="inlineStr">
        <is>
          <t>Create the Horizon acquisition accretion model</t>
        </is>
      </c>
      <c r="C5" s="27" t="inlineStr">
        <is>
          <t>Accretion inputs</t>
        </is>
      </c>
      <c r="D5" s="27" t="inlineStr">
        <is>
          <t>Horizon transaction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Buyer net income</t>
        </is>
      </c>
      <c r="H5" s="46" t="n">
        <v>9167000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DEV-00221</t>
        </is>
      </c>
      <c r="B6" s="27" t="inlineStr">
        <is>
          <t>Create the Horizon acquisition accretion model</t>
        </is>
      </c>
      <c r="C6" s="27" t="inlineStr">
        <is>
          <t>Accretion inputs</t>
        </is>
      </c>
      <c r="D6" s="27" t="inlineStr">
        <is>
          <t>Horizon transaction</t>
        </is>
      </c>
      <c r="E6" s="27" t="inlineStr">
        <is>
          <t>Closing</t>
        </is>
      </c>
      <c r="F6" s="27" t="inlineStr">
        <is>
          <t>Management stretch</t>
        </is>
      </c>
      <c r="G6" s="27" t="inlineStr">
        <is>
          <t>Foregone cash yield</t>
        </is>
      </c>
      <c r="H6" s="46" t="n">
        <v>0.04368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DEV-00222</t>
        </is>
      </c>
      <c r="B7" s="27" t="inlineStr">
        <is>
          <t>Create the Horizon acquisition accretion model</t>
        </is>
      </c>
      <c r="C7" s="27" t="inlineStr">
        <is>
          <t>Accretion inputs</t>
        </is>
      </c>
      <c r="D7" s="27" t="inlineStr">
        <is>
          <t>Horizon transaction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Year 2 run-rate synergy</t>
        </is>
      </c>
      <c r="H7" s="46" t="n">
        <v>2625000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DEV-00223</t>
        </is>
      </c>
      <c r="B8" s="27" t="inlineStr">
        <is>
          <t>Create the Horizon acquisition accretion model</t>
        </is>
      </c>
      <c r="C8" s="27" t="inlineStr">
        <is>
          <t>Accretion inputs</t>
        </is>
      </c>
      <c r="D8" s="27" t="inlineStr">
        <is>
          <t>Horizon transaction</t>
        </is>
      </c>
      <c r="E8" s="27" t="inlineStr">
        <is>
          <t>Closing</t>
        </is>
      </c>
      <c r="F8" s="27" t="inlineStr">
        <is>
          <t>Management stretch</t>
        </is>
      </c>
      <c r="G8" s="27" t="inlineStr">
        <is>
          <t>Target D&amp;A</t>
        </is>
      </c>
      <c r="H8" s="46" t="n">
        <v>741600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DEV-00224</t>
        </is>
      </c>
      <c r="B9" s="27" t="inlineStr">
        <is>
          <t>Create the Horizon acquisition accretion model</t>
        </is>
      </c>
      <c r="C9" s="27" t="inlineStr">
        <is>
          <t>Accretion inputs</t>
        </is>
      </c>
      <c r="D9" s="27" t="inlineStr">
        <is>
          <t>Horizon transaction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Issue price</t>
        </is>
      </c>
      <c r="H9" s="46" t="n">
        <v>18.2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DEV-00225</t>
        </is>
      </c>
      <c r="B10" s="27" t="inlineStr">
        <is>
          <t>Create the Horizon acquisition accretion model</t>
        </is>
      </c>
      <c r="C10" s="27" t="inlineStr">
        <is>
          <t>Accretion inputs</t>
        </is>
      </c>
      <c r="D10" s="27" t="inlineStr">
        <is>
          <t>Horizon transaction</t>
        </is>
      </c>
      <c r="E10" s="27" t="inlineStr">
        <is>
          <t>Closing</t>
        </is>
      </c>
      <c r="F10" s="27" t="inlineStr">
        <is>
          <t>Management stretch</t>
        </is>
      </c>
      <c r="G10" s="27" t="inlineStr">
        <is>
          <t>One-time integration expense Year 2</t>
        </is>
      </c>
      <c r="H10" s="46" t="n">
        <v>367.5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DEV-00226</t>
        </is>
      </c>
      <c r="B11" s="27" t="inlineStr">
        <is>
          <t>Create the Horizon acquisition accretion model</t>
        </is>
      </c>
      <c r="C11" s="27" t="inlineStr">
        <is>
          <t>Accretion inputs</t>
        </is>
      </c>
      <c r="D11" s="27" t="inlineStr">
        <is>
          <t>Horizon transaction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Cash consideration</t>
        </is>
      </c>
      <c r="H11" s="46" t="n">
        <v>12360000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DEV-00227</t>
        </is>
      </c>
      <c r="B12" s="27" t="inlineStr">
        <is>
          <t>Create the Horizon acquisition accretion model</t>
        </is>
      </c>
      <c r="C12" s="27" t="inlineStr">
        <is>
          <t>Accretion inputs</t>
        </is>
      </c>
      <c r="D12" s="27" t="inlineStr">
        <is>
          <t>Horizon transaction</t>
        </is>
      </c>
      <c r="E12" s="27" t="inlineStr">
        <is>
          <t>Closing</t>
        </is>
      </c>
      <c r="F12" s="27" t="inlineStr">
        <is>
          <t>Management stretch</t>
        </is>
      </c>
      <c r="G12" s="27" t="inlineStr">
        <is>
          <t>Year 1 run-rate synergy</t>
        </is>
      </c>
      <c r="H12" s="46" t="n">
        <v>1456000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DEV-00228</t>
        </is>
      </c>
      <c r="B13" s="27" t="inlineStr">
        <is>
          <t>Create the Horizon acquisition accretion model</t>
        </is>
      </c>
      <c r="C13" s="27" t="inlineStr">
        <is>
          <t>Accretion inputs</t>
        </is>
      </c>
      <c r="D13" s="27" t="inlineStr">
        <is>
          <t>Horizon transaction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Target EBITDA</t>
        </is>
      </c>
      <c r="H13" s="46" t="n">
        <v>4830000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DEV-00229</t>
        </is>
      </c>
      <c r="B14" s="27" t="inlineStr">
        <is>
          <t>Create the Horizon acquisition accretion model</t>
        </is>
      </c>
      <c r="C14" s="27" t="inlineStr">
        <is>
          <t>Accretion inputs</t>
        </is>
      </c>
      <c r="D14" s="27" t="inlineStr">
        <is>
          <t>Horizon transaction</t>
        </is>
      </c>
      <c r="E14" s="27" t="inlineStr">
        <is>
          <t>Closing</t>
        </is>
      </c>
      <c r="F14" s="27" t="inlineStr">
        <is>
          <t>Management stretch</t>
        </is>
      </c>
      <c r="G14" s="27" t="inlineStr">
        <is>
          <t>Seller equity issued</t>
        </is>
      </c>
      <c r="H14" s="46" t="n">
        <v>10815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DEV-00255</t>
        </is>
      </c>
      <c r="B15" s="27" t="inlineStr">
        <is>
          <t>Summit acquisition synergy breakeven</t>
        </is>
      </c>
      <c r="C15" s="27" t="inlineStr">
        <is>
          <t>Year 2 synergy register</t>
        </is>
      </c>
      <c r="D15" s="27" t="inlineStr">
        <is>
          <t>Branch consolidation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Gross run-rate synergy</t>
        </is>
      </c>
      <c r="H15" s="46" t="n">
        <v>803400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DEV-00256</t>
        </is>
      </c>
      <c r="B16" s="27" t="inlineStr">
        <is>
          <t>Summit acquisition synergy breakeven</t>
        </is>
      </c>
      <c r="C16" s="27" t="inlineStr">
        <is>
          <t>Year 2 synergy register</t>
        </is>
      </c>
      <c r="D16" s="27" t="inlineStr">
        <is>
          <t>Cross-sell</t>
        </is>
      </c>
      <c r="E16" s="27" t="inlineStr">
        <is>
          <t>Year 2</t>
        </is>
      </c>
      <c r="F16" s="27" t="inlineStr">
        <is>
          <t>Management stretch</t>
        </is>
      </c>
      <c r="G16" s="27" t="inlineStr">
        <is>
          <t>Realization probability</t>
        </is>
      </c>
      <c r="H16" s="46" t="n">
        <v>0.5720000000000001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DEV-00257</t>
        </is>
      </c>
      <c r="B17" s="27" t="inlineStr">
        <is>
          <t>Summit acquisition synergy breakeven</t>
        </is>
      </c>
      <c r="C17" s="27" t="inlineStr">
        <is>
          <t>Transaction hurdle inputs</t>
        </is>
      </c>
      <c r="D17" s="27" t="inlineStr">
        <is>
          <t>Summit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Incremental after-tax financing cost</t>
        </is>
      </c>
      <c r="H17" s="46" t="n">
        <v>2478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DEV-00258</t>
        </is>
      </c>
      <c r="B18" s="27" t="inlineStr">
        <is>
          <t>Summit acquisition synergy breakeven</t>
        </is>
      </c>
      <c r="C18" s="27" t="inlineStr">
        <is>
          <t>Year 2 synergy register</t>
        </is>
      </c>
      <c r="D18" s="27" t="inlineStr">
        <is>
          <t>Branch consolidation</t>
        </is>
      </c>
      <c r="E18" s="27" t="inlineStr">
        <is>
          <t>Year 2</t>
        </is>
      </c>
      <c r="F18" s="27" t="inlineStr">
        <is>
          <t>Management stretch</t>
        </is>
      </c>
      <c r="G18" s="27" t="inlineStr">
        <is>
          <t>Realization probability</t>
        </is>
      </c>
      <c r="H18" s="46" t="n">
        <v>0.927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DEV-00259</t>
        </is>
      </c>
      <c r="B19" s="27" t="inlineStr">
        <is>
          <t>Summit acquisition synergy breakeven</t>
        </is>
      </c>
      <c r="C19" s="27" t="inlineStr">
        <is>
          <t>Year 2 synergy register</t>
        </is>
      </c>
      <c r="D19" s="27" t="inlineStr">
        <is>
          <t>Future pricing concept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Gross run-rate synergy</t>
        </is>
      </c>
      <c r="H19" s="46" t="n">
        <v>936000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DEV-00260</t>
        </is>
      </c>
      <c r="B20" s="27" t="inlineStr">
        <is>
          <t>Summit acquisition synergy breakeven</t>
        </is>
      </c>
      <c r="C20" s="27" t="inlineStr">
        <is>
          <t>Transaction hurdle inputs</t>
        </is>
      </c>
      <c r="D20" s="27" t="inlineStr">
        <is>
          <t>Summit</t>
        </is>
      </c>
      <c r="E20" s="27" t="inlineStr">
        <is>
          <t>Closing</t>
        </is>
      </c>
      <c r="F20" s="27" t="inlineStr">
        <is>
          <t>Management stretch</t>
        </is>
      </c>
      <c r="G20" s="27" t="inlineStr">
        <is>
          <t>Tax rate</t>
        </is>
      </c>
      <c r="H20" s="46" t="n">
        <v>0.2625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DEV-00261</t>
        </is>
      </c>
      <c r="B21" s="27" t="inlineStr">
        <is>
          <t>Summit acquisition synergy breakeven</t>
        </is>
      </c>
      <c r="C21" s="27" t="inlineStr">
        <is>
          <t>Year 2 synergy register</t>
        </is>
      </c>
      <c r="D21" s="27" t="inlineStr">
        <is>
          <t>Dispatch optimization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Gross run-rate synergy</t>
        </is>
      </c>
      <c r="H21" s="46" t="n">
        <v>659.2</v>
      </c>
      <c r="I21" s="27" t="inlineStr"/>
      <c r="J21" s="27" t="inlineStr">
        <is>
          <t>USD thousands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DEV-00262</t>
        </is>
      </c>
      <c r="B22" s="27" t="inlineStr">
        <is>
          <t>Summit acquisition synergy breakeven</t>
        </is>
      </c>
      <c r="C22" s="27" t="inlineStr">
        <is>
          <t>Year 2 synergy register</t>
        </is>
      </c>
      <c r="D22" s="27" t="inlineStr">
        <is>
          <t>Future pricing concept</t>
        </is>
      </c>
      <c r="E22" s="27" t="inlineStr">
        <is>
          <t>Year 2</t>
        </is>
      </c>
      <c r="F22" s="27" t="inlineStr">
        <is>
          <t>Management stretch</t>
        </is>
      </c>
      <c r="G22" s="27" t="inlineStr">
        <is>
          <t>Realization probability</t>
        </is>
      </c>
      <c r="H22" s="46" t="n">
        <v>0.364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DEV-00263</t>
        </is>
      </c>
      <c r="B23" s="27" t="inlineStr">
        <is>
          <t>Summit acquisition synergy breakeven</t>
        </is>
      </c>
      <c r="C23" s="27" t="inlineStr">
        <is>
          <t>Transaction hurdle inputs</t>
        </is>
      </c>
      <c r="D23" s="27" t="inlineStr">
        <is>
          <t>Summit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Purchase equity investment</t>
        </is>
      </c>
      <c r="H23" s="46" t="n">
        <v>39900000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DEV-00264</t>
        </is>
      </c>
      <c r="B24" s="27" t="inlineStr">
        <is>
          <t>Summit acquisition synergy breakeven</t>
        </is>
      </c>
      <c r="C24" s="27" t="inlineStr">
        <is>
          <t>Year 2 synergy register</t>
        </is>
      </c>
      <c r="D24" s="27" t="inlineStr">
        <is>
          <t>Dispatch optimization</t>
        </is>
      </c>
      <c r="E24" s="27" t="inlineStr">
        <is>
          <t>Year 2</t>
        </is>
      </c>
      <c r="F24" s="27" t="inlineStr">
        <is>
          <t>Management stretch</t>
        </is>
      </c>
      <c r="G24" s="27" t="inlineStr">
        <is>
          <t>Realization probability</t>
        </is>
      </c>
      <c r="H24" s="46" t="n">
        <v>0.8240000000000001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DEV-00278</t>
        </is>
      </c>
      <c r="B25" s="27" t="inlineStr">
        <is>
          <t>Evergreen acquisition sources and uses</t>
        </is>
      </c>
      <c r="C25" s="27" t="inlineStr">
        <is>
          <t>Transaction uses</t>
        </is>
      </c>
      <c r="D25" s="27" t="inlineStr">
        <is>
          <t>Evergreen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Purchase of equity</t>
        </is>
      </c>
      <c r="H25" s="46" t="n">
        <v>53560000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DEV-00279</t>
        </is>
      </c>
      <c r="B26" s="27" t="inlineStr">
        <is>
          <t>Evergreen acquisition sources and uses</t>
        </is>
      </c>
      <c r="C26" s="27" t="inlineStr">
        <is>
          <t>Funding sources</t>
        </is>
      </c>
      <c r="D26" s="27" t="inlineStr">
        <is>
          <t>Alder Ridge</t>
        </is>
      </c>
      <c r="E26" s="27" t="inlineStr">
        <is>
          <t>Closing</t>
        </is>
      </c>
      <c r="F26" s="27" t="inlineStr">
        <is>
          <t>Management stretch</t>
        </is>
      </c>
      <c r="G26" s="27" t="inlineStr">
        <is>
          <t>Revolver availability</t>
        </is>
      </c>
      <c r="H26" s="46" t="n">
        <v>8320000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DEV-00280</t>
        </is>
      </c>
      <c r="B27" s="27" t="inlineStr">
        <is>
          <t>Evergreen acquisition sources and uses</t>
        </is>
      </c>
      <c r="C27" s="27" t="inlineStr">
        <is>
          <t>Transaction uses</t>
        </is>
      </c>
      <c r="D27" s="27" t="inlineStr">
        <is>
          <t>Evergreen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Financing fees</t>
        </is>
      </c>
      <c r="H27" s="46" t="n">
        <v>892.5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DEV-00281</t>
        </is>
      </c>
      <c r="B28" s="27" t="inlineStr">
        <is>
          <t>Evergreen acquisition sources and uses</t>
        </is>
      </c>
      <c r="C28" s="27" t="inlineStr">
        <is>
          <t>Funding sources</t>
        </is>
      </c>
      <c r="D28" s="27" t="inlineStr">
        <is>
          <t>Alder Ridge</t>
        </is>
      </c>
      <c r="E28" s="27" t="inlineStr">
        <is>
          <t>Closing</t>
        </is>
      </c>
      <c r="F28" s="27" t="inlineStr">
        <is>
          <t>Management stretch</t>
        </is>
      </c>
      <c r="G28" s="27" t="inlineStr">
        <is>
          <t>Pro forma covenant EBITDA</t>
        </is>
      </c>
      <c r="H28" s="46" t="n">
        <v>16274000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DEV-00282</t>
        </is>
      </c>
      <c r="B29" s="27" t="inlineStr">
        <is>
          <t>Evergreen acquisition sources and uses</t>
        </is>
      </c>
      <c r="C29" s="27" t="inlineStr">
        <is>
          <t>Funding sources</t>
        </is>
      </c>
      <c r="D29" s="27" t="inlineStr">
        <is>
          <t>Alder Ridge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Board cash-use cap</t>
        </is>
      </c>
      <c r="H29" s="46" t="n">
        <v>1248000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DEV-00283</t>
        </is>
      </c>
      <c r="B30" s="27" t="inlineStr">
        <is>
          <t>Evergreen acquisition sources and uses</t>
        </is>
      </c>
      <c r="C30" s="27" t="inlineStr">
        <is>
          <t>Transaction uses</t>
        </is>
      </c>
      <c r="D30" s="27" t="inlineStr">
        <is>
          <t>Evergreen</t>
        </is>
      </c>
      <c r="E30" s="27" t="inlineStr">
        <is>
          <t>Closing</t>
        </is>
      </c>
      <c r="F30" s="27" t="inlineStr">
        <is>
          <t>Management stretch</t>
        </is>
      </c>
      <c r="G30" s="27" t="inlineStr">
        <is>
          <t>Transaction fees</t>
        </is>
      </c>
      <c r="H30" s="46" t="n">
        <v>1732500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DEV-00284</t>
        </is>
      </c>
      <c r="B31" s="27" t="inlineStr">
        <is>
          <t>Evergreen acquisition sources and uses</t>
        </is>
      </c>
      <c r="C31" s="27" t="inlineStr">
        <is>
          <t>Funding sources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Seller note committed</t>
        </is>
      </c>
      <c r="H31" s="46" t="n">
        <v>7210</v>
      </c>
      <c r="I31" s="27" t="inlineStr"/>
      <c r="J31" s="27" t="inlineStr">
        <is>
          <t>USD thousands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DEV-00285</t>
        </is>
      </c>
      <c r="B32" s="27" t="inlineStr">
        <is>
          <t>Evergreen acquisition sources and uses</t>
        </is>
      </c>
      <c r="C32" s="27" t="inlineStr">
        <is>
          <t>Funding sources</t>
        </is>
      </c>
      <c r="D32" s="27" t="inlineStr">
        <is>
          <t>Alder Ridge</t>
        </is>
      </c>
      <c r="E32" s="27" t="inlineStr">
        <is>
          <t>Closing</t>
        </is>
      </c>
      <c r="F32" s="27" t="inlineStr">
        <is>
          <t>Management stretch</t>
        </is>
      </c>
      <c r="G32" s="27" t="inlineStr">
        <is>
          <t>Minimum buyer cash retained</t>
        </is>
      </c>
      <c r="H32" s="46" t="n">
        <v>2340000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DEV-00286</t>
        </is>
      </c>
      <c r="B33" s="27" t="inlineStr">
        <is>
          <t>Evergreen acquisition sources and uses</t>
        </is>
      </c>
      <c r="C33" s="27" t="inlineStr">
        <is>
          <t>Transaction uses</t>
        </is>
      </c>
      <c r="D33" s="27" t="inlineStr">
        <is>
          <t>Evergreen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Refinance target debt</t>
        </is>
      </c>
      <c r="H33" s="46" t="n">
        <v>6825000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DEV-00287</t>
        </is>
      </c>
      <c r="B34" s="27" t="inlineStr">
        <is>
          <t>Evergreen acquisition sources and uses</t>
        </is>
      </c>
      <c r="C34" s="27" t="inlineStr">
        <is>
          <t>Funding sources</t>
        </is>
      </c>
      <c r="D34" s="27" t="inlineStr">
        <is>
          <t>Alder Ridge</t>
        </is>
      </c>
      <c r="E34" s="27" t="inlineStr">
        <is>
          <t>Closing</t>
        </is>
      </c>
      <c r="F34" s="27" t="inlineStr">
        <is>
          <t>Management stretch</t>
        </is>
      </c>
      <c r="G34" s="27" t="inlineStr">
        <is>
          <t>Term loan commitment</t>
        </is>
      </c>
      <c r="H34" s="46" t="n">
        <v>46350000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DEV-00313</t>
        </is>
      </c>
      <c r="B35" s="27" t="inlineStr">
        <is>
          <t>Atlas acquisition earnout valuation</t>
        </is>
      </c>
      <c r="C35" s="27" t="inlineStr">
        <is>
          <t>Earnout scenarios</t>
        </is>
      </c>
      <c r="D35" s="27" t="inlineStr">
        <is>
          <t>S1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Probability</t>
        </is>
      </c>
      <c r="H35" s="46" t="n">
        <v>0.1854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DEV-00314</t>
        </is>
      </c>
      <c r="B36" s="27" t="inlineStr">
        <is>
          <t>Atlas acquisition earnout valuation</t>
        </is>
      </c>
      <c r="C36" s="27" t="inlineStr">
        <is>
          <t>Earnout scenarios</t>
        </is>
      </c>
      <c r="D36" s="27" t="inlineStr">
        <is>
          <t>S2</t>
        </is>
      </c>
      <c r="E36" s="27" t="inlineStr">
        <is>
          <t>Measurement period</t>
        </is>
      </c>
      <c r="F36" s="27" t="inlineStr">
        <is>
          <t>Management stretch</t>
        </is>
      </c>
      <c r="G36" s="27" t="inlineStr">
        <is>
          <t>Revenue attainment score</t>
        </is>
      </c>
      <c r="H36" s="46" t="n">
        <v>0.8736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DEV-00315</t>
        </is>
      </c>
      <c r="B37" s="27" t="inlineStr">
        <is>
          <t>Atlas acquisition earnout valuation</t>
        </is>
      </c>
      <c r="C37" s="27" t="inlineStr">
        <is>
          <t>Earnout scenarios</t>
        </is>
      </c>
      <c r="D37" s="27" t="inlineStr">
        <is>
          <t>S4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Cumulative EBITDA above threshold</t>
        </is>
      </c>
      <c r="H37" s="46" t="n">
        <v>4200</v>
      </c>
      <c r="I37" s="27" t="inlineStr"/>
      <c r="J37" s="27" t="inlineStr">
        <is>
          <t>USD thousands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DEV-00316</t>
        </is>
      </c>
      <c r="B38" s="27" t="inlineStr">
        <is>
          <t>Atlas acquisition earnout valuation</t>
        </is>
      </c>
      <c r="C38" s="27" t="inlineStr">
        <is>
          <t>Earnout terms</t>
        </is>
      </c>
      <c r="D38" s="27" t="inlineStr">
        <is>
          <t>Atlas</t>
        </is>
      </c>
      <c r="E38" s="27" t="inlineStr">
        <is>
          <t>Valuation date</t>
        </is>
      </c>
      <c r="F38" s="27" t="inlineStr">
        <is>
          <t>Management stretch</t>
        </is>
      </c>
      <c r="G38" s="27" t="inlineStr">
        <is>
          <t>Earnout discount rate</t>
        </is>
      </c>
      <c r="H38" s="46" t="n">
        <v>0.08755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DEV-00317</t>
        </is>
      </c>
      <c r="B39" s="27" t="inlineStr">
        <is>
          <t>Atlas acquisition earnout valuation</t>
        </is>
      </c>
      <c r="C39" s="27" t="inlineStr">
        <is>
          <t>Earnout scenarios</t>
        </is>
      </c>
      <c r="D39" s="27" t="inlineStr">
        <is>
          <t>S1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Revenue attainment score</t>
        </is>
      </c>
      <c r="H39" s="46" t="n">
        <v>0.8008000000000001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DEV-00318</t>
        </is>
      </c>
      <c r="B40" s="27" t="inlineStr">
        <is>
          <t>Atlas acquisition earnout valuation</t>
        </is>
      </c>
      <c r="C40" s="27" t="inlineStr">
        <is>
          <t>Earnout scenarios</t>
        </is>
      </c>
      <c r="D40" s="27" t="inlineStr">
        <is>
          <t>S3</t>
        </is>
      </c>
      <c r="E40" s="27" t="inlineStr">
        <is>
          <t>Measurement period</t>
        </is>
      </c>
      <c r="F40" s="27" t="inlineStr">
        <is>
          <t>Management stretch</t>
        </is>
      </c>
      <c r="G40" s="27" t="inlineStr">
        <is>
          <t>Cumulative EBITDA above threshold</t>
        </is>
      </c>
      <c r="H40" s="46" t="n">
        <v>2625000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DEV-00319</t>
        </is>
      </c>
      <c r="B41" s="27" t="inlineStr">
        <is>
          <t>Atlas acquisition earnout valuation</t>
        </is>
      </c>
      <c r="C41" s="27" t="inlineStr">
        <is>
          <t>Earnout scenarios</t>
        </is>
      </c>
      <c r="D41" s="27" t="inlineStr">
        <is>
          <t>S5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Contractual payout</t>
        </is>
      </c>
      <c r="H41" s="46" t="n">
        <v>10300</v>
      </c>
      <c r="I41" s="27" t="inlineStr"/>
      <c r="J41" s="27" t="inlineStr">
        <is>
          <t>USD thousands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DEV-00320</t>
        </is>
      </c>
      <c r="B42" s="27" t="inlineStr">
        <is>
          <t>Atlas acquisition earnout valuation</t>
        </is>
      </c>
      <c r="C42" s="27" t="inlineStr">
        <is>
          <t>Sensitivity diagnostics</t>
        </is>
      </c>
      <c r="D42" s="27" t="inlineStr">
        <is>
          <t>Revenue attainment</t>
        </is>
      </c>
      <c r="E42" s="27" t="inlineStr">
        <is>
          <t>Valuation date</t>
        </is>
      </c>
      <c r="F42" s="27" t="inlineStr">
        <is>
          <t>Management stretch</t>
        </is>
      </c>
      <c r="G42" s="27" t="inlineStr">
        <is>
          <t>One-standard-deviation fair-value change</t>
        </is>
      </c>
      <c r="H42" s="46" t="n">
        <v>634400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DEV-00532</t>
        </is>
      </c>
      <c r="B43" s="27" t="inlineStr">
        <is>
          <t>Risk-adjusted synergy phasing and returns</t>
        </is>
      </c>
      <c r="C43" s="27" t="inlineStr">
        <is>
          <t>Risk-adjusted synergy plan</t>
        </is>
      </c>
      <c r="D43" s="27" t="inlineStr">
        <is>
          <t>Procurement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Full run-rate EBITDA</t>
        </is>
      </c>
      <c r="H43" s="46" t="n">
        <v>1287500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DEV-00533</t>
        </is>
      </c>
      <c r="B44" s="27" t="inlineStr">
        <is>
          <t>Risk-adjusted synergy phasing and returns</t>
        </is>
      </c>
      <c r="C44" s="27" t="inlineStr">
        <is>
          <t>Risk-adjusted synergy plan</t>
        </is>
      </c>
      <c r="D44" s="27" t="inlineStr">
        <is>
          <t>Facilities</t>
        </is>
      </c>
      <c r="E44" s="27" t="inlineStr">
        <is>
          <t>IC case</t>
        </is>
      </c>
      <c r="F44" s="27" t="inlineStr">
        <is>
          <t>Management stretch</t>
        </is>
      </c>
      <c r="G44" s="27" t="inlineStr">
        <is>
          <t>Realization probability</t>
        </is>
      </c>
      <c r="H44" s="46" t="n">
        <v>0.9360000000000001</v>
      </c>
      <c r="I44" s="27" t="inlineStr"/>
      <c r="J44" s="27" t="inlineStr">
        <is>
          <t>decimal ratio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DEV-00534</t>
        </is>
      </c>
      <c r="B45" s="27" t="inlineStr">
        <is>
          <t>Risk-adjusted synergy phasing and returns</t>
        </is>
      </c>
      <c r="C45" s="27" t="inlineStr">
        <is>
          <t>Risk-adjusted synergy plan</t>
        </is>
      </c>
      <c r="D45" s="27" t="inlineStr">
        <is>
          <t>Back office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Year 1 phase</t>
        </is>
      </c>
      <c r="H45" s="46" t="n">
        <v>0.1575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DEV-00535</t>
        </is>
      </c>
      <c r="B46" s="27" t="inlineStr">
        <is>
          <t>Risk-adjusted synergy phasing and returns</t>
        </is>
      </c>
      <c r="C46" s="27" t="inlineStr">
        <is>
          <t>Risk-adjusted synergy plan</t>
        </is>
      </c>
      <c r="D46" s="27" t="inlineStr">
        <is>
          <t>Cross-sell</t>
        </is>
      </c>
      <c r="E46" s="27" t="inlineStr">
        <is>
          <t>IC case</t>
        </is>
      </c>
      <c r="F46" s="27" t="inlineStr">
        <is>
          <t>Management stretch</t>
        </is>
      </c>
      <c r="G46" s="27" t="inlineStr">
        <is>
          <t>Year 2 phase</t>
        </is>
      </c>
      <c r="H46" s="46" t="n">
        <v>0.3605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DEV-00536</t>
        </is>
      </c>
      <c r="B47" s="27" t="inlineStr">
        <is>
          <t>Risk-adjusted synergy phasing and returns</t>
        </is>
      </c>
      <c r="C47" s="27" t="inlineStr">
        <is>
          <t>Risk-adjusted synergy plan</t>
        </is>
      </c>
      <c r="D47" s="27" t="inlineStr">
        <is>
          <t>Supplier dis-synergy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Year 3 phase</t>
        </is>
      </c>
      <c r="H47" s="46" t="n">
        <v>1.04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DEV-00537</t>
        </is>
      </c>
      <c r="B48" s="27" t="inlineStr">
        <is>
          <t>Risk-adjusted synergy phasing and returns</t>
        </is>
      </c>
      <c r="C48" s="27" t="inlineStr">
        <is>
          <t>Synergy return policy</t>
        </is>
      </c>
      <c r="D48" s="27" t="inlineStr">
        <is>
          <t>Pioneer HVAC</t>
        </is>
      </c>
      <c r="E48" s="27" t="inlineStr">
        <is>
          <t>IC case</t>
        </is>
      </c>
      <c r="F48" s="27" t="inlineStr">
        <is>
          <t>Management stretch</t>
        </is>
      </c>
      <c r="G48" s="27" t="inlineStr">
        <is>
          <t>Discount rate</t>
        </is>
      </c>
      <c r="H48" s="46" t="n">
        <v>0.126</v>
      </c>
      <c r="I48" s="27" t="inlineStr"/>
      <c r="J48" s="27" t="inlineStr">
        <is>
          <t>decimal ratio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DEV-00538</t>
        </is>
      </c>
      <c r="B49" s="27" t="inlineStr">
        <is>
          <t>Risk-adjusted synergy phasing and returns</t>
        </is>
      </c>
      <c r="C49" s="27" t="inlineStr">
        <is>
          <t>Risk-adjusted synergy plan</t>
        </is>
      </c>
      <c r="D49" s="27" t="inlineStr">
        <is>
          <t>Procurement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One-time cash cost</t>
        </is>
      </c>
      <c r="H49" s="46" t="n">
        <v>432.6</v>
      </c>
      <c r="I49" s="27" t="inlineStr"/>
      <c r="J49" s="27" t="inlineStr">
        <is>
          <t>USD thousands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DEV-00539</t>
        </is>
      </c>
      <c r="B50" s="27" t="inlineStr">
        <is>
          <t>Risk-adjusted synergy phasing and returns</t>
        </is>
      </c>
      <c r="C50" s="27" t="inlineStr">
        <is>
          <t>Risk-adjusted synergy plan</t>
        </is>
      </c>
      <c r="D50" s="27" t="inlineStr">
        <is>
          <t>Back office</t>
        </is>
      </c>
      <c r="E50" s="27" t="inlineStr">
        <is>
          <t>IC case</t>
        </is>
      </c>
      <c r="F50" s="27" t="inlineStr">
        <is>
          <t>Management stretch</t>
        </is>
      </c>
      <c r="G50" s="27" t="inlineStr">
        <is>
          <t>Full run-rate EBITDA</t>
        </is>
      </c>
      <c r="H50" s="46" t="n">
        <v>977600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DEV-00540</t>
        </is>
      </c>
      <c r="B51" s="27" t="inlineStr">
        <is>
          <t>Risk-adjusted synergy phasing and returns</t>
        </is>
      </c>
      <c r="C51" s="27" t="inlineStr">
        <is>
          <t>Risk-adjusted synergy plan</t>
        </is>
      </c>
      <c r="D51" s="27" t="inlineStr">
        <is>
          <t>Cross-sell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Realization probability</t>
        </is>
      </c>
      <c r="H51" s="46" t="n">
        <v>0.42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DEV-00541</t>
        </is>
      </c>
      <c r="B52" s="27" t="inlineStr">
        <is>
          <t>Risk-adjusted synergy phasing and returns</t>
        </is>
      </c>
      <c r="C52" s="27" t="inlineStr">
        <is>
          <t>Risk-adjusted synergy plan</t>
        </is>
      </c>
      <c r="D52" s="27" t="inlineStr">
        <is>
          <t>Supplier dis-synergy</t>
        </is>
      </c>
      <c r="E52" s="27" t="inlineStr">
        <is>
          <t>IC case</t>
        </is>
      </c>
      <c r="F52" s="27" t="inlineStr">
        <is>
          <t>Management stretch</t>
        </is>
      </c>
      <c r="G52" s="27" t="inlineStr">
        <is>
          <t>Year 1 phase</t>
        </is>
      </c>
      <c r="H52" s="46" t="n">
        <v>0.515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DEV-00542</t>
        </is>
      </c>
      <c r="B53" s="27" t="inlineStr">
        <is>
          <t>Risk-adjusted synergy phasing and returns</t>
        </is>
      </c>
      <c r="C53" s="27" t="inlineStr">
        <is>
          <t>Synergy return policy</t>
        </is>
      </c>
      <c r="D53" s="27" t="inlineStr">
        <is>
          <t>Pioneer HVAC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Tax rate</t>
        </is>
      </c>
      <c r="H53" s="46" t="n">
        <v>0.2704</v>
      </c>
      <c r="I53" s="27" t="inlineStr"/>
      <c r="J53" s="27" t="inlineStr">
        <is>
          <t>decimal ratio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DEV-00543</t>
        </is>
      </c>
      <c r="B54" s="27" t="inlineStr">
        <is>
          <t>Risk-adjusted synergy phasing and returns</t>
        </is>
      </c>
      <c r="C54" s="27" t="inlineStr">
        <is>
          <t>Risk-adjusted synergy plan</t>
        </is>
      </c>
      <c r="D54" s="27" t="inlineStr">
        <is>
          <t>Procurement</t>
        </is>
      </c>
      <c r="E54" s="27" t="inlineStr">
        <is>
          <t>IC case</t>
        </is>
      </c>
      <c r="F54" s="27" t="inlineStr">
        <is>
          <t>Management stretch</t>
        </is>
      </c>
      <c r="G54" s="27" t="inlineStr">
        <is>
          <t>Year 2 phase</t>
        </is>
      </c>
      <c r="H54" s="46" t="n">
        <v>0.7875000000000001</v>
      </c>
      <c r="I54" s="27" t="inlineStr"/>
      <c r="J54" s="27" t="inlineStr">
        <is>
          <t>decimal ratio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DEV-00544</t>
        </is>
      </c>
      <c r="B55" s="27" t="inlineStr">
        <is>
          <t>Risk-adjusted synergy phasing and returns</t>
        </is>
      </c>
      <c r="C55" s="27" t="inlineStr">
        <is>
          <t>Risk-adjusted synergy plan</t>
        </is>
      </c>
      <c r="D55" s="27" t="inlineStr">
        <is>
          <t>Facilities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Year 3 phase</t>
        </is>
      </c>
      <c r="H55" s="46" t="n">
        <v>1.03</v>
      </c>
      <c r="I55" s="27" t="inlineStr"/>
      <c r="J55" s="27" t="inlineStr">
        <is>
          <t>decimal ratio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DEV-00545</t>
        </is>
      </c>
      <c r="B56" s="27" t="inlineStr">
        <is>
          <t>Risk-adjusted synergy phasing and returns</t>
        </is>
      </c>
      <c r="C56" s="27" t="inlineStr">
        <is>
          <t>Risk-adjusted synergy plan</t>
        </is>
      </c>
      <c r="D56" s="27" t="inlineStr">
        <is>
          <t>Back office</t>
        </is>
      </c>
      <c r="E56" s="27" t="inlineStr">
        <is>
          <t>IC case</t>
        </is>
      </c>
      <c r="F56" s="27" t="inlineStr">
        <is>
          <t>Management stretch</t>
        </is>
      </c>
      <c r="G56" s="27" t="inlineStr">
        <is>
          <t>One-time cash cost</t>
        </is>
      </c>
      <c r="H56" s="46" t="n">
        <v>1092000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DEV-00554</t>
        </is>
      </c>
      <c r="B57" s="27" t="inlineStr">
        <is>
          <t>Risk-adjusted synergy phasing and returns</t>
        </is>
      </c>
      <c r="C57" s="27" t="inlineStr">
        <is>
          <t>Synergy downside overlay</t>
        </is>
      </c>
      <c r="D57" s="27" t="inlineStr">
        <is>
          <t>Procurement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Probability or magnitude factor</t>
        </is>
      </c>
      <c r="H57" s="46" t="n">
        <v>0.7725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DEV-00555</t>
        </is>
      </c>
      <c r="B58" s="27" t="inlineStr">
        <is>
          <t>Risk-adjusted synergy phasing and returns</t>
        </is>
      </c>
      <c r="C58" s="27" t="inlineStr">
        <is>
          <t>Synergy downside policy</t>
        </is>
      </c>
      <c r="D58" s="27" t="inlineStr">
        <is>
          <t>Pioneer HVAC</t>
        </is>
      </c>
      <c r="E58" s="27" t="inlineStr">
        <is>
          <t>IC downside</t>
        </is>
      </c>
      <c r="F58" s="27" t="inlineStr">
        <is>
          <t>Management stretch</t>
        </is>
      </c>
      <c r="G58" s="27" t="inlineStr">
        <is>
          <t>Back office delay years</t>
        </is>
      </c>
      <c r="H58" s="46" t="n">
        <v>1.04</v>
      </c>
      <c r="I58" s="27" t="inlineStr"/>
      <c r="J58" s="27" t="inlineStr">
        <is>
          <t>years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DEV-00556</t>
        </is>
      </c>
      <c r="B59" s="27" t="inlineStr">
        <is>
          <t>Risk-adjusted synergy phasing and returns</t>
        </is>
      </c>
      <c r="C59" s="27" t="inlineStr">
        <is>
          <t>Synergy downside policy</t>
        </is>
      </c>
      <c r="D59" s="27" t="inlineStr">
        <is>
          <t>Pioneer HVAC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Downside exit EBITDA multiple</t>
        </is>
      </c>
      <c r="H59" s="46" t="n">
        <v>6.5625</v>
      </c>
      <c r="I59" s="27" t="inlineStr"/>
      <c r="J59" s="27" t="inlineStr">
        <is>
          <t>multiple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DEV-00557</t>
        </is>
      </c>
      <c r="B60" s="27" t="inlineStr">
        <is>
          <t>Risk-adjusted synergy phasing and returns</t>
        </is>
      </c>
      <c r="C60" s="27" t="inlineStr">
        <is>
          <t>Synergy downside policy</t>
        </is>
      </c>
      <c r="D60" s="27" t="inlineStr">
        <is>
          <t>Pioneer HVAC</t>
        </is>
      </c>
      <c r="E60" s="27" t="inlineStr">
        <is>
          <t>IC downside</t>
        </is>
      </c>
      <c r="F60" s="27" t="inlineStr">
        <is>
          <t>Management stretch</t>
        </is>
      </c>
      <c r="G60" s="27" t="inlineStr">
        <is>
          <t>Additional Year 1 integration cost</t>
        </is>
      </c>
      <c r="H60" s="46" t="n">
        <v>659.2</v>
      </c>
      <c r="I60" s="27" t="inlineStr"/>
      <c r="J60" s="27" t="inlineStr">
        <is>
          <t>USD thousands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DEV-00558</t>
        </is>
      </c>
      <c r="B61" s="27" t="inlineStr">
        <is>
          <t>Risk-adjusted synergy phasing and returns</t>
        </is>
      </c>
      <c r="C61" s="27" t="inlineStr">
        <is>
          <t>Synergy downside overlay</t>
        </is>
      </c>
      <c r="D61" s="27" t="inlineStr">
        <is>
          <t>Supplier dis-synergy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Probability or magnitude factor</t>
        </is>
      </c>
      <c r="H61" s="46" t="n">
        <v>1.196</v>
      </c>
      <c r="I61" s="27" t="inlineStr"/>
      <c r="J61" s="27" t="inlineStr">
        <is>
          <t>decimal ratio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DEV-00559</t>
        </is>
      </c>
      <c r="B62" s="27" t="inlineStr">
        <is>
          <t>Risk-adjusted synergy phasing and returns</t>
        </is>
      </c>
      <c r="C62" s="27" t="inlineStr">
        <is>
          <t>Synergy downside overlay</t>
        </is>
      </c>
      <c r="D62" s="27" t="inlineStr">
        <is>
          <t>Cross-sell</t>
        </is>
      </c>
      <c r="E62" s="27" t="inlineStr">
        <is>
          <t>IC downside</t>
        </is>
      </c>
      <c r="F62" s="27" t="inlineStr">
        <is>
          <t>Management stretch</t>
        </is>
      </c>
      <c r="G62" s="27" t="inlineStr">
        <is>
          <t>Probability or magnitude factor</t>
        </is>
      </c>
      <c r="H62" s="46" t="n">
        <v>0</v>
      </c>
      <c r="I62" s="27" t="inlineStr"/>
      <c r="J62" s="27" t="inlineStr">
        <is>
          <t>decimal ratio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DEV-00657</t>
        </is>
      </c>
      <c r="B63" s="27" t="inlineStr">
        <is>
          <t>Transaction-structure accretion and leverage</t>
        </is>
      </c>
      <c r="C63" s="27" t="inlineStr">
        <is>
          <t>Transaction structure inputs</t>
        </is>
      </c>
      <c r="D63" s="27" t="inlineStr">
        <is>
          <t>Pioneer HVAC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Buyer net income</t>
        </is>
      </c>
      <c r="H63" s="46" t="n">
        <v>8497500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DEV-00658</t>
        </is>
      </c>
      <c r="B64" s="27" t="inlineStr">
        <is>
          <t>Transaction-structure accretion and leverage</t>
        </is>
      </c>
      <c r="C64" s="27" t="inlineStr">
        <is>
          <t>Transaction structure inputs</t>
        </is>
      </c>
      <c r="D64" s="27" t="inlineStr">
        <is>
          <t>Pioneer HVAC</t>
        </is>
      </c>
      <c r="E64" s="27" t="inlineStr">
        <is>
          <t>Closing</t>
        </is>
      </c>
      <c r="F64" s="27" t="inlineStr">
        <is>
          <t>Management stretch</t>
        </is>
      </c>
      <c r="G64" s="27" t="inlineStr">
        <is>
          <t>Tax rate</t>
        </is>
      </c>
      <c r="H64" s="46" t="n">
        <v>0.2704</v>
      </c>
      <c r="I64" s="27" t="inlineStr"/>
      <c r="J64" s="27" t="inlineStr">
        <is>
          <t>decimal ratio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DEV-00659</t>
        </is>
      </c>
      <c r="B65" s="27" t="inlineStr">
        <is>
          <t>Transaction-structure accretion and leverage</t>
        </is>
      </c>
      <c r="C65" s="27" t="inlineStr">
        <is>
          <t>Transaction structure inputs</t>
        </is>
      </c>
      <c r="D65" s="27" t="inlineStr">
        <is>
          <t>Pioneer HVAC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Maximum closing leverage</t>
        </is>
      </c>
      <c r="H65" s="46" t="n">
        <v>2.8875</v>
      </c>
      <c r="I65" s="27" t="inlineStr"/>
      <c r="J65" s="27" t="inlineStr">
        <is>
          <t>multiple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DEV-00660</t>
        </is>
      </c>
      <c r="B66" s="27" t="inlineStr">
        <is>
          <t>Transaction-structure accretion and leverage</t>
        </is>
      </c>
      <c r="C66" s="27" t="inlineStr">
        <is>
          <t>Financing structures</t>
        </is>
      </c>
      <c r="D66" s="27" t="inlineStr">
        <is>
          <t>Balanced</t>
        </is>
      </c>
      <c r="E66" s="27" t="inlineStr">
        <is>
          <t>Closing</t>
        </is>
      </c>
      <c r="F66" s="27" t="inlineStr">
        <is>
          <t>Management stretch</t>
        </is>
      </c>
      <c r="G66" s="27" t="inlineStr">
        <is>
          <t>New debt funding</t>
        </is>
      </c>
      <c r="H66" s="46" t="n">
        <v>8652</v>
      </c>
      <c r="I66" s="27" t="inlineStr"/>
      <c r="J66" s="27" t="inlineStr">
        <is>
          <t>USD thousands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DEV-00661</t>
        </is>
      </c>
      <c r="B67" s="27" t="inlineStr">
        <is>
          <t>Transaction-structure accretion and leverage</t>
        </is>
      </c>
      <c r="C67" s="27" t="inlineStr">
        <is>
          <t>Transaction structure inputs</t>
        </is>
      </c>
      <c r="D67" s="27" t="inlineStr">
        <is>
          <t>Pioneer HVAC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Buyer net income</t>
        </is>
      </c>
      <c r="H67" s="46" t="n">
        <v>8580000</v>
      </c>
      <c r="I67" s="27" t="inlineStr"/>
      <c r="J67" s="27" t="inlineStr">
        <is>
          <t>USD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DEV-00662</t>
        </is>
      </c>
      <c r="B68" s="27" t="inlineStr">
        <is>
          <t>Transaction-structure accretion and leverage</t>
        </is>
      </c>
      <c r="C68" s="27" t="inlineStr">
        <is>
          <t>Transaction structure inputs</t>
        </is>
      </c>
      <c r="D68" s="27" t="inlineStr">
        <is>
          <t>Pioneer HVAC</t>
        </is>
      </c>
      <c r="E68" s="27" t="inlineStr">
        <is>
          <t>Closing</t>
        </is>
      </c>
      <c r="F68" s="27" t="inlineStr">
        <is>
          <t>Management stretch</t>
        </is>
      </c>
      <c r="G68" s="27" t="inlineStr">
        <is>
          <t>Tax rate</t>
        </is>
      </c>
      <c r="H68" s="46" t="n">
        <v>0.273</v>
      </c>
      <c r="I68" s="27" t="inlineStr"/>
      <c r="J68" s="27" t="inlineStr">
        <is>
          <t>decimal ratio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DEV-00663</t>
        </is>
      </c>
      <c r="B69" s="27" t="inlineStr">
        <is>
          <t>Transaction-structure accretion and leverage</t>
        </is>
      </c>
      <c r="C69" s="27" t="inlineStr">
        <is>
          <t>Transaction structure inputs</t>
        </is>
      </c>
      <c r="D69" s="27" t="inlineStr">
        <is>
          <t>Pioneer HVAC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Maximum closing leverage</t>
        </is>
      </c>
      <c r="H69" s="46" t="n">
        <v>2.8325</v>
      </c>
      <c r="I69" s="27" t="inlineStr"/>
      <c r="J69" s="27" t="inlineStr">
        <is>
          <t>multiple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DEV-00664</t>
        </is>
      </c>
      <c r="B70" s="27" t="inlineStr">
        <is>
          <t>Transaction-structure accretion and leverage</t>
        </is>
      </c>
      <c r="C70" s="27" t="inlineStr">
        <is>
          <t>Financing structures</t>
        </is>
      </c>
      <c r="D70" s="27" t="inlineStr">
        <is>
          <t>Balanced</t>
        </is>
      </c>
      <c r="E70" s="27" t="inlineStr">
        <is>
          <t>Closing</t>
        </is>
      </c>
      <c r="F70" s="27" t="inlineStr">
        <is>
          <t>Management stretch</t>
        </is>
      </c>
      <c r="G70" s="27" t="inlineStr">
        <is>
          <t>New debt funding</t>
        </is>
      </c>
      <c r="H70" s="46" t="n">
        <v>8736</v>
      </c>
      <c r="I70" s="27" t="inlineStr"/>
      <c r="J70" s="27" t="inlineStr">
        <is>
          <t>USD thousands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DEV-00665</t>
        </is>
      </c>
      <c r="B71" s="27" t="inlineStr">
        <is>
          <t>Transaction-structure accretion and leverage</t>
        </is>
      </c>
      <c r="C71" s="27" t="inlineStr">
        <is>
          <t>Transaction structure inputs</t>
        </is>
      </c>
      <c r="D71" s="27" t="inlineStr">
        <is>
          <t>Pioneer HVAC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Buyer net income</t>
        </is>
      </c>
      <c r="H71" s="46" t="n">
        <v>8662500</v>
      </c>
      <c r="I71" s="27" t="inlineStr"/>
      <c r="J71" s="27" t="inlineStr">
        <is>
          <t>USD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DEV-00666</t>
        </is>
      </c>
      <c r="B72" s="27" t="inlineStr">
        <is>
          <t>Transaction-structure accretion and leverage</t>
        </is>
      </c>
      <c r="C72" s="27" t="inlineStr">
        <is>
          <t>Transaction structure inputs</t>
        </is>
      </c>
      <c r="D72" s="27" t="inlineStr">
        <is>
          <t>Pioneer HVAC</t>
        </is>
      </c>
      <c r="E72" s="27" t="inlineStr">
        <is>
          <t>Closing</t>
        </is>
      </c>
      <c r="F72" s="27" t="inlineStr">
        <is>
          <t>Management stretch</t>
        </is>
      </c>
      <c r="G72" s="27" t="inlineStr">
        <is>
          <t>Tax rate</t>
        </is>
      </c>
      <c r="H72" s="46" t="n">
        <v>0.2678</v>
      </c>
      <c r="I72" s="27" t="inlineStr"/>
      <c r="J72" s="27" t="inlineStr">
        <is>
          <t>decimal ratio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DEV-00667</t>
        </is>
      </c>
      <c r="B73" s="27" t="inlineStr">
        <is>
          <t>Transaction-structure accretion and leverage</t>
        </is>
      </c>
      <c r="C73" s="27" t="inlineStr">
        <is>
          <t>Transaction structure inputs</t>
        </is>
      </c>
      <c r="D73" s="27" t="inlineStr">
        <is>
          <t>Pioneer HVAC</t>
        </is>
      </c>
      <c r="E73" s="27" t="inlineStr">
        <is>
          <t>2026-05 working copy</t>
        </is>
      </c>
      <c r="F73" s="27" t="inlineStr">
        <is>
          <t>Approved case</t>
        </is>
      </c>
      <c r="G73" s="27" t="inlineStr">
        <is>
          <t>Maximum closing leverage</t>
        </is>
      </c>
      <c r="H73" s="46" t="n">
        <v>2.86</v>
      </c>
      <c r="I73" s="27" t="inlineStr"/>
      <c r="J73" s="27" t="inlineStr">
        <is>
          <t>multiple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DEV-00668</t>
        </is>
      </c>
      <c r="B74" s="27" t="inlineStr">
        <is>
          <t>Transaction-structure accretion and leverage</t>
        </is>
      </c>
      <c r="C74" s="27" t="inlineStr">
        <is>
          <t>Financing structures</t>
        </is>
      </c>
      <c r="D74" s="27" t="inlineStr">
        <is>
          <t>Balanced</t>
        </is>
      </c>
      <c r="E74" s="27" t="inlineStr">
        <is>
          <t>Closing</t>
        </is>
      </c>
      <c r="F74" s="27" t="inlineStr">
        <is>
          <t>Management stretch</t>
        </is>
      </c>
      <c r="G74" s="27" t="inlineStr">
        <is>
          <t>New debt funding</t>
        </is>
      </c>
      <c r="H74" s="46" t="n">
        <v>8820</v>
      </c>
      <c r="I74" s="27" t="inlineStr"/>
      <c r="J74" s="27" t="inlineStr">
        <is>
          <t>USD thousands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  <row r="75">
      <c r="A75" s="36" t="inlineStr">
        <is>
          <t>DEV-00682</t>
        </is>
      </c>
      <c r="B75" s="27" t="inlineStr">
        <is>
          <t>Transaction-structure accretion and leverage</t>
        </is>
      </c>
      <c r="C75" s="27" t="inlineStr">
        <is>
          <t>Structure underwriting controls</t>
        </is>
      </c>
      <c r="D75" s="27" t="inlineStr">
        <is>
          <t>Cash and debt</t>
        </is>
      </c>
      <c r="E75" s="27" t="inlineStr">
        <is>
          <t>2026-05 working copy</t>
        </is>
      </c>
      <c r="F75" s="27" t="inlineStr">
        <is>
          <t>Approved case</t>
        </is>
      </c>
      <c r="G75" s="27" t="inlineStr">
        <is>
          <t>Debt fee percent</t>
        </is>
      </c>
      <c r="H75" s="46" t="n">
        <v>0.01854</v>
      </c>
      <c r="I75" s="27" t="inlineStr"/>
      <c r="J75" s="27" t="inlineStr">
        <is>
          <t>decimal ratio</t>
        </is>
      </c>
      <c r="K75" s="27" t="inlineStr">
        <is>
          <t>Earlier management working export</t>
        </is>
      </c>
      <c r="L75" s="47" t="inlineStr">
        <is>
          <t>2026-06-24</t>
        </is>
      </c>
      <c r="M75" s="27" t="inlineStr"/>
    </row>
    <row r="76">
      <c r="A76" s="36" t="inlineStr">
        <is>
          <t>DEV-00683</t>
        </is>
      </c>
      <c r="B76" s="27" t="inlineStr">
        <is>
          <t>Transaction-structure accretion and leverage</t>
        </is>
      </c>
      <c r="C76" s="27" t="inlineStr">
        <is>
          <t>Transaction structure inputs</t>
        </is>
      </c>
      <c r="D76" s="27" t="inlineStr">
        <is>
          <t>Pioneer HVAC</t>
        </is>
      </c>
      <c r="E76" s="27" t="inlineStr">
        <is>
          <t>Hardened</t>
        </is>
      </c>
      <c r="F76" s="27" t="inlineStr">
        <is>
          <t>Management stretch</t>
        </is>
      </c>
      <c r="G76" s="27" t="inlineStr">
        <is>
          <t>Annual new debt amortization</t>
        </is>
      </c>
      <c r="H76" s="46" t="n">
        <v>0.104</v>
      </c>
      <c r="I76" s="27" t="inlineStr"/>
      <c r="J76" s="27" t="inlineStr">
        <is>
          <t>decimal ratio</t>
        </is>
      </c>
      <c r="K76" s="27" t="inlineStr">
        <is>
          <t>Earlier management working export</t>
        </is>
      </c>
      <c r="L76" s="47" t="inlineStr">
        <is>
          <t>2026-06-24</t>
        </is>
      </c>
      <c r="M76" s="27" t="inlineStr"/>
    </row>
    <row r="77">
      <c r="A77" s="36" t="inlineStr">
        <is>
          <t>DEV-00684</t>
        </is>
      </c>
      <c r="B77" s="27" t="inlineStr">
        <is>
          <t>Transaction-structure accretion and leverage</t>
        </is>
      </c>
      <c r="C77" s="27" t="inlineStr">
        <is>
          <t>Structure underwriting controls</t>
        </is>
      </c>
      <c r="D77" s="27" t="inlineStr">
        <is>
          <t>Cash and debt</t>
        </is>
      </c>
      <c r="E77" s="27" t="inlineStr">
        <is>
          <t>2026-05 working copy</t>
        </is>
      </c>
      <c r="F77" s="27" t="inlineStr">
        <is>
          <t>Approved case</t>
        </is>
      </c>
      <c r="G77" s="27" t="inlineStr">
        <is>
          <t>Other transaction fee</t>
        </is>
      </c>
      <c r="H77" s="46" t="n">
        <v>189</v>
      </c>
      <c r="I77" s="27" t="inlineStr"/>
      <c r="J77" s="27" t="inlineStr">
        <is>
          <t>USD thousands</t>
        </is>
      </c>
      <c r="K77" s="27" t="inlineStr">
        <is>
          <t>Earlier management working export</t>
        </is>
      </c>
      <c r="L77" s="47" t="inlineStr">
        <is>
          <t>2026-06-24</t>
        </is>
      </c>
      <c r="M77" s="27" t="inlineStr"/>
    </row>
    <row r="78">
      <c r="A78" s="36" t="inlineStr">
        <is>
          <t>DEV-00685</t>
        </is>
      </c>
      <c r="B78" s="27" t="inlineStr">
        <is>
          <t>Transaction-structure accretion and leverage</t>
        </is>
      </c>
      <c r="C78" s="27" t="inlineStr">
        <is>
          <t>Transaction structure inputs</t>
        </is>
      </c>
      <c r="D78" s="27" t="inlineStr">
        <is>
          <t>Pioneer HVAC</t>
        </is>
      </c>
      <c r="E78" s="27" t="inlineStr">
        <is>
          <t>Hardened</t>
        </is>
      </c>
      <c r="F78" s="27" t="inlineStr">
        <is>
          <t>Management stretch</t>
        </is>
      </c>
      <c r="G78" s="27" t="inlineStr">
        <is>
          <t>Downside target net income factor</t>
        </is>
      </c>
      <c r="H78" s="46" t="n">
        <v>0.7004</v>
      </c>
      <c r="I78" s="27" t="inlineStr"/>
      <c r="J78" s="27" t="inlineStr">
        <is>
          <t>decimal ratio</t>
        </is>
      </c>
      <c r="K78" s="27" t="inlineStr">
        <is>
          <t>Earlier management working export</t>
        </is>
      </c>
      <c r="L78" s="47" t="inlineStr">
        <is>
          <t>2026-06-24</t>
        </is>
      </c>
      <c r="M78" s="27" t="inlineStr"/>
    </row>
    <row r="79">
      <c r="A79" s="36" t="inlineStr">
        <is>
          <t>DEV-00686</t>
        </is>
      </c>
      <c r="B79" s="27" t="inlineStr">
        <is>
          <t>Transaction-structure accretion and leverage</t>
        </is>
      </c>
      <c r="C79" s="27" t="inlineStr">
        <is>
          <t>Structure underwriting controls</t>
        </is>
      </c>
      <c r="D79" s="27" t="inlineStr">
        <is>
          <t>Balanced</t>
        </is>
      </c>
      <c r="E79" s="27" t="inlineStr">
        <is>
          <t>2026-05 working copy</t>
        </is>
      </c>
      <c r="F79" s="27" t="inlineStr">
        <is>
          <t>Approved case</t>
        </is>
      </c>
      <c r="G79" s="27" t="inlineStr">
        <is>
          <t>Debt fee percent</t>
        </is>
      </c>
      <c r="H79" s="46" t="n">
        <v>0.01456</v>
      </c>
      <c r="I79" s="27" t="inlineStr"/>
      <c r="J79" s="27" t="inlineStr">
        <is>
          <t>decimal ratio</t>
        </is>
      </c>
      <c r="K79" s="27" t="inlineStr">
        <is>
          <t>Earlier management working export</t>
        </is>
      </c>
      <c r="L79" s="47" t="inlineStr">
        <is>
          <t>2026-06-24</t>
        </is>
      </c>
      <c r="M79" s="27" t="inlineStr"/>
    </row>
    <row r="80">
      <c r="A80" s="36" t="inlineStr">
        <is>
          <t>DEV-00687</t>
        </is>
      </c>
      <c r="B80" s="27" t="inlineStr">
        <is>
          <t>Transaction-structure accretion and leverage</t>
        </is>
      </c>
      <c r="C80" s="27" t="inlineStr">
        <is>
          <t>Transaction structure inputs</t>
        </is>
      </c>
      <c r="D80" s="27" t="inlineStr">
        <is>
          <t>Pioneer HVAC</t>
        </is>
      </c>
      <c r="E80" s="27" t="inlineStr">
        <is>
          <t>Hardened</t>
        </is>
      </c>
      <c r="F80" s="27" t="inlineStr">
        <is>
          <t>Management stretch</t>
        </is>
      </c>
      <c r="G80" s="27" t="inlineStr">
        <is>
          <t>Downside covenant EBITDA</t>
        </is>
      </c>
      <c r="H80" s="46" t="n">
        <v>9082500</v>
      </c>
      <c r="I80" s="27" t="inlineStr"/>
      <c r="J80" s="27" t="inlineStr">
        <is>
          <t>USD</t>
        </is>
      </c>
      <c r="K80" s="27" t="inlineStr">
        <is>
          <t>Earlier management working export</t>
        </is>
      </c>
      <c r="L80" s="47" t="inlineStr">
        <is>
          <t>2026-06-24</t>
        </is>
      </c>
      <c r="M80" s="27" t="inlineStr"/>
    </row>
    <row r="81">
      <c r="A81" s="36" t="inlineStr">
        <is>
          <t>DEV-00778</t>
        </is>
      </c>
      <c r="B81" s="27" t="inlineStr">
        <is>
          <t>Create the Pioneer financing and downside IC memo</t>
        </is>
      </c>
      <c r="C81" s="27" t="inlineStr">
        <is>
          <t>Acquisition financing commitments</t>
        </is>
      </c>
      <c r="D81" s="27" t="inlineStr">
        <is>
          <t>Acquisition term loan</t>
        </is>
      </c>
      <c r="E81" s="27" t="inlineStr">
        <is>
          <t>2026-05 working copy</t>
        </is>
      </c>
      <c r="F81" s="27" t="inlineStr">
        <is>
          <t>Approved case</t>
        </is>
      </c>
      <c r="G81" s="27" t="inlineStr">
        <is>
          <t>Commitment</t>
        </is>
      </c>
      <c r="H81" s="46" t="n">
        <v>18540000</v>
      </c>
      <c r="I81" s="27" t="inlineStr"/>
      <c r="J81" s="27" t="inlineStr">
        <is>
          <t>USD</t>
        </is>
      </c>
      <c r="K81" s="27" t="inlineStr">
        <is>
          <t>Earlier management working export</t>
        </is>
      </c>
      <c r="L81" s="47" t="inlineStr">
        <is>
          <t>2026-06-24</t>
        </is>
      </c>
      <c r="M81" s="27" t="inlineStr"/>
    </row>
    <row r="82">
      <c r="A82" s="36" t="inlineStr">
        <is>
          <t>DEV-00779</t>
        </is>
      </c>
      <c r="B82" s="27" t="inlineStr">
        <is>
          <t>Create the Pioneer financing and downside IC memo</t>
        </is>
      </c>
      <c r="C82" s="27" t="inlineStr">
        <is>
          <t>Acquisition financing commitments</t>
        </is>
      </c>
      <c r="D82" s="27" t="inlineStr">
        <is>
          <t>Committed acquisition facility</t>
        </is>
      </c>
      <c r="E82" s="27" t="inlineStr">
        <is>
          <t>Closing</t>
        </is>
      </c>
      <c r="F82" s="27" t="inlineStr">
        <is>
          <t>Management stretch</t>
        </is>
      </c>
      <c r="G82" s="27" t="inlineStr">
        <is>
          <t>Upfront fee percent</t>
        </is>
      </c>
      <c r="H82" s="46" t="n">
        <v>0.0156</v>
      </c>
      <c r="I82" s="27" t="inlineStr"/>
      <c r="J82" s="27" t="inlineStr">
        <is>
          <t>decimal ratio</t>
        </is>
      </c>
      <c r="K82" s="27" t="inlineStr">
        <is>
          <t>Earlier management working export</t>
        </is>
      </c>
      <c r="L82" s="47" t="inlineStr">
        <is>
          <t>2026-06-24</t>
        </is>
      </c>
      <c r="M82" s="27" t="inlineStr"/>
    </row>
    <row r="83">
      <c r="A83" s="36" t="inlineStr">
        <is>
          <t>DEV-00780</t>
        </is>
      </c>
      <c r="B83" s="27" t="inlineStr">
        <is>
          <t>Create the Pioneer financing and downside IC memo</t>
        </is>
      </c>
      <c r="C83" s="27" t="inlineStr">
        <is>
          <t>Acquisition financing commitments</t>
        </is>
      </c>
      <c r="D83" s="27" t="inlineStr">
        <is>
          <t>Seller note</t>
        </is>
      </c>
      <c r="E83" s="27" t="inlineStr">
        <is>
          <t>2026-05 working copy</t>
        </is>
      </c>
      <c r="F83" s="27" t="inlineStr">
        <is>
          <t>Approved case</t>
        </is>
      </c>
      <c r="G83" s="27" t="inlineStr">
        <is>
          <t>Term years</t>
        </is>
      </c>
      <c r="H83" s="46" t="n">
        <v>5.25</v>
      </c>
      <c r="I83" s="27" t="inlineStr"/>
      <c r="J83" s="27" t="inlineStr">
        <is>
          <t>years</t>
        </is>
      </c>
      <c r="K83" s="27" t="inlineStr">
        <is>
          <t>Earlier management working export</t>
        </is>
      </c>
      <c r="L83" s="47" t="inlineStr">
        <is>
          <t>2026-06-24</t>
        </is>
      </c>
      <c r="M83" s="27" t="inlineStr"/>
    </row>
    <row r="84">
      <c r="A84" s="36" t="inlineStr">
        <is>
          <t>DEV-00781</t>
        </is>
      </c>
      <c r="B84" s="27" t="inlineStr">
        <is>
          <t>Create the Pioneer financing and downside IC memo</t>
        </is>
      </c>
      <c r="C84" s="27" t="inlineStr">
        <is>
          <t>Acquisition financing policy</t>
        </is>
      </c>
      <c r="D84" s="27" t="inlineStr">
        <is>
          <t>Pioneer HVAC</t>
        </is>
      </c>
      <c r="E84" s="27" t="inlineStr">
        <is>
          <t>IC case</t>
        </is>
      </c>
      <c r="F84" s="27" t="inlineStr">
        <is>
          <t>Management stretch</t>
        </is>
      </c>
      <c r="G84" s="27" t="inlineStr">
        <is>
          <t>Purchase and transaction uses</t>
        </is>
      </c>
      <c r="H84" s="46" t="n">
        <v>37595</v>
      </c>
      <c r="I84" s="27" t="inlineStr"/>
      <c r="J84" s="27" t="inlineStr">
        <is>
          <t>USD thousands</t>
        </is>
      </c>
      <c r="K84" s="27" t="inlineStr">
        <is>
          <t>Earlier management working export</t>
        </is>
      </c>
      <c r="L84" s="47" t="inlineStr">
        <is>
          <t>2026-06-24</t>
        </is>
      </c>
      <c r="M84" s="27" t="inlineStr"/>
    </row>
    <row r="85">
      <c r="A85" s="36" t="inlineStr">
        <is>
          <t>DEV-00782</t>
        </is>
      </c>
      <c r="B85" s="27" t="inlineStr">
        <is>
          <t>Create the Pioneer financing and downside IC memo</t>
        </is>
      </c>
      <c r="C85" s="27" t="inlineStr">
        <is>
          <t>Acquisition financing commitments</t>
        </is>
      </c>
      <c r="D85" s="27" t="inlineStr">
        <is>
          <t>Acquisition term loan</t>
        </is>
      </c>
      <c r="E85" s="27" t="inlineStr">
        <is>
          <t>2026-05 working copy</t>
        </is>
      </c>
      <c r="F85" s="27" t="inlineStr">
        <is>
          <t>Approved case</t>
        </is>
      </c>
      <c r="G85" s="27" t="inlineStr">
        <is>
          <t>Interest rate</t>
        </is>
      </c>
      <c r="H85" s="46" t="n">
        <v>0.07643999999999999</v>
      </c>
      <c r="I85" s="27" t="inlineStr"/>
      <c r="J85" s="27" t="inlineStr">
        <is>
          <t>decimal ratio</t>
        </is>
      </c>
      <c r="K85" s="27" t="inlineStr">
        <is>
          <t>Earlier management working export</t>
        </is>
      </c>
      <c r="L85" s="47" t="inlineStr">
        <is>
          <t>2026-06-24</t>
        </is>
      </c>
      <c r="M85" s="27" t="inlineStr"/>
    </row>
    <row r="86">
      <c r="A86" s="36" t="inlineStr">
        <is>
          <t>DEV-00783</t>
        </is>
      </c>
      <c r="B86" s="27" t="inlineStr">
        <is>
          <t>Create the Pioneer financing and downside IC memo</t>
        </is>
      </c>
      <c r="C86" s="27" t="inlineStr">
        <is>
          <t>Acquisition financing commitments</t>
        </is>
      </c>
      <c r="D86" s="27" t="inlineStr">
        <is>
          <t>Committed acquisition facility</t>
        </is>
      </c>
      <c r="E86" s="27" t="inlineStr">
        <is>
          <t>Closing</t>
        </is>
      </c>
      <c r="F86" s="27" t="inlineStr">
        <is>
          <t>Management stretch</t>
        </is>
      </c>
      <c r="G86" s="27" t="inlineStr">
        <is>
          <t>Annual amortization percent</t>
        </is>
      </c>
      <c r="H86" s="46" t="n">
        <v>0</v>
      </c>
      <c r="I86" s="27" t="inlineStr"/>
      <c r="J86" s="27" t="inlineStr">
        <is>
          <t>decimal ratio</t>
        </is>
      </c>
      <c r="K86" s="27" t="inlineStr">
        <is>
          <t>Earlier management working export</t>
        </is>
      </c>
      <c r="L86" s="47" t="inlineStr">
        <is>
          <t>2026-06-24</t>
        </is>
      </c>
      <c r="M86" s="27" t="inlineStr"/>
    </row>
    <row r="87">
      <c r="A87" s="36" t="inlineStr">
        <is>
          <t>DEV-00784</t>
        </is>
      </c>
      <c r="B87" s="27" t="inlineStr">
        <is>
          <t>Create the Pioneer financing and downside IC memo</t>
        </is>
      </c>
      <c r="C87" s="27" t="inlineStr">
        <is>
          <t>Acquisition financing cases</t>
        </is>
      </c>
      <c r="D87" s="27" t="inlineStr">
        <is>
          <t>Combined company</t>
        </is>
      </c>
      <c r="E87" s="27" t="inlineStr">
        <is>
          <t>2026-05 working copy</t>
        </is>
      </c>
      <c r="F87" s="27" t="inlineStr">
        <is>
          <t>Approved case</t>
        </is>
      </c>
      <c r="G87" s="27" t="inlineStr">
        <is>
          <t>Covenant EBITDA</t>
        </is>
      </c>
      <c r="H87" s="46" t="n">
        <v>12154000</v>
      </c>
      <c r="I87" s="27" t="inlineStr"/>
      <c r="J87" s="27" t="inlineStr">
        <is>
          <t>USD</t>
        </is>
      </c>
      <c r="K87" s="27" t="inlineStr">
        <is>
          <t>Earlier management working export</t>
        </is>
      </c>
      <c r="L87" s="47" t="inlineStr">
        <is>
          <t>2026-06-24</t>
        </is>
      </c>
      <c r="M87" s="27" t="inlineStr"/>
    </row>
    <row r="88">
      <c r="A88" s="36" t="inlineStr">
        <is>
          <t>DEV-00785</t>
        </is>
      </c>
      <c r="B88" s="27" t="inlineStr">
        <is>
          <t>Create the Pioneer financing and downside IC memo</t>
        </is>
      </c>
      <c r="C88" s="27" t="inlineStr">
        <is>
          <t>Acquisition financing policy</t>
        </is>
      </c>
      <c r="D88" s="27" t="inlineStr">
        <is>
          <t>Pioneer HVAC</t>
        </is>
      </c>
      <c r="E88" s="27" t="inlineStr">
        <is>
          <t>IC case</t>
        </is>
      </c>
      <c r="F88" s="27" t="inlineStr">
        <is>
          <t>Management stretch</t>
        </is>
      </c>
      <c r="G88" s="27" t="inlineStr">
        <is>
          <t>Buyer cash contribution</t>
        </is>
      </c>
      <c r="H88" s="46" t="n">
        <v>5720</v>
      </c>
      <c r="I88" s="27" t="inlineStr"/>
      <c r="J88" s="27" t="inlineStr">
        <is>
          <t>USD thousands</t>
        </is>
      </c>
      <c r="K88" s="27" t="inlineStr">
        <is>
          <t>Earlier management working export</t>
        </is>
      </c>
      <c r="L88" s="47" t="inlineStr">
        <is>
          <t>2026-06-24</t>
        </is>
      </c>
      <c r="M88" s="27" t="inlineStr"/>
    </row>
    <row r="89">
      <c r="A89" s="36" t="inlineStr">
        <is>
          <t>DEV-00786</t>
        </is>
      </c>
      <c r="B89" s="27" t="inlineStr">
        <is>
          <t>Create the Pioneer financing and downside IC memo</t>
        </is>
      </c>
      <c r="C89" s="27" t="inlineStr">
        <is>
          <t>Acquisition financing commitments</t>
        </is>
      </c>
      <c r="D89" s="27" t="inlineStr">
        <is>
          <t>Acquisition term loan</t>
        </is>
      </c>
      <c r="E89" s="27" t="inlineStr">
        <is>
          <t>2026-05 working copy</t>
        </is>
      </c>
      <c r="F89" s="27" t="inlineStr">
        <is>
          <t>Approved case</t>
        </is>
      </c>
      <c r="G89" s="27" t="inlineStr">
        <is>
          <t>Upfront fee percent</t>
        </is>
      </c>
      <c r="H89" s="46" t="n">
        <v>0.021</v>
      </c>
      <c r="I89" s="27" t="inlineStr"/>
      <c r="J89" s="27" t="inlineStr">
        <is>
          <t>decimal ratio</t>
        </is>
      </c>
      <c r="K89" s="27" t="inlineStr">
        <is>
          <t>Earlier management working export</t>
        </is>
      </c>
      <c r="L89" s="47" t="inlineStr">
        <is>
          <t>2026-06-24</t>
        </is>
      </c>
      <c r="M89" s="27" t="inlineStr"/>
    </row>
    <row r="90">
      <c r="A90" s="36" t="inlineStr">
        <is>
          <t>DEV-00787</t>
        </is>
      </c>
      <c r="B90" s="27" t="inlineStr">
        <is>
          <t>Create the Pioneer financing and downside IC memo</t>
        </is>
      </c>
      <c r="C90" s="27" t="inlineStr">
        <is>
          <t>Acquisition financing commitments</t>
        </is>
      </c>
      <c r="D90" s="27" t="inlineStr">
        <is>
          <t>Committed acquisition facility</t>
        </is>
      </c>
      <c r="E90" s="27" t="inlineStr">
        <is>
          <t>Closing</t>
        </is>
      </c>
      <c r="F90" s="27" t="inlineStr">
        <is>
          <t>Management stretch</t>
        </is>
      </c>
      <c r="G90" s="27" t="inlineStr">
        <is>
          <t>Term years</t>
        </is>
      </c>
      <c r="H90" s="46" t="n">
        <v>3.09</v>
      </c>
      <c r="I90" s="27" t="inlineStr"/>
      <c r="J90" s="27" t="inlineStr">
        <is>
          <t>years</t>
        </is>
      </c>
      <c r="K90" s="27" t="inlineStr">
        <is>
          <t>Earlier management working export</t>
        </is>
      </c>
      <c r="L90" s="47" t="inlineStr">
        <is>
          <t>2026-06-24</t>
        </is>
      </c>
      <c r="M90" s="27" t="inlineStr"/>
    </row>
    <row r="91">
      <c r="A91" s="36" t="inlineStr">
        <is>
          <t>DEV-00788</t>
        </is>
      </c>
      <c r="B91" s="27" t="inlineStr">
        <is>
          <t>Create the Pioneer financing and downside IC memo</t>
        </is>
      </c>
      <c r="C91" s="27" t="inlineStr">
        <is>
          <t>Acquisition financing cases</t>
        </is>
      </c>
      <c r="D91" s="27" t="inlineStr">
        <is>
          <t>Combined company</t>
        </is>
      </c>
      <c r="E91" s="27" t="inlineStr">
        <is>
          <t>2026-05 working copy</t>
        </is>
      </c>
      <c r="F91" s="27" t="inlineStr">
        <is>
          <t>Approved case</t>
        </is>
      </c>
      <c r="G91" s="27" t="inlineStr">
        <is>
          <t>Free cash flow before debt service</t>
        </is>
      </c>
      <c r="H91" s="46" t="n">
        <v>4368000</v>
      </c>
      <c r="I91" s="27" t="inlineStr"/>
      <c r="J91" s="27" t="inlineStr">
        <is>
          <t>USD</t>
        </is>
      </c>
      <c r="K91" s="27" t="inlineStr">
        <is>
          <t>Earlier management working export</t>
        </is>
      </c>
      <c r="L91" s="47" t="inlineStr">
        <is>
          <t>2026-06-24</t>
        </is>
      </c>
      <c r="M91" s="27" t="inlineStr"/>
    </row>
    <row r="92">
      <c r="A92" s="36" t="inlineStr">
        <is>
          <t>DEV-00789</t>
        </is>
      </c>
      <c r="B92" s="27" t="inlineStr">
        <is>
          <t>Create the Pioneer financing and downside IC memo</t>
        </is>
      </c>
      <c r="C92" s="27" t="inlineStr">
        <is>
          <t>Acquisition financing policy</t>
        </is>
      </c>
      <c r="D92" s="27" t="inlineStr">
        <is>
          <t>Pioneer HVAC</t>
        </is>
      </c>
      <c r="E92" s="27" t="inlineStr">
        <is>
          <t>IC case</t>
        </is>
      </c>
      <c r="F92" s="27" t="inlineStr">
        <is>
          <t>Management stretch</t>
        </is>
      </c>
      <c r="G92" s="27" t="inlineStr">
        <is>
          <t>Maximum leverage</t>
        </is>
      </c>
      <c r="H92" s="46" t="n">
        <v>3.4125</v>
      </c>
      <c r="I92" s="27" t="inlineStr"/>
      <c r="J92" s="27" t="inlineStr">
        <is>
          <t>multiple</t>
        </is>
      </c>
      <c r="K92" s="27" t="inlineStr">
        <is>
          <t>Earlier management working export</t>
        </is>
      </c>
      <c r="L92" s="47" t="inlineStr">
        <is>
          <t>2026-06-24</t>
        </is>
      </c>
      <c r="M92" s="27" t="inlineStr"/>
    </row>
    <row r="93">
      <c r="A93" s="36" t="inlineStr">
        <is>
          <t>DEV-00790</t>
        </is>
      </c>
      <c r="B93" s="27" t="inlineStr">
        <is>
          <t>Create the Pioneer financing and downside IC memo</t>
        </is>
      </c>
      <c r="C93" s="27" t="inlineStr">
        <is>
          <t>Acquisition financing commitments</t>
        </is>
      </c>
      <c r="D93" s="27" t="inlineStr">
        <is>
          <t>Acquisition term loan</t>
        </is>
      </c>
      <c r="E93" s="27" t="inlineStr">
        <is>
          <t>2026-05 working copy</t>
        </is>
      </c>
      <c r="F93" s="27" t="inlineStr">
        <is>
          <t>Approved case</t>
        </is>
      </c>
      <c r="G93" s="27" t="inlineStr">
        <is>
          <t>Annual amortization percent</t>
        </is>
      </c>
      <c r="H93" s="46" t="n">
        <v>0.103</v>
      </c>
      <c r="I93" s="27" t="inlineStr"/>
      <c r="J93" s="27" t="inlineStr">
        <is>
          <t>decimal ratio</t>
        </is>
      </c>
      <c r="K93" s="27" t="inlineStr">
        <is>
          <t>Earlier management working export</t>
        </is>
      </c>
      <c r="L93" s="47" t="inlineStr">
        <is>
          <t>2026-06-24</t>
        </is>
      </c>
      <c r="M93" s="27" t="inlineStr"/>
    </row>
    <row r="94">
      <c r="A94" s="36" t="inlineStr">
        <is>
          <t>DEV-00791</t>
        </is>
      </c>
      <c r="B94" s="27" t="inlineStr">
        <is>
          <t>Create the Pioneer financing and downside IC memo</t>
        </is>
      </c>
      <c r="C94" s="27" t="inlineStr">
        <is>
          <t>Acquisition financing commitments</t>
        </is>
      </c>
      <c r="D94" s="27" t="inlineStr">
        <is>
          <t>Seller note</t>
        </is>
      </c>
      <c r="E94" s="27" t="inlineStr">
        <is>
          <t>Closing</t>
        </is>
      </c>
      <c r="F94" s="27" t="inlineStr">
        <is>
          <t>Management stretch</t>
        </is>
      </c>
      <c r="G94" s="27" t="inlineStr">
        <is>
          <t>Commitment</t>
        </is>
      </c>
      <c r="H94" s="46" t="n">
        <v>5200000</v>
      </c>
      <c r="I94" s="27" t="inlineStr"/>
      <c r="J94" s="27" t="inlineStr">
        <is>
          <t>USD</t>
        </is>
      </c>
      <c r="K94" s="27" t="inlineStr">
        <is>
          <t>Earlier management working export</t>
        </is>
      </c>
      <c r="L94" s="47" t="inlineStr">
        <is>
          <t>2026-06-24</t>
        </is>
      </c>
      <c r="M94" s="27" t="inlineStr"/>
    </row>
    <row r="95">
      <c r="A95" s="36" t="inlineStr">
        <is>
          <t>DEV-00799</t>
        </is>
      </c>
      <c r="B95" s="27" t="inlineStr">
        <is>
          <t>Create the Pioneer financing and downside IC memo</t>
        </is>
      </c>
      <c r="C95" s="27" t="inlineStr">
        <is>
          <t>Acquisition financing stress</t>
        </is>
      </c>
      <c r="D95" s="27" t="inlineStr">
        <is>
          <t>Acquisition term loan</t>
        </is>
      </c>
      <c r="E95" s="27" t="inlineStr">
        <is>
          <t>2026-05 working copy</t>
        </is>
      </c>
      <c r="F95" s="27" t="inlineStr">
        <is>
          <t>Approved case</t>
        </is>
      </c>
      <c r="G95" s="27" t="inlineStr">
        <is>
          <t>Interest rate shock</t>
        </is>
      </c>
      <c r="H95" s="46" t="n">
        <v>0.018025</v>
      </c>
      <c r="I95" s="27" t="inlineStr"/>
      <c r="J95" s="27" t="inlineStr">
        <is>
          <t>decimal ratio</t>
        </is>
      </c>
      <c r="K95" s="27" t="inlineStr">
        <is>
          <t>Earlier management working export</t>
        </is>
      </c>
      <c r="L95" s="47" t="inlineStr">
        <is>
          <t>2026-06-24</t>
        </is>
      </c>
      <c r="M95" s="27" t="inlineStr"/>
    </row>
    <row r="96">
      <c r="A96" s="36" t="inlineStr">
        <is>
          <t>DEV-00800</t>
        </is>
      </c>
      <c r="B96" s="27" t="inlineStr">
        <is>
          <t>Create the Pioneer financing and downside IC memo</t>
        </is>
      </c>
      <c r="C96" s="27" t="inlineStr">
        <is>
          <t>Acquisition financing stress</t>
        </is>
      </c>
      <c r="D96" s="27" t="inlineStr">
        <is>
          <t>Acquisition term loan</t>
        </is>
      </c>
      <c r="E96" s="27" t="inlineStr">
        <is>
          <t>Downside</t>
        </is>
      </c>
      <c r="F96" s="27" t="inlineStr">
        <is>
          <t>Management stretch</t>
        </is>
      </c>
      <c r="G96" s="27" t="inlineStr">
        <is>
          <t>Interest rate shock</t>
        </is>
      </c>
      <c r="H96" s="46" t="n">
        <v>0.0182</v>
      </c>
      <c r="I96" s="27" t="inlineStr"/>
      <c r="J96" s="27" t="inlineStr">
        <is>
          <t>decimal ratio</t>
        </is>
      </c>
      <c r="K96" s="27" t="inlineStr">
        <is>
          <t>Earlier management working export</t>
        </is>
      </c>
      <c r="L96" s="47" t="inlineStr">
        <is>
          <t>2026-06-24</t>
        </is>
      </c>
      <c r="M96" s="27" t="inlineStr"/>
    </row>
    <row r="97">
      <c r="A97" s="36" t="inlineStr">
        <is>
          <t>DEV-00801</t>
        </is>
      </c>
      <c r="B97" s="27" t="inlineStr">
        <is>
          <t>Create the Pioneer financing and downside IC memo</t>
        </is>
      </c>
      <c r="C97" s="27" t="inlineStr">
        <is>
          <t>Acquisition financing stress</t>
        </is>
      </c>
      <c r="D97" s="27" t="inlineStr">
        <is>
          <t>Acquisition term loan</t>
        </is>
      </c>
      <c r="E97" s="27" t="inlineStr">
        <is>
          <t>2026-05 working copy</t>
        </is>
      </c>
      <c r="F97" s="27" t="inlineStr">
        <is>
          <t>Approved case</t>
        </is>
      </c>
      <c r="G97" s="27" t="inlineStr">
        <is>
          <t>Interest rate shock</t>
        </is>
      </c>
      <c r="H97" s="46" t="n">
        <v>0.018375</v>
      </c>
      <c r="I97" s="27" t="inlineStr"/>
      <c r="J97" s="27" t="inlineStr">
        <is>
          <t>decimal ratio</t>
        </is>
      </c>
      <c r="K97" s="27" t="inlineStr">
        <is>
          <t>Earlier management working export</t>
        </is>
      </c>
      <c r="L97" s="47" t="inlineStr">
        <is>
          <t>2026-06-24</t>
        </is>
      </c>
      <c r="M97" s="27" t="inlineStr"/>
    </row>
    <row r="98">
      <c r="A98" s="36" t="inlineStr">
        <is>
          <t>DEV-00802</t>
        </is>
      </c>
      <c r="B98" s="27" t="inlineStr">
        <is>
          <t>Create the Pioneer financing and downside IC memo</t>
        </is>
      </c>
      <c r="C98" s="27" t="inlineStr">
        <is>
          <t>Acquisition financing stress</t>
        </is>
      </c>
      <c r="D98" s="27" t="inlineStr">
        <is>
          <t>Acquisition term loan</t>
        </is>
      </c>
      <c r="E98" s="27" t="inlineStr">
        <is>
          <t>Downside</t>
        </is>
      </c>
      <c r="F98" s="27" t="inlineStr">
        <is>
          <t>Management stretch</t>
        </is>
      </c>
      <c r="G98" s="27" t="inlineStr">
        <is>
          <t>Interest rate shock</t>
        </is>
      </c>
      <c r="H98" s="46" t="n">
        <v>0.018025</v>
      </c>
      <c r="I98" s="27" t="inlineStr"/>
      <c r="J98" s="27" t="inlineStr">
        <is>
          <t>decimal ratio</t>
        </is>
      </c>
      <c r="K98" s="27" t="inlineStr">
        <is>
          <t>Earlier management working export</t>
        </is>
      </c>
      <c r="L98" s="47" t="inlineStr">
        <is>
          <t>2026-06-24</t>
        </is>
      </c>
      <c r="M98" s="27" t="inlineStr"/>
    </row>
    <row r="99">
      <c r="A99" s="36" t="inlineStr">
        <is>
          <t>DEV-00803</t>
        </is>
      </c>
      <c r="B99" s="27" t="inlineStr">
        <is>
          <t>Create the Pioneer financing and downside IC memo</t>
        </is>
      </c>
      <c r="C99" s="27" t="inlineStr">
        <is>
          <t>Acquisition financing stress</t>
        </is>
      </c>
      <c r="D99" s="27" t="inlineStr">
        <is>
          <t>Acquisition term loan</t>
        </is>
      </c>
      <c r="E99" s="27" t="inlineStr">
        <is>
          <t>2026-05 working copy</t>
        </is>
      </c>
      <c r="F99" s="27" t="inlineStr">
        <is>
          <t>Approved case</t>
        </is>
      </c>
      <c r="G99" s="27" t="inlineStr">
        <is>
          <t>Interest rate shock</t>
        </is>
      </c>
      <c r="H99" s="46" t="n">
        <v>0.0182</v>
      </c>
      <c r="I99" s="27" t="inlineStr"/>
      <c r="J99" s="27" t="inlineStr">
        <is>
          <t>decimal ratio</t>
        </is>
      </c>
      <c r="K99" s="27" t="inlineStr">
        <is>
          <t>Earlier management working export</t>
        </is>
      </c>
      <c r="L99" s="47" t="inlineStr">
        <is>
          <t>2026-06-24</t>
        </is>
      </c>
      <c r="M99" s="27" t="inlineStr"/>
    </row>
    <row r="100">
      <c r="A100" s="36" t="inlineStr">
        <is>
          <t>DEV-00804</t>
        </is>
      </c>
      <c r="B100" s="27" t="inlineStr">
        <is>
          <t>Create the Pioneer financing and downside IC memo</t>
        </is>
      </c>
      <c r="C100" s="27" t="inlineStr">
        <is>
          <t>Acquisition financing stress</t>
        </is>
      </c>
      <c r="D100" s="27" t="inlineStr">
        <is>
          <t>Acquisition term loan</t>
        </is>
      </c>
      <c r="E100" s="27" t="inlineStr">
        <is>
          <t>Downside</t>
        </is>
      </c>
      <c r="F100" s="27" t="inlineStr">
        <is>
          <t>Management stretch</t>
        </is>
      </c>
      <c r="G100" s="27" t="inlineStr">
        <is>
          <t>Interest rate shock</t>
        </is>
      </c>
      <c r="H100" s="46" t="n">
        <v>0.018375</v>
      </c>
      <c r="I100" s="27" t="inlineStr"/>
      <c r="J100" s="27" t="inlineStr">
        <is>
          <t>decimal ratio</t>
        </is>
      </c>
      <c r="K100" s="27" t="inlineStr">
        <is>
          <t>Earlier management working export</t>
        </is>
      </c>
      <c r="L100" s="47" t="inlineStr">
        <is>
          <t>2026-06-24</t>
        </is>
      </c>
      <c r="M100" s="27" t="inlineStr"/>
    </row>
  </sheetData>
  <autoFilter ref="A4:M100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Carveout and Integration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DEV-00367</t>
        </is>
      </c>
      <c r="B5" s="27" t="inlineStr">
        <is>
          <t>Service division divestiture carve-out</t>
        </is>
      </c>
      <c r="C5" s="27" t="inlineStr">
        <is>
          <t>Service division P&amp;L</t>
        </is>
      </c>
      <c r="D5" s="27" t="inlineStr">
        <is>
          <t>Service division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Revenue</t>
        </is>
      </c>
      <c r="H5" s="46" t="n">
        <v>3193000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DEV-00368</t>
        </is>
      </c>
      <c r="B6" s="27" t="inlineStr">
        <is>
          <t>Service division divestiture carve-out</t>
        </is>
      </c>
      <c r="C6" s="27" t="inlineStr">
        <is>
          <t>Service division P&amp;L</t>
        </is>
      </c>
      <c r="D6" s="27" t="inlineStr">
        <is>
          <t>Service division</t>
        </is>
      </c>
      <c r="E6" s="27" t="inlineStr">
        <is>
          <t>2025-09</t>
        </is>
      </c>
      <c r="F6" s="27" t="inlineStr">
        <is>
          <t>Management stretch</t>
        </is>
      </c>
      <c r="G6" s="27" t="inlineStr">
        <is>
          <t>Gross profit</t>
        </is>
      </c>
      <c r="H6" s="46" t="n">
        <v>1186.848</v>
      </c>
      <c r="I6" s="27" t="inlineStr"/>
      <c r="J6" s="27" t="inlineStr">
        <is>
          <t>USD thousands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DEV-00369</t>
        </is>
      </c>
      <c r="B7" s="27" t="inlineStr">
        <is>
          <t>Service division divestiture carve-out</t>
        </is>
      </c>
      <c r="C7" s="27" t="inlineStr">
        <is>
          <t>Service division P&amp;L</t>
        </is>
      </c>
      <c r="D7" s="27" t="inlineStr">
        <is>
          <t>Service division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Direct operating expense</t>
        </is>
      </c>
      <c r="H7" s="46" t="n">
        <v>676200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DEV-00370</t>
        </is>
      </c>
      <c r="B8" s="27" t="inlineStr">
        <is>
          <t>Service division divestiture carve-out</t>
        </is>
      </c>
      <c r="C8" s="27" t="inlineStr">
        <is>
          <t>Service division P&amp;L</t>
        </is>
      </c>
      <c r="D8" s="27" t="inlineStr">
        <is>
          <t>Service division</t>
        </is>
      </c>
      <c r="E8" s="27" t="inlineStr">
        <is>
          <t>2026-02</t>
        </is>
      </c>
      <c r="F8" s="27" t="inlineStr">
        <is>
          <t>Management stretch</t>
        </is>
      </c>
      <c r="G8" s="27" t="inlineStr">
        <is>
          <t>Revenue</t>
        </is>
      </c>
      <c r="H8" s="46" t="n">
        <v>3445350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DEV-00371</t>
        </is>
      </c>
      <c r="B9" s="27" t="inlineStr">
        <is>
          <t>Service division divestiture carve-out</t>
        </is>
      </c>
      <c r="C9" s="27" t="inlineStr">
        <is>
          <t>Service division P&amp;L</t>
        </is>
      </c>
      <c r="D9" s="27" t="inlineStr">
        <is>
          <t>Service division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Gross profit</t>
        </is>
      </c>
      <c r="H9" s="46" t="n">
        <v>1278576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DEV-00372</t>
        </is>
      </c>
      <c r="B10" s="27" t="inlineStr">
        <is>
          <t>Service division divestiture carve-out</t>
        </is>
      </c>
      <c r="C10" s="27" t="inlineStr">
        <is>
          <t>Service division P&amp;L</t>
        </is>
      </c>
      <c r="D10" s="27" t="inlineStr">
        <is>
          <t>Service division</t>
        </is>
      </c>
      <c r="E10" s="27" t="inlineStr">
        <is>
          <t>2026-06</t>
        </is>
      </c>
      <c r="F10" s="27" t="inlineStr">
        <is>
          <t>Management stretch</t>
        </is>
      </c>
      <c r="G10" s="27" t="inlineStr">
        <is>
          <t>Direct operating expense</t>
        </is>
      </c>
      <c r="H10" s="46" t="n">
        <v>720.3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DEV-00373</t>
        </is>
      </c>
      <c r="B11" s="27" t="inlineStr">
        <is>
          <t>Service division divestiture carve-out</t>
        </is>
      </c>
      <c r="C11" s="27" t="inlineStr">
        <is>
          <t>Divestiture terms</t>
        </is>
      </c>
      <c r="D11" s="27" t="inlineStr">
        <is>
          <t>Service division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Transferred lease liabilities</t>
        </is>
      </c>
      <c r="H11" s="46" t="n">
        <v>1081500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DEV-00374</t>
        </is>
      </c>
      <c r="B12" s="27" t="inlineStr">
        <is>
          <t>Service division divestiture carve-out</t>
        </is>
      </c>
      <c r="C12" s="27" t="inlineStr">
        <is>
          <t>Service division P&amp;L</t>
        </is>
      </c>
      <c r="D12" s="27" t="inlineStr">
        <is>
          <t>Service division</t>
        </is>
      </c>
      <c r="E12" s="27" t="inlineStr">
        <is>
          <t>2025-08</t>
        </is>
      </c>
      <c r="F12" s="27" t="inlineStr">
        <is>
          <t>Management stretch</t>
        </is>
      </c>
      <c r="G12" s="27" t="inlineStr">
        <is>
          <t>Revenue</t>
        </is>
      </c>
      <c r="H12" s="46" t="n">
        <v>3260400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DEV-00375</t>
        </is>
      </c>
      <c r="B13" s="27" t="inlineStr">
        <is>
          <t>Service division divestiture carve-out</t>
        </is>
      </c>
      <c r="C13" s="27" t="inlineStr">
        <is>
          <t>Service division P&amp;L</t>
        </is>
      </c>
      <c r="D13" s="27" t="inlineStr">
        <is>
          <t>Service division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Gross profit</t>
        </is>
      </c>
      <c r="H13" s="46" t="n">
        <v>1211490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DEV-00376</t>
        </is>
      </c>
      <c r="B14" s="27" t="inlineStr">
        <is>
          <t>Service division divestiture carve-out</t>
        </is>
      </c>
      <c r="C14" s="27" t="inlineStr">
        <is>
          <t>Service division P&amp;L</t>
        </is>
      </c>
      <c r="D14" s="27" t="inlineStr">
        <is>
          <t>Service division</t>
        </is>
      </c>
      <c r="E14" s="27" t="inlineStr">
        <is>
          <t>2025-12</t>
        </is>
      </c>
      <c r="F14" s="27" t="inlineStr">
        <is>
          <t>Management stretch</t>
        </is>
      </c>
      <c r="G14" s="27" t="inlineStr">
        <is>
          <t>Direct operating expense</t>
        </is>
      </c>
      <c r="H14" s="46" t="n">
        <v>669.5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DEV-00399</t>
        </is>
      </c>
      <c r="B15" s="27" t="inlineStr">
        <is>
          <t>Complete the Orion integration value-capture plan</t>
        </is>
      </c>
      <c r="C15" s="27" t="inlineStr">
        <is>
          <t>Initiatives</t>
        </is>
      </c>
      <c r="D15" s="27" t="inlineStr">
        <is>
          <t>Procurement harmonization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Gross run-rate synergy</t>
        </is>
      </c>
      <c r="H15" s="46" t="n">
        <v>1287500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DEV-00400</t>
        </is>
      </c>
      <c r="B16" s="27" t="inlineStr">
        <is>
          <t>Complete the Orion integration value-capture plan</t>
        </is>
      </c>
      <c r="C16" s="27" t="inlineStr">
        <is>
          <t>Initiatives</t>
        </is>
      </c>
      <c r="D16" s="27" t="inlineStr">
        <is>
          <t>Dispatch consolidation</t>
        </is>
      </c>
      <c r="E16" s="27" t="inlineStr">
        <is>
          <t>24-month plan</t>
        </is>
      </c>
      <c r="F16" s="27" t="inlineStr">
        <is>
          <t>Management stretch</t>
        </is>
      </c>
      <c r="G16" s="27" t="inlineStr">
        <is>
          <t>Integration cash cost</t>
        </is>
      </c>
      <c r="H16" s="46" t="n">
        <v>457.6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DEV-00401</t>
        </is>
      </c>
      <c r="B17" s="27" t="inlineStr">
        <is>
          <t>Complete the Orion integration value-capture plan</t>
        </is>
      </c>
      <c r="C17" s="27" t="inlineStr">
        <is>
          <t>Initiatives</t>
        </is>
      </c>
      <c r="D17" s="27" t="inlineStr">
        <is>
          <t>Cross-sell engine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Full run-rate month</t>
        </is>
      </c>
      <c r="H17" s="46" t="n">
        <v>18.9</v>
      </c>
      <c r="I17" s="27" t="inlineStr"/>
      <c r="J17" s="27" t="inlineStr">
        <is>
          <t>month count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DEV-00402</t>
        </is>
      </c>
      <c r="B18" s="27" t="inlineStr">
        <is>
          <t>Complete the Orion integration value-capture plan</t>
        </is>
      </c>
      <c r="C18" s="27" t="inlineStr">
        <is>
          <t>Value capture policy</t>
        </is>
      </c>
      <c r="D18" s="27" t="inlineStr">
        <is>
          <t>Orion</t>
        </is>
      </c>
      <c r="E18" s="27" t="inlineStr">
        <is>
          <t>24-month plan</t>
        </is>
      </c>
      <c r="F18" s="27" t="inlineStr">
        <is>
          <t>Management stretch</t>
        </is>
      </c>
      <c r="G18" s="27" t="inlineStr">
        <is>
          <t>Annual baseline dis-synergy</t>
        </is>
      </c>
      <c r="H18" s="46" t="n">
        <v>360500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DEV-00403</t>
        </is>
      </c>
      <c r="B19" s="27" t="inlineStr">
        <is>
          <t>Complete the Orion integration value-capture plan</t>
        </is>
      </c>
      <c r="C19" s="27" t="inlineStr">
        <is>
          <t>Initiatives</t>
        </is>
      </c>
      <c r="D19" s="27" t="inlineStr">
        <is>
          <t>Dispatch consolidation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Full run-rate month</t>
        </is>
      </c>
      <c r="H19" s="46" t="n">
        <v>9.359999999999999</v>
      </c>
      <c r="I19" s="27" t="inlineStr"/>
      <c r="J19" s="27" t="inlineStr">
        <is>
          <t>month count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DEV-00404</t>
        </is>
      </c>
      <c r="B20" s="27" t="inlineStr">
        <is>
          <t>Complete the Orion integration value-capture plan</t>
        </is>
      </c>
      <c r="C20" s="27" t="inlineStr">
        <is>
          <t>Initiatives</t>
        </is>
      </c>
      <c r="D20" s="27" t="inlineStr">
        <is>
          <t>Cross-sell engine</t>
        </is>
      </c>
      <c r="E20" s="27" t="inlineStr">
        <is>
          <t>24-month plan</t>
        </is>
      </c>
      <c r="F20" s="27" t="inlineStr">
        <is>
          <t>Management stretch</t>
        </is>
      </c>
      <c r="G20" s="27" t="inlineStr">
        <is>
          <t>Realization probability</t>
        </is>
      </c>
      <c r="H20" s="46" t="n">
        <v>0.5775000000000001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DEV-00405</t>
        </is>
      </c>
      <c r="B21" s="27" t="inlineStr">
        <is>
          <t>Complete the Orion integration value-capture plan</t>
        </is>
      </c>
      <c r="C21" s="27" t="inlineStr">
        <is>
          <t>Value capture policy</t>
        </is>
      </c>
      <c r="D21" s="27" t="inlineStr">
        <is>
          <t>Orion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Discount rate</t>
        </is>
      </c>
      <c r="H21" s="46" t="n">
        <v>0.09785000000000001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DEV-00406</t>
        </is>
      </c>
      <c r="B22" s="27" t="inlineStr">
        <is>
          <t>Complete the Orion integration value-capture plan</t>
        </is>
      </c>
      <c r="C22" s="27" t="inlineStr">
        <is>
          <t>Initiatives</t>
        </is>
      </c>
      <c r="D22" s="27" t="inlineStr">
        <is>
          <t>Dispatch consolidation</t>
        </is>
      </c>
      <c r="E22" s="27" t="inlineStr">
        <is>
          <t>24-month plan</t>
        </is>
      </c>
      <c r="F22" s="27" t="inlineStr">
        <is>
          <t>Management stretch</t>
        </is>
      </c>
      <c r="G22" s="27" t="inlineStr">
        <is>
          <t>Realization probability</t>
        </is>
      </c>
      <c r="H22" s="46" t="n">
        <v>0.8320000000000001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DEV-00407</t>
        </is>
      </c>
      <c r="B23" s="27" t="inlineStr">
        <is>
          <t>Complete the Orion integration value-capture plan</t>
        </is>
      </c>
      <c r="C23" s="27" t="inlineStr">
        <is>
          <t>Initiatives</t>
        </is>
      </c>
      <c r="D23" s="27" t="inlineStr">
        <is>
          <t>Cross-sell engine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Gross run-rate synergy</t>
        </is>
      </c>
      <c r="H23" s="46" t="n">
        <v>1417500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DEV-00408</t>
        </is>
      </c>
      <c r="B24" s="27" t="inlineStr">
        <is>
          <t>Complete the Orion integration value-capture plan</t>
        </is>
      </c>
      <c r="C24" s="27" t="inlineStr">
        <is>
          <t>Initiatives</t>
        </is>
      </c>
      <c r="D24" s="27" t="inlineStr">
        <is>
          <t>Systems decommission</t>
        </is>
      </c>
      <c r="E24" s="27" t="inlineStr">
        <is>
          <t>24-month plan</t>
        </is>
      </c>
      <c r="F24" s="27" t="inlineStr">
        <is>
          <t>Management stretch</t>
        </is>
      </c>
      <c r="G24" s="27" t="inlineStr">
        <is>
          <t>Integration cash cost</t>
        </is>
      </c>
      <c r="H24" s="46" t="n">
        <v>401.7</v>
      </c>
      <c r="I24" s="27" t="inlineStr"/>
      <c r="J24" s="27" t="inlineStr">
        <is>
          <t>USD thousands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DEV-00591</t>
        </is>
      </c>
      <c r="B25" s="27" t="inlineStr">
        <is>
          <t>Carve-out standalone, TSA, and stranded-cost analysis</t>
        </is>
      </c>
      <c r="C25" s="27" t="inlineStr">
        <is>
          <t>Carve-out functional costs</t>
        </is>
      </c>
      <c r="D25" s="27" t="inlineStr">
        <is>
          <t>Finance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Historical allocation</t>
        </is>
      </c>
      <c r="H25" s="46" t="n">
        <v>844.6</v>
      </c>
      <c r="I25" s="27" t="inlineStr"/>
      <c r="J25" s="27" t="inlineStr">
        <is>
          <t>USD thousands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DEV-00592</t>
        </is>
      </c>
      <c r="B26" s="27" t="inlineStr">
        <is>
          <t>Carve-out standalone, TSA, and stranded-cost analysis</t>
        </is>
      </c>
      <c r="C26" s="27" t="inlineStr">
        <is>
          <t>Carve-out functional costs</t>
        </is>
      </c>
      <c r="D26" s="27" t="inlineStr">
        <is>
          <t>IT</t>
        </is>
      </c>
      <c r="E26" s="27" t="inlineStr">
        <is>
          <t>Year 1</t>
        </is>
      </c>
      <c r="F26" s="27" t="inlineStr">
        <is>
          <t>Management stretch</t>
        </is>
      </c>
      <c r="G26" s="27" t="inlineStr">
        <is>
          <t>TSA months</t>
        </is>
      </c>
      <c r="H26" s="46" t="n">
        <v>18.72</v>
      </c>
      <c r="I26" s="27" t="inlineStr"/>
      <c r="J26" s="27" t="inlineStr">
        <is>
          <t>months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DEV-00593</t>
        </is>
      </c>
      <c r="B27" s="27" t="inlineStr">
        <is>
          <t>Carve-out standalone, TSA, and stranded-cost analysis</t>
        </is>
      </c>
      <c r="C27" s="27" t="inlineStr">
        <is>
          <t>Carve-out functional costs</t>
        </is>
      </c>
      <c r="D27" s="27" t="inlineStr">
        <is>
          <t>Facilities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One-time separation cost</t>
        </is>
      </c>
      <c r="H27" s="46" t="n">
        <v>273000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DEV-00594</t>
        </is>
      </c>
      <c r="B28" s="27" t="inlineStr">
        <is>
          <t>Carve-out standalone, TSA, and stranded-cost analysis</t>
        </is>
      </c>
      <c r="C28" s="27" t="inlineStr">
        <is>
          <t>Carve-out functional costs</t>
        </is>
      </c>
      <c r="D28" s="27" t="inlineStr">
        <is>
          <t>Procurement</t>
        </is>
      </c>
      <c r="E28" s="27" t="inlineStr">
        <is>
          <t>Year 1</t>
        </is>
      </c>
      <c r="F28" s="27" t="inlineStr">
        <is>
          <t>Management stretch</t>
        </is>
      </c>
      <c r="G28" s="27" t="inlineStr">
        <is>
          <t>Standalone run-rate cost</t>
        </is>
      </c>
      <c r="H28" s="46" t="n">
        <v>401700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DEV-00595</t>
        </is>
      </c>
      <c r="B29" s="27" t="inlineStr">
        <is>
          <t>Carve-out standalone, TSA, and stranded-cost analysis</t>
        </is>
      </c>
      <c r="C29" s="27" t="inlineStr">
        <is>
          <t>Carve-out policy</t>
        </is>
      </c>
      <c r="D29" s="27" t="inlineStr">
        <is>
          <t>Service Division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Buyer cost takeout amount</t>
        </is>
      </c>
      <c r="H29" s="46" t="n">
        <v>676</v>
      </c>
      <c r="I29" s="27" t="inlineStr"/>
      <c r="J29" s="27" t="inlineStr">
        <is>
          <t>USD thousands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DEV-00596</t>
        </is>
      </c>
      <c r="B30" s="27" t="inlineStr">
        <is>
          <t>Carve-out standalone, TSA, and stranded-cost analysis</t>
        </is>
      </c>
      <c r="C30" s="27" t="inlineStr">
        <is>
          <t>Carve-out functional costs</t>
        </is>
      </c>
      <c r="D30" s="27" t="inlineStr">
        <is>
          <t>IT</t>
        </is>
      </c>
      <c r="E30" s="27" t="inlineStr">
        <is>
          <t>Year 1</t>
        </is>
      </c>
      <c r="F30" s="27" t="inlineStr">
        <is>
          <t>Management stretch</t>
        </is>
      </c>
      <c r="G30" s="27" t="inlineStr">
        <is>
          <t>Historical allocation</t>
        </is>
      </c>
      <c r="H30" s="46" t="n">
        <v>724500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DEV-00597</t>
        </is>
      </c>
      <c r="B31" s="27" t="inlineStr">
        <is>
          <t>Carve-out standalone, TSA, and stranded-cost analysis</t>
        </is>
      </c>
      <c r="C31" s="27" t="inlineStr">
        <is>
          <t>Carve-out functional costs</t>
        </is>
      </c>
      <c r="D31" s="27" t="inlineStr">
        <is>
          <t>HR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TSA months</t>
        </is>
      </c>
      <c r="H31" s="46" t="n">
        <v>9.27</v>
      </c>
      <c r="I31" s="27" t="inlineStr"/>
      <c r="J31" s="27" t="inlineStr">
        <is>
          <t>months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DEV-00598</t>
        </is>
      </c>
      <c r="B32" s="27" t="inlineStr">
        <is>
          <t>Carve-out standalone, TSA, and stranded-cost analysis</t>
        </is>
      </c>
      <c r="C32" s="27" t="inlineStr">
        <is>
          <t>Carve-out functional costs</t>
        </is>
      </c>
      <c r="D32" s="27" t="inlineStr">
        <is>
          <t>Insurance</t>
        </is>
      </c>
      <c r="E32" s="27" t="inlineStr">
        <is>
          <t>Year 1</t>
        </is>
      </c>
      <c r="F32" s="27" t="inlineStr">
        <is>
          <t>Management stretch</t>
        </is>
      </c>
      <c r="G32" s="27" t="inlineStr">
        <is>
          <t>One-time separation cost</t>
        </is>
      </c>
      <c r="H32" s="46" t="n">
        <v>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DEV-00599</t>
        </is>
      </c>
      <c r="B33" s="27" t="inlineStr">
        <is>
          <t>Carve-out standalone, TSA, and stranded-cost analysis</t>
        </is>
      </c>
      <c r="C33" s="27" t="inlineStr">
        <is>
          <t>Carve-out policy</t>
        </is>
      </c>
      <c r="D33" s="27" t="inlineStr">
        <is>
          <t>Service Division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TSA markup</t>
        </is>
      </c>
      <c r="H33" s="46" t="n">
        <v>0.126</v>
      </c>
      <c r="I33" s="27" t="inlineStr"/>
      <c r="J33" s="27" t="inlineStr">
        <is>
          <t>decimal ratio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DEV-00600</t>
        </is>
      </c>
      <c r="B34" s="27" t="inlineStr">
        <is>
          <t>Carve-out standalone, TSA, and stranded-cost analysis</t>
        </is>
      </c>
      <c r="C34" s="27" t="inlineStr">
        <is>
          <t>Carve-out functional costs</t>
        </is>
      </c>
      <c r="D34" s="27" t="inlineStr">
        <is>
          <t>Finance</t>
        </is>
      </c>
      <c r="E34" s="27" t="inlineStr">
        <is>
          <t>Year 1</t>
        </is>
      </c>
      <c r="F34" s="27" t="inlineStr">
        <is>
          <t>Management stretch</t>
        </is>
      </c>
      <c r="G34" s="27" t="inlineStr">
        <is>
          <t>Standalone run-rate cost</t>
        </is>
      </c>
      <c r="H34" s="46" t="n">
        <v>1081500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DEV-00601</t>
        </is>
      </c>
      <c r="B35" s="27" t="inlineStr">
        <is>
          <t>Carve-out standalone, TSA, and stranded-cost analysis</t>
        </is>
      </c>
      <c r="C35" s="27" t="inlineStr">
        <is>
          <t>Carve-out functional costs</t>
        </is>
      </c>
      <c r="D35" s="27" t="inlineStr">
        <is>
          <t>HR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Historical allocation</t>
        </is>
      </c>
      <c r="H35" s="46" t="n">
        <v>426400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DEV-00602</t>
        </is>
      </c>
      <c r="B36" s="27" t="inlineStr">
        <is>
          <t>Carve-out standalone, TSA, and stranded-cost analysis</t>
        </is>
      </c>
      <c r="C36" s="27" t="inlineStr">
        <is>
          <t>Carve-out functional costs</t>
        </is>
      </c>
      <c r="D36" s="27" t="inlineStr">
        <is>
          <t>Facilities</t>
        </is>
      </c>
      <c r="E36" s="27" t="inlineStr">
        <is>
          <t>Year 1</t>
        </is>
      </c>
      <c r="F36" s="27" t="inlineStr">
        <is>
          <t>Management stretch</t>
        </is>
      </c>
      <c r="G36" s="27" t="inlineStr">
        <is>
          <t>TSA months</t>
        </is>
      </c>
      <c r="H36" s="46" t="n">
        <v>15.75</v>
      </c>
      <c r="I36" s="27" t="inlineStr"/>
      <c r="J36" s="27" t="inlineStr">
        <is>
          <t>months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DEV-00603</t>
        </is>
      </c>
      <c r="B37" s="27" t="inlineStr">
        <is>
          <t>Carve-out standalone, TSA, and stranded-cost analysis</t>
        </is>
      </c>
      <c r="C37" s="27" t="inlineStr">
        <is>
          <t>Carve-out functional costs</t>
        </is>
      </c>
      <c r="D37" s="27" t="inlineStr">
        <is>
          <t>Procurement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One-time separation cost</t>
        </is>
      </c>
      <c r="H37" s="46" t="n">
        <v>144.2</v>
      </c>
      <c r="I37" s="27" t="inlineStr"/>
      <c r="J37" s="27" t="inlineStr">
        <is>
          <t>USD thousands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DEV-00604</t>
        </is>
      </c>
      <c r="B38" s="27" t="inlineStr">
        <is>
          <t>Carve-out standalone, TSA, and stranded-cost analysis</t>
        </is>
      </c>
      <c r="C38" s="27" t="inlineStr">
        <is>
          <t>Carve-out policy</t>
        </is>
      </c>
      <c r="D38" s="27" t="inlineStr">
        <is>
          <t>Service Division</t>
        </is>
      </c>
      <c r="E38" s="27" t="inlineStr">
        <is>
          <t>Year 1</t>
        </is>
      </c>
      <c r="F38" s="27" t="inlineStr">
        <is>
          <t>Management stretch</t>
        </is>
      </c>
      <c r="G38" s="27" t="inlineStr">
        <is>
          <t>Tax rate</t>
        </is>
      </c>
      <c r="H38" s="46" t="n">
        <v>0.2704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DEV-00623</t>
        </is>
      </c>
      <c r="B39" s="27" t="inlineStr">
        <is>
          <t>Carve-out standalone, TSA, and stranded-cost analysis</t>
        </is>
      </c>
      <c r="C39" s="27" t="inlineStr">
        <is>
          <t>Carveout TSA exit plan</t>
        </is>
      </c>
      <c r="D39" s="27" t="inlineStr">
        <is>
          <t>Finance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Operational readiness month</t>
        </is>
      </c>
      <c r="H39" s="46" t="n">
        <v>9.27</v>
      </c>
      <c r="I39" s="27" t="inlineStr"/>
      <c r="J39" s="27" t="inlineStr">
        <is>
          <t>month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DEV-00624</t>
        </is>
      </c>
      <c r="B40" s="27" t="inlineStr">
        <is>
          <t>Carve-out standalone, TSA, and stranded-cost analysis</t>
        </is>
      </c>
      <c r="C40" s="27" t="inlineStr">
        <is>
          <t>Carveout TSA exit plan</t>
        </is>
      </c>
      <c r="D40" s="27" t="inlineStr">
        <is>
          <t>HR</t>
        </is>
      </c>
      <c r="E40" s="27" t="inlineStr">
        <is>
          <t>Year 1</t>
        </is>
      </c>
      <c r="F40" s="27" t="inlineStr">
        <is>
          <t>Management stretch</t>
        </is>
      </c>
      <c r="G40" s="27" t="inlineStr">
        <is>
          <t>TSA exit fee</t>
        </is>
      </c>
      <c r="H40" s="46" t="n">
        <v>20.8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DEV-00625</t>
        </is>
      </c>
      <c r="B41" s="27" t="inlineStr">
        <is>
          <t>Carve-out standalone, TSA, and stranded-cost analysis</t>
        </is>
      </c>
      <c r="C41" s="27" t="inlineStr">
        <is>
          <t>Carveout TSA exit plan</t>
        </is>
      </c>
      <c r="D41" s="27" t="inlineStr">
        <is>
          <t>Insurance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Year 1 stranded cost remediation percent</t>
        </is>
      </c>
      <c r="H41" s="46" t="n">
        <v>0.21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DEV-00626</t>
        </is>
      </c>
      <c r="B42" s="27" t="inlineStr">
        <is>
          <t>Carve-out standalone, TSA, and stranded-cost analysis</t>
        </is>
      </c>
      <c r="C42" s="27" t="inlineStr">
        <is>
          <t>Carveout TSA exit plan</t>
        </is>
      </c>
      <c r="D42" s="27" t="inlineStr">
        <is>
          <t>IT</t>
        </is>
      </c>
      <c r="E42" s="27" t="inlineStr">
        <is>
          <t>Year 1</t>
        </is>
      </c>
      <c r="F42" s="27" t="inlineStr">
        <is>
          <t>Management stretch</t>
        </is>
      </c>
      <c r="G42" s="27" t="inlineStr">
        <is>
          <t>Operational readiness month</t>
        </is>
      </c>
      <c r="H42" s="46" t="n">
        <v>14.42</v>
      </c>
      <c r="I42" s="27" t="inlineStr"/>
      <c r="J42" s="27" t="inlineStr">
        <is>
          <t>month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DEV-00627</t>
        </is>
      </c>
      <c r="B43" s="27" t="inlineStr">
        <is>
          <t>Carve-out standalone, TSA, and stranded-cost analysis</t>
        </is>
      </c>
      <c r="C43" s="27" t="inlineStr">
        <is>
          <t>Carveout TSA exit plan</t>
        </is>
      </c>
      <c r="D43" s="27" t="inlineStr">
        <is>
          <t>Facilities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TSA exit fee</t>
        </is>
      </c>
      <c r="H43" s="46" t="n">
        <v>46800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DEV-00628</t>
        </is>
      </c>
      <c r="B44" s="27" t="inlineStr">
        <is>
          <t>Carve-out standalone, TSA, and stranded-cost analysis</t>
        </is>
      </c>
      <c r="C44" s="27" t="inlineStr">
        <is>
          <t>Carveout TSA exit plan</t>
        </is>
      </c>
      <c r="D44" s="27" t="inlineStr">
        <is>
          <t>Procurement</t>
        </is>
      </c>
      <c r="E44" s="27" t="inlineStr">
        <is>
          <t>Year 1</t>
        </is>
      </c>
      <c r="F44" s="27" t="inlineStr">
        <is>
          <t>Management stretch</t>
        </is>
      </c>
      <c r="G44" s="27" t="inlineStr">
        <is>
          <t>Year 1 stranded cost remediation percent</t>
        </is>
      </c>
      <c r="H44" s="46" t="n">
        <v>0.525</v>
      </c>
      <c r="I44" s="27" t="inlineStr"/>
      <c r="J44" s="27" t="inlineStr">
        <is>
          <t>decimal ratio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</sheetData>
  <autoFilter ref="A4:M44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corporate development investment committee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QoE and Working Capital</t>
        </is>
      </c>
      <c r="B5" s="40" t="n">
        <v>43</v>
      </c>
      <c r="C5" s="40">
        <f>COUNTA('QoE and Working Capital'!$A$5:$A$47)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Valuation</t>
        </is>
      </c>
      <c r="B6" s="41" t="n">
        <v>30</v>
      </c>
      <c r="C6" s="41">
        <f>COUNTA('Valuation'!$A$5:$A$34)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1" t="inlineStr">
        <is>
          <t>Transaction Models</t>
        </is>
      </c>
      <c r="B7" s="41" t="n">
        <v>96</v>
      </c>
      <c r="C7" s="41">
        <f>COUNTA('Transaction Models'!$A$5:$A$100)</f>
        <v/>
      </c>
      <c r="D7" s="41">
        <f>C7-B7</f>
        <v/>
      </c>
      <c r="E7" s="44">
        <f>IF(D7=0,"OK","CHECK")</f>
        <v/>
      </c>
      <c r="F7" s="41" t="inlineStr">
        <is>
          <t>PRIOR REVIEW COPY • NOT CURRENT</t>
        </is>
      </c>
    </row>
    <row r="8">
      <c r="A8" s="42" t="inlineStr">
        <is>
          <t>Carveout and Integration</t>
        </is>
      </c>
      <c r="B8" s="42" t="n">
        <v>40</v>
      </c>
      <c r="C8" s="42">
        <f>COUNTA('Carveout and Integration'!$A$5:$A$44)</f>
        <v/>
      </c>
      <c r="D8" s="42">
        <f>C8-B8</f>
        <v/>
      </c>
      <c r="E8" s="45">
        <f>IF(D8=0,"OK","CHECK")</f>
        <v/>
      </c>
      <c r="F8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2026-08-06T08:45:10Z</dcterms:created>
  <dcterms:modified xmlns:dcterms="http://purl.org/dc/terms/" xmlns:xsi="http://www.w3.org/2001/XMLSchema-instance" xsi:type="dcterms:W3CDTF">2026-08-06T08:45:10Z</dcterms:modified>
</cp:coreProperties>
</file>