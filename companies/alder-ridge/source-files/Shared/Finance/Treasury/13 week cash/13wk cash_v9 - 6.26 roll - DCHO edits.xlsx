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3W Cash Forecast" sheetId="1" state="visible" r:id="rId1"/>
    <sheet xmlns:r="http://schemas.openxmlformats.org/officeDocument/2006/relationships" name="AR Timing" sheetId="2" state="visible" r:id="rId2"/>
    <sheet xmlns:r="http://schemas.openxmlformats.org/officeDocument/2006/relationships" name="AP &amp; Commitment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AP dump 6.26" sheetId="6" state="visible" r:id="rId6"/>
    <sheet xmlns:r="http://schemas.openxmlformats.org/officeDocument/2006/relationships" name="bank rec 6.26" sheetId="7" state="visible" r:id="rId7"/>
    <sheet xmlns:r="http://schemas.openxmlformats.org/officeDocument/2006/relationships" name="week map + overrides" sheetId="8" state="visible" r:id="rId8"/>
    <sheet xmlns:r="http://schemas.openxmlformats.org/officeDocument/2006/relationships" name="old notes - keep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mmm d"/>
    <numFmt numFmtId="165" formatCode="$#,##0;[Red]($#,##0);-"/>
    <numFmt numFmtId="166" formatCode="yyyy-mm-dd"/>
  </numFmts>
  <fonts count="12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b val="1"/>
      <color rgb="FF252321"/>
      <sz val="9"/>
    </font>
    <font>
      <name val="Arial"/>
      <color rgb="FF252321"/>
      <sz val="9"/>
    </font>
    <font>
      <name val="Arial"/>
      <color rgb="FF8B5E3C"/>
      <sz val="9"/>
    </font>
    <font>
      <name val="Arial"/>
      <b val="1"/>
      <color rgb="FF8B5E3C"/>
      <sz val="9"/>
    </font>
    <font>
      <name val="Carlito"/>
      <sz val="11"/>
    </font>
    <font>
      <name val="Carlito"/>
      <color rgb="FF8B5E3C"/>
      <sz val="11"/>
    </font>
    <font>
      <name val="Arial"/>
      <b val="1"/>
      <color rgb="FFFFFFFF"/>
      <sz val="8"/>
    </font>
    <font>
      <name val="Arial"/>
      <color rgb="FF252321"/>
      <sz val="8"/>
    </font>
  </fonts>
  <fills count="9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F5E8C8"/>
      </patternFill>
    </fill>
    <fill>
      <patternFill patternType="solid">
        <fgColor rgb="FFE4ECE7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thin">
        <color rgb="FFD8D0C6"/>
      </bottom>
      <diagonal/>
    </border>
    <border>
      <left/>
      <right/>
      <top style="double">
        <color rgb="FF2A4337"/>
      </top>
      <bottom/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8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164" fontId="3" fillId="4" borderId="3" applyAlignment="1" pivotButton="0" quotePrefix="0" xfId="0">
      <alignment vertical="center" wrapText="1"/>
    </xf>
    <xf numFmtId="164" fontId="3" fillId="4" borderId="4" applyAlignment="1" pivotButton="0" quotePrefix="0" xfId="0">
      <alignment vertical="center" wrapText="1"/>
    </xf>
    <xf numFmtId="0" fontId="4" fillId="2" borderId="5" applyAlignment="1" pivotButton="0" quotePrefix="0" xfId="0">
      <alignment vertical="center"/>
    </xf>
    <xf numFmtId="165" fontId="4" fillId="2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4" fillId="3" borderId="5" applyAlignment="1" pivotButton="0" quotePrefix="0" xfId="0">
      <alignment vertical="center"/>
    </xf>
    <xf numFmtId="165" fontId="4" fillId="3" borderId="5" applyAlignment="1" pivotButton="0" quotePrefix="0" xfId="0">
      <alignment vertical="center"/>
    </xf>
    <xf numFmtId="0" fontId="4" fillId="4" borderId="6" applyAlignment="1" pivotButton="0" quotePrefix="0" xfId="0">
      <alignment vertical="center"/>
    </xf>
    <xf numFmtId="165" fontId="4" fillId="4" borderId="6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165" fontId="4" fillId="6" borderId="0" applyAlignment="1" pivotButton="0" quotePrefix="0" xfId="0">
      <alignment vertical="center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166" fontId="5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pivotButton="0" quotePrefix="0" xfId="0"/>
    <xf numFmtId="165" fontId="9" fillId="0" borderId="0" pivotButton="0" quotePrefix="0" xfId="0"/>
    <xf numFmtId="0" fontId="4" fillId="7" borderId="0" applyAlignment="1" pivotButton="0" quotePrefix="0" xfId="0">
      <alignment wrapText="1"/>
    </xf>
    <xf numFmtId="0" fontId="10" fillId="8" borderId="7" applyAlignment="1" pivotButton="0" quotePrefix="0" xfId="0">
      <alignment wrapText="1"/>
    </xf>
    <xf numFmtId="0" fontId="11" fillId="0" borderId="8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165" fontId="11" fillId="0" borderId="8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/>
  </cellStyles>
  <dxfs count="1">
    <dxf>
      <font>
        <b val="1"/>
        <color rgb="008B3A3A"/>
      </font>
      <fill>
        <patternFill patternType="solid">
          <fgColor rgb="00F3DED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 outlineLevelRow="0"/>
  <cols>
    <col width="37" customWidth="1" min="1" max="1"/>
    <col width="14" customWidth="1" min="2" max="14"/>
  </cols>
  <sheetData>
    <row r="1" ht="23" customHeight="1">
      <c r="A1" s="1" t="inlineStr">
        <is>
          <t>Alder Ridge Mechanical | 13-Week Cash Forecast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23" customHeight="1">
      <c r="A2" s="2" t="inlineStr">
        <is>
          <t>Week ending 2026-06-26 | Version 09 | Preliminary treasury view</t>
        </is>
      </c>
    </row>
    <row r="3"/>
    <row r="4" ht="30" customHeight="1">
      <c r="A4" s="3" t="inlineStr">
        <is>
          <t>Cash Flow Line</t>
        </is>
      </c>
      <c r="B4" s="4" t="n">
        <v>46206</v>
      </c>
      <c r="C4" s="4" t="n">
        <v>46213</v>
      </c>
      <c r="D4" s="4" t="n">
        <v>46220</v>
      </c>
      <c r="E4" s="4" t="n">
        <v>46227</v>
      </c>
      <c r="F4" s="4" t="n">
        <v>46234</v>
      </c>
      <c r="G4" s="4" t="n">
        <v>46241</v>
      </c>
      <c r="H4" s="4" t="n">
        <v>46248</v>
      </c>
      <c r="I4" s="4" t="n">
        <v>46255</v>
      </c>
      <c r="J4" s="4" t="n">
        <v>46262</v>
      </c>
      <c r="K4" s="4" t="n">
        <v>46269</v>
      </c>
      <c r="L4" s="4" t="n">
        <v>46276</v>
      </c>
      <c r="M4" s="4" t="n">
        <v>46283</v>
      </c>
      <c r="N4" s="5" t="n">
        <v>46290</v>
      </c>
    </row>
    <row r="5"/>
    <row r="6">
      <c r="A6" s="6" t="inlineStr">
        <is>
          <t>Beginning Cash</t>
        </is>
      </c>
      <c r="B6" s="7">
        <f>3233120</f>
        <v/>
      </c>
      <c r="C6" s="7">
        <f>B21</f>
        <v/>
      </c>
      <c r="D6" s="7">
        <f>C21</f>
        <v/>
      </c>
      <c r="E6" s="7">
        <f>D21</f>
        <v/>
      </c>
      <c r="F6" s="7">
        <f>E21</f>
        <v/>
      </c>
      <c r="G6" s="7">
        <f>F21</f>
        <v/>
      </c>
      <c r="H6" s="7">
        <f>G21</f>
        <v/>
      </c>
      <c r="I6" s="7">
        <f>H21</f>
        <v/>
      </c>
      <c r="J6" s="7">
        <f>I21</f>
        <v/>
      </c>
      <c r="K6" s="7">
        <f>J21</f>
        <v/>
      </c>
      <c r="L6" s="7">
        <f>K21</f>
        <v/>
      </c>
      <c r="M6" s="7">
        <f>L21</f>
        <v/>
      </c>
      <c r="N6" s="7">
        <f>M21</f>
        <v/>
      </c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inlineStr">
        <is>
          <t>Contract / Project Receipts</t>
        </is>
      </c>
      <c r="B8" s="10" t="n">
        <v>1936721</v>
      </c>
      <c r="C8" s="10" t="n">
        <v>1215973</v>
      </c>
      <c r="D8" s="10" t="n">
        <v>1142832</v>
      </c>
      <c r="E8" s="10" t="n">
        <v>1457411</v>
      </c>
      <c r="F8" s="10" t="n">
        <v>1114860</v>
      </c>
      <c r="G8" s="10" t="n">
        <v>1623668</v>
      </c>
      <c r="H8" s="10" t="n">
        <v>307043</v>
      </c>
      <c r="I8" s="10" t="n">
        <v>460038</v>
      </c>
      <c r="J8" s="10" t="n">
        <v>241150</v>
      </c>
      <c r="K8" s="10" t="n">
        <v>241150</v>
      </c>
      <c r="L8" s="10" t="n">
        <v>279370</v>
      </c>
      <c r="M8" s="10" t="n">
        <v>241150</v>
      </c>
      <c r="N8" s="10" t="n">
        <v>241150</v>
      </c>
    </row>
    <row r="9">
      <c r="A9" s="8" t="inlineStr">
        <is>
          <t>Service &amp; Maintenance Receipts</t>
        </is>
      </c>
      <c r="B9" s="10" t="n">
        <v>195000</v>
      </c>
      <c r="C9" s="10" t="n">
        <v>195000</v>
      </c>
      <c r="D9" s="10" t="n">
        <v>220000</v>
      </c>
      <c r="E9" s="10" t="n">
        <v>195000</v>
      </c>
      <c r="F9" s="10" t="n">
        <v>195000</v>
      </c>
      <c r="G9" s="10" t="n">
        <v>195000</v>
      </c>
      <c r="H9" s="10" t="n">
        <v>220000</v>
      </c>
      <c r="I9" s="10" t="n">
        <v>195000</v>
      </c>
      <c r="J9" s="10" t="n">
        <v>195000</v>
      </c>
      <c r="K9" s="10" t="n">
        <v>195000</v>
      </c>
      <c r="L9" s="10" t="n">
        <v>220000</v>
      </c>
      <c r="M9" s="10" t="n">
        <v>195000</v>
      </c>
      <c r="N9" s="10" t="n">
        <v>195000</v>
      </c>
    </row>
    <row r="10">
      <c r="A10" s="11" t="inlineStr">
        <is>
          <t>Total Cash Inflows</t>
        </is>
      </c>
      <c r="B10" s="12">
        <f>SUM(B8:B9)</f>
        <v/>
      </c>
      <c r="C10" s="12">
        <f>SUM(C8:C9)</f>
        <v/>
      </c>
      <c r="D10" s="12">
        <f>SUM(D8:D9)</f>
        <v/>
      </c>
      <c r="E10" s="12">
        <f>SUM(E8:E9)</f>
        <v/>
      </c>
      <c r="F10" s="12">
        <f>SUM(F8:F9)</f>
        <v/>
      </c>
      <c r="G10" s="12">
        <f>SUM(G8:G9)</f>
        <v/>
      </c>
      <c r="H10" s="12">
        <f>SUM(H8:H9)</f>
        <v/>
      </c>
      <c r="I10" s="12">
        <f>SUM(I8:I9)</f>
        <v/>
      </c>
      <c r="J10" s="12">
        <f>SUM(J8:J9)</f>
        <v/>
      </c>
      <c r="K10" s="12">
        <f>SUM(K8:K9)</f>
        <v/>
      </c>
      <c r="L10" s="12">
        <f>SUM(L8:L9)</f>
        <v/>
      </c>
      <c r="M10" s="12">
        <f>SUM(M8:M9)</f>
        <v/>
      </c>
      <c r="N10" s="12">
        <f>SUM(N8:N9)</f>
        <v/>
      </c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inlineStr">
        <is>
          <t>Trade AP Disbursements</t>
        </is>
      </c>
      <c r="B12" s="10" t="n">
        <v>1306688</v>
      </c>
      <c r="C12" s="10" t="n">
        <v>913538</v>
      </c>
      <c r="D12" s="10" t="n">
        <v>552792</v>
      </c>
      <c r="E12" s="10" t="n">
        <v>380527</v>
      </c>
      <c r="F12" s="10" t="n">
        <v>288373</v>
      </c>
      <c r="G12" s="10" t="n">
        <v>230587</v>
      </c>
      <c r="H12" s="10" t="n">
        <v>113748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</row>
    <row r="13">
      <c r="A13" s="8" t="inlineStr">
        <is>
          <t>Equipment / PO Commitments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532800</v>
      </c>
      <c r="G13" s="10" t="n">
        <v>387360</v>
      </c>
      <c r="H13" s="10" t="n">
        <v>135360</v>
      </c>
      <c r="I13" s="10" t="n">
        <v>237312</v>
      </c>
      <c r="J13" s="10" t="n">
        <v>204480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8" t="inlineStr">
        <is>
          <t>Payroll</t>
        </is>
      </c>
      <c r="B14" s="10" t="n">
        <v>628000</v>
      </c>
      <c r="C14" s="10" t="n">
        <v>0</v>
      </c>
      <c r="D14" s="10" t="n">
        <v>628000</v>
      </c>
      <c r="E14" s="10" t="n">
        <v>0</v>
      </c>
      <c r="F14" s="10" t="n">
        <v>628000</v>
      </c>
      <c r="G14" s="10" t="n">
        <v>0</v>
      </c>
      <c r="H14" s="10" t="n">
        <v>628000</v>
      </c>
      <c r="I14" s="10" t="n">
        <v>0</v>
      </c>
      <c r="J14" s="10" t="n">
        <v>628000</v>
      </c>
      <c r="K14" s="10" t="n">
        <v>0</v>
      </c>
      <c r="L14" s="10" t="n">
        <v>628000</v>
      </c>
      <c r="M14" s="10" t="n">
        <v>0</v>
      </c>
      <c r="N14" s="10" t="n">
        <v>628000</v>
      </c>
    </row>
    <row r="15">
      <c r="A15" s="8" t="inlineStr">
        <is>
          <t>Payroll Taxes &amp; Benefits</t>
        </is>
      </c>
      <c r="B15" s="10" t="n">
        <v>104000</v>
      </c>
      <c r="C15" s="10" t="n">
        <v>104000</v>
      </c>
      <c r="D15" s="10" t="n">
        <v>104000</v>
      </c>
      <c r="E15" s="10" t="n">
        <v>104000</v>
      </c>
      <c r="F15" s="10" t="n">
        <v>104000</v>
      </c>
      <c r="G15" s="10" t="n">
        <v>104000</v>
      </c>
      <c r="H15" s="10" t="n">
        <v>104000</v>
      </c>
      <c r="I15" s="10" t="n">
        <v>104000</v>
      </c>
      <c r="J15" s="10" t="n">
        <v>104000</v>
      </c>
      <c r="K15" s="10" t="n">
        <v>104000</v>
      </c>
      <c r="L15" s="10" t="n">
        <v>104000</v>
      </c>
      <c r="M15" s="10" t="n">
        <v>104000</v>
      </c>
      <c r="N15" s="10" t="n">
        <v>104000</v>
      </c>
    </row>
    <row r="16">
      <c r="A16" s="8" t="inlineStr">
        <is>
          <t>Occupancy</t>
        </is>
      </c>
      <c r="B16" s="10" t="n">
        <v>62000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62000</v>
      </c>
      <c r="H16" s="10" t="n">
        <v>0</v>
      </c>
      <c r="I16" s="10" t="n">
        <v>0</v>
      </c>
      <c r="J16" s="10" t="n">
        <v>0</v>
      </c>
      <c r="K16" s="10" t="n">
        <v>62000</v>
      </c>
      <c r="L16" s="10" t="n">
        <v>0</v>
      </c>
      <c r="M16" s="10" t="n">
        <v>0</v>
      </c>
      <c r="N16" s="10" t="n">
        <v>0</v>
      </c>
    </row>
    <row r="17">
      <c r="A17" s="8" t="inlineStr">
        <is>
          <t>Debt Service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61000</v>
      </c>
      <c r="G17" s="10" t="n">
        <v>0</v>
      </c>
      <c r="H17" s="10" t="n">
        <v>0</v>
      </c>
      <c r="I17" s="10" t="n">
        <v>0</v>
      </c>
      <c r="J17" s="10" t="n">
        <v>61000</v>
      </c>
      <c r="K17" s="10" t="n">
        <v>0</v>
      </c>
      <c r="L17" s="10" t="n">
        <v>0</v>
      </c>
      <c r="M17" s="10" t="n">
        <v>0</v>
      </c>
      <c r="N17" s="10" t="n">
        <v>61000</v>
      </c>
    </row>
    <row r="18">
      <c r="A18" s="8" t="inlineStr">
        <is>
          <t>Capital Expenditures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186000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92000</v>
      </c>
      <c r="M18" s="10" t="n">
        <v>0</v>
      </c>
      <c r="N18" s="10" t="n">
        <v>0</v>
      </c>
    </row>
    <row r="19">
      <c r="A19" s="11" t="inlineStr">
        <is>
          <t>Total Cash Outflows</t>
        </is>
      </c>
      <c r="B19" s="12">
        <f>SUM(B12:B18)</f>
        <v/>
      </c>
      <c r="C19" s="12">
        <f>SUM(C12:C18)</f>
        <v/>
      </c>
      <c r="D19" s="12">
        <f>SUM(D12:D18)</f>
        <v/>
      </c>
      <c r="E19" s="12">
        <f>SUM(E12:E18)</f>
        <v/>
      </c>
      <c r="F19" s="12">
        <f>SUM(F12:F18)</f>
        <v/>
      </c>
      <c r="G19" s="12">
        <f>SUM(G12:G18)</f>
        <v/>
      </c>
      <c r="H19" s="12">
        <f>SUM(H12:H18)</f>
        <v/>
      </c>
      <c r="I19" s="12">
        <f>SUM(I12:I18)</f>
        <v/>
      </c>
      <c r="J19" s="12">
        <f>SUM(J12:J18)</f>
        <v/>
      </c>
      <c r="K19" s="12">
        <f>SUM(K12:K18)</f>
        <v/>
      </c>
      <c r="L19" s="12">
        <f>SUM(L12:L18)</f>
        <v/>
      </c>
      <c r="M19" s="12">
        <f>SUM(M12:M18)</f>
        <v/>
      </c>
      <c r="N19" s="12">
        <f>SUM(N12:N18)</f>
        <v/>
      </c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13" t="inlineStr">
        <is>
          <t>Ending Cash</t>
        </is>
      </c>
      <c r="B21" s="14">
        <f>B6+B10-B19+B24</f>
        <v/>
      </c>
      <c r="C21" s="14">
        <f>C6+C10-C19+C24</f>
        <v/>
      </c>
      <c r="D21" s="14">
        <f>D6+D10-D19+D24</f>
        <v/>
      </c>
      <c r="E21" s="14">
        <f>E6+E10-E19+E24</f>
        <v/>
      </c>
      <c r="F21" s="14">
        <f>F6+F10-F19+F24</f>
        <v/>
      </c>
      <c r="G21" s="14">
        <f>G6+G10-G19+G24</f>
        <v/>
      </c>
      <c r="H21" s="14">
        <f>H6+H10-H19+H24</f>
        <v/>
      </c>
      <c r="I21" s="14">
        <f>I6+I10-I19+I24</f>
        <v/>
      </c>
      <c r="J21" s="14">
        <f>J6+J10-J19+J24</f>
        <v/>
      </c>
      <c r="K21" s="14">
        <f>K6+K10-K19+K24</f>
        <v/>
      </c>
      <c r="L21" s="14">
        <f>L6+L10-L19+L24</f>
        <v/>
      </c>
      <c r="M21" s="14">
        <f>M6+M10-M19+M24</f>
        <v/>
      </c>
      <c r="N21" s="14">
        <f>N6+N10-N19+N24</f>
        <v/>
      </c>
    </row>
    <row r="22">
      <c r="A22" s="8" t="inlineStr">
        <is>
          <t>Minimum Operating Liquidity</t>
        </is>
      </c>
      <c r="B22" s="9">
        <f>'Assumptions'!$B$6</f>
        <v/>
      </c>
      <c r="C22" s="9">
        <f>'Assumptions'!$B$6</f>
        <v/>
      </c>
      <c r="D22" s="9">
        <f>'Assumptions'!$B$6</f>
        <v/>
      </c>
      <c r="E22" s="9">
        <f>'Assumptions'!$B$6</f>
        <v/>
      </c>
      <c r="F22" s="9">
        <f>'Assumptions'!$B$6</f>
        <v/>
      </c>
      <c r="G22" s="9">
        <f>'Assumptions'!$B$6</f>
        <v/>
      </c>
      <c r="H22" s="9">
        <f>'Assumptions'!$B$6</f>
        <v/>
      </c>
      <c r="I22" s="9">
        <f>'Assumptions'!$B$6</f>
        <v/>
      </c>
      <c r="J22" s="9">
        <f>'Assumptions'!$B$6</f>
        <v/>
      </c>
      <c r="K22" s="9">
        <f>'Assumptions'!$B$6</f>
        <v/>
      </c>
      <c r="L22" s="9">
        <f>'Assumptions'!$B$6</f>
        <v/>
      </c>
      <c r="M22" s="9">
        <f>'Assumptions'!$B$6</f>
        <v/>
      </c>
      <c r="N22" s="9">
        <f>'Assumptions'!$B$6</f>
        <v/>
      </c>
    </row>
    <row r="23">
      <c r="A23" s="15" t="inlineStr">
        <is>
          <t>Excess / (Shortfall)</t>
        </is>
      </c>
      <c r="B23" s="16">
        <f>B21-B22</f>
        <v/>
      </c>
      <c r="C23" s="16">
        <f>C21-C22</f>
        <v/>
      </c>
      <c r="D23" s="16">
        <f>D21-D22</f>
        <v/>
      </c>
      <c r="E23" s="16">
        <f>E21-E22</f>
        <v/>
      </c>
      <c r="F23" s="16">
        <f>F21-F22</f>
        <v/>
      </c>
      <c r="G23" s="16">
        <f>G21-G22</f>
        <v/>
      </c>
      <c r="H23" s="16">
        <f>H21-H22</f>
        <v/>
      </c>
      <c r="I23" s="16">
        <f>I21-I22</f>
        <v/>
      </c>
      <c r="J23" s="16">
        <f>J21-J22</f>
        <v/>
      </c>
      <c r="K23" s="16">
        <f>K21-K22</f>
        <v/>
      </c>
      <c r="L23" s="16">
        <f>L21-L22</f>
        <v/>
      </c>
      <c r="M23" s="16">
        <f>M21-M22</f>
        <v/>
      </c>
      <c r="N23" s="16">
        <f>N21-N22</f>
        <v/>
      </c>
    </row>
    <row r="24">
      <c r="A24" s="15" t="inlineStr">
        <is>
          <t>Revolver Draw / (Repayment)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18" t="inlineStr">
        <is>
          <t>Liquidity Headroom After Financing</t>
        </is>
      </c>
      <c r="B26" s="19">
        <f>B21-B22</f>
        <v/>
      </c>
      <c r="C26" s="19">
        <f>C21-C22</f>
        <v/>
      </c>
      <c r="D26" s="19">
        <f>D21-D22</f>
        <v/>
      </c>
      <c r="E26" s="19">
        <f>E21-E22</f>
        <v/>
      </c>
      <c r="F26" s="19">
        <f>F21-F22</f>
        <v/>
      </c>
      <c r="G26" s="19">
        <f>G21-G22</f>
        <v/>
      </c>
      <c r="H26" s="19">
        <f>H21-H22</f>
        <v/>
      </c>
      <c r="I26" s="19">
        <f>I21-I22</f>
        <v/>
      </c>
      <c r="J26" s="19">
        <f>J21-J22</f>
        <v/>
      </c>
      <c r="K26" s="19">
        <f>K21-K22</f>
        <v/>
      </c>
      <c r="L26" s="19">
        <f>L21-L22</f>
        <v/>
      </c>
      <c r="M26" s="19">
        <f>M21-M22</f>
        <v/>
      </c>
      <c r="N26" s="19">
        <f>N21-N22</f>
        <v/>
      </c>
    </row>
  </sheetData>
  <mergeCells count="2">
    <mergeCell ref="A2:N2"/>
    <mergeCell ref="A1:N1"/>
  </mergeCells>
  <conditionalFormatting sqref="B23:N23">
    <cfRule type="cellIs" priority="1" operator="lessThan" dxfId="0">
      <formula>0</formula>
    </cfRule>
  </conditionalFormatting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1"/>
  <sheetViews>
    <sheetView showGridLines="0" workbookViewId="0">
      <selection activeCell="A1" sqref="A1"/>
    </sheetView>
  </sheetViews>
  <sheetFormatPr baseColWidth="8" defaultRowHeight="15" outlineLevelRow="0"/>
  <cols>
    <col width="15" customWidth="1" min="1" max="1"/>
    <col width="14" customWidth="1" min="2" max="2"/>
    <col width="42" customWidth="1" min="3" max="3"/>
    <col width="14" customWidth="1" min="4" max="5"/>
    <col width="16" customWidth="1" min="6" max="6"/>
    <col width="20" customWidth="1" min="7" max="7"/>
    <col width="13" customWidth="1" min="8" max="8"/>
    <col width="58" customWidth="1" min="9" max="9"/>
    <col width="14" customWidth="1" min="10" max="10"/>
  </cols>
  <sheetData>
    <row r="1" ht="23" customHeight="1">
      <c r="A1" s="1" t="inlineStr">
        <is>
          <t>AR Collection Timing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</row>
    <row r="2" ht="23" customHeight="1">
      <c r="A2" s="2" t="inlineStr">
        <is>
          <t>As of 2026-06-26 | Contractual due dates may be overridden by documented controller collection notes</t>
        </is>
      </c>
    </row>
    <row r="3"/>
    <row r="4"/>
    <row r="5" ht="30" customHeight="1">
      <c r="A5" s="3" t="inlineStr">
        <is>
          <t>Invoice</t>
        </is>
      </c>
      <c r="B5" s="20" t="inlineStr">
        <is>
          <t>Project</t>
        </is>
      </c>
      <c r="C5" s="20" t="inlineStr">
        <is>
          <t>Customer</t>
        </is>
      </c>
      <c r="D5" s="20" t="inlineStr">
        <is>
          <t>Invoice Date</t>
        </is>
      </c>
      <c r="E5" s="20" t="inlineStr">
        <is>
          <t>Due Date</t>
        </is>
      </c>
      <c r="F5" s="20" t="inlineStr">
        <is>
          <t>Open Amount</t>
        </is>
      </c>
      <c r="G5" s="20" t="inlineStr">
        <is>
          <t>Forecast Receipt Date</t>
        </is>
      </c>
      <c r="H5" s="20" t="inlineStr">
        <is>
          <t>Confidence</t>
        </is>
      </c>
      <c r="I5" s="20" t="inlineStr">
        <is>
          <t>Collection Note</t>
        </is>
      </c>
      <c r="J5" s="21" t="inlineStr">
        <is>
          <t>Included Week</t>
        </is>
      </c>
    </row>
    <row r="6">
      <c r="A6" s="8" t="inlineStr">
        <is>
          <t>PAYAPP-ARM-2318-202308</t>
        </is>
      </c>
      <c r="B6" s="8" t="inlineStr">
        <is>
          <t>ARM-2318</t>
        </is>
      </c>
      <c r="C6" s="8" t="inlineStr">
        <is>
          <t>Columbia Biologics, Inc.</t>
        </is>
      </c>
      <c r="D6" s="22" t="n">
        <v>45169</v>
      </c>
      <c r="E6" s="22" t="n">
        <v>45199</v>
      </c>
      <c r="F6" s="9" t="n">
        <v>4815.52</v>
      </c>
      <c r="G6" s="23" t="n">
        <v>45199</v>
      </c>
      <c r="H6" s="24" t="inlineStr">
        <is>
          <t>Low</t>
        </is>
      </c>
      <c r="I6" s="24" t="inlineStr">
        <is>
          <t>Awaiting project-accountant follow-up</t>
        </is>
      </c>
      <c r="J6" s="8">
        <f>IFERROR(MATCH(G6,'13W Cash Forecast'!$B$4:$N$4,1),1)</f>
        <v/>
      </c>
    </row>
    <row r="7">
      <c r="A7" s="8" t="inlineStr">
        <is>
          <t>PAYAPP-ARM-2318-202309</t>
        </is>
      </c>
      <c r="B7" s="8" t="inlineStr">
        <is>
          <t>ARM-2318</t>
        </is>
      </c>
      <c r="C7" s="8" t="inlineStr">
        <is>
          <t>Columbia Biologics, Inc.</t>
        </is>
      </c>
      <c r="D7" s="22" t="n">
        <v>45199</v>
      </c>
      <c r="E7" s="22" t="n">
        <v>45229</v>
      </c>
      <c r="F7" s="9" t="n">
        <v>8317.969999999999</v>
      </c>
      <c r="G7" s="23" t="n">
        <v>45229</v>
      </c>
      <c r="H7" s="24" t="inlineStr">
        <is>
          <t>Medium</t>
        </is>
      </c>
      <c r="I7" s="24" t="inlineStr">
        <is>
          <t>Contractual due date pending refreshed collection call</t>
        </is>
      </c>
      <c r="J7" s="8">
        <f>IFERROR(MATCH(G7,'13W Cash Forecast'!$B$4:$N$4,1),1)</f>
        <v/>
      </c>
    </row>
    <row r="8">
      <c r="A8" s="8" t="inlineStr">
        <is>
          <t>PAYAPP-ARM-2318-202310</t>
        </is>
      </c>
      <c r="B8" s="8" t="inlineStr">
        <is>
          <t>ARM-2318</t>
        </is>
      </c>
      <c r="C8" s="8" t="inlineStr">
        <is>
          <t>Columbia Biologics, Inc.</t>
        </is>
      </c>
      <c r="D8" s="22" t="n">
        <v>45230</v>
      </c>
      <c r="E8" s="22" t="n">
        <v>45260</v>
      </c>
      <c r="F8" s="9" t="n">
        <v>12978.68</v>
      </c>
      <c r="G8" s="23" t="n">
        <v>45260</v>
      </c>
      <c r="H8" s="24" t="inlineStr">
        <is>
          <t>Medium</t>
        </is>
      </c>
      <c r="I8" s="24" t="inlineStr">
        <is>
          <t>Contractual due date pending refreshed collection call</t>
        </is>
      </c>
      <c r="J8" s="8">
        <f>IFERROR(MATCH(G8,'13W Cash Forecast'!$B$4:$N$4,1),1)</f>
        <v/>
      </c>
    </row>
    <row r="9">
      <c r="A9" s="8" t="inlineStr">
        <is>
          <t>PAYAPP-ARM-2318-202311</t>
        </is>
      </c>
      <c r="B9" s="8" t="inlineStr">
        <is>
          <t>ARM-2318</t>
        </is>
      </c>
      <c r="C9" s="8" t="inlineStr">
        <is>
          <t>Columbia Biologics, Inc.</t>
        </is>
      </c>
      <c r="D9" s="22" t="n">
        <v>45260</v>
      </c>
      <c r="E9" s="22" t="n">
        <v>45290</v>
      </c>
      <c r="F9" s="9" t="n">
        <v>13114.51</v>
      </c>
      <c r="G9" s="23" t="n">
        <v>45290</v>
      </c>
      <c r="H9" s="24" t="inlineStr">
        <is>
          <t>Medium</t>
        </is>
      </c>
      <c r="I9" s="24" t="inlineStr">
        <is>
          <t>Contractual due date pending refreshed collection call</t>
        </is>
      </c>
      <c r="J9" s="8">
        <f>IFERROR(MATCH(G9,'13W Cash Forecast'!$B$4:$N$4,1),1)</f>
        <v/>
      </c>
    </row>
    <row r="10">
      <c r="A10" s="8" t="inlineStr">
        <is>
          <t>PAYAPP-ARM-2318-202312</t>
        </is>
      </c>
      <c r="B10" s="8" t="inlineStr">
        <is>
          <t>ARM-2318</t>
        </is>
      </c>
      <c r="C10" s="8" t="inlineStr">
        <is>
          <t>Columbia Biologics, Inc.</t>
        </is>
      </c>
      <c r="D10" s="22" t="n">
        <v>45291</v>
      </c>
      <c r="E10" s="22" t="n">
        <v>45321</v>
      </c>
      <c r="F10" s="9" t="n">
        <v>16454.51</v>
      </c>
      <c r="G10" s="23" t="n">
        <v>45321</v>
      </c>
      <c r="H10" s="24" t="inlineStr">
        <is>
          <t>Medium</t>
        </is>
      </c>
      <c r="I10" s="24" t="inlineStr">
        <is>
          <t>Contractual due date pending refreshed collection call</t>
        </is>
      </c>
      <c r="J10" s="8">
        <f>IFERROR(MATCH(G10,'13W Cash Forecast'!$B$4:$N$4,1),1)</f>
        <v/>
      </c>
    </row>
    <row r="11">
      <c r="A11" s="8" t="inlineStr">
        <is>
          <t>PAYAPP-ARM-2318-202401</t>
        </is>
      </c>
      <c r="B11" s="8" t="inlineStr">
        <is>
          <t>ARM-2318</t>
        </is>
      </c>
      <c r="C11" s="8" t="inlineStr">
        <is>
          <t>Columbia Biologics, Inc.</t>
        </is>
      </c>
      <c r="D11" s="22" t="n">
        <v>45322</v>
      </c>
      <c r="E11" s="22" t="n">
        <v>45352</v>
      </c>
      <c r="F11" s="9" t="n">
        <v>18898.65</v>
      </c>
      <c r="G11" s="23" t="n">
        <v>45352</v>
      </c>
      <c r="H11" s="24" t="inlineStr">
        <is>
          <t>Medium</t>
        </is>
      </c>
      <c r="I11" s="24" t="inlineStr">
        <is>
          <t>Contractual due date pending refreshed collection call</t>
        </is>
      </c>
      <c r="J11" s="8">
        <f>IFERROR(MATCH(G11,'13W Cash Forecast'!$B$4:$N$4,1),1)</f>
        <v/>
      </c>
    </row>
    <row r="12">
      <c r="A12" s="8" t="inlineStr">
        <is>
          <t>PAYAPP-ARM-2318-202402</t>
        </is>
      </c>
      <c r="B12" s="8" t="inlineStr">
        <is>
          <t>ARM-2318</t>
        </is>
      </c>
      <c r="C12" s="8" t="inlineStr">
        <is>
          <t>Columbia Biologics, Inc.</t>
        </is>
      </c>
      <c r="D12" s="22" t="n">
        <v>45351</v>
      </c>
      <c r="E12" s="22" t="n">
        <v>45381</v>
      </c>
      <c r="F12" s="9" t="n">
        <v>22631.12</v>
      </c>
      <c r="G12" s="23" t="n">
        <v>45381</v>
      </c>
      <c r="H12" s="24" t="inlineStr">
        <is>
          <t>Medium</t>
        </is>
      </c>
      <c r="I12" s="24" t="inlineStr">
        <is>
          <t>Contractual due date pending refreshed collection call</t>
        </is>
      </c>
      <c r="J12" s="8">
        <f>IFERROR(MATCH(G12,'13W Cash Forecast'!$B$4:$N$4,1),1)</f>
        <v/>
      </c>
    </row>
    <row r="13">
      <c r="A13" s="8" t="inlineStr">
        <is>
          <t>PAYAPP-ARM-2403-202402</t>
        </is>
      </c>
      <c r="B13" s="8" t="inlineStr">
        <is>
          <t>ARM-2403</t>
        </is>
      </c>
      <c r="C13" s="8" t="inlineStr">
        <is>
          <t>City of Riverton Facilities Bureau</t>
        </is>
      </c>
      <c r="D13" s="22" t="n">
        <v>45351</v>
      </c>
      <c r="E13" s="22" t="n">
        <v>45396</v>
      </c>
      <c r="F13" s="9" t="n">
        <v>2180.75</v>
      </c>
      <c r="G13" s="23" t="n">
        <v>45396</v>
      </c>
      <c r="H13" s="24" t="inlineStr">
        <is>
          <t>Low</t>
        </is>
      </c>
      <c r="I13" s="24" t="inlineStr">
        <is>
          <t>Awaiting project-accountant follow-up</t>
        </is>
      </c>
      <c r="J13" s="8">
        <f>IFERROR(MATCH(G13,'13W Cash Forecast'!$B$4:$N$4,1),1)</f>
        <v/>
      </c>
    </row>
    <row r="14">
      <c r="A14" s="8" t="inlineStr">
        <is>
          <t>PAYAPP-ARM-2318-202403</t>
        </is>
      </c>
      <c r="B14" s="8" t="inlineStr">
        <is>
          <t>ARM-2318</t>
        </is>
      </c>
      <c r="C14" s="8" t="inlineStr">
        <is>
          <t>Columbia Biologics, Inc.</t>
        </is>
      </c>
      <c r="D14" s="22" t="n">
        <v>45382</v>
      </c>
      <c r="E14" s="22" t="n">
        <v>45412</v>
      </c>
      <c r="F14" s="9" t="n">
        <v>29249.99</v>
      </c>
      <c r="G14" s="23" t="n">
        <v>45412</v>
      </c>
      <c r="H14" s="24" t="inlineStr">
        <is>
          <t>Medium</t>
        </is>
      </c>
      <c r="I14" s="24" t="inlineStr">
        <is>
          <t>Contractual due date pending refreshed collection call</t>
        </is>
      </c>
      <c r="J14" s="8">
        <f>IFERROR(MATCH(G14,'13W Cash Forecast'!$B$4:$N$4,1),1)</f>
        <v/>
      </c>
    </row>
    <row r="15">
      <c r="A15" s="8" t="inlineStr">
        <is>
          <t>PAYAPP-ARM-2403-202403</t>
        </is>
      </c>
      <c r="B15" s="8" t="inlineStr">
        <is>
          <t>ARM-2403</t>
        </is>
      </c>
      <c r="C15" s="8" t="inlineStr">
        <is>
          <t>City of Riverton Facilities Bureau</t>
        </is>
      </c>
      <c r="D15" s="22" t="n">
        <v>45382</v>
      </c>
      <c r="E15" s="22" t="n">
        <v>45427</v>
      </c>
      <c r="F15" s="9" t="n">
        <v>3905.99</v>
      </c>
      <c r="G15" s="23" t="n">
        <v>45427</v>
      </c>
      <c r="H15" s="24" t="inlineStr">
        <is>
          <t>Medium</t>
        </is>
      </c>
      <c r="I15" s="24" t="inlineStr">
        <is>
          <t>Contractual due date pending refreshed collection call</t>
        </is>
      </c>
      <c r="J15" s="8">
        <f>IFERROR(MATCH(G15,'13W Cash Forecast'!$B$4:$N$4,1),1)</f>
        <v/>
      </c>
    </row>
    <row r="16">
      <c r="A16" s="8" t="inlineStr">
        <is>
          <t>PAYAPP-ARM-2318-202404</t>
        </is>
      </c>
      <c r="B16" s="8" t="inlineStr">
        <is>
          <t>ARM-2318</t>
        </is>
      </c>
      <c r="C16" s="8" t="inlineStr">
        <is>
          <t>Columbia Biologics, Inc.</t>
        </is>
      </c>
      <c r="D16" s="22" t="n">
        <v>45412</v>
      </c>
      <c r="E16" s="22" t="n">
        <v>45442</v>
      </c>
      <c r="F16" s="9" t="n">
        <v>30938.48</v>
      </c>
      <c r="G16" s="23" t="n">
        <v>45442</v>
      </c>
      <c r="H16" s="24" t="inlineStr">
        <is>
          <t>Medium</t>
        </is>
      </c>
      <c r="I16" s="24" t="inlineStr">
        <is>
          <t>Contractual due date pending refreshed collection call</t>
        </is>
      </c>
      <c r="J16" s="8">
        <f>IFERROR(MATCH(G16,'13W Cash Forecast'!$B$4:$N$4,1),1)</f>
        <v/>
      </c>
    </row>
    <row r="17">
      <c r="A17" s="8" t="inlineStr">
        <is>
          <t>PAYAPP-ARM-2403-202404</t>
        </is>
      </c>
      <c r="B17" s="8" t="inlineStr">
        <is>
          <t>ARM-2403</t>
        </is>
      </c>
      <c r="C17" s="8" t="inlineStr">
        <is>
          <t>City of Riverton Facilities Bureau</t>
        </is>
      </c>
      <c r="D17" s="22" t="n">
        <v>45412</v>
      </c>
      <c r="E17" s="22" t="n">
        <v>45457</v>
      </c>
      <c r="F17" s="9" t="n">
        <v>6222.22</v>
      </c>
      <c r="G17" s="23" t="n">
        <v>45457</v>
      </c>
      <c r="H17" s="24" t="inlineStr">
        <is>
          <t>Medium</t>
        </is>
      </c>
      <c r="I17" s="24" t="inlineStr">
        <is>
          <t>Contractual due date pending refreshed collection call</t>
        </is>
      </c>
      <c r="J17" s="8">
        <f>IFERROR(MATCH(G17,'13W Cash Forecast'!$B$4:$N$4,1),1)</f>
        <v/>
      </c>
    </row>
    <row r="18">
      <c r="A18" s="8" t="inlineStr">
        <is>
          <t>PAYAPP-ARM-2318-202405</t>
        </is>
      </c>
      <c r="B18" s="8" t="inlineStr">
        <is>
          <t>ARM-2318</t>
        </is>
      </c>
      <c r="C18" s="8" t="inlineStr">
        <is>
          <t>Columbia Biologics, Inc.</t>
        </is>
      </c>
      <c r="D18" s="22" t="n">
        <v>45443</v>
      </c>
      <c r="E18" s="22" t="n">
        <v>45473</v>
      </c>
      <c r="F18" s="9" t="n">
        <v>32480.82</v>
      </c>
      <c r="G18" s="23" t="n">
        <v>45473</v>
      </c>
      <c r="H18" s="24" t="inlineStr">
        <is>
          <t>Medium</t>
        </is>
      </c>
      <c r="I18" s="24" t="inlineStr">
        <is>
          <t>Contractual due date pending refreshed collection call</t>
        </is>
      </c>
      <c r="J18" s="8">
        <f>IFERROR(MATCH(G18,'13W Cash Forecast'!$B$4:$N$4,1),1)</f>
        <v/>
      </c>
    </row>
    <row r="19">
      <c r="A19" s="8" t="inlineStr">
        <is>
          <t>PAYAPP-ARM-2409-202405</t>
        </is>
      </c>
      <c r="B19" s="8" t="inlineStr">
        <is>
          <t>ARM-2409</t>
        </is>
      </c>
      <c r="C19" s="8" t="inlineStr">
        <is>
          <t>Northline Cold Storage Holdings</t>
        </is>
      </c>
      <c r="D19" s="22" t="n">
        <v>45443</v>
      </c>
      <c r="E19" s="22" t="n">
        <v>45473</v>
      </c>
      <c r="F19" s="9" t="n">
        <v>1933.47</v>
      </c>
      <c r="G19" s="23" t="n">
        <v>45473</v>
      </c>
      <c r="H19" s="24" t="inlineStr">
        <is>
          <t>Medium</t>
        </is>
      </c>
      <c r="I19" s="24" t="inlineStr">
        <is>
          <t>Contractual due date pending refreshed collection call</t>
        </is>
      </c>
      <c r="J19" s="8">
        <f>IFERROR(MATCH(G19,'13W Cash Forecast'!$B$4:$N$4,1),1)</f>
        <v/>
      </c>
    </row>
    <row r="20">
      <c r="A20" s="8" t="inlineStr">
        <is>
          <t>PAYAPP-ARM-2403-202405</t>
        </is>
      </c>
      <c r="B20" s="8" t="inlineStr">
        <is>
          <t>ARM-2403</t>
        </is>
      </c>
      <c r="C20" s="8" t="inlineStr">
        <is>
          <t>City of Riverton Facilities Bureau</t>
        </is>
      </c>
      <c r="D20" s="22" t="n">
        <v>45443</v>
      </c>
      <c r="E20" s="22" t="n">
        <v>45488</v>
      </c>
      <c r="F20" s="9" t="n">
        <v>6737.34</v>
      </c>
      <c r="G20" s="23" t="n">
        <v>45488</v>
      </c>
      <c r="H20" s="24" t="inlineStr">
        <is>
          <t>Low</t>
        </is>
      </c>
      <c r="I20" s="24" t="inlineStr">
        <is>
          <t>Awaiting project-accountant follow-up</t>
        </is>
      </c>
      <c r="J20" s="8">
        <f>IFERROR(MATCH(G20,'13W Cash Forecast'!$B$4:$N$4,1),1)</f>
        <v/>
      </c>
    </row>
    <row r="21">
      <c r="A21" s="8" t="inlineStr">
        <is>
          <t>PAYAPP-ARM-2318-202406</t>
        </is>
      </c>
      <c r="B21" s="8" t="inlineStr">
        <is>
          <t>ARM-2318</t>
        </is>
      </c>
      <c r="C21" s="8" t="inlineStr">
        <is>
          <t>Columbia Biologics, Inc.</t>
        </is>
      </c>
      <c r="D21" s="22" t="n">
        <v>45473</v>
      </c>
      <c r="E21" s="22" t="n">
        <v>45503</v>
      </c>
      <c r="F21" s="9" t="n">
        <v>37409</v>
      </c>
      <c r="G21" s="23" t="n">
        <v>45503</v>
      </c>
      <c r="H21" s="24" t="inlineStr">
        <is>
          <t>Medium</t>
        </is>
      </c>
      <c r="I21" s="24" t="inlineStr">
        <is>
          <t>Contractual due date pending refreshed collection call</t>
        </is>
      </c>
      <c r="J21" s="8">
        <f>IFERROR(MATCH(G21,'13W Cash Forecast'!$B$4:$N$4,1),1)</f>
        <v/>
      </c>
    </row>
    <row r="22">
      <c r="A22" s="8" t="inlineStr">
        <is>
          <t>PAYAPP-ARM-2409-202406</t>
        </is>
      </c>
      <c r="B22" s="8" t="inlineStr">
        <is>
          <t>ARM-2409</t>
        </is>
      </c>
      <c r="C22" s="8" t="inlineStr">
        <is>
          <t>Northline Cold Storage Holdings</t>
        </is>
      </c>
      <c r="D22" s="22" t="n">
        <v>45473</v>
      </c>
      <c r="E22" s="22" t="n">
        <v>45503</v>
      </c>
      <c r="F22" s="9" t="n">
        <v>3543.86</v>
      </c>
      <c r="G22" s="23" t="n">
        <v>45503</v>
      </c>
      <c r="H22" s="24" t="inlineStr">
        <is>
          <t>Medium</t>
        </is>
      </c>
      <c r="I22" s="24" t="inlineStr">
        <is>
          <t>Contractual due date pending refreshed collection call</t>
        </is>
      </c>
      <c r="J22" s="8">
        <f>IFERROR(MATCH(G22,'13W Cash Forecast'!$B$4:$N$4,1),1)</f>
        <v/>
      </c>
    </row>
    <row r="23">
      <c r="A23" s="8" t="inlineStr">
        <is>
          <t>PAYAPP-ARM-2403-202406</t>
        </is>
      </c>
      <c r="B23" s="8" t="inlineStr">
        <is>
          <t>ARM-2403</t>
        </is>
      </c>
      <c r="C23" s="8" t="inlineStr">
        <is>
          <t>City of Riverton Facilities Bureau</t>
        </is>
      </c>
      <c r="D23" s="22" t="n">
        <v>45473</v>
      </c>
      <c r="E23" s="22" t="n">
        <v>45518</v>
      </c>
      <c r="F23" s="9" t="n">
        <v>8374.190000000001</v>
      </c>
      <c r="G23" s="23" t="n">
        <v>45518</v>
      </c>
      <c r="H23" s="24" t="inlineStr">
        <is>
          <t>Medium</t>
        </is>
      </c>
      <c r="I23" s="24" t="inlineStr">
        <is>
          <t>Contractual due date pending refreshed collection call</t>
        </is>
      </c>
      <c r="J23" s="8">
        <f>IFERROR(MATCH(G23,'13W Cash Forecast'!$B$4:$N$4,1),1)</f>
        <v/>
      </c>
    </row>
    <row r="24">
      <c r="A24" s="8" t="inlineStr">
        <is>
          <t>PAYAPP-ARM-2318-202407</t>
        </is>
      </c>
      <c r="B24" s="8" t="inlineStr">
        <is>
          <t>ARM-2318</t>
        </is>
      </c>
      <c r="C24" s="8" t="inlineStr">
        <is>
          <t>Columbia Biologics, Inc.</t>
        </is>
      </c>
      <c r="D24" s="22" t="n">
        <v>45504</v>
      </c>
      <c r="E24" s="22" t="n">
        <v>45534</v>
      </c>
      <c r="F24" s="9" t="n">
        <v>38146.41</v>
      </c>
      <c r="G24" s="23" t="n">
        <v>45534</v>
      </c>
      <c r="H24" s="24" t="inlineStr">
        <is>
          <t>Medium</t>
        </is>
      </c>
      <c r="I24" s="24" t="inlineStr">
        <is>
          <t>Contractual due date pending refreshed collection call</t>
        </is>
      </c>
      <c r="J24" s="8">
        <f>IFERROR(MATCH(G24,'13W Cash Forecast'!$B$4:$N$4,1),1)</f>
        <v/>
      </c>
    </row>
    <row r="25">
      <c r="A25" s="8" t="inlineStr">
        <is>
          <t>PAYAPP-ARM-2409-202407</t>
        </is>
      </c>
      <c r="B25" s="8" t="inlineStr">
        <is>
          <t>ARM-2409</t>
        </is>
      </c>
      <c r="C25" s="8" t="inlineStr">
        <is>
          <t>Northline Cold Storage Holdings</t>
        </is>
      </c>
      <c r="D25" s="22" t="n">
        <v>45504</v>
      </c>
      <c r="E25" s="22" t="n">
        <v>45534</v>
      </c>
      <c r="F25" s="9" t="n">
        <v>5713.11</v>
      </c>
      <c r="G25" s="23" t="n">
        <v>45534</v>
      </c>
      <c r="H25" s="24" t="inlineStr">
        <is>
          <t>Medium</t>
        </is>
      </c>
      <c r="I25" s="24" t="inlineStr">
        <is>
          <t>Contractual due date pending refreshed collection call</t>
        </is>
      </c>
      <c r="J25" s="8">
        <f>IFERROR(MATCH(G25,'13W Cash Forecast'!$B$4:$N$4,1),1)</f>
        <v/>
      </c>
    </row>
    <row r="26">
      <c r="A26" s="8" t="inlineStr">
        <is>
          <t>PAYAPP-ARM-2403-202407</t>
        </is>
      </c>
      <c r="B26" s="8" t="inlineStr">
        <is>
          <t>ARM-2403</t>
        </is>
      </c>
      <c r="C26" s="8" t="inlineStr">
        <is>
          <t>City of Riverton Facilities Bureau</t>
        </is>
      </c>
      <c r="D26" s="22" t="n">
        <v>45504</v>
      </c>
      <c r="E26" s="22" t="n">
        <v>45549</v>
      </c>
      <c r="F26" s="9" t="n">
        <v>10045.47</v>
      </c>
      <c r="G26" s="23" t="n">
        <v>45549</v>
      </c>
      <c r="H26" s="24" t="inlineStr">
        <is>
          <t>Medium</t>
        </is>
      </c>
      <c r="I26" s="24" t="inlineStr">
        <is>
          <t>Contractual due date pending refreshed collection call</t>
        </is>
      </c>
      <c r="J26" s="8">
        <f>IFERROR(MATCH(G26,'13W Cash Forecast'!$B$4:$N$4,1),1)</f>
        <v/>
      </c>
    </row>
    <row r="27">
      <c r="A27" s="8" t="inlineStr">
        <is>
          <t>PAYAPP-ARM-2412-202407</t>
        </is>
      </c>
      <c r="B27" s="8" t="inlineStr">
        <is>
          <t>ARM-2412</t>
        </is>
      </c>
      <c r="C27" s="8" t="inlineStr">
        <is>
          <t>Oregon State University - Capital Planning</t>
        </is>
      </c>
      <c r="D27" s="22" t="n">
        <v>45504</v>
      </c>
      <c r="E27" s="22" t="n">
        <v>45549</v>
      </c>
      <c r="F27" s="9" t="n">
        <v>1969.92</v>
      </c>
      <c r="G27" s="23" t="n">
        <v>45549</v>
      </c>
      <c r="H27" s="24" t="inlineStr">
        <is>
          <t>Low</t>
        </is>
      </c>
      <c r="I27" s="24" t="inlineStr">
        <is>
          <t>Awaiting project-accountant follow-up</t>
        </is>
      </c>
      <c r="J27" s="8">
        <f>IFERROR(MATCH(G27,'13W Cash Forecast'!$B$4:$N$4,1),1)</f>
        <v/>
      </c>
    </row>
    <row r="28">
      <c r="A28" s="8" t="inlineStr">
        <is>
          <t>PAYAPP-ARM-2318-202408</t>
        </is>
      </c>
      <c r="B28" s="8" t="inlineStr">
        <is>
          <t>ARM-2318</t>
        </is>
      </c>
      <c r="C28" s="8" t="inlineStr">
        <is>
          <t>Columbia Biologics, Inc.</t>
        </is>
      </c>
      <c r="D28" s="22" t="n">
        <v>45535</v>
      </c>
      <c r="E28" s="22" t="n">
        <v>45565</v>
      </c>
      <c r="F28" s="9" t="n">
        <v>45066.64</v>
      </c>
      <c r="G28" s="23" t="n">
        <v>45565</v>
      </c>
      <c r="H28" s="24" t="inlineStr">
        <is>
          <t>Medium</t>
        </is>
      </c>
      <c r="I28" s="24" t="inlineStr">
        <is>
          <t>Contractual due date pending refreshed collection call</t>
        </is>
      </c>
      <c r="J28" s="8">
        <f>IFERROR(MATCH(G28,'13W Cash Forecast'!$B$4:$N$4,1),1)</f>
        <v/>
      </c>
    </row>
    <row r="29">
      <c r="A29" s="8" t="inlineStr">
        <is>
          <t>PAYAPP-ARM-2409-202408</t>
        </is>
      </c>
      <c r="B29" s="8" t="inlineStr">
        <is>
          <t>ARM-2409</t>
        </is>
      </c>
      <c r="C29" s="8" t="inlineStr">
        <is>
          <t>Northline Cold Storage Holdings</t>
        </is>
      </c>
      <c r="D29" s="22" t="n">
        <v>45535</v>
      </c>
      <c r="E29" s="22" t="n">
        <v>45565</v>
      </c>
      <c r="F29" s="9" t="n">
        <v>6422.22</v>
      </c>
      <c r="G29" s="23" t="n">
        <v>45565</v>
      </c>
      <c r="H29" s="24" t="inlineStr">
        <is>
          <t>Medium</t>
        </is>
      </c>
      <c r="I29" s="24" t="inlineStr">
        <is>
          <t>Contractual due date pending refreshed collection call</t>
        </is>
      </c>
      <c r="J29" s="8">
        <f>IFERROR(MATCH(G29,'13W Cash Forecast'!$B$4:$N$4,1),1)</f>
        <v/>
      </c>
    </row>
    <row r="30">
      <c r="A30" s="8" t="inlineStr">
        <is>
          <t>PAYAPP-ARM-2403-202408</t>
        </is>
      </c>
      <c r="B30" s="8" t="inlineStr">
        <is>
          <t>ARM-2403</t>
        </is>
      </c>
      <c r="C30" s="8" t="inlineStr">
        <is>
          <t>City of Riverton Facilities Bureau</t>
        </is>
      </c>
      <c r="D30" s="22" t="n">
        <v>45535</v>
      </c>
      <c r="E30" s="22" t="n">
        <v>45580</v>
      </c>
      <c r="F30" s="9" t="n">
        <v>11752.86</v>
      </c>
      <c r="G30" s="23" t="n">
        <v>45580</v>
      </c>
      <c r="H30" s="24" t="inlineStr">
        <is>
          <t>Medium</t>
        </is>
      </c>
      <c r="I30" s="24" t="inlineStr">
        <is>
          <t>Contractual due date pending refreshed collection call</t>
        </is>
      </c>
      <c r="J30" s="8">
        <f>IFERROR(MATCH(G30,'13W Cash Forecast'!$B$4:$N$4,1),1)</f>
        <v/>
      </c>
    </row>
    <row r="31">
      <c r="A31" s="8" t="inlineStr">
        <is>
          <t>PAYAPP-ARM-2412-202408</t>
        </is>
      </c>
      <c r="B31" s="8" t="inlineStr">
        <is>
          <t>ARM-2412</t>
        </is>
      </c>
      <c r="C31" s="8" t="inlineStr">
        <is>
          <t>Oregon State University - Capital Planning</t>
        </is>
      </c>
      <c r="D31" s="22" t="n">
        <v>45535</v>
      </c>
      <c r="E31" s="22" t="n">
        <v>45580</v>
      </c>
      <c r="F31" s="9" t="n">
        <v>3674.8</v>
      </c>
      <c r="G31" s="23" t="n">
        <v>45580</v>
      </c>
      <c r="H31" s="24" t="inlineStr">
        <is>
          <t>Medium</t>
        </is>
      </c>
      <c r="I31" s="24" t="inlineStr">
        <is>
          <t>Contractual due date pending refreshed collection call</t>
        </is>
      </c>
      <c r="J31" s="8">
        <f>IFERROR(MATCH(G31,'13W Cash Forecast'!$B$4:$N$4,1),1)</f>
        <v/>
      </c>
    </row>
    <row r="32">
      <c r="A32" s="8" t="inlineStr">
        <is>
          <t>PAYAPP-ARM-2318-202409</t>
        </is>
      </c>
      <c r="B32" s="8" t="inlineStr">
        <is>
          <t>ARM-2318</t>
        </is>
      </c>
      <c r="C32" s="8" t="inlineStr">
        <is>
          <t>Columbia Biologics, Inc.</t>
        </is>
      </c>
      <c r="D32" s="22" t="n">
        <v>45565</v>
      </c>
      <c r="E32" s="22" t="n">
        <v>45595</v>
      </c>
      <c r="F32" s="9" t="n">
        <v>45315.36</v>
      </c>
      <c r="G32" s="23" t="n">
        <v>45595</v>
      </c>
      <c r="H32" s="24" t="inlineStr">
        <is>
          <t>Medium</t>
        </is>
      </c>
      <c r="I32" s="24" t="inlineStr">
        <is>
          <t>Contractual due date pending refreshed collection call</t>
        </is>
      </c>
      <c r="J32" s="8">
        <f>IFERROR(MATCH(G32,'13W Cash Forecast'!$B$4:$N$4,1),1)</f>
        <v/>
      </c>
    </row>
    <row r="33">
      <c r="A33" s="8" t="inlineStr">
        <is>
          <t>PAYAPP-ARM-2409-202409</t>
        </is>
      </c>
      <c r="B33" s="8" t="inlineStr">
        <is>
          <t>ARM-2409</t>
        </is>
      </c>
      <c r="C33" s="8" t="inlineStr">
        <is>
          <t>Northline Cold Storage Holdings</t>
        </is>
      </c>
      <c r="D33" s="22" t="n">
        <v>45565</v>
      </c>
      <c r="E33" s="22" t="n">
        <v>45595</v>
      </c>
      <c r="F33" s="9" t="n">
        <v>7925.62</v>
      </c>
      <c r="G33" s="23" t="n">
        <v>45595</v>
      </c>
      <c r="H33" s="24" t="inlineStr">
        <is>
          <t>Medium</t>
        </is>
      </c>
      <c r="I33" s="24" t="inlineStr">
        <is>
          <t>Contractual due date pending refreshed collection call</t>
        </is>
      </c>
      <c r="J33" s="8">
        <f>IFERROR(MATCH(G33,'13W Cash Forecast'!$B$4:$N$4,1),1)</f>
        <v/>
      </c>
    </row>
    <row r="34">
      <c r="A34" s="8" t="inlineStr">
        <is>
          <t>PAYAPP-ARM-2403-202409</t>
        </is>
      </c>
      <c r="B34" s="8" t="inlineStr">
        <is>
          <t>ARM-2403</t>
        </is>
      </c>
      <c r="C34" s="8" t="inlineStr">
        <is>
          <t>City of Riverton Facilities Bureau</t>
        </is>
      </c>
      <c r="D34" s="22" t="n">
        <v>45565</v>
      </c>
      <c r="E34" s="22" t="n">
        <v>45610</v>
      </c>
      <c r="F34" s="9" t="n">
        <v>14898.09</v>
      </c>
      <c r="G34" s="23" t="n">
        <v>45610</v>
      </c>
      <c r="H34" s="24" t="inlineStr">
        <is>
          <t>Low</t>
        </is>
      </c>
      <c r="I34" s="24" t="inlineStr">
        <is>
          <t>Awaiting project-accountant follow-up</t>
        </is>
      </c>
      <c r="J34" s="8">
        <f>IFERROR(MATCH(G34,'13W Cash Forecast'!$B$4:$N$4,1),1)</f>
        <v/>
      </c>
    </row>
    <row r="35">
      <c r="A35" s="8" t="inlineStr">
        <is>
          <t>PAYAPP-ARM-2412-202409</t>
        </is>
      </c>
      <c r="B35" s="8" t="inlineStr">
        <is>
          <t>ARM-2412</t>
        </is>
      </c>
      <c r="C35" s="8" t="inlineStr">
        <is>
          <t>Oregon State University - Capital Planning</t>
        </is>
      </c>
      <c r="D35" s="22" t="n">
        <v>45565</v>
      </c>
      <c r="E35" s="22" t="n">
        <v>45610</v>
      </c>
      <c r="F35" s="9" t="n">
        <v>5974.2</v>
      </c>
      <c r="G35" s="23" t="n">
        <v>45610</v>
      </c>
      <c r="H35" s="24" t="inlineStr">
        <is>
          <t>Medium</t>
        </is>
      </c>
      <c r="I35" s="24" t="inlineStr">
        <is>
          <t>Contractual due date pending refreshed collection call</t>
        </is>
      </c>
      <c r="J35" s="8">
        <f>IFERROR(MATCH(G35,'13W Cash Forecast'!$B$4:$N$4,1),1)</f>
        <v/>
      </c>
    </row>
    <row r="36">
      <c r="A36" s="8" t="inlineStr">
        <is>
          <t>PAYAPP-ARM-2417-202409</t>
        </is>
      </c>
      <c r="B36" s="8" t="inlineStr">
        <is>
          <t>ARM-2417</t>
        </is>
      </c>
      <c r="C36" s="8" t="inlineStr">
        <is>
          <t>Cascade Health Properties, LLC</t>
        </is>
      </c>
      <c r="D36" s="22" t="n">
        <v>45565</v>
      </c>
      <c r="E36" s="22" t="n">
        <v>45610</v>
      </c>
      <c r="F36" s="9" t="n">
        <v>6808.41</v>
      </c>
      <c r="G36" s="23" t="n">
        <v>45610</v>
      </c>
      <c r="H36" s="24" t="inlineStr">
        <is>
          <t>Medium</t>
        </is>
      </c>
      <c r="I36" s="24" t="inlineStr">
        <is>
          <t>Contractual due date pending refreshed collection call</t>
        </is>
      </c>
      <c r="J36" s="8">
        <f>IFERROR(MATCH(G36,'13W Cash Forecast'!$B$4:$N$4,1),1)</f>
        <v/>
      </c>
    </row>
    <row r="37">
      <c r="A37" s="8" t="inlineStr">
        <is>
          <t>PAYAPP-ARM-2318-202410</t>
        </is>
      </c>
      <c r="B37" s="8" t="inlineStr">
        <is>
          <t>ARM-2318</t>
        </is>
      </c>
      <c r="C37" s="8" t="inlineStr">
        <is>
          <t>Columbia Biologics, Inc.</t>
        </is>
      </c>
      <c r="D37" s="22" t="n">
        <v>45596</v>
      </c>
      <c r="E37" s="22" t="n">
        <v>45626</v>
      </c>
      <c r="F37" s="9" t="n">
        <v>43948.98</v>
      </c>
      <c r="G37" s="23" t="n">
        <v>45626</v>
      </c>
      <c r="H37" s="24" t="inlineStr">
        <is>
          <t>Medium</t>
        </is>
      </c>
      <c r="I37" s="24" t="inlineStr">
        <is>
          <t>Contractual due date pending refreshed collection call</t>
        </is>
      </c>
      <c r="J37" s="8">
        <f>IFERROR(MATCH(G37,'13W Cash Forecast'!$B$4:$N$4,1),1)</f>
        <v/>
      </c>
    </row>
    <row r="38">
      <c r="A38" s="8" t="inlineStr">
        <is>
          <t>PAYAPP-ARM-2409-202410</t>
        </is>
      </c>
      <c r="B38" s="8" t="inlineStr">
        <is>
          <t>ARM-2409</t>
        </is>
      </c>
      <c r="C38" s="8" t="inlineStr">
        <is>
          <t>Northline Cold Storage Holdings</t>
        </is>
      </c>
      <c r="D38" s="22" t="n">
        <v>45596</v>
      </c>
      <c r="E38" s="22" t="n">
        <v>45626</v>
      </c>
      <c r="F38" s="9" t="n">
        <v>9688.200000000001</v>
      </c>
      <c r="G38" s="23" t="n">
        <v>45626</v>
      </c>
      <c r="H38" s="24" t="inlineStr">
        <is>
          <t>Medium</t>
        </is>
      </c>
      <c r="I38" s="24" t="inlineStr">
        <is>
          <t>Contractual due date pending refreshed collection call</t>
        </is>
      </c>
      <c r="J38" s="8">
        <f>IFERROR(MATCH(G38,'13W Cash Forecast'!$B$4:$N$4,1),1)</f>
        <v/>
      </c>
    </row>
    <row r="39">
      <c r="A39" s="8" t="inlineStr">
        <is>
          <t>PAYAPP-ARM-2421-202410</t>
        </is>
      </c>
      <c r="B39" s="8" t="inlineStr">
        <is>
          <t>ARM-2421</t>
        </is>
      </c>
      <c r="C39" s="8" t="inlineStr">
        <is>
          <t>Juniper Hospitality Partners</t>
        </is>
      </c>
      <c r="D39" s="22" t="n">
        <v>45596</v>
      </c>
      <c r="E39" s="22" t="n">
        <v>45626</v>
      </c>
      <c r="F39" s="9" t="n">
        <v>1930.17</v>
      </c>
      <c r="G39" s="23" t="n">
        <v>45626</v>
      </c>
      <c r="H39" s="24" t="inlineStr">
        <is>
          <t>Medium</t>
        </is>
      </c>
      <c r="I39" s="24" t="inlineStr">
        <is>
          <t>Contractual due date pending refreshed collection call</t>
        </is>
      </c>
      <c r="J39" s="8">
        <f>IFERROR(MATCH(G39,'13W Cash Forecast'!$B$4:$N$4,1),1)</f>
        <v/>
      </c>
    </row>
    <row r="40">
      <c r="A40" s="8" t="inlineStr">
        <is>
          <t>PAYAPP-ARM-2403-202410</t>
        </is>
      </c>
      <c r="B40" s="8" t="inlineStr">
        <is>
          <t>ARM-2403</t>
        </is>
      </c>
      <c r="C40" s="8" t="inlineStr">
        <is>
          <t>City of Riverton Facilities Bureau</t>
        </is>
      </c>
      <c r="D40" s="22" t="n">
        <v>45596</v>
      </c>
      <c r="E40" s="22" t="n">
        <v>45641</v>
      </c>
      <c r="F40" s="9" t="n">
        <v>15933.29</v>
      </c>
      <c r="G40" s="23" t="n">
        <v>45641</v>
      </c>
      <c r="H40" s="24" t="inlineStr">
        <is>
          <t>Medium</t>
        </is>
      </c>
      <c r="I40" s="24" t="inlineStr">
        <is>
          <t>Contractual due date pending refreshed collection call</t>
        </is>
      </c>
      <c r="J40" s="8">
        <f>IFERROR(MATCH(G40,'13W Cash Forecast'!$B$4:$N$4,1),1)</f>
        <v/>
      </c>
    </row>
    <row r="41">
      <c r="A41" s="8" t="inlineStr">
        <is>
          <t>PAYAPP-ARM-2412-202410</t>
        </is>
      </c>
      <c r="B41" s="8" t="inlineStr">
        <is>
          <t>ARM-2412</t>
        </is>
      </c>
      <c r="C41" s="8" t="inlineStr">
        <is>
          <t>Oregon State University - Capital Planning</t>
        </is>
      </c>
      <c r="D41" s="22" t="n">
        <v>45596</v>
      </c>
      <c r="E41" s="22" t="n">
        <v>45641</v>
      </c>
      <c r="F41" s="9" t="n">
        <v>6889.57</v>
      </c>
      <c r="G41" s="23" t="n">
        <v>45641</v>
      </c>
      <c r="H41" s="24" t="inlineStr">
        <is>
          <t>Low</t>
        </is>
      </c>
      <c r="I41" s="24" t="inlineStr">
        <is>
          <t>Awaiting project-accountant follow-up</t>
        </is>
      </c>
      <c r="J41" s="8">
        <f>IFERROR(MATCH(G41,'13W Cash Forecast'!$B$4:$N$4,1),1)</f>
        <v/>
      </c>
    </row>
    <row r="42">
      <c r="A42" s="8" t="inlineStr">
        <is>
          <t>PAYAPP-ARM-2417-202410</t>
        </is>
      </c>
      <c r="B42" s="8" t="inlineStr">
        <is>
          <t>ARM-2417</t>
        </is>
      </c>
      <c r="C42" s="8" t="inlineStr">
        <is>
          <t>Cascade Health Properties, LLC</t>
        </is>
      </c>
      <c r="D42" s="22" t="n">
        <v>45596</v>
      </c>
      <c r="E42" s="22" t="n">
        <v>45641</v>
      </c>
      <c r="F42" s="9" t="n">
        <v>12952.27</v>
      </c>
      <c r="G42" s="23" t="n">
        <v>45641</v>
      </c>
      <c r="H42" s="24" t="inlineStr">
        <is>
          <t>Medium</t>
        </is>
      </c>
      <c r="I42" s="24" t="inlineStr">
        <is>
          <t>Contractual due date pending refreshed collection call</t>
        </is>
      </c>
      <c r="J42" s="8">
        <f>IFERROR(MATCH(G42,'13W Cash Forecast'!$B$4:$N$4,1),1)</f>
        <v/>
      </c>
    </row>
    <row r="43">
      <c r="A43" s="8" t="inlineStr">
        <is>
          <t>PAYAPP-ARM-2318-202411</t>
        </is>
      </c>
      <c r="B43" s="8" t="inlineStr">
        <is>
          <t>ARM-2318</t>
        </is>
      </c>
      <c r="C43" s="8" t="inlineStr">
        <is>
          <t>Columbia Biologics, Inc.</t>
        </is>
      </c>
      <c r="D43" s="22" t="n">
        <v>45626</v>
      </c>
      <c r="E43" s="22" t="n">
        <v>45656</v>
      </c>
      <c r="F43" s="9" t="n">
        <v>48475.03</v>
      </c>
      <c r="G43" s="23" t="n">
        <v>45656</v>
      </c>
      <c r="H43" s="24" t="inlineStr">
        <is>
          <t>Medium</t>
        </is>
      </c>
      <c r="I43" s="24" t="inlineStr">
        <is>
          <t>Contractual due date pending refreshed collection call</t>
        </is>
      </c>
      <c r="J43" s="8">
        <f>IFERROR(MATCH(G43,'13W Cash Forecast'!$B$4:$N$4,1),1)</f>
        <v/>
      </c>
    </row>
    <row r="44">
      <c r="A44" s="8" t="inlineStr">
        <is>
          <t>PAYAPP-ARM-2409-202411</t>
        </is>
      </c>
      <c r="B44" s="8" t="inlineStr">
        <is>
          <t>ARM-2409</t>
        </is>
      </c>
      <c r="C44" s="8" t="inlineStr">
        <is>
          <t>Northline Cold Storage Holdings</t>
        </is>
      </c>
      <c r="D44" s="22" t="n">
        <v>45626</v>
      </c>
      <c r="E44" s="22" t="n">
        <v>45656</v>
      </c>
      <c r="F44" s="9" t="n">
        <v>11163.1</v>
      </c>
      <c r="G44" s="23" t="n">
        <v>45656</v>
      </c>
      <c r="H44" s="24" t="inlineStr">
        <is>
          <t>Medium</t>
        </is>
      </c>
      <c r="I44" s="24" t="inlineStr">
        <is>
          <t>Contractual due date pending refreshed collection call</t>
        </is>
      </c>
      <c r="J44" s="8">
        <f>IFERROR(MATCH(G44,'13W Cash Forecast'!$B$4:$N$4,1),1)</f>
        <v/>
      </c>
    </row>
    <row r="45">
      <c r="A45" s="8" t="inlineStr">
        <is>
          <t>PAYAPP-ARM-2421-202411</t>
        </is>
      </c>
      <c r="B45" s="8" t="inlineStr">
        <is>
          <t>ARM-2421</t>
        </is>
      </c>
      <c r="C45" s="8" t="inlineStr">
        <is>
          <t>Juniper Hospitality Partners</t>
        </is>
      </c>
      <c r="D45" s="22" t="n">
        <v>45626</v>
      </c>
      <c r="E45" s="22" t="n">
        <v>45656</v>
      </c>
      <c r="F45" s="9" t="n">
        <v>3796.61</v>
      </c>
      <c r="G45" s="23" t="n">
        <v>45656</v>
      </c>
      <c r="H45" s="24" t="inlineStr">
        <is>
          <t>Medium</t>
        </is>
      </c>
      <c r="I45" s="24" t="inlineStr">
        <is>
          <t>Contractual due date pending refreshed collection call</t>
        </is>
      </c>
      <c r="J45" s="8">
        <f>IFERROR(MATCH(G45,'13W Cash Forecast'!$B$4:$N$4,1),1)</f>
        <v/>
      </c>
    </row>
    <row r="46">
      <c r="A46" s="8" t="inlineStr">
        <is>
          <t>PAYAPP-ARM-2403-202411</t>
        </is>
      </c>
      <c r="B46" s="8" t="inlineStr">
        <is>
          <t>ARM-2403</t>
        </is>
      </c>
      <c r="C46" s="8" t="inlineStr">
        <is>
          <t>City of Riverton Facilities Bureau</t>
        </is>
      </c>
      <c r="D46" s="22" t="n">
        <v>45626</v>
      </c>
      <c r="E46" s="22" t="n">
        <v>45671</v>
      </c>
      <c r="F46" s="9" t="n">
        <v>16291.09</v>
      </c>
      <c r="G46" s="23" t="n">
        <v>45671</v>
      </c>
      <c r="H46" s="24" t="inlineStr">
        <is>
          <t>Medium</t>
        </is>
      </c>
      <c r="I46" s="24" t="inlineStr">
        <is>
          <t>Contractual due date pending refreshed collection call</t>
        </is>
      </c>
      <c r="J46" s="8">
        <f>IFERROR(MATCH(G46,'13W Cash Forecast'!$B$4:$N$4,1),1)</f>
        <v/>
      </c>
    </row>
    <row r="47">
      <c r="A47" s="8" t="inlineStr">
        <is>
          <t>PAYAPP-ARM-2412-202411</t>
        </is>
      </c>
      <c r="B47" s="8" t="inlineStr">
        <is>
          <t>ARM-2412</t>
        </is>
      </c>
      <c r="C47" s="8" t="inlineStr">
        <is>
          <t>Oregon State University - Capital Planning</t>
        </is>
      </c>
      <c r="D47" s="22" t="n">
        <v>45626</v>
      </c>
      <c r="E47" s="22" t="n">
        <v>45671</v>
      </c>
      <c r="F47" s="9" t="n">
        <v>8449.09</v>
      </c>
      <c r="G47" s="23" t="n">
        <v>45671</v>
      </c>
      <c r="H47" s="24" t="inlineStr">
        <is>
          <t>Medium</t>
        </is>
      </c>
      <c r="I47" s="24" t="inlineStr">
        <is>
          <t>Contractual due date pending refreshed collection call</t>
        </is>
      </c>
      <c r="J47" s="8">
        <f>IFERROR(MATCH(G47,'13W Cash Forecast'!$B$4:$N$4,1),1)</f>
        <v/>
      </c>
    </row>
    <row r="48">
      <c r="A48" s="8" t="inlineStr">
        <is>
          <t>PAYAPP-ARM-2417-202411</t>
        </is>
      </c>
      <c r="B48" s="8" t="inlineStr">
        <is>
          <t>ARM-2417</t>
        </is>
      </c>
      <c r="C48" s="8" t="inlineStr">
        <is>
          <t>Cascade Health Properties, LLC</t>
        </is>
      </c>
      <c r="D48" s="22" t="n">
        <v>45626</v>
      </c>
      <c r="E48" s="22" t="n">
        <v>45671</v>
      </c>
      <c r="F48" s="9" t="n">
        <v>21237.87</v>
      </c>
      <c r="G48" s="23" t="n">
        <v>45671</v>
      </c>
      <c r="H48" s="24" t="inlineStr">
        <is>
          <t>Low</t>
        </is>
      </c>
      <c r="I48" s="24" t="inlineStr">
        <is>
          <t>Awaiting project-accountant follow-up</t>
        </is>
      </c>
      <c r="J48" s="8">
        <f>IFERROR(MATCH(G48,'13W Cash Forecast'!$B$4:$N$4,1),1)</f>
        <v/>
      </c>
    </row>
    <row r="49">
      <c r="A49" s="8" t="inlineStr">
        <is>
          <t>PAYAPP-ARM-2318-202412</t>
        </is>
      </c>
      <c r="B49" s="8" t="inlineStr">
        <is>
          <t>ARM-2318</t>
        </is>
      </c>
      <c r="C49" s="8" t="inlineStr">
        <is>
          <t>Columbia Biologics, Inc.</t>
        </is>
      </c>
      <c r="D49" s="22" t="n">
        <v>45657</v>
      </c>
      <c r="E49" s="22" t="n">
        <v>45687</v>
      </c>
      <c r="F49" s="9" t="n">
        <v>45232.14</v>
      </c>
      <c r="G49" s="23" t="n">
        <v>45687</v>
      </c>
      <c r="H49" s="24" t="inlineStr">
        <is>
          <t>Medium</t>
        </is>
      </c>
      <c r="I49" s="24" t="inlineStr">
        <is>
          <t>Contractual due date pending refreshed collection call</t>
        </is>
      </c>
      <c r="J49" s="8">
        <f>IFERROR(MATCH(G49,'13W Cash Forecast'!$B$4:$N$4,1),1)</f>
        <v/>
      </c>
    </row>
    <row r="50">
      <c r="A50" s="8" t="inlineStr">
        <is>
          <t>PAYAPP-ARM-2409-202412</t>
        </is>
      </c>
      <c r="B50" s="8" t="inlineStr">
        <is>
          <t>ARM-2409</t>
        </is>
      </c>
      <c r="C50" s="8" t="inlineStr">
        <is>
          <t>Northline Cold Storage Holdings</t>
        </is>
      </c>
      <c r="D50" s="22" t="n">
        <v>45657</v>
      </c>
      <c r="E50" s="22" t="n">
        <v>45687</v>
      </c>
      <c r="F50" s="9" t="n">
        <v>13953.22</v>
      </c>
      <c r="G50" s="23" t="n">
        <v>45687</v>
      </c>
      <c r="H50" s="24" t="inlineStr">
        <is>
          <t>Medium</t>
        </is>
      </c>
      <c r="I50" s="24" t="inlineStr">
        <is>
          <t>Contractual due date pending refreshed collection call</t>
        </is>
      </c>
      <c r="J50" s="8">
        <f>IFERROR(MATCH(G50,'13W Cash Forecast'!$B$4:$N$4,1),1)</f>
        <v/>
      </c>
    </row>
    <row r="51">
      <c r="A51" s="8" t="inlineStr">
        <is>
          <t>PAYAPP-ARM-2421-202412</t>
        </is>
      </c>
      <c r="B51" s="8" t="inlineStr">
        <is>
          <t>ARM-2421</t>
        </is>
      </c>
      <c r="C51" s="8" t="inlineStr">
        <is>
          <t>Juniper Hospitality Partners</t>
        </is>
      </c>
      <c r="D51" s="22" t="n">
        <v>45657</v>
      </c>
      <c r="E51" s="22" t="n">
        <v>45687</v>
      </c>
      <c r="F51" s="9" t="n">
        <v>6302.64</v>
      </c>
      <c r="G51" s="23" t="n">
        <v>45687</v>
      </c>
      <c r="H51" s="24" t="inlineStr">
        <is>
          <t>Medium</t>
        </is>
      </c>
      <c r="I51" s="24" t="inlineStr">
        <is>
          <t>Contractual due date pending refreshed collection call</t>
        </is>
      </c>
      <c r="J51" s="8">
        <f>IFERROR(MATCH(G51,'13W Cash Forecast'!$B$4:$N$4,1),1)</f>
        <v/>
      </c>
    </row>
    <row r="52">
      <c r="A52" s="8" t="inlineStr">
        <is>
          <t>PAYAPP-ARM-2403-202412</t>
        </is>
      </c>
      <c r="B52" s="8" t="inlineStr">
        <is>
          <t>ARM-2403</t>
        </is>
      </c>
      <c r="C52" s="8" t="inlineStr">
        <is>
          <t>City of Riverton Facilities Bureau</t>
        </is>
      </c>
      <c r="D52" s="22" t="n">
        <v>45657</v>
      </c>
      <c r="E52" s="22" t="n">
        <v>45702</v>
      </c>
      <c r="F52" s="9" t="n">
        <v>18692.93</v>
      </c>
      <c r="G52" s="23" t="n">
        <v>45702</v>
      </c>
      <c r="H52" s="24" t="inlineStr">
        <is>
          <t>Medium</t>
        </is>
      </c>
      <c r="I52" s="24" t="inlineStr">
        <is>
          <t>Contractual due date pending refreshed collection call</t>
        </is>
      </c>
      <c r="J52" s="8">
        <f>IFERROR(MATCH(G52,'13W Cash Forecast'!$B$4:$N$4,1),1)</f>
        <v/>
      </c>
    </row>
    <row r="53">
      <c r="A53" s="8" t="inlineStr">
        <is>
          <t>PAYAPP-ARM-2412-202412</t>
        </is>
      </c>
      <c r="B53" s="8" t="inlineStr">
        <is>
          <t>ARM-2412</t>
        </is>
      </c>
      <c r="C53" s="8" t="inlineStr">
        <is>
          <t>Oregon State University - Capital Planning</t>
        </is>
      </c>
      <c r="D53" s="22" t="n">
        <v>45657</v>
      </c>
      <c r="E53" s="22" t="n">
        <v>45702</v>
      </c>
      <c r="F53" s="9" t="n">
        <v>10436.43</v>
      </c>
      <c r="G53" s="23" t="n">
        <v>45702</v>
      </c>
      <c r="H53" s="24" t="inlineStr">
        <is>
          <t>Medium</t>
        </is>
      </c>
      <c r="I53" s="24" t="inlineStr">
        <is>
          <t>Contractual due date pending refreshed collection call</t>
        </is>
      </c>
      <c r="J53" s="8">
        <f>IFERROR(MATCH(G53,'13W Cash Forecast'!$B$4:$N$4,1),1)</f>
        <v/>
      </c>
    </row>
    <row r="54">
      <c r="A54" s="8" t="inlineStr">
        <is>
          <t>PAYAPP-ARM-2417-202412</t>
        </is>
      </c>
      <c r="B54" s="8" t="inlineStr">
        <is>
          <t>ARM-2417</t>
        </is>
      </c>
      <c r="C54" s="8" t="inlineStr">
        <is>
          <t>Cascade Health Properties, LLC</t>
        </is>
      </c>
      <c r="D54" s="22" t="n">
        <v>45657</v>
      </c>
      <c r="E54" s="22" t="n">
        <v>45702</v>
      </c>
      <c r="F54" s="9" t="n">
        <v>25124.6</v>
      </c>
      <c r="G54" s="23" t="n">
        <v>45702</v>
      </c>
      <c r="H54" s="24" t="inlineStr">
        <is>
          <t>Medium</t>
        </is>
      </c>
      <c r="I54" s="24" t="inlineStr">
        <is>
          <t>Contractual due date pending refreshed collection call</t>
        </is>
      </c>
      <c r="J54" s="8">
        <f>IFERROR(MATCH(G54,'13W Cash Forecast'!$B$4:$N$4,1),1)</f>
        <v/>
      </c>
    </row>
    <row r="55">
      <c r="A55" s="8" t="inlineStr">
        <is>
          <t>PAYAPP-ARM-2318-202501</t>
        </is>
      </c>
      <c r="B55" s="8" t="inlineStr">
        <is>
          <t>ARM-2318</t>
        </is>
      </c>
      <c r="C55" s="8" t="inlineStr">
        <is>
          <t>Columbia Biologics, Inc.</t>
        </is>
      </c>
      <c r="D55" s="22" t="n">
        <v>45688</v>
      </c>
      <c r="E55" s="22" t="n">
        <v>45718</v>
      </c>
      <c r="F55" s="9" t="n">
        <v>23561.33</v>
      </c>
      <c r="G55" s="23" t="n">
        <v>45718</v>
      </c>
      <c r="H55" s="24" t="inlineStr">
        <is>
          <t>Low</t>
        </is>
      </c>
      <c r="I55" s="24" t="inlineStr">
        <is>
          <t>Awaiting project-accountant follow-up</t>
        </is>
      </c>
      <c r="J55" s="8">
        <f>IFERROR(MATCH(G55,'13W Cash Forecast'!$B$4:$N$4,1),1)</f>
        <v/>
      </c>
    </row>
    <row r="56">
      <c r="A56" s="8" t="inlineStr">
        <is>
          <t>PAYAPP-ARM-2409-202501</t>
        </is>
      </c>
      <c r="B56" s="8" t="inlineStr">
        <is>
          <t>ARM-2409</t>
        </is>
      </c>
      <c r="C56" s="8" t="inlineStr">
        <is>
          <t>Northline Cold Storage Holdings</t>
        </is>
      </c>
      <c r="D56" s="22" t="n">
        <v>45688</v>
      </c>
      <c r="E56" s="22" t="n">
        <v>45718</v>
      </c>
      <c r="F56" s="9" t="n">
        <v>6894.03</v>
      </c>
      <c r="G56" s="23" t="n">
        <v>45718</v>
      </c>
      <c r="H56" s="24" t="inlineStr">
        <is>
          <t>Medium</t>
        </is>
      </c>
      <c r="I56" s="24" t="inlineStr">
        <is>
          <t>Contractual due date pending refreshed collection call</t>
        </is>
      </c>
      <c r="J56" s="8">
        <f>IFERROR(MATCH(G56,'13W Cash Forecast'!$B$4:$N$4,1),1)</f>
        <v/>
      </c>
    </row>
    <row r="57">
      <c r="A57" s="8" t="inlineStr">
        <is>
          <t>PAYAPP-ARM-2421-202501</t>
        </is>
      </c>
      <c r="B57" s="8" t="inlineStr">
        <is>
          <t>ARM-2421</t>
        </is>
      </c>
      <c r="C57" s="8" t="inlineStr">
        <is>
          <t>Juniper Hospitality Partners</t>
        </is>
      </c>
      <c r="D57" s="22" t="n">
        <v>45688</v>
      </c>
      <c r="E57" s="22" t="n">
        <v>45718</v>
      </c>
      <c r="F57" s="9" t="n">
        <v>3575.53</v>
      </c>
      <c r="G57" s="23" t="n">
        <v>45718</v>
      </c>
      <c r="H57" s="24" t="inlineStr">
        <is>
          <t>Medium</t>
        </is>
      </c>
      <c r="I57" s="24" t="inlineStr">
        <is>
          <t>Contractual due date pending refreshed collection call</t>
        </is>
      </c>
      <c r="J57" s="8">
        <f>IFERROR(MATCH(G57,'13W Cash Forecast'!$B$4:$N$4,1),1)</f>
        <v/>
      </c>
    </row>
    <row r="58">
      <c r="A58" s="8" t="inlineStr">
        <is>
          <t>PAYAPP-ARM-2403-202501</t>
        </is>
      </c>
      <c r="B58" s="8" t="inlineStr">
        <is>
          <t>ARM-2403</t>
        </is>
      </c>
      <c r="C58" s="8" t="inlineStr">
        <is>
          <t>City of Riverton Facilities Bureau</t>
        </is>
      </c>
      <c r="D58" s="22" t="n">
        <v>45688</v>
      </c>
      <c r="E58" s="22" t="n">
        <v>45733</v>
      </c>
      <c r="F58" s="9" t="n">
        <v>8535.9</v>
      </c>
      <c r="G58" s="23" t="n">
        <v>45733</v>
      </c>
      <c r="H58" s="24" t="inlineStr">
        <is>
          <t>Medium</t>
        </is>
      </c>
      <c r="I58" s="24" t="inlineStr">
        <is>
          <t>Contractual due date pending refreshed collection call</t>
        </is>
      </c>
      <c r="J58" s="8">
        <f>IFERROR(MATCH(G58,'13W Cash Forecast'!$B$4:$N$4,1),1)</f>
        <v/>
      </c>
    </row>
    <row r="59">
      <c r="A59" s="8" t="inlineStr">
        <is>
          <t>PAYAPP-ARM-2412-202501</t>
        </is>
      </c>
      <c r="B59" s="8" t="inlineStr">
        <is>
          <t>ARM-2412</t>
        </is>
      </c>
      <c r="C59" s="8" t="inlineStr">
        <is>
          <t>Oregon State University - Capital Planning</t>
        </is>
      </c>
      <c r="D59" s="22" t="n">
        <v>45688</v>
      </c>
      <c r="E59" s="22" t="n">
        <v>45733</v>
      </c>
      <c r="F59" s="9" t="n">
        <v>5491.64</v>
      </c>
      <c r="G59" s="23" t="n">
        <v>45733</v>
      </c>
      <c r="H59" s="24" t="inlineStr">
        <is>
          <t>Medium</t>
        </is>
      </c>
      <c r="I59" s="24" t="inlineStr">
        <is>
          <t>Contractual due date pending refreshed collection call</t>
        </is>
      </c>
      <c r="J59" s="8">
        <f>IFERROR(MATCH(G59,'13W Cash Forecast'!$B$4:$N$4,1),1)</f>
        <v/>
      </c>
    </row>
    <row r="60">
      <c r="A60" s="8" t="inlineStr">
        <is>
          <t>PAYAPP-ARM-2417-202501</t>
        </is>
      </c>
      <c r="B60" s="8" t="inlineStr">
        <is>
          <t>ARM-2417</t>
        </is>
      </c>
      <c r="C60" s="8" t="inlineStr">
        <is>
          <t>Cascade Health Properties, LLC</t>
        </is>
      </c>
      <c r="D60" s="22" t="n">
        <v>45688</v>
      </c>
      <c r="E60" s="22" t="n">
        <v>45733</v>
      </c>
      <c r="F60" s="9" t="n">
        <v>14132.98</v>
      </c>
      <c r="G60" s="23" t="n">
        <v>45733</v>
      </c>
      <c r="H60" s="24" t="inlineStr">
        <is>
          <t>Medium</t>
        </is>
      </c>
      <c r="I60" s="24" t="inlineStr">
        <is>
          <t>Contractual due date pending refreshed collection call</t>
        </is>
      </c>
      <c r="J60" s="8">
        <f>IFERROR(MATCH(G60,'13W Cash Forecast'!$B$4:$N$4,1),1)</f>
        <v/>
      </c>
    </row>
    <row r="61">
      <c r="A61" s="8" t="inlineStr">
        <is>
          <t>PAYAPP-ARM-2501-202501</t>
        </is>
      </c>
      <c r="B61" s="8" t="inlineStr">
        <is>
          <t>ARM-2501</t>
        </is>
      </c>
      <c r="C61" s="8" t="inlineStr">
        <is>
          <t>Port of Portland Aviation</t>
        </is>
      </c>
      <c r="D61" s="22" t="n">
        <v>45688</v>
      </c>
      <c r="E61" s="22" t="n">
        <v>45733</v>
      </c>
      <c r="F61" s="9" t="n">
        <v>739.14</v>
      </c>
      <c r="G61" s="23" t="n">
        <v>45733</v>
      </c>
      <c r="H61" s="24" t="inlineStr">
        <is>
          <t>Medium</t>
        </is>
      </c>
      <c r="I61" s="24" t="inlineStr">
        <is>
          <t>Contractual due date pending refreshed collection call</t>
        </is>
      </c>
      <c r="J61" s="8">
        <f>IFERROR(MATCH(G61,'13W Cash Forecast'!$B$4:$N$4,1),1)</f>
        <v/>
      </c>
    </row>
    <row r="62">
      <c r="A62" s="8" t="inlineStr">
        <is>
          <t>PAYAPP-ARM-2318-202502</t>
        </is>
      </c>
      <c r="B62" s="8" t="inlineStr">
        <is>
          <t>ARM-2318</t>
        </is>
      </c>
      <c r="C62" s="8" t="inlineStr">
        <is>
          <t>Columbia Biologics, Inc.</t>
        </is>
      </c>
      <c r="D62" s="22" t="n">
        <v>45716</v>
      </c>
      <c r="E62" s="22" t="n">
        <v>45746</v>
      </c>
      <c r="F62" s="9" t="n">
        <v>22057.03</v>
      </c>
      <c r="G62" s="23" t="n">
        <v>45746</v>
      </c>
      <c r="H62" s="24" t="inlineStr">
        <is>
          <t>Low</t>
        </is>
      </c>
      <c r="I62" s="24" t="inlineStr">
        <is>
          <t>Awaiting project-accountant follow-up</t>
        </is>
      </c>
      <c r="J62" s="8">
        <f>IFERROR(MATCH(G62,'13W Cash Forecast'!$B$4:$N$4,1),1)</f>
        <v/>
      </c>
    </row>
    <row r="63">
      <c r="A63" s="8" t="inlineStr">
        <is>
          <t>PAYAPP-ARM-2409-202502</t>
        </is>
      </c>
      <c r="B63" s="8" t="inlineStr">
        <is>
          <t>ARM-2409</t>
        </is>
      </c>
      <c r="C63" s="8" t="inlineStr">
        <is>
          <t>Northline Cold Storage Holdings</t>
        </is>
      </c>
      <c r="D63" s="22" t="n">
        <v>45716</v>
      </c>
      <c r="E63" s="22" t="n">
        <v>45746</v>
      </c>
      <c r="F63" s="9" t="n">
        <v>6916.09</v>
      </c>
      <c r="G63" s="23" t="n">
        <v>45746</v>
      </c>
      <c r="H63" s="24" t="inlineStr">
        <is>
          <t>Medium</t>
        </is>
      </c>
      <c r="I63" s="24" t="inlineStr">
        <is>
          <t>Contractual due date pending refreshed collection call</t>
        </is>
      </c>
      <c r="J63" s="8">
        <f>IFERROR(MATCH(G63,'13W Cash Forecast'!$B$4:$N$4,1),1)</f>
        <v/>
      </c>
    </row>
    <row r="64">
      <c r="A64" s="8" t="inlineStr">
        <is>
          <t>PAYAPP-ARM-2421-202502</t>
        </is>
      </c>
      <c r="B64" s="8" t="inlineStr">
        <is>
          <t>ARM-2421</t>
        </is>
      </c>
      <c r="C64" s="8" t="inlineStr">
        <is>
          <t>Juniper Hospitality Partners</t>
        </is>
      </c>
      <c r="D64" s="22" t="n">
        <v>45716</v>
      </c>
      <c r="E64" s="22" t="n">
        <v>45746</v>
      </c>
      <c r="F64" s="9" t="n">
        <v>4275.21</v>
      </c>
      <c r="G64" s="23" t="n">
        <v>45746</v>
      </c>
      <c r="H64" s="24" t="inlineStr">
        <is>
          <t>Medium</t>
        </is>
      </c>
      <c r="I64" s="24" t="inlineStr">
        <is>
          <t>Contractual due date pending refreshed collection call</t>
        </is>
      </c>
      <c r="J64" s="8">
        <f>IFERROR(MATCH(G64,'13W Cash Forecast'!$B$4:$N$4,1),1)</f>
        <v/>
      </c>
    </row>
    <row r="65">
      <c r="A65" s="8" t="inlineStr">
        <is>
          <t>PAYAPP-ARM-2506-202502</t>
        </is>
      </c>
      <c r="B65" s="8" t="inlineStr">
        <is>
          <t>ARM-2506</t>
        </is>
      </c>
      <c r="C65" s="8" t="inlineStr">
        <is>
          <t>Eastbank Data Infrastructure, LP</t>
        </is>
      </c>
      <c r="D65" s="22" t="n">
        <v>45716</v>
      </c>
      <c r="E65" s="22" t="n">
        <v>45746</v>
      </c>
      <c r="F65" s="9" t="n">
        <v>3365.52</v>
      </c>
      <c r="G65" s="23" t="n">
        <v>45746</v>
      </c>
      <c r="H65" s="24" t="inlineStr">
        <is>
          <t>Medium</t>
        </is>
      </c>
      <c r="I65" s="24" t="inlineStr">
        <is>
          <t>Contractual due date pending refreshed collection call</t>
        </is>
      </c>
      <c r="J65" s="8">
        <f>IFERROR(MATCH(G65,'13W Cash Forecast'!$B$4:$N$4,1),1)</f>
        <v/>
      </c>
    </row>
    <row r="66">
      <c r="A66" s="8" t="inlineStr">
        <is>
          <t>PAYAPP-ARM-2403-202502</t>
        </is>
      </c>
      <c r="B66" s="8" t="inlineStr">
        <is>
          <t>ARM-2403</t>
        </is>
      </c>
      <c r="C66" s="8" t="inlineStr">
        <is>
          <t>City of Riverton Facilities Bureau</t>
        </is>
      </c>
      <c r="D66" s="22" t="n">
        <v>45716</v>
      </c>
      <c r="E66" s="22" t="n">
        <v>45761</v>
      </c>
      <c r="F66" s="9" t="n">
        <v>9769.57</v>
      </c>
      <c r="G66" s="23" t="n">
        <v>45761</v>
      </c>
      <c r="H66" s="24" t="inlineStr">
        <is>
          <t>Medium</t>
        </is>
      </c>
      <c r="I66" s="24" t="inlineStr">
        <is>
          <t>Contractual due date pending refreshed collection call</t>
        </is>
      </c>
      <c r="J66" s="8">
        <f>IFERROR(MATCH(G66,'13W Cash Forecast'!$B$4:$N$4,1),1)</f>
        <v/>
      </c>
    </row>
    <row r="67">
      <c r="A67" s="8" t="inlineStr">
        <is>
          <t>PAYAPP-ARM-2412-202502</t>
        </is>
      </c>
      <c r="B67" s="8" t="inlineStr">
        <is>
          <t>ARM-2412</t>
        </is>
      </c>
      <c r="C67" s="8" t="inlineStr">
        <is>
          <t>Oregon State University - Capital Planning</t>
        </is>
      </c>
      <c r="D67" s="22" t="n">
        <v>45716</v>
      </c>
      <c r="E67" s="22" t="n">
        <v>45761</v>
      </c>
      <c r="F67" s="9" t="n">
        <v>6781.75</v>
      </c>
      <c r="G67" s="23" t="n">
        <v>45761</v>
      </c>
      <c r="H67" s="24" t="inlineStr">
        <is>
          <t>Medium</t>
        </is>
      </c>
      <c r="I67" s="24" t="inlineStr">
        <is>
          <t>Contractual due date pending refreshed collection call</t>
        </is>
      </c>
      <c r="J67" s="8">
        <f>IFERROR(MATCH(G67,'13W Cash Forecast'!$B$4:$N$4,1),1)</f>
        <v/>
      </c>
    </row>
    <row r="68">
      <c r="A68" s="8" t="inlineStr">
        <is>
          <t>PAYAPP-ARM-2417-202502</t>
        </is>
      </c>
      <c r="B68" s="8" t="inlineStr">
        <is>
          <t>ARM-2417</t>
        </is>
      </c>
      <c r="C68" s="8" t="inlineStr">
        <is>
          <t>Cascade Health Properties, LLC</t>
        </is>
      </c>
      <c r="D68" s="22" t="n">
        <v>45716</v>
      </c>
      <c r="E68" s="22" t="n">
        <v>45761</v>
      </c>
      <c r="F68" s="9" t="n">
        <v>17593.97</v>
      </c>
      <c r="G68" s="23" t="n">
        <v>45761</v>
      </c>
      <c r="H68" s="24" t="inlineStr">
        <is>
          <t>Medium</t>
        </is>
      </c>
      <c r="I68" s="24" t="inlineStr">
        <is>
          <t>Contractual due date pending refreshed collection call</t>
        </is>
      </c>
      <c r="J68" s="8">
        <f>IFERROR(MATCH(G68,'13W Cash Forecast'!$B$4:$N$4,1),1)</f>
        <v/>
      </c>
    </row>
    <row r="69">
      <c r="A69" s="8" t="inlineStr">
        <is>
          <t>PAYAPP-ARM-2501-202502</t>
        </is>
      </c>
      <c r="B69" s="8" t="inlineStr">
        <is>
          <t>ARM-2501</t>
        </is>
      </c>
      <c r="C69" s="8" t="inlineStr">
        <is>
          <t>Port of Portland Aviation</t>
        </is>
      </c>
      <c r="D69" s="22" t="n">
        <v>45716</v>
      </c>
      <c r="E69" s="22" t="n">
        <v>45761</v>
      </c>
      <c r="F69" s="9" t="n">
        <v>1471.69</v>
      </c>
      <c r="G69" s="23" t="n">
        <v>45761</v>
      </c>
      <c r="H69" s="24" t="inlineStr">
        <is>
          <t>Low</t>
        </is>
      </c>
      <c r="I69" s="24" t="inlineStr">
        <is>
          <t>Awaiting project-accountant follow-up</t>
        </is>
      </c>
      <c r="J69" s="8">
        <f>IFERROR(MATCH(G69,'13W Cash Forecast'!$B$4:$N$4,1),1)</f>
        <v/>
      </c>
    </row>
    <row r="70">
      <c r="A70" s="8" t="inlineStr">
        <is>
          <t>PAYAPP-ARM-2318-202503</t>
        </is>
      </c>
      <c r="B70" s="8" t="inlineStr">
        <is>
          <t>ARM-2318</t>
        </is>
      </c>
      <c r="C70" s="8" t="inlineStr">
        <is>
          <t>Columbia Biologics, Inc.</t>
        </is>
      </c>
      <c r="D70" s="22" t="n">
        <v>45747</v>
      </c>
      <c r="E70" s="22" t="n">
        <v>45777</v>
      </c>
      <c r="F70" s="9" t="n">
        <v>20427.66</v>
      </c>
      <c r="G70" s="23" t="n">
        <v>45777</v>
      </c>
      <c r="H70" s="24" t="inlineStr">
        <is>
          <t>Medium</t>
        </is>
      </c>
      <c r="I70" s="24" t="inlineStr">
        <is>
          <t>Contractual due date pending refreshed collection call</t>
        </is>
      </c>
      <c r="J70" s="8">
        <f>IFERROR(MATCH(G70,'13W Cash Forecast'!$B$4:$N$4,1),1)</f>
        <v/>
      </c>
    </row>
    <row r="71">
      <c r="A71" s="8" t="inlineStr">
        <is>
          <t>PAYAPP-ARM-2409-202503</t>
        </is>
      </c>
      <c r="B71" s="8" t="inlineStr">
        <is>
          <t>ARM-2409</t>
        </is>
      </c>
      <c r="C71" s="8" t="inlineStr">
        <is>
          <t>Northline Cold Storage Holdings</t>
        </is>
      </c>
      <c r="D71" s="22" t="n">
        <v>45747</v>
      </c>
      <c r="E71" s="22" t="n">
        <v>45777</v>
      </c>
      <c r="F71" s="9" t="n">
        <v>7847.79</v>
      </c>
      <c r="G71" s="23" t="n">
        <v>45777</v>
      </c>
      <c r="H71" s="24" t="inlineStr">
        <is>
          <t>Medium</t>
        </is>
      </c>
      <c r="I71" s="24" t="inlineStr">
        <is>
          <t>Contractual due date pending refreshed collection call</t>
        </is>
      </c>
      <c r="J71" s="8">
        <f>IFERROR(MATCH(G71,'13W Cash Forecast'!$B$4:$N$4,1),1)</f>
        <v/>
      </c>
    </row>
    <row r="72">
      <c r="A72" s="8" t="inlineStr">
        <is>
          <t>PAYAPP-ARM-2421-202503</t>
        </is>
      </c>
      <c r="B72" s="8" t="inlineStr">
        <is>
          <t>ARM-2421</t>
        </is>
      </c>
      <c r="C72" s="8" t="inlineStr">
        <is>
          <t>Juniper Hospitality Partners</t>
        </is>
      </c>
      <c r="D72" s="22" t="n">
        <v>45747</v>
      </c>
      <c r="E72" s="22" t="n">
        <v>45777</v>
      </c>
      <c r="F72" s="9" t="n">
        <v>5342.38</v>
      </c>
      <c r="G72" s="23" t="n">
        <v>45777</v>
      </c>
      <c r="H72" s="24" t="inlineStr">
        <is>
          <t>Medium</t>
        </is>
      </c>
      <c r="I72" s="24" t="inlineStr">
        <is>
          <t>Contractual due date pending refreshed collection call</t>
        </is>
      </c>
      <c r="J72" s="8">
        <f>IFERROR(MATCH(G72,'13W Cash Forecast'!$B$4:$N$4,1),1)</f>
        <v/>
      </c>
    </row>
    <row r="73">
      <c r="A73" s="8" t="inlineStr">
        <is>
          <t>PAYAPP-ARM-2506-202503</t>
        </is>
      </c>
      <c r="B73" s="8" t="inlineStr">
        <is>
          <t>ARM-2506</t>
        </is>
      </c>
      <c r="C73" s="8" t="inlineStr">
        <is>
          <t>Eastbank Data Infrastructure, LP</t>
        </is>
      </c>
      <c r="D73" s="22" t="n">
        <v>45747</v>
      </c>
      <c r="E73" s="22" t="n">
        <v>45777</v>
      </c>
      <c r="F73" s="9" t="n">
        <v>6786.42</v>
      </c>
      <c r="G73" s="23" t="n">
        <v>45777</v>
      </c>
      <c r="H73" s="24" t="inlineStr">
        <is>
          <t>Medium</t>
        </is>
      </c>
      <c r="I73" s="24" t="inlineStr">
        <is>
          <t>Contractual due date pending refreshed collection call</t>
        </is>
      </c>
      <c r="J73" s="8">
        <f>IFERROR(MATCH(G73,'13W Cash Forecast'!$B$4:$N$4,1),1)</f>
        <v/>
      </c>
    </row>
    <row r="74">
      <c r="A74" s="8" t="inlineStr">
        <is>
          <t>PAYAPP-ARM-2510-202503</t>
        </is>
      </c>
      <c r="B74" s="8" t="inlineStr">
        <is>
          <t>ARM-2510</t>
        </is>
      </c>
      <c r="C74" s="8" t="inlineStr">
        <is>
          <t>Hawthorne Urban Development, LLC</t>
        </is>
      </c>
      <c r="D74" s="22" t="n">
        <v>45747</v>
      </c>
      <c r="E74" s="22" t="n">
        <v>45777</v>
      </c>
      <c r="F74" s="9" t="n">
        <v>2357.02</v>
      </c>
      <c r="G74" s="23" t="n">
        <v>45777</v>
      </c>
      <c r="H74" s="24" t="inlineStr">
        <is>
          <t>Medium</t>
        </is>
      </c>
      <c r="I74" s="24" t="inlineStr">
        <is>
          <t>Contractual due date pending refreshed collection call</t>
        </is>
      </c>
      <c r="J74" s="8">
        <f>IFERROR(MATCH(G74,'13W Cash Forecast'!$B$4:$N$4,1),1)</f>
        <v/>
      </c>
    </row>
    <row r="75">
      <c r="A75" s="8" t="inlineStr">
        <is>
          <t>PAYAPP-ARM-2403-202503</t>
        </is>
      </c>
      <c r="B75" s="8" t="inlineStr">
        <is>
          <t>ARM-2403</t>
        </is>
      </c>
      <c r="C75" s="8" t="inlineStr">
        <is>
          <t>City of Riverton Facilities Bureau</t>
        </is>
      </c>
      <c r="D75" s="22" t="n">
        <v>45747</v>
      </c>
      <c r="E75" s="22" t="n">
        <v>45792</v>
      </c>
      <c r="F75" s="9" t="n">
        <v>9591.43</v>
      </c>
      <c r="G75" s="23" t="n">
        <v>45792</v>
      </c>
      <c r="H75" s="24" t="inlineStr">
        <is>
          <t>Medium</t>
        </is>
      </c>
      <c r="I75" s="24" t="inlineStr">
        <is>
          <t>Contractual due date pending refreshed collection call</t>
        </is>
      </c>
      <c r="J75" s="8">
        <f>IFERROR(MATCH(G75,'13W Cash Forecast'!$B$4:$N$4,1),1)</f>
        <v/>
      </c>
    </row>
    <row r="76">
      <c r="A76" s="8" t="inlineStr">
        <is>
          <t>PAYAPP-ARM-2412-202503</t>
        </is>
      </c>
      <c r="B76" s="8" t="inlineStr">
        <is>
          <t>ARM-2412</t>
        </is>
      </c>
      <c r="C76" s="8" t="inlineStr">
        <is>
          <t>Oregon State University - Capital Planning</t>
        </is>
      </c>
      <c r="D76" s="22" t="n">
        <v>45747</v>
      </c>
      <c r="E76" s="22" t="n">
        <v>45792</v>
      </c>
      <c r="F76" s="9" t="n">
        <v>7212.13</v>
      </c>
      <c r="G76" s="23" t="n">
        <v>45792</v>
      </c>
      <c r="H76" s="24" t="inlineStr">
        <is>
          <t>Low</t>
        </is>
      </c>
      <c r="I76" s="24" t="inlineStr">
        <is>
          <t>Awaiting project-accountant follow-up</t>
        </is>
      </c>
      <c r="J76" s="8">
        <f>IFERROR(MATCH(G76,'13W Cash Forecast'!$B$4:$N$4,1),1)</f>
        <v/>
      </c>
    </row>
    <row r="77">
      <c r="A77" s="8" t="inlineStr">
        <is>
          <t>PAYAPP-ARM-2417-202503</t>
        </is>
      </c>
      <c r="B77" s="8" t="inlineStr">
        <is>
          <t>ARM-2417</t>
        </is>
      </c>
      <c r="C77" s="8" t="inlineStr">
        <is>
          <t>Cascade Health Properties, LLC</t>
        </is>
      </c>
      <c r="D77" s="22" t="n">
        <v>45747</v>
      </c>
      <c r="E77" s="22" t="n">
        <v>45792</v>
      </c>
      <c r="F77" s="9" t="n">
        <v>19720.2</v>
      </c>
      <c r="G77" s="23" t="n">
        <v>45792</v>
      </c>
      <c r="H77" s="24" t="inlineStr">
        <is>
          <t>Medium</t>
        </is>
      </c>
      <c r="I77" s="24" t="inlineStr">
        <is>
          <t>Contractual due date pending refreshed collection call</t>
        </is>
      </c>
      <c r="J77" s="8">
        <f>IFERROR(MATCH(G77,'13W Cash Forecast'!$B$4:$N$4,1),1)</f>
        <v/>
      </c>
    </row>
    <row r="78">
      <c r="A78" s="8" t="inlineStr">
        <is>
          <t>PAYAPP-ARM-2501-202503</t>
        </is>
      </c>
      <c r="B78" s="8" t="inlineStr">
        <is>
          <t>ARM-2501</t>
        </is>
      </c>
      <c r="C78" s="8" t="inlineStr">
        <is>
          <t>Port of Portland Aviation</t>
        </is>
      </c>
      <c r="D78" s="22" t="n">
        <v>45747</v>
      </c>
      <c r="E78" s="22" t="n">
        <v>45792</v>
      </c>
      <c r="F78" s="9" t="n">
        <v>2452.06</v>
      </c>
      <c r="G78" s="23" t="n">
        <v>45792</v>
      </c>
      <c r="H78" s="24" t="inlineStr">
        <is>
          <t>Medium</t>
        </is>
      </c>
      <c r="I78" s="24" t="inlineStr">
        <is>
          <t>Contractual due date pending refreshed collection call</t>
        </is>
      </c>
      <c r="J78" s="8">
        <f>IFERROR(MATCH(G78,'13W Cash Forecast'!$B$4:$N$4,1),1)</f>
        <v/>
      </c>
    </row>
    <row r="79">
      <c r="A79" s="8" t="inlineStr">
        <is>
          <t>PAYAPP-ARM-2318-202504</t>
        </is>
      </c>
      <c r="B79" s="8" t="inlineStr">
        <is>
          <t>ARM-2318</t>
        </is>
      </c>
      <c r="C79" s="8" t="inlineStr">
        <is>
          <t>Columbia Biologics, Inc.</t>
        </is>
      </c>
      <c r="D79" s="22" t="n">
        <v>45777</v>
      </c>
      <c r="E79" s="22" t="n">
        <v>45807</v>
      </c>
      <c r="F79" s="9" t="n">
        <v>21095.48</v>
      </c>
      <c r="G79" s="23" t="n">
        <v>45807</v>
      </c>
      <c r="H79" s="24" t="inlineStr">
        <is>
          <t>Medium</t>
        </is>
      </c>
      <c r="I79" s="24" t="inlineStr">
        <is>
          <t>Contractual due date pending refreshed collection call</t>
        </is>
      </c>
      <c r="J79" s="8">
        <f>IFERROR(MATCH(G79,'13W Cash Forecast'!$B$4:$N$4,1),1)</f>
        <v/>
      </c>
    </row>
    <row r="80">
      <c r="A80" s="8" t="inlineStr">
        <is>
          <t>PAYAPP-ARM-2409-202504</t>
        </is>
      </c>
      <c r="B80" s="8" t="inlineStr">
        <is>
          <t>ARM-2409</t>
        </is>
      </c>
      <c r="C80" s="8" t="inlineStr">
        <is>
          <t>Northline Cold Storage Holdings</t>
        </is>
      </c>
      <c r="D80" s="22" t="n">
        <v>45777</v>
      </c>
      <c r="E80" s="22" t="n">
        <v>45807</v>
      </c>
      <c r="F80" s="9" t="n">
        <v>7568.2</v>
      </c>
      <c r="G80" s="23" t="n">
        <v>45807</v>
      </c>
      <c r="H80" s="24" t="inlineStr">
        <is>
          <t>Medium</t>
        </is>
      </c>
      <c r="I80" s="24" t="inlineStr">
        <is>
          <t>Contractual due date pending refreshed collection call</t>
        </is>
      </c>
      <c r="J80" s="8">
        <f>IFERROR(MATCH(G80,'13W Cash Forecast'!$B$4:$N$4,1),1)</f>
        <v/>
      </c>
    </row>
    <row r="81">
      <c r="A81" s="8" t="inlineStr">
        <is>
          <t>PAYAPP-ARM-2421-202504</t>
        </is>
      </c>
      <c r="B81" s="8" t="inlineStr">
        <is>
          <t>ARM-2421</t>
        </is>
      </c>
      <c r="C81" s="8" t="inlineStr">
        <is>
          <t>Juniper Hospitality Partners</t>
        </is>
      </c>
      <c r="D81" s="22" t="n">
        <v>45777</v>
      </c>
      <c r="E81" s="22" t="n">
        <v>45807</v>
      </c>
      <c r="F81" s="9" t="n">
        <v>5806.2</v>
      </c>
      <c r="G81" s="23" t="n">
        <v>45807</v>
      </c>
      <c r="H81" s="24" t="inlineStr">
        <is>
          <t>Medium</t>
        </is>
      </c>
      <c r="I81" s="24" t="inlineStr">
        <is>
          <t>Contractual due date pending refreshed collection call</t>
        </is>
      </c>
      <c r="J81" s="8">
        <f>IFERROR(MATCH(G81,'13W Cash Forecast'!$B$4:$N$4,1),1)</f>
        <v/>
      </c>
    </row>
    <row r="82">
      <c r="A82" s="8" t="inlineStr">
        <is>
          <t>PAYAPP-ARM-2506-202504</t>
        </is>
      </c>
      <c r="B82" s="8" t="inlineStr">
        <is>
          <t>ARM-2506</t>
        </is>
      </c>
      <c r="C82" s="8" t="inlineStr">
        <is>
          <t>Eastbank Data Infrastructure, LP</t>
        </is>
      </c>
      <c r="D82" s="22" t="n">
        <v>45777</v>
      </c>
      <c r="E82" s="22" t="n">
        <v>45807</v>
      </c>
      <c r="F82" s="9" t="n">
        <v>11343.44</v>
      </c>
      <c r="G82" s="23" t="n">
        <v>45807</v>
      </c>
      <c r="H82" s="24" t="inlineStr">
        <is>
          <t>Medium</t>
        </is>
      </c>
      <c r="I82" s="24" t="inlineStr">
        <is>
          <t>Contractual due date pending refreshed collection call</t>
        </is>
      </c>
      <c r="J82" s="8">
        <f>IFERROR(MATCH(G82,'13W Cash Forecast'!$B$4:$N$4,1),1)</f>
        <v/>
      </c>
    </row>
    <row r="83">
      <c r="A83" s="8" t="inlineStr">
        <is>
          <t>PAYAPP-ARM-2510-202504</t>
        </is>
      </c>
      <c r="B83" s="8" t="inlineStr">
        <is>
          <t>ARM-2510</t>
        </is>
      </c>
      <c r="C83" s="8" t="inlineStr">
        <is>
          <t>Hawthorne Urban Development, LLC</t>
        </is>
      </c>
      <c r="D83" s="22" t="n">
        <v>45777</v>
      </c>
      <c r="E83" s="22" t="n">
        <v>45807</v>
      </c>
      <c r="F83" s="9" t="n">
        <v>4815.32</v>
      </c>
      <c r="G83" s="23" t="n">
        <v>45807</v>
      </c>
      <c r="H83" s="24" t="inlineStr">
        <is>
          <t>Low</t>
        </is>
      </c>
      <c r="I83" s="24" t="inlineStr">
        <is>
          <t>Awaiting project-accountant follow-up</t>
        </is>
      </c>
      <c r="J83" s="8">
        <f>IFERROR(MATCH(G83,'13W Cash Forecast'!$B$4:$N$4,1),1)</f>
        <v/>
      </c>
    </row>
    <row r="84">
      <c r="A84" s="8" t="inlineStr">
        <is>
          <t>PAYAPP-ARM-2403-202504</t>
        </is>
      </c>
      <c r="B84" s="8" t="inlineStr">
        <is>
          <t>ARM-2403</t>
        </is>
      </c>
      <c r="C84" s="8" t="inlineStr">
        <is>
          <t>City of Riverton Facilities Bureau</t>
        </is>
      </c>
      <c r="D84" s="22" t="n">
        <v>45777</v>
      </c>
      <c r="E84" s="22" t="n">
        <v>45822</v>
      </c>
      <c r="F84" s="9" t="n">
        <v>8954.559999999999</v>
      </c>
      <c r="G84" s="23" t="n">
        <v>45822</v>
      </c>
      <c r="H84" s="24" t="inlineStr">
        <is>
          <t>Medium</t>
        </is>
      </c>
      <c r="I84" s="24" t="inlineStr">
        <is>
          <t>Contractual due date pending refreshed collection call</t>
        </is>
      </c>
      <c r="J84" s="8">
        <f>IFERROR(MATCH(G84,'13W Cash Forecast'!$B$4:$N$4,1),1)</f>
        <v/>
      </c>
    </row>
    <row r="85">
      <c r="A85" s="8" t="inlineStr">
        <is>
          <t>PAYAPP-ARM-2412-202504</t>
        </is>
      </c>
      <c r="B85" s="8" t="inlineStr">
        <is>
          <t>ARM-2412</t>
        </is>
      </c>
      <c r="C85" s="8" t="inlineStr">
        <is>
          <t>Oregon State University - Capital Planning</t>
        </is>
      </c>
      <c r="D85" s="22" t="n">
        <v>45777</v>
      </c>
      <c r="E85" s="22" t="n">
        <v>45822</v>
      </c>
      <c r="F85" s="9" t="n">
        <v>7117.18</v>
      </c>
      <c r="G85" s="23" t="n">
        <v>45822</v>
      </c>
      <c r="H85" s="24" t="inlineStr">
        <is>
          <t>Medium</t>
        </is>
      </c>
      <c r="I85" s="24" t="inlineStr">
        <is>
          <t>Contractual due date pending refreshed collection call</t>
        </is>
      </c>
      <c r="J85" s="8">
        <f>IFERROR(MATCH(G85,'13W Cash Forecast'!$B$4:$N$4,1),1)</f>
        <v/>
      </c>
    </row>
    <row r="86">
      <c r="A86" s="8" t="inlineStr">
        <is>
          <t>PAYAPP-ARM-2417-202504</t>
        </is>
      </c>
      <c r="B86" s="8" t="inlineStr">
        <is>
          <t>ARM-2417</t>
        </is>
      </c>
      <c r="C86" s="8" t="inlineStr">
        <is>
          <t>Cascade Health Properties, LLC</t>
        </is>
      </c>
      <c r="D86" s="22" t="n">
        <v>45777</v>
      </c>
      <c r="E86" s="22" t="n">
        <v>45822</v>
      </c>
      <c r="F86" s="9" t="n">
        <v>23981.84</v>
      </c>
      <c r="G86" s="23" t="n">
        <v>45822</v>
      </c>
      <c r="H86" s="24" t="inlineStr">
        <is>
          <t>Medium</t>
        </is>
      </c>
      <c r="I86" s="24" t="inlineStr">
        <is>
          <t>Contractual due date pending refreshed collection call</t>
        </is>
      </c>
      <c r="J86" s="8">
        <f>IFERROR(MATCH(G86,'13W Cash Forecast'!$B$4:$N$4,1),1)</f>
        <v/>
      </c>
    </row>
    <row r="87">
      <c r="A87" s="8" t="inlineStr">
        <is>
          <t>PAYAPP-ARM-2501-202504</t>
        </is>
      </c>
      <c r="B87" s="8" t="inlineStr">
        <is>
          <t>ARM-2501</t>
        </is>
      </c>
      <c r="C87" s="8" t="inlineStr">
        <is>
          <t>Port of Portland Aviation</t>
        </is>
      </c>
      <c r="D87" s="22" t="n">
        <v>45777</v>
      </c>
      <c r="E87" s="22" t="n">
        <v>45822</v>
      </c>
      <c r="F87" s="9" t="n">
        <v>3041.64</v>
      </c>
      <c r="G87" s="23" t="n">
        <v>45822</v>
      </c>
      <c r="H87" s="24" t="inlineStr">
        <is>
          <t>Medium</t>
        </is>
      </c>
      <c r="I87" s="24" t="inlineStr">
        <is>
          <t>Contractual due date pending refreshed collection call</t>
        </is>
      </c>
      <c r="J87" s="8">
        <f>IFERROR(MATCH(G87,'13W Cash Forecast'!$B$4:$N$4,1),1)</f>
        <v/>
      </c>
    </row>
    <row r="88">
      <c r="A88" s="8" t="inlineStr">
        <is>
          <t>PAYAPP-ARM-2318-202505</t>
        </is>
      </c>
      <c r="B88" s="8" t="inlineStr">
        <is>
          <t>ARM-2318</t>
        </is>
      </c>
      <c r="C88" s="8" t="inlineStr">
        <is>
          <t>Columbia Biologics, Inc.</t>
        </is>
      </c>
      <c r="D88" s="22" t="n">
        <v>45808</v>
      </c>
      <c r="E88" s="22" t="n">
        <v>45838</v>
      </c>
      <c r="F88" s="9" t="n">
        <v>18442.78</v>
      </c>
      <c r="G88" s="23" t="n">
        <v>45838</v>
      </c>
      <c r="H88" s="24" t="inlineStr">
        <is>
          <t>Medium</t>
        </is>
      </c>
      <c r="I88" s="24" t="inlineStr">
        <is>
          <t>Contractual due date pending refreshed collection call</t>
        </is>
      </c>
      <c r="J88" s="8">
        <f>IFERROR(MATCH(G88,'13W Cash Forecast'!$B$4:$N$4,1),1)</f>
        <v/>
      </c>
    </row>
    <row r="89">
      <c r="A89" s="8" t="inlineStr">
        <is>
          <t>PAYAPP-ARM-2409-202505</t>
        </is>
      </c>
      <c r="B89" s="8" t="inlineStr">
        <is>
          <t>ARM-2409</t>
        </is>
      </c>
      <c r="C89" s="8" t="inlineStr">
        <is>
          <t>Northline Cold Storage Holdings</t>
        </is>
      </c>
      <c r="D89" s="22" t="n">
        <v>45808</v>
      </c>
      <c r="E89" s="22" t="n">
        <v>45838</v>
      </c>
      <c r="F89" s="9" t="n">
        <v>8451.870000000001</v>
      </c>
      <c r="G89" s="23" t="n">
        <v>45838</v>
      </c>
      <c r="H89" s="24" t="inlineStr">
        <is>
          <t>Medium</t>
        </is>
      </c>
      <c r="I89" s="24" t="inlineStr">
        <is>
          <t>Contractual due date pending refreshed collection call</t>
        </is>
      </c>
      <c r="J89" s="8">
        <f>IFERROR(MATCH(G89,'13W Cash Forecast'!$B$4:$N$4,1),1)</f>
        <v/>
      </c>
    </row>
    <row r="90">
      <c r="A90" s="8" t="inlineStr">
        <is>
          <t>PAYAPP-ARM-2421-202505</t>
        </is>
      </c>
      <c r="B90" s="8" t="inlineStr">
        <is>
          <t>ARM-2421</t>
        </is>
      </c>
      <c r="C90" s="8" t="inlineStr">
        <is>
          <t>Juniper Hospitality Partners</t>
        </is>
      </c>
      <c r="D90" s="22" t="n">
        <v>45808</v>
      </c>
      <c r="E90" s="22" t="n">
        <v>45838</v>
      </c>
      <c r="F90" s="9" t="n">
        <v>6832.7</v>
      </c>
      <c r="G90" s="23" t="n">
        <v>45838</v>
      </c>
      <c r="H90" s="24" t="inlineStr">
        <is>
          <t>Low</t>
        </is>
      </c>
      <c r="I90" s="24" t="inlineStr">
        <is>
          <t>Awaiting project-accountant follow-up</t>
        </is>
      </c>
      <c r="J90" s="8">
        <f>IFERROR(MATCH(G90,'13W Cash Forecast'!$B$4:$N$4,1),1)</f>
        <v/>
      </c>
    </row>
    <row r="91">
      <c r="A91" s="8" t="inlineStr">
        <is>
          <t>PAYAPP-ARM-2506-202505</t>
        </is>
      </c>
      <c r="B91" s="8" t="inlineStr">
        <is>
          <t>ARM-2506</t>
        </is>
      </c>
      <c r="C91" s="8" t="inlineStr">
        <is>
          <t>Eastbank Data Infrastructure, LP</t>
        </is>
      </c>
      <c r="D91" s="22" t="n">
        <v>45808</v>
      </c>
      <c r="E91" s="22" t="n">
        <v>45838</v>
      </c>
      <c r="F91" s="9" t="n">
        <v>14212.65</v>
      </c>
      <c r="G91" s="23" t="n">
        <v>45838</v>
      </c>
      <c r="H91" s="24" t="inlineStr">
        <is>
          <t>Medium</t>
        </is>
      </c>
      <c r="I91" s="24" t="inlineStr">
        <is>
          <t>Contractual due date pending refreshed collection call</t>
        </is>
      </c>
      <c r="J91" s="8">
        <f>IFERROR(MATCH(G91,'13W Cash Forecast'!$B$4:$N$4,1),1)</f>
        <v/>
      </c>
    </row>
    <row r="92">
      <c r="A92" s="8" t="inlineStr">
        <is>
          <t>PAYAPP-ARM-2510-202505</t>
        </is>
      </c>
      <c r="B92" s="8" t="inlineStr">
        <is>
          <t>ARM-2510</t>
        </is>
      </c>
      <c r="C92" s="8" t="inlineStr">
        <is>
          <t>Hawthorne Urban Development, LLC</t>
        </is>
      </c>
      <c r="D92" s="22" t="n">
        <v>45808</v>
      </c>
      <c r="E92" s="22" t="n">
        <v>45838</v>
      </c>
      <c r="F92" s="9" t="n">
        <v>8069.24</v>
      </c>
      <c r="G92" s="23" t="n">
        <v>45838</v>
      </c>
      <c r="H92" s="24" t="inlineStr">
        <is>
          <t>Medium</t>
        </is>
      </c>
      <c r="I92" s="24" t="inlineStr">
        <is>
          <t>Contractual due date pending refreshed collection call</t>
        </is>
      </c>
      <c r="J92" s="8">
        <f>IFERROR(MATCH(G92,'13W Cash Forecast'!$B$4:$N$4,1),1)</f>
        <v/>
      </c>
    </row>
    <row r="93">
      <c r="A93" s="8" t="inlineStr">
        <is>
          <t>PAYAPP-ARM-2403-202505</t>
        </is>
      </c>
      <c r="B93" s="8" t="inlineStr">
        <is>
          <t>ARM-2403</t>
        </is>
      </c>
      <c r="C93" s="8" t="inlineStr">
        <is>
          <t>City of Riverton Facilities Bureau</t>
        </is>
      </c>
      <c r="D93" s="22" t="n">
        <v>45808</v>
      </c>
      <c r="E93" s="22" t="n">
        <v>45853</v>
      </c>
      <c r="F93" s="9" t="n">
        <v>9491.459999999999</v>
      </c>
      <c r="G93" s="23" t="n">
        <v>45853</v>
      </c>
      <c r="H93" s="24" t="inlineStr">
        <is>
          <t>Medium</t>
        </is>
      </c>
      <c r="I93" s="24" t="inlineStr">
        <is>
          <t>Contractual due date pending refreshed collection call</t>
        </is>
      </c>
      <c r="J93" s="8">
        <f>IFERROR(MATCH(G93,'13W Cash Forecast'!$B$4:$N$4,1),1)</f>
        <v/>
      </c>
    </row>
    <row r="94">
      <c r="A94" s="8" t="inlineStr">
        <is>
          <t>PAYAPP-ARM-2412-202505</t>
        </is>
      </c>
      <c r="B94" s="8" t="inlineStr">
        <is>
          <t>ARM-2412</t>
        </is>
      </c>
      <c r="C94" s="8" t="inlineStr">
        <is>
          <t>Oregon State University - Capital Planning</t>
        </is>
      </c>
      <c r="D94" s="22" t="n">
        <v>45808</v>
      </c>
      <c r="E94" s="22" t="n">
        <v>45853</v>
      </c>
      <c r="F94" s="9" t="n">
        <v>7967.58</v>
      </c>
      <c r="G94" s="23" t="n">
        <v>45853</v>
      </c>
      <c r="H94" s="24" t="inlineStr">
        <is>
          <t>Medium</t>
        </is>
      </c>
      <c r="I94" s="24" t="inlineStr">
        <is>
          <t>Contractual due date pending refreshed collection call</t>
        </is>
      </c>
      <c r="J94" s="8">
        <f>IFERROR(MATCH(G94,'13W Cash Forecast'!$B$4:$N$4,1),1)</f>
        <v/>
      </c>
    </row>
    <row r="95">
      <c r="A95" s="8" t="inlineStr">
        <is>
          <t>PAYAPP-ARM-2417-202505</t>
        </is>
      </c>
      <c r="B95" s="8" t="inlineStr">
        <is>
          <t>ARM-2417</t>
        </is>
      </c>
      <c r="C95" s="8" t="inlineStr">
        <is>
          <t>Cascade Health Properties, LLC</t>
        </is>
      </c>
      <c r="D95" s="22" t="n">
        <v>45808</v>
      </c>
      <c r="E95" s="22" t="n">
        <v>45853</v>
      </c>
      <c r="F95" s="9" t="n">
        <v>25256.67</v>
      </c>
      <c r="G95" s="23" t="n">
        <v>45853</v>
      </c>
      <c r="H95" s="24" t="inlineStr">
        <is>
          <t>Medium</t>
        </is>
      </c>
      <c r="I95" s="24" t="inlineStr">
        <is>
          <t>Contractual due date pending refreshed collection call</t>
        </is>
      </c>
      <c r="J95" s="8">
        <f>IFERROR(MATCH(G95,'13W Cash Forecast'!$B$4:$N$4,1),1)</f>
        <v/>
      </c>
    </row>
    <row r="96">
      <c r="A96" s="8" t="inlineStr">
        <is>
          <t>PAYAPP-ARM-2501-202505</t>
        </is>
      </c>
      <c r="B96" s="8" t="inlineStr">
        <is>
          <t>ARM-2501</t>
        </is>
      </c>
      <c r="C96" s="8" t="inlineStr">
        <is>
          <t>Port of Portland Aviation</t>
        </is>
      </c>
      <c r="D96" s="22" t="n">
        <v>45808</v>
      </c>
      <c r="E96" s="22" t="n">
        <v>45853</v>
      </c>
      <c r="F96" s="9" t="n">
        <v>3608.51</v>
      </c>
      <c r="G96" s="23" t="n">
        <v>45853</v>
      </c>
      <c r="H96" s="24" t="inlineStr">
        <is>
          <t>Medium</t>
        </is>
      </c>
      <c r="I96" s="24" t="inlineStr">
        <is>
          <t>Contractual due date pending refreshed collection call</t>
        </is>
      </c>
      <c r="J96" s="8">
        <f>IFERROR(MATCH(G96,'13W Cash Forecast'!$B$4:$N$4,1),1)</f>
        <v/>
      </c>
    </row>
    <row r="97">
      <c r="A97" s="8" t="inlineStr">
        <is>
          <t>PAYAPP-ARM-2514-202505</t>
        </is>
      </c>
      <c r="B97" s="8" t="inlineStr">
        <is>
          <t>ARM-2514</t>
        </is>
      </c>
      <c r="C97" s="8" t="inlineStr">
        <is>
          <t>Redmond Unified School District</t>
        </is>
      </c>
      <c r="D97" s="22" t="n">
        <v>45808</v>
      </c>
      <c r="E97" s="22" t="n">
        <v>45853</v>
      </c>
      <c r="F97" s="9" t="n">
        <v>2084.15</v>
      </c>
      <c r="G97" s="23" t="n">
        <v>45853</v>
      </c>
      <c r="H97" s="24" t="inlineStr">
        <is>
          <t>Low</t>
        </is>
      </c>
      <c r="I97" s="24" t="inlineStr">
        <is>
          <t>Awaiting project-accountant follow-up</t>
        </is>
      </c>
      <c r="J97" s="8">
        <f>IFERROR(MATCH(G97,'13W Cash Forecast'!$B$4:$N$4,1),1)</f>
        <v/>
      </c>
    </row>
    <row r="98">
      <c r="A98" s="8" t="inlineStr">
        <is>
          <t>PAYAPP-ARM-2318-202506</t>
        </is>
      </c>
      <c r="B98" s="8" t="inlineStr">
        <is>
          <t>ARM-2318</t>
        </is>
      </c>
      <c r="C98" s="8" t="inlineStr">
        <is>
          <t>Columbia Biologics, Inc.</t>
        </is>
      </c>
      <c r="D98" s="22" t="n">
        <v>45838</v>
      </c>
      <c r="E98" s="22" t="n">
        <v>45868</v>
      </c>
      <c r="F98" s="9" t="n">
        <v>20087.69</v>
      </c>
      <c r="G98" s="23" t="n">
        <v>45868</v>
      </c>
      <c r="H98" s="24" t="inlineStr">
        <is>
          <t>Medium</t>
        </is>
      </c>
      <c r="I98" s="24" t="inlineStr">
        <is>
          <t>Contractual due date pending refreshed collection call</t>
        </is>
      </c>
      <c r="J98" s="8">
        <f>IFERROR(MATCH(G98,'13W Cash Forecast'!$B$4:$N$4,1),1)</f>
        <v/>
      </c>
    </row>
    <row r="99">
      <c r="A99" s="8" t="inlineStr">
        <is>
          <t>PAYAPP-ARM-2409-202506</t>
        </is>
      </c>
      <c r="B99" s="8" t="inlineStr">
        <is>
          <t>ARM-2409</t>
        </is>
      </c>
      <c r="C99" s="8" t="inlineStr">
        <is>
          <t>Northline Cold Storage Holdings</t>
        </is>
      </c>
      <c r="D99" s="22" t="n">
        <v>45838</v>
      </c>
      <c r="E99" s="22" t="n">
        <v>45868</v>
      </c>
      <c r="F99" s="9" t="n">
        <v>8078.54</v>
      </c>
      <c r="G99" s="23" t="n">
        <v>45868</v>
      </c>
      <c r="H99" s="24" t="inlineStr">
        <is>
          <t>Medium</t>
        </is>
      </c>
      <c r="I99" s="24" t="inlineStr">
        <is>
          <t>Contractual due date pending refreshed collection call</t>
        </is>
      </c>
      <c r="J99" s="8">
        <f>IFERROR(MATCH(G99,'13W Cash Forecast'!$B$4:$N$4,1),1)</f>
        <v/>
      </c>
    </row>
    <row r="100">
      <c r="A100" s="8" t="inlineStr">
        <is>
          <t>PAYAPP-ARM-2421-202506</t>
        </is>
      </c>
      <c r="B100" s="8" t="inlineStr">
        <is>
          <t>ARM-2421</t>
        </is>
      </c>
      <c r="C100" s="8" t="inlineStr">
        <is>
          <t>Juniper Hospitality Partners</t>
        </is>
      </c>
      <c r="D100" s="22" t="n">
        <v>45838</v>
      </c>
      <c r="E100" s="22" t="n">
        <v>45868</v>
      </c>
      <c r="F100" s="9" t="n">
        <v>6984.01</v>
      </c>
      <c r="G100" s="23" t="n">
        <v>45868</v>
      </c>
      <c r="H100" s="24" t="inlineStr">
        <is>
          <t>Medium</t>
        </is>
      </c>
      <c r="I100" s="24" t="inlineStr">
        <is>
          <t>Contractual due date pending refreshed collection call</t>
        </is>
      </c>
      <c r="J100" s="8">
        <f>IFERROR(MATCH(G100,'13W Cash Forecast'!$B$4:$N$4,1),1)</f>
        <v/>
      </c>
    </row>
    <row r="101">
      <c r="A101" s="8" t="inlineStr">
        <is>
          <t>PAYAPP-ARM-2506-202506</t>
        </is>
      </c>
      <c r="B101" s="8" t="inlineStr">
        <is>
          <t>ARM-2506</t>
        </is>
      </c>
      <c r="C101" s="8" t="inlineStr">
        <is>
          <t>Eastbank Data Infrastructure, LP</t>
        </is>
      </c>
      <c r="D101" s="22" t="n">
        <v>45838</v>
      </c>
      <c r="E101" s="22" t="n">
        <v>45868</v>
      </c>
      <c r="F101" s="9" t="n">
        <v>16705.25</v>
      </c>
      <c r="G101" s="23" t="n">
        <v>45868</v>
      </c>
      <c r="H101" s="24" t="inlineStr">
        <is>
          <t>Medium</t>
        </is>
      </c>
      <c r="I101" s="24" t="inlineStr">
        <is>
          <t>Contractual due date pending refreshed collection call</t>
        </is>
      </c>
      <c r="J101" s="8">
        <f>IFERROR(MATCH(G101,'13W Cash Forecast'!$B$4:$N$4,1),1)</f>
        <v/>
      </c>
    </row>
    <row r="102">
      <c r="A102" s="8" t="inlineStr">
        <is>
          <t>PAYAPP-ARM-2510-202506</t>
        </is>
      </c>
      <c r="B102" s="8" t="inlineStr">
        <is>
          <t>ARM-2510</t>
        </is>
      </c>
      <c r="C102" s="8" t="inlineStr">
        <is>
          <t>Hawthorne Urban Development, LLC</t>
        </is>
      </c>
      <c r="D102" s="22" t="n">
        <v>45838</v>
      </c>
      <c r="E102" s="22" t="n">
        <v>45868</v>
      </c>
      <c r="F102" s="9" t="n">
        <v>10198.37</v>
      </c>
      <c r="G102" s="23" t="n">
        <v>45868</v>
      </c>
      <c r="H102" s="24" t="inlineStr">
        <is>
          <t>Medium</t>
        </is>
      </c>
      <c r="I102" s="24" t="inlineStr">
        <is>
          <t>Contractual due date pending refreshed collection call</t>
        </is>
      </c>
      <c r="J102" s="8">
        <f>IFERROR(MATCH(G102,'13W Cash Forecast'!$B$4:$N$4,1),1)</f>
        <v/>
      </c>
    </row>
    <row r="103">
      <c r="A103" s="8" t="inlineStr">
        <is>
          <t>PAYAPP-ARM-2403-202506</t>
        </is>
      </c>
      <c r="B103" s="8" t="inlineStr">
        <is>
          <t>ARM-2403</t>
        </is>
      </c>
      <c r="C103" s="8" t="inlineStr">
        <is>
          <t>City of Riverton Facilities Bureau</t>
        </is>
      </c>
      <c r="D103" s="22" t="n">
        <v>45838</v>
      </c>
      <c r="E103" s="22" t="n">
        <v>45883</v>
      </c>
      <c r="F103" s="9" t="n">
        <v>8462.790000000001</v>
      </c>
      <c r="G103" s="23" t="n">
        <v>45883</v>
      </c>
      <c r="H103" s="24" t="inlineStr">
        <is>
          <t>Medium</t>
        </is>
      </c>
      <c r="I103" s="24" t="inlineStr">
        <is>
          <t>Contractual due date pending refreshed collection call</t>
        </is>
      </c>
      <c r="J103" s="8">
        <f>IFERROR(MATCH(G103,'13W Cash Forecast'!$B$4:$N$4,1),1)</f>
        <v/>
      </c>
    </row>
    <row r="104">
      <c r="A104" s="8" t="inlineStr">
        <is>
          <t>PAYAPP-ARM-2412-202506</t>
        </is>
      </c>
      <c r="B104" s="8" t="inlineStr">
        <is>
          <t>ARM-2412</t>
        </is>
      </c>
      <c r="C104" s="8" t="inlineStr">
        <is>
          <t>Oregon State University - Capital Planning</t>
        </is>
      </c>
      <c r="D104" s="22" t="n">
        <v>45838</v>
      </c>
      <c r="E104" s="22" t="n">
        <v>45883</v>
      </c>
      <c r="F104" s="9" t="n">
        <v>7523.7</v>
      </c>
      <c r="G104" s="23" t="n">
        <v>45883</v>
      </c>
      <c r="H104" s="24" t="inlineStr">
        <is>
          <t>Low</t>
        </is>
      </c>
      <c r="I104" s="24" t="inlineStr">
        <is>
          <t>Awaiting project-accountant follow-up</t>
        </is>
      </c>
      <c r="J104" s="8">
        <f>IFERROR(MATCH(G104,'13W Cash Forecast'!$B$4:$N$4,1),1)</f>
        <v/>
      </c>
    </row>
    <row r="105">
      <c r="A105" s="8" t="inlineStr">
        <is>
          <t>PAYAPP-ARM-2417-202506</t>
        </is>
      </c>
      <c r="B105" s="8" t="inlineStr">
        <is>
          <t>ARM-2417</t>
        </is>
      </c>
      <c r="C105" s="8" t="inlineStr">
        <is>
          <t>Cascade Health Properties, LLC</t>
        </is>
      </c>
      <c r="D105" s="22" t="n">
        <v>45838</v>
      </c>
      <c r="E105" s="22" t="n">
        <v>45883</v>
      </c>
      <c r="F105" s="9" t="n">
        <v>24403.88</v>
      </c>
      <c r="G105" s="23" t="n">
        <v>45883</v>
      </c>
      <c r="H105" s="24" t="inlineStr">
        <is>
          <t>Medium</t>
        </is>
      </c>
      <c r="I105" s="24" t="inlineStr">
        <is>
          <t>Contractual due date pending refreshed collection call</t>
        </is>
      </c>
      <c r="J105" s="8">
        <f>IFERROR(MATCH(G105,'13W Cash Forecast'!$B$4:$N$4,1),1)</f>
        <v/>
      </c>
    </row>
    <row r="106">
      <c r="A106" s="8" t="inlineStr">
        <is>
          <t>PAYAPP-ARM-2501-202506</t>
        </is>
      </c>
      <c r="B106" s="8" t="inlineStr">
        <is>
          <t>ARM-2501</t>
        </is>
      </c>
      <c r="C106" s="8" t="inlineStr">
        <is>
          <t>Port of Portland Aviation</t>
        </is>
      </c>
      <c r="D106" s="22" t="n">
        <v>45838</v>
      </c>
      <c r="E106" s="22" t="n">
        <v>45883</v>
      </c>
      <c r="F106" s="9" t="n">
        <v>4500.56</v>
      </c>
      <c r="G106" s="23" t="n">
        <v>45883</v>
      </c>
      <c r="H106" s="24" t="inlineStr">
        <is>
          <t>Medium</t>
        </is>
      </c>
      <c r="I106" s="24" t="inlineStr">
        <is>
          <t>Contractual due date pending refreshed collection call</t>
        </is>
      </c>
      <c r="J106" s="8">
        <f>IFERROR(MATCH(G106,'13W Cash Forecast'!$B$4:$N$4,1),1)</f>
        <v/>
      </c>
    </row>
    <row r="107">
      <c r="A107" s="8" t="inlineStr">
        <is>
          <t>PAYAPP-ARM-2514-202506</t>
        </is>
      </c>
      <c r="B107" s="8" t="inlineStr">
        <is>
          <t>ARM-2514</t>
        </is>
      </c>
      <c r="C107" s="8" t="inlineStr">
        <is>
          <t>Redmond Unified School District</t>
        </is>
      </c>
      <c r="D107" s="22" t="n">
        <v>45838</v>
      </c>
      <c r="E107" s="22" t="n">
        <v>45883</v>
      </c>
      <c r="F107" s="9" t="n">
        <v>4373.39</v>
      </c>
      <c r="G107" s="23" t="n">
        <v>45883</v>
      </c>
      <c r="H107" s="24" t="inlineStr">
        <is>
          <t>Medium</t>
        </is>
      </c>
      <c r="I107" s="24" t="inlineStr">
        <is>
          <t>Contractual due date pending refreshed collection call</t>
        </is>
      </c>
      <c r="J107" s="8">
        <f>IFERROR(MATCH(G107,'13W Cash Forecast'!$B$4:$N$4,1),1)</f>
        <v/>
      </c>
    </row>
    <row r="108">
      <c r="A108" s="8" t="inlineStr">
        <is>
          <t>PAYAPP-ARM-2318-202507</t>
        </is>
      </c>
      <c r="B108" s="8" t="inlineStr">
        <is>
          <t>ARM-2318</t>
        </is>
      </c>
      <c r="C108" s="8" t="inlineStr">
        <is>
          <t>Columbia Biologics, Inc.</t>
        </is>
      </c>
      <c r="D108" s="22" t="n">
        <v>45869</v>
      </c>
      <c r="E108" s="22" t="n">
        <v>45899</v>
      </c>
      <c r="F108" s="9" t="n">
        <v>17029.93</v>
      </c>
      <c r="G108" s="23" t="n">
        <v>45899</v>
      </c>
      <c r="H108" s="24" t="inlineStr">
        <is>
          <t>Medium</t>
        </is>
      </c>
      <c r="I108" s="24" t="inlineStr">
        <is>
          <t>Contractual due date pending refreshed collection call</t>
        </is>
      </c>
      <c r="J108" s="8">
        <f>IFERROR(MATCH(G108,'13W Cash Forecast'!$B$4:$N$4,1),1)</f>
        <v/>
      </c>
    </row>
    <row r="109">
      <c r="A109" s="8" t="inlineStr">
        <is>
          <t>PAYAPP-ARM-2409-202507</t>
        </is>
      </c>
      <c r="B109" s="8" t="inlineStr">
        <is>
          <t>ARM-2409</t>
        </is>
      </c>
      <c r="C109" s="8" t="inlineStr">
        <is>
          <t>Northline Cold Storage Holdings</t>
        </is>
      </c>
      <c r="D109" s="22" t="n">
        <v>45869</v>
      </c>
      <c r="E109" s="22" t="n">
        <v>45899</v>
      </c>
      <c r="F109" s="9" t="n">
        <v>7315.06</v>
      </c>
      <c r="G109" s="23" t="n">
        <v>45899</v>
      </c>
      <c r="H109" s="24" t="inlineStr">
        <is>
          <t>Medium</t>
        </is>
      </c>
      <c r="I109" s="24" t="inlineStr">
        <is>
          <t>Contractual due date pending refreshed collection call</t>
        </is>
      </c>
      <c r="J109" s="8">
        <f>IFERROR(MATCH(G109,'13W Cash Forecast'!$B$4:$N$4,1),1)</f>
        <v/>
      </c>
    </row>
    <row r="110">
      <c r="A110" s="8" t="inlineStr">
        <is>
          <t>PAYAPP-ARM-2421-202507</t>
        </is>
      </c>
      <c r="B110" s="8" t="inlineStr">
        <is>
          <t>ARM-2421</t>
        </is>
      </c>
      <c r="C110" s="8" t="inlineStr">
        <is>
          <t>Juniper Hospitality Partners</t>
        </is>
      </c>
      <c r="D110" s="22" t="n">
        <v>45869</v>
      </c>
      <c r="E110" s="22" t="n">
        <v>45899</v>
      </c>
      <c r="F110" s="9" t="n">
        <v>6443.42</v>
      </c>
      <c r="G110" s="23" t="n">
        <v>45899</v>
      </c>
      <c r="H110" s="24" t="inlineStr">
        <is>
          <t>Medium</t>
        </is>
      </c>
      <c r="I110" s="24" t="inlineStr">
        <is>
          <t>Contractual due date pending refreshed collection call</t>
        </is>
      </c>
      <c r="J110" s="8">
        <f>IFERROR(MATCH(G110,'13W Cash Forecast'!$B$4:$N$4,1),1)</f>
        <v/>
      </c>
    </row>
    <row r="111">
      <c r="A111" s="8" t="inlineStr">
        <is>
          <t>PAYAPP-ARM-2506-202507</t>
        </is>
      </c>
      <c r="B111" s="8" t="inlineStr">
        <is>
          <t>ARM-2506</t>
        </is>
      </c>
      <c r="C111" s="8" t="inlineStr">
        <is>
          <t>Eastbank Data Infrastructure, LP</t>
        </is>
      </c>
      <c r="D111" s="22" t="n">
        <v>45869</v>
      </c>
      <c r="E111" s="22" t="n">
        <v>45899</v>
      </c>
      <c r="F111" s="9" t="n">
        <v>20746.53</v>
      </c>
      <c r="G111" s="23" t="n">
        <v>45899</v>
      </c>
      <c r="H111" s="24" t="inlineStr">
        <is>
          <t>Low</t>
        </is>
      </c>
      <c r="I111" s="24" t="inlineStr">
        <is>
          <t>Awaiting project-accountant follow-up</t>
        </is>
      </c>
      <c r="J111" s="8">
        <f>IFERROR(MATCH(G111,'13W Cash Forecast'!$B$4:$N$4,1),1)</f>
        <v/>
      </c>
    </row>
    <row r="112">
      <c r="A112" s="8" t="inlineStr">
        <is>
          <t>PAYAPP-ARM-2510-202507</t>
        </is>
      </c>
      <c r="B112" s="8" t="inlineStr">
        <is>
          <t>ARM-2510</t>
        </is>
      </c>
      <c r="C112" s="8" t="inlineStr">
        <is>
          <t>Hawthorne Urban Development, LLC</t>
        </is>
      </c>
      <c r="D112" s="22" t="n">
        <v>45869</v>
      </c>
      <c r="E112" s="22" t="n">
        <v>45899</v>
      </c>
      <c r="F112" s="9" t="n">
        <v>11853.37</v>
      </c>
      <c r="G112" s="23" t="n">
        <v>45899</v>
      </c>
      <c r="H112" s="24" t="inlineStr">
        <is>
          <t>Medium</t>
        </is>
      </c>
      <c r="I112" s="24" t="inlineStr">
        <is>
          <t>Contractual due date pending refreshed collection call</t>
        </is>
      </c>
      <c r="J112" s="8">
        <f>IFERROR(MATCH(G112,'13W Cash Forecast'!$B$4:$N$4,1),1)</f>
        <v/>
      </c>
    </row>
    <row r="113">
      <c r="A113" s="8" t="inlineStr">
        <is>
          <t>PAYAPP-ARM-2403-202507</t>
        </is>
      </c>
      <c r="B113" s="8" t="inlineStr">
        <is>
          <t>ARM-2403</t>
        </is>
      </c>
      <c r="C113" s="8" t="inlineStr">
        <is>
          <t>City of Riverton Facilities Bureau</t>
        </is>
      </c>
      <c r="D113" s="22" t="n">
        <v>45869</v>
      </c>
      <c r="E113" s="22" t="n">
        <v>45914</v>
      </c>
      <c r="F113" s="9" t="n">
        <v>9097.790000000001</v>
      </c>
      <c r="G113" s="23" t="n">
        <v>45914</v>
      </c>
      <c r="H113" s="24" t="inlineStr">
        <is>
          <t>Medium</t>
        </is>
      </c>
      <c r="I113" s="24" t="inlineStr">
        <is>
          <t>Contractual due date pending refreshed collection call</t>
        </is>
      </c>
      <c r="J113" s="8">
        <f>IFERROR(MATCH(G113,'13W Cash Forecast'!$B$4:$N$4,1),1)</f>
        <v/>
      </c>
    </row>
    <row r="114">
      <c r="A114" s="8" t="inlineStr">
        <is>
          <t>PAYAPP-ARM-2412-202507</t>
        </is>
      </c>
      <c r="B114" s="8" t="inlineStr">
        <is>
          <t>ARM-2412</t>
        </is>
      </c>
      <c r="C114" s="8" t="inlineStr">
        <is>
          <t>Oregon State University - Capital Planning</t>
        </is>
      </c>
      <c r="D114" s="22" t="n">
        <v>45869</v>
      </c>
      <c r="E114" s="22" t="n">
        <v>45914</v>
      </c>
      <c r="F114" s="9" t="n">
        <v>8216.969999999999</v>
      </c>
      <c r="G114" s="23" t="n">
        <v>45914</v>
      </c>
      <c r="H114" s="24" t="inlineStr">
        <is>
          <t>Medium</t>
        </is>
      </c>
      <c r="I114" s="24" t="inlineStr">
        <is>
          <t>Contractual due date pending refreshed collection call</t>
        </is>
      </c>
      <c r="J114" s="8">
        <f>IFERROR(MATCH(G114,'13W Cash Forecast'!$B$4:$N$4,1),1)</f>
        <v/>
      </c>
    </row>
    <row r="115">
      <c r="A115" s="8" t="inlineStr">
        <is>
          <t>PAYAPP-ARM-2417-202507</t>
        </is>
      </c>
      <c r="B115" s="8" t="inlineStr">
        <is>
          <t>ARM-2417</t>
        </is>
      </c>
      <c r="C115" s="8" t="inlineStr">
        <is>
          <t>Cascade Health Properties, LLC</t>
        </is>
      </c>
      <c r="D115" s="22" t="n">
        <v>45869</v>
      </c>
      <c r="E115" s="22" t="n">
        <v>45914</v>
      </c>
      <c r="F115" s="9" t="n">
        <v>26748.94</v>
      </c>
      <c r="G115" s="23" t="n">
        <v>45914</v>
      </c>
      <c r="H115" s="24" t="inlineStr">
        <is>
          <t>Medium</t>
        </is>
      </c>
      <c r="I115" s="24" t="inlineStr">
        <is>
          <t>Contractual due date pending refreshed collection call</t>
        </is>
      </c>
      <c r="J115" s="8">
        <f>IFERROR(MATCH(G115,'13W Cash Forecast'!$B$4:$N$4,1),1)</f>
        <v/>
      </c>
    </row>
    <row r="116">
      <c r="A116" s="8" t="inlineStr">
        <is>
          <t>PAYAPP-ARM-2501-202507</t>
        </is>
      </c>
      <c r="B116" s="8" t="inlineStr">
        <is>
          <t>ARM-2501</t>
        </is>
      </c>
      <c r="C116" s="8" t="inlineStr">
        <is>
          <t>Port of Portland Aviation</t>
        </is>
      </c>
      <c r="D116" s="22" t="n">
        <v>45869</v>
      </c>
      <c r="E116" s="22" t="n">
        <v>45914</v>
      </c>
      <c r="F116" s="9" t="n">
        <v>4825.24</v>
      </c>
      <c r="G116" s="23" t="n">
        <v>45914</v>
      </c>
      <c r="H116" s="24" t="inlineStr">
        <is>
          <t>Medium</t>
        </is>
      </c>
      <c r="I116" s="24" t="inlineStr">
        <is>
          <t>Contractual due date pending refreshed collection call</t>
        </is>
      </c>
      <c r="J116" s="8">
        <f>IFERROR(MATCH(G116,'13W Cash Forecast'!$B$4:$N$4,1),1)</f>
        <v/>
      </c>
    </row>
    <row r="117">
      <c r="A117" s="8" t="inlineStr">
        <is>
          <t>PAYAPP-ARM-2514-202507</t>
        </is>
      </c>
      <c r="B117" s="8" t="inlineStr">
        <is>
          <t>ARM-2514</t>
        </is>
      </c>
      <c r="C117" s="8" t="inlineStr">
        <is>
          <t>Redmond Unified School District</t>
        </is>
      </c>
      <c r="D117" s="22" t="n">
        <v>45869</v>
      </c>
      <c r="E117" s="22" t="n">
        <v>45914</v>
      </c>
      <c r="F117" s="9" t="n">
        <v>7342.3</v>
      </c>
      <c r="G117" s="23" t="n">
        <v>45914</v>
      </c>
      <c r="H117" s="24" t="inlineStr">
        <is>
          <t>Medium</t>
        </is>
      </c>
      <c r="I117" s="24" t="inlineStr">
        <is>
          <t>Contractual due date pending refreshed collection call</t>
        </is>
      </c>
      <c r="J117" s="8">
        <f>IFERROR(MATCH(G117,'13W Cash Forecast'!$B$4:$N$4,1),1)</f>
        <v/>
      </c>
    </row>
    <row r="118">
      <c r="A118" s="8" t="inlineStr">
        <is>
          <t>PAYAPP-ARM-2518-202507</t>
        </is>
      </c>
      <c r="B118" s="8" t="inlineStr">
        <is>
          <t>ARM-2518</t>
        </is>
      </c>
      <c r="C118" s="8" t="inlineStr">
        <is>
          <t>Deschutes County Public Works</t>
        </is>
      </c>
      <c r="D118" s="22" t="n">
        <v>45869</v>
      </c>
      <c r="E118" s="22" t="n">
        <v>45914</v>
      </c>
      <c r="F118" s="9" t="n">
        <v>655.17</v>
      </c>
      <c r="G118" s="23" t="n">
        <v>45914</v>
      </c>
      <c r="H118" s="24" t="inlineStr">
        <is>
          <t>Low</t>
        </is>
      </c>
      <c r="I118" s="24" t="inlineStr">
        <is>
          <t>Awaiting project-accountant follow-up</t>
        </is>
      </c>
      <c r="J118" s="8">
        <f>IFERROR(MATCH(G118,'13W Cash Forecast'!$B$4:$N$4,1),1)</f>
        <v/>
      </c>
    </row>
    <row r="119">
      <c r="A119" s="8" t="inlineStr">
        <is>
          <t>PAYAPP-ARM-2318-202508</t>
        </is>
      </c>
      <c r="B119" s="8" t="inlineStr">
        <is>
          <t>ARM-2318</t>
        </is>
      </c>
      <c r="C119" s="8" t="inlineStr">
        <is>
          <t>Columbia Biologics, Inc.</t>
        </is>
      </c>
      <c r="D119" s="22" t="n">
        <v>45900</v>
      </c>
      <c r="E119" s="22" t="n">
        <v>45930</v>
      </c>
      <c r="F119" s="9" t="n">
        <v>15252.88</v>
      </c>
      <c r="G119" s="23" t="n">
        <v>45930</v>
      </c>
      <c r="H119" s="24" t="inlineStr">
        <is>
          <t>Medium</t>
        </is>
      </c>
      <c r="I119" s="24" t="inlineStr">
        <is>
          <t>Contractual due date pending refreshed collection call</t>
        </is>
      </c>
      <c r="J119" s="8">
        <f>IFERROR(MATCH(G119,'13W Cash Forecast'!$B$4:$N$4,1),1)</f>
        <v/>
      </c>
    </row>
    <row r="120">
      <c r="A120" s="8" t="inlineStr">
        <is>
          <t>PAYAPP-ARM-2409-202508</t>
        </is>
      </c>
      <c r="B120" s="8" t="inlineStr">
        <is>
          <t>ARM-2409</t>
        </is>
      </c>
      <c r="C120" s="8" t="inlineStr">
        <is>
          <t>Northline Cold Storage Holdings</t>
        </is>
      </c>
      <c r="D120" s="22" t="n">
        <v>45900</v>
      </c>
      <c r="E120" s="22" t="n">
        <v>45930</v>
      </c>
      <c r="F120" s="9" t="n">
        <v>7434.49</v>
      </c>
      <c r="G120" s="23" t="n">
        <v>45930</v>
      </c>
      <c r="H120" s="24" t="inlineStr">
        <is>
          <t>Medium</t>
        </is>
      </c>
      <c r="I120" s="24" t="inlineStr">
        <is>
          <t>Contractual due date pending refreshed collection call</t>
        </is>
      </c>
      <c r="J120" s="8">
        <f>IFERROR(MATCH(G120,'13W Cash Forecast'!$B$4:$N$4,1),1)</f>
        <v/>
      </c>
    </row>
    <row r="121">
      <c r="A121" s="8" t="inlineStr">
        <is>
          <t>PAYAPP-ARM-2421-202508</t>
        </is>
      </c>
      <c r="B121" s="8" t="inlineStr">
        <is>
          <t>ARM-2421</t>
        </is>
      </c>
      <c r="C121" s="8" t="inlineStr">
        <is>
          <t>Juniper Hospitality Partners</t>
        </is>
      </c>
      <c r="D121" s="22" t="n">
        <v>45900</v>
      </c>
      <c r="E121" s="22" t="n">
        <v>45930</v>
      </c>
      <c r="F121" s="9" t="n">
        <v>6674.48</v>
      </c>
      <c r="G121" s="23" t="n">
        <v>45930</v>
      </c>
      <c r="H121" s="24" t="inlineStr">
        <is>
          <t>Medium</t>
        </is>
      </c>
      <c r="I121" s="24" t="inlineStr">
        <is>
          <t>Contractual due date pending refreshed collection call</t>
        </is>
      </c>
      <c r="J121" s="8">
        <f>IFERROR(MATCH(G121,'13W Cash Forecast'!$B$4:$N$4,1),1)</f>
        <v/>
      </c>
    </row>
    <row r="122">
      <c r="A122" s="8" t="inlineStr">
        <is>
          <t>PAYAPP-ARM-2506-202508</t>
        </is>
      </c>
      <c r="B122" s="8" t="inlineStr">
        <is>
          <t>ARM-2506</t>
        </is>
      </c>
      <c r="C122" s="8" t="inlineStr">
        <is>
          <t>Eastbank Data Infrastructure, LP</t>
        </is>
      </c>
      <c r="D122" s="22" t="n">
        <v>45900</v>
      </c>
      <c r="E122" s="22" t="n">
        <v>45930</v>
      </c>
      <c r="F122" s="9" t="n">
        <v>21889.2</v>
      </c>
      <c r="G122" s="23" t="n">
        <v>45930</v>
      </c>
      <c r="H122" s="24" t="inlineStr">
        <is>
          <t>Medium</t>
        </is>
      </c>
      <c r="I122" s="24" t="inlineStr">
        <is>
          <t>Contractual due date pending refreshed collection call</t>
        </is>
      </c>
      <c r="J122" s="8">
        <f>IFERROR(MATCH(G122,'13W Cash Forecast'!$B$4:$N$4,1),1)</f>
        <v/>
      </c>
    </row>
    <row r="123">
      <c r="A123" s="8" t="inlineStr">
        <is>
          <t>PAYAPP-ARM-2510-202508</t>
        </is>
      </c>
      <c r="B123" s="8" t="inlineStr">
        <is>
          <t>ARM-2510</t>
        </is>
      </c>
      <c r="C123" s="8" t="inlineStr">
        <is>
          <t>Hawthorne Urban Development, LLC</t>
        </is>
      </c>
      <c r="D123" s="22" t="n">
        <v>45900</v>
      </c>
      <c r="E123" s="22" t="n">
        <v>45930</v>
      </c>
      <c r="F123" s="9" t="n">
        <v>14614.88</v>
      </c>
      <c r="G123" s="23" t="n">
        <v>45930</v>
      </c>
      <c r="H123" s="24" t="inlineStr">
        <is>
          <t>Medium</t>
        </is>
      </c>
      <c r="I123" s="24" t="inlineStr">
        <is>
          <t>Contractual due date pending refreshed collection call</t>
        </is>
      </c>
      <c r="J123" s="8">
        <f>IFERROR(MATCH(G123,'13W Cash Forecast'!$B$4:$N$4,1),1)</f>
        <v/>
      </c>
    </row>
    <row r="124">
      <c r="A124" s="8" t="inlineStr">
        <is>
          <t>PAYAPP-ARM-2522-202508</t>
        </is>
      </c>
      <c r="B124" s="8" t="inlineStr">
        <is>
          <t>ARM-2522</t>
        </is>
      </c>
      <c r="C124" s="8" t="inlineStr">
        <is>
          <t>Summit Surgical Properties</t>
        </is>
      </c>
      <c r="D124" s="22" t="n">
        <v>45900</v>
      </c>
      <c r="E124" s="22" t="n">
        <v>45930</v>
      </c>
      <c r="F124" s="9" t="n">
        <v>1633.39</v>
      </c>
      <c r="G124" s="23" t="n">
        <v>45930</v>
      </c>
      <c r="H124" s="24" t="inlineStr">
        <is>
          <t>Medium</t>
        </is>
      </c>
      <c r="I124" s="24" t="inlineStr">
        <is>
          <t>Contractual due date pending refreshed collection call</t>
        </is>
      </c>
      <c r="J124" s="8">
        <f>IFERROR(MATCH(G124,'13W Cash Forecast'!$B$4:$N$4,1),1)</f>
        <v/>
      </c>
    </row>
    <row r="125">
      <c r="A125" s="8" t="inlineStr">
        <is>
          <t>PAYAPP-ARM-2403-202508</t>
        </is>
      </c>
      <c r="B125" s="8" t="inlineStr">
        <is>
          <t>ARM-2403</t>
        </is>
      </c>
      <c r="C125" s="8" t="inlineStr">
        <is>
          <t>City of Riverton Facilities Bureau</t>
        </is>
      </c>
      <c r="D125" s="22" t="n">
        <v>45900</v>
      </c>
      <c r="E125" s="22" t="n">
        <v>45945</v>
      </c>
      <c r="F125" s="9" t="n">
        <v>7950.9</v>
      </c>
      <c r="G125" s="23" t="n">
        <v>45945</v>
      </c>
      <c r="H125" s="24" t="inlineStr">
        <is>
          <t>Low</t>
        </is>
      </c>
      <c r="I125" s="24" t="inlineStr">
        <is>
          <t>Awaiting project-accountant follow-up</t>
        </is>
      </c>
      <c r="J125" s="8">
        <f>IFERROR(MATCH(G125,'13W Cash Forecast'!$B$4:$N$4,1),1)</f>
        <v/>
      </c>
    </row>
    <row r="126">
      <c r="A126" s="8" t="inlineStr">
        <is>
          <t>PAYAPP-ARM-2412-202508</t>
        </is>
      </c>
      <c r="B126" s="8" t="inlineStr">
        <is>
          <t>ARM-2412</t>
        </is>
      </c>
      <c r="C126" s="8" t="inlineStr">
        <is>
          <t>Oregon State University - Capital Planning</t>
        </is>
      </c>
      <c r="D126" s="22" t="n">
        <v>45900</v>
      </c>
      <c r="E126" s="22" t="n">
        <v>45945</v>
      </c>
      <c r="F126" s="9" t="n">
        <v>7633.68</v>
      </c>
      <c r="G126" s="23" t="n">
        <v>45945</v>
      </c>
      <c r="H126" s="24" t="inlineStr">
        <is>
          <t>Medium</t>
        </is>
      </c>
      <c r="I126" s="24" t="inlineStr">
        <is>
          <t>Contractual due date pending refreshed collection call</t>
        </is>
      </c>
      <c r="J126" s="8">
        <f>IFERROR(MATCH(G126,'13W Cash Forecast'!$B$4:$N$4,1),1)</f>
        <v/>
      </c>
    </row>
    <row r="127">
      <c r="A127" s="8" t="inlineStr">
        <is>
          <t>PAYAPP-ARM-2417-202508</t>
        </is>
      </c>
      <c r="B127" s="8" t="inlineStr">
        <is>
          <t>ARM-2417</t>
        </is>
      </c>
      <c r="C127" s="8" t="inlineStr">
        <is>
          <t>Cascade Health Properties, LLC</t>
        </is>
      </c>
      <c r="D127" s="22" t="n">
        <v>45900</v>
      </c>
      <c r="E127" s="22" t="n">
        <v>45945</v>
      </c>
      <c r="F127" s="9" t="n">
        <v>24568.28</v>
      </c>
      <c r="G127" s="23" t="n">
        <v>45945</v>
      </c>
      <c r="H127" s="24" t="inlineStr">
        <is>
          <t>Medium</t>
        </is>
      </c>
      <c r="I127" s="24" t="inlineStr">
        <is>
          <t>Contractual due date pending refreshed collection call</t>
        </is>
      </c>
      <c r="J127" s="8">
        <f>IFERROR(MATCH(G127,'13W Cash Forecast'!$B$4:$N$4,1),1)</f>
        <v/>
      </c>
    </row>
    <row r="128">
      <c r="A128" s="8" t="inlineStr">
        <is>
          <t>PAYAPP-ARM-2501-202508</t>
        </is>
      </c>
      <c r="B128" s="8" t="inlineStr">
        <is>
          <t>ARM-2501</t>
        </is>
      </c>
      <c r="C128" s="8" t="inlineStr">
        <is>
          <t>Port of Portland Aviation</t>
        </is>
      </c>
      <c r="D128" s="22" t="n">
        <v>45900</v>
      </c>
      <c r="E128" s="22" t="n">
        <v>45945</v>
      </c>
      <c r="F128" s="9" t="n">
        <v>5593.67</v>
      </c>
      <c r="G128" s="23" t="n">
        <v>45945</v>
      </c>
      <c r="H128" s="24" t="inlineStr">
        <is>
          <t>Medium</t>
        </is>
      </c>
      <c r="I128" s="24" t="inlineStr">
        <is>
          <t>Contractual due date pending refreshed collection call</t>
        </is>
      </c>
      <c r="J128" s="8">
        <f>IFERROR(MATCH(G128,'13W Cash Forecast'!$B$4:$N$4,1),1)</f>
        <v/>
      </c>
    </row>
    <row r="129">
      <c r="A129" s="8" t="inlineStr">
        <is>
          <t>PAYAPP-ARM-2514-202508</t>
        </is>
      </c>
      <c r="B129" s="8" t="inlineStr">
        <is>
          <t>ARM-2514</t>
        </is>
      </c>
      <c r="C129" s="8" t="inlineStr">
        <is>
          <t>Redmond Unified School District</t>
        </is>
      </c>
      <c r="D129" s="22" t="n">
        <v>45900</v>
      </c>
      <c r="E129" s="22" t="n">
        <v>45945</v>
      </c>
      <c r="F129" s="9" t="n">
        <v>9383.77</v>
      </c>
      <c r="G129" s="23" t="n">
        <v>45945</v>
      </c>
      <c r="H129" s="24" t="inlineStr">
        <is>
          <t>Medium</t>
        </is>
      </c>
      <c r="I129" s="24" t="inlineStr">
        <is>
          <t>Contractual due date pending refreshed collection call</t>
        </is>
      </c>
      <c r="J129" s="8">
        <f>IFERROR(MATCH(G129,'13W Cash Forecast'!$B$4:$N$4,1),1)</f>
        <v/>
      </c>
    </row>
    <row r="130">
      <c r="A130" s="8" t="inlineStr">
        <is>
          <t>PAYAPP-ARM-2518-202508</t>
        </is>
      </c>
      <c r="B130" s="8" t="inlineStr">
        <is>
          <t>ARM-2518</t>
        </is>
      </c>
      <c r="C130" s="8" t="inlineStr">
        <is>
          <t>Deschutes County Public Works</t>
        </is>
      </c>
      <c r="D130" s="22" t="n">
        <v>45900</v>
      </c>
      <c r="E130" s="22" t="n">
        <v>45945</v>
      </c>
      <c r="F130" s="9" t="n">
        <v>1410.74</v>
      </c>
      <c r="G130" s="23" t="n">
        <v>45945</v>
      </c>
      <c r="H130" s="24" t="inlineStr">
        <is>
          <t>Medium</t>
        </is>
      </c>
      <c r="I130" s="24" t="inlineStr">
        <is>
          <t>Contractual due date pending refreshed collection call</t>
        </is>
      </c>
      <c r="J130" s="8">
        <f>IFERROR(MATCH(G130,'13W Cash Forecast'!$B$4:$N$4,1),1)</f>
        <v/>
      </c>
    </row>
    <row r="131">
      <c r="A131" s="8" t="inlineStr">
        <is>
          <t>PAYAPP-ARM-2318-202509</t>
        </is>
      </c>
      <c r="B131" s="8" t="inlineStr">
        <is>
          <t>ARM-2318</t>
        </is>
      </c>
      <c r="C131" s="8" t="inlineStr">
        <is>
          <t>Columbia Biologics, Inc.</t>
        </is>
      </c>
      <c r="D131" s="22" t="n">
        <v>45930</v>
      </c>
      <c r="E131" s="22" t="n">
        <v>45960</v>
      </c>
      <c r="F131" s="9" t="n">
        <v>14092.24</v>
      </c>
      <c r="G131" s="23" t="n">
        <v>45960</v>
      </c>
      <c r="H131" s="24" t="inlineStr">
        <is>
          <t>Medium</t>
        </is>
      </c>
      <c r="I131" s="24" t="inlineStr">
        <is>
          <t>Contractual due date pending refreshed collection call</t>
        </is>
      </c>
      <c r="J131" s="8">
        <f>IFERROR(MATCH(G131,'13W Cash Forecast'!$B$4:$N$4,1),1)</f>
        <v/>
      </c>
    </row>
    <row r="132">
      <c r="A132" s="8" t="inlineStr">
        <is>
          <t>PAYAPP-ARM-2409-202509</t>
        </is>
      </c>
      <c r="B132" s="8" t="inlineStr">
        <is>
          <t>ARM-2409</t>
        </is>
      </c>
      <c r="C132" s="8" t="inlineStr">
        <is>
          <t>Northline Cold Storage Holdings</t>
        </is>
      </c>
      <c r="D132" s="22" t="n">
        <v>45930</v>
      </c>
      <c r="E132" s="22" t="n">
        <v>45960</v>
      </c>
      <c r="F132" s="9" t="n">
        <v>6379.87</v>
      </c>
      <c r="G132" s="23" t="n">
        <v>45960</v>
      </c>
      <c r="H132" s="24" t="inlineStr">
        <is>
          <t>Low</t>
        </is>
      </c>
      <c r="I132" s="24" t="inlineStr">
        <is>
          <t>Awaiting project-accountant follow-up</t>
        </is>
      </c>
      <c r="J132" s="8">
        <f>IFERROR(MATCH(G132,'13W Cash Forecast'!$B$4:$N$4,1),1)</f>
        <v/>
      </c>
    </row>
    <row r="133">
      <c r="A133" s="8" t="inlineStr">
        <is>
          <t>PAYAPP-ARM-2421-202509</t>
        </is>
      </c>
      <c r="B133" s="8" t="inlineStr">
        <is>
          <t>ARM-2421</t>
        </is>
      </c>
      <c r="C133" s="8" t="inlineStr">
        <is>
          <t>Juniper Hospitality Partners</t>
        </is>
      </c>
      <c r="D133" s="22" t="n">
        <v>45930</v>
      </c>
      <c r="E133" s="22" t="n">
        <v>45960</v>
      </c>
      <c r="F133" s="9" t="n">
        <v>5751.83</v>
      </c>
      <c r="G133" s="23" t="n">
        <v>45960</v>
      </c>
      <c r="H133" s="24" t="inlineStr">
        <is>
          <t>Medium</t>
        </is>
      </c>
      <c r="I133" s="24" t="inlineStr">
        <is>
          <t>Contractual due date pending refreshed collection call</t>
        </is>
      </c>
      <c r="J133" s="8">
        <f>IFERROR(MATCH(G133,'13W Cash Forecast'!$B$4:$N$4,1),1)</f>
        <v/>
      </c>
    </row>
    <row r="134">
      <c r="A134" s="8" t="inlineStr">
        <is>
          <t>PAYAPP-ARM-2506-202509</t>
        </is>
      </c>
      <c r="B134" s="8" t="inlineStr">
        <is>
          <t>ARM-2506</t>
        </is>
      </c>
      <c r="C134" s="8" t="inlineStr">
        <is>
          <t>Eastbank Data Infrastructure, LP</t>
        </is>
      </c>
      <c r="D134" s="22" t="n">
        <v>45930</v>
      </c>
      <c r="E134" s="22" t="n">
        <v>45960</v>
      </c>
      <c r="F134" s="9" t="n">
        <v>24921.13</v>
      </c>
      <c r="G134" s="23" t="n">
        <v>45960</v>
      </c>
      <c r="H134" s="24" t="inlineStr">
        <is>
          <t>Medium</t>
        </is>
      </c>
      <c r="I134" s="24" t="inlineStr">
        <is>
          <t>Contractual due date pending refreshed collection call</t>
        </is>
      </c>
      <c r="J134" s="8">
        <f>IFERROR(MATCH(G134,'13W Cash Forecast'!$B$4:$N$4,1),1)</f>
        <v/>
      </c>
    </row>
    <row r="135">
      <c r="A135" s="8" t="inlineStr">
        <is>
          <t>PAYAPP-ARM-2510-202509</t>
        </is>
      </c>
      <c r="B135" s="8" t="inlineStr">
        <is>
          <t>ARM-2510</t>
        </is>
      </c>
      <c r="C135" s="8" t="inlineStr">
        <is>
          <t>Hawthorne Urban Development, LLC</t>
        </is>
      </c>
      <c r="D135" s="22" t="n">
        <v>45930</v>
      </c>
      <c r="E135" s="22" t="n">
        <v>45960</v>
      </c>
      <c r="F135" s="9" t="n">
        <v>15125.78</v>
      </c>
      <c r="G135" s="23" t="n">
        <v>45960</v>
      </c>
      <c r="H135" s="24" t="inlineStr">
        <is>
          <t>Medium</t>
        </is>
      </c>
      <c r="I135" s="24" t="inlineStr">
        <is>
          <t>Contractual due date pending refreshed collection call</t>
        </is>
      </c>
      <c r="J135" s="8">
        <f>IFERROR(MATCH(G135,'13W Cash Forecast'!$B$4:$N$4,1),1)</f>
        <v/>
      </c>
    </row>
    <row r="136">
      <c r="A136" s="8" t="inlineStr">
        <is>
          <t>PAYAPP-ARM-2522-202509</t>
        </is>
      </c>
      <c r="B136" s="8" t="inlineStr">
        <is>
          <t>ARM-2522</t>
        </is>
      </c>
      <c r="C136" s="8" t="inlineStr">
        <is>
          <t>Summit Surgical Properties</t>
        </is>
      </c>
      <c r="D136" s="22" t="n">
        <v>45930</v>
      </c>
      <c r="E136" s="22" t="n">
        <v>45960</v>
      </c>
      <c r="F136" s="9" t="n">
        <v>3556.83</v>
      </c>
      <c r="G136" s="23" t="n">
        <v>45960</v>
      </c>
      <c r="H136" s="24" t="inlineStr">
        <is>
          <t>Medium</t>
        </is>
      </c>
      <c r="I136" s="24" t="inlineStr">
        <is>
          <t>Contractual due date pending refreshed collection call</t>
        </is>
      </c>
      <c r="J136" s="8">
        <f>IFERROR(MATCH(G136,'13W Cash Forecast'!$B$4:$N$4,1),1)</f>
        <v/>
      </c>
    </row>
    <row r="137">
      <c r="A137" s="8" t="inlineStr">
        <is>
          <t>PAYAPP-ARM-2403-202509</t>
        </is>
      </c>
      <c r="B137" s="8" t="inlineStr">
        <is>
          <t>ARM-2403</t>
        </is>
      </c>
      <c r="C137" s="8" t="inlineStr">
        <is>
          <t>City of Riverton Facilities Bureau</t>
        </is>
      </c>
      <c r="D137" s="22" t="n">
        <v>45930</v>
      </c>
      <c r="E137" s="22" t="n">
        <v>45975</v>
      </c>
      <c r="F137" s="9" t="n">
        <v>6962.04</v>
      </c>
      <c r="G137" s="23" t="n">
        <v>45975</v>
      </c>
      <c r="H137" s="24" t="inlineStr">
        <is>
          <t>Medium</t>
        </is>
      </c>
      <c r="I137" s="24" t="inlineStr">
        <is>
          <t>Contractual due date pending refreshed collection call</t>
        </is>
      </c>
      <c r="J137" s="8">
        <f>IFERROR(MATCH(G137,'13W Cash Forecast'!$B$4:$N$4,1),1)</f>
        <v/>
      </c>
    </row>
    <row r="138">
      <c r="A138" s="8" t="inlineStr">
        <is>
          <t>PAYAPP-ARM-2412-202509</t>
        </is>
      </c>
      <c r="B138" s="8" t="inlineStr">
        <is>
          <t>ARM-2412</t>
        </is>
      </c>
      <c r="C138" s="8" t="inlineStr">
        <is>
          <t>Oregon State University - Capital Planning</t>
        </is>
      </c>
      <c r="D138" s="22" t="n">
        <v>45930</v>
      </c>
      <c r="E138" s="22" t="n">
        <v>45975</v>
      </c>
      <c r="F138" s="9" t="n">
        <v>6717.44</v>
      </c>
      <c r="G138" s="23" t="n">
        <v>45975</v>
      </c>
      <c r="H138" s="24" t="inlineStr">
        <is>
          <t>Medium</t>
        </is>
      </c>
      <c r="I138" s="24" t="inlineStr">
        <is>
          <t>Contractual due date pending refreshed collection call</t>
        </is>
      </c>
      <c r="J138" s="8">
        <f>IFERROR(MATCH(G138,'13W Cash Forecast'!$B$4:$N$4,1),1)</f>
        <v/>
      </c>
    </row>
    <row r="139">
      <c r="A139" s="8" t="inlineStr">
        <is>
          <t>PAYAPP-ARM-2417-202509</t>
        </is>
      </c>
      <c r="B139" s="8" t="inlineStr">
        <is>
          <t>ARM-2417</t>
        </is>
      </c>
      <c r="C139" s="8" t="inlineStr">
        <is>
          <t>Cascade Health Properties, LLC</t>
        </is>
      </c>
      <c r="D139" s="22" t="n">
        <v>45930</v>
      </c>
      <c r="E139" s="22" t="n">
        <v>45975</v>
      </c>
      <c r="F139" s="9" t="n">
        <v>26042.17</v>
      </c>
      <c r="G139" s="23" t="n">
        <v>45975</v>
      </c>
      <c r="H139" s="24" t="inlineStr">
        <is>
          <t>Low</t>
        </is>
      </c>
      <c r="I139" s="24" t="inlineStr">
        <is>
          <t>Awaiting project-accountant follow-up</t>
        </is>
      </c>
      <c r="J139" s="8">
        <f>IFERROR(MATCH(G139,'13W Cash Forecast'!$B$4:$N$4,1),1)</f>
        <v/>
      </c>
    </row>
    <row r="140">
      <c r="A140" s="8" t="inlineStr">
        <is>
          <t>PAYAPP-ARM-2501-202509</t>
        </is>
      </c>
      <c r="B140" s="8" t="inlineStr">
        <is>
          <t>ARM-2501</t>
        </is>
      </c>
      <c r="C140" s="8" t="inlineStr">
        <is>
          <t>Port of Portland Aviation</t>
        </is>
      </c>
      <c r="D140" s="22" t="n">
        <v>45930</v>
      </c>
      <c r="E140" s="22" t="n">
        <v>45975</v>
      </c>
      <c r="F140" s="9" t="n">
        <v>5624.39</v>
      </c>
      <c r="G140" s="23" t="n">
        <v>45975</v>
      </c>
      <c r="H140" s="24" t="inlineStr">
        <is>
          <t>Medium</t>
        </is>
      </c>
      <c r="I140" s="24" t="inlineStr">
        <is>
          <t>Contractual due date pending refreshed collection call</t>
        </is>
      </c>
      <c r="J140" s="8">
        <f>IFERROR(MATCH(G140,'13W Cash Forecast'!$B$4:$N$4,1),1)</f>
        <v/>
      </c>
    </row>
    <row r="141">
      <c r="A141" s="8" t="inlineStr">
        <is>
          <t>PAYAPP-ARM-2514-202509</t>
        </is>
      </c>
      <c r="B141" s="8" t="inlineStr">
        <is>
          <t>ARM-2514</t>
        </is>
      </c>
      <c r="C141" s="8" t="inlineStr">
        <is>
          <t>Redmond Unified School District</t>
        </is>
      </c>
      <c r="D141" s="22" t="n">
        <v>45930</v>
      </c>
      <c r="E141" s="22" t="n">
        <v>45975</v>
      </c>
      <c r="F141" s="9" t="n">
        <v>10577.44</v>
      </c>
      <c r="G141" s="23" t="n">
        <v>45975</v>
      </c>
      <c r="H141" s="24" t="inlineStr">
        <is>
          <t>Medium</t>
        </is>
      </c>
      <c r="I141" s="24" t="inlineStr">
        <is>
          <t>Contractual due date pending refreshed collection call</t>
        </is>
      </c>
      <c r="J141" s="8">
        <f>IFERROR(MATCH(G141,'13W Cash Forecast'!$B$4:$N$4,1),1)</f>
        <v/>
      </c>
    </row>
    <row r="142">
      <c r="A142" s="8" t="inlineStr">
        <is>
          <t>PAYAPP-ARM-2518-202509</t>
        </is>
      </c>
      <c r="B142" s="8" t="inlineStr">
        <is>
          <t>ARM-2518</t>
        </is>
      </c>
      <c r="C142" s="8" t="inlineStr">
        <is>
          <t>Deschutes County Public Works</t>
        </is>
      </c>
      <c r="D142" s="22" t="n">
        <v>45930</v>
      </c>
      <c r="E142" s="22" t="n">
        <v>45975</v>
      </c>
      <c r="F142" s="9" t="n">
        <v>2354.29</v>
      </c>
      <c r="G142" s="23" t="n">
        <v>45975</v>
      </c>
      <c r="H142" s="24" t="inlineStr">
        <is>
          <t>Medium</t>
        </is>
      </c>
      <c r="I142" s="24" t="inlineStr">
        <is>
          <t>Contractual due date pending refreshed collection call</t>
        </is>
      </c>
      <c r="J142" s="8">
        <f>IFERROR(MATCH(G142,'13W Cash Forecast'!$B$4:$N$4,1),1)</f>
        <v/>
      </c>
    </row>
    <row r="143">
      <c r="A143" s="8" t="inlineStr">
        <is>
          <t>PAYAPP-ARM-2318-202510</t>
        </is>
      </c>
      <c r="B143" s="8" t="inlineStr">
        <is>
          <t>ARM-2318</t>
        </is>
      </c>
      <c r="C143" s="8" t="inlineStr">
        <is>
          <t>Columbia Biologics, Inc.</t>
        </is>
      </c>
      <c r="D143" s="22" t="n">
        <v>45961</v>
      </c>
      <c r="E143" s="22" t="n">
        <v>45991</v>
      </c>
      <c r="F143" s="9" t="n">
        <v>11666.74</v>
      </c>
      <c r="G143" s="23" t="n">
        <v>45991</v>
      </c>
      <c r="H143" s="24" t="inlineStr">
        <is>
          <t>Medium</t>
        </is>
      </c>
      <c r="I143" s="24" t="inlineStr">
        <is>
          <t>Contractual due date pending refreshed collection call</t>
        </is>
      </c>
      <c r="J143" s="8">
        <f>IFERROR(MATCH(G143,'13W Cash Forecast'!$B$4:$N$4,1),1)</f>
        <v/>
      </c>
    </row>
    <row r="144">
      <c r="A144" s="8" t="inlineStr">
        <is>
          <t>PAYAPP-ARM-2409-202510</t>
        </is>
      </c>
      <c r="B144" s="8" t="inlineStr">
        <is>
          <t>ARM-2409</t>
        </is>
      </c>
      <c r="C144" s="8" t="inlineStr">
        <is>
          <t>Northline Cold Storage Holdings</t>
        </is>
      </c>
      <c r="D144" s="22" t="n">
        <v>45961</v>
      </c>
      <c r="E144" s="22" t="n">
        <v>45991</v>
      </c>
      <c r="F144" s="9" t="n">
        <v>6590.54</v>
      </c>
      <c r="G144" s="23" t="n">
        <v>45991</v>
      </c>
      <c r="H144" s="24" t="inlineStr">
        <is>
          <t>Medium</t>
        </is>
      </c>
      <c r="I144" s="24" t="inlineStr">
        <is>
          <t>Contractual due date pending refreshed collection call</t>
        </is>
      </c>
      <c r="J144" s="8">
        <f>IFERROR(MATCH(G144,'13W Cash Forecast'!$B$4:$N$4,1),1)</f>
        <v/>
      </c>
    </row>
    <row r="145">
      <c r="A145" s="8" t="inlineStr">
        <is>
          <t>PAYAPP-ARM-2421-202510</t>
        </is>
      </c>
      <c r="B145" s="8" t="inlineStr">
        <is>
          <t>ARM-2421</t>
        </is>
      </c>
      <c r="C145" s="8" t="inlineStr">
        <is>
          <t>Juniper Hospitality Partners</t>
        </is>
      </c>
      <c r="D145" s="22" t="n">
        <v>45961</v>
      </c>
      <c r="E145" s="22" t="n">
        <v>45991</v>
      </c>
      <c r="F145" s="9" t="n">
        <v>5683.84</v>
      </c>
      <c r="G145" s="23" t="n">
        <v>45991</v>
      </c>
      <c r="H145" s="24" t="inlineStr">
        <is>
          <t>Medium</t>
        </is>
      </c>
      <c r="I145" s="24" t="inlineStr">
        <is>
          <t>Contractual due date pending refreshed collection call</t>
        </is>
      </c>
      <c r="J145" s="8">
        <f>IFERROR(MATCH(G145,'13W Cash Forecast'!$B$4:$N$4,1),1)</f>
        <v/>
      </c>
    </row>
    <row r="146">
      <c r="A146" s="8" t="inlineStr">
        <is>
          <t>PAYAPP-ARM-2506-202510</t>
        </is>
      </c>
      <c r="B146" s="8" t="inlineStr">
        <is>
          <t>ARM-2506</t>
        </is>
      </c>
      <c r="C146" s="8" t="inlineStr">
        <is>
          <t>Eastbank Data Infrastructure, LP</t>
        </is>
      </c>
      <c r="D146" s="22" t="n">
        <v>45961</v>
      </c>
      <c r="E146" s="22" t="n">
        <v>45991</v>
      </c>
      <c r="F146" s="9" t="n">
        <v>24527.6</v>
      </c>
      <c r="G146" s="23" t="n">
        <v>45991</v>
      </c>
      <c r="H146" s="24" t="inlineStr">
        <is>
          <t>Low</t>
        </is>
      </c>
      <c r="I146" s="24" t="inlineStr">
        <is>
          <t>Awaiting project-accountant follow-up</t>
        </is>
      </c>
      <c r="J146" s="8">
        <f>IFERROR(MATCH(G146,'13W Cash Forecast'!$B$4:$N$4,1),1)</f>
        <v/>
      </c>
    </row>
    <row r="147">
      <c r="A147" s="8" t="inlineStr">
        <is>
          <t>PAYAPP-ARM-2510-202510</t>
        </is>
      </c>
      <c r="B147" s="8" t="inlineStr">
        <is>
          <t>ARM-2510</t>
        </is>
      </c>
      <c r="C147" s="8" t="inlineStr">
        <is>
          <t>Hawthorne Urban Development, LLC</t>
        </is>
      </c>
      <c r="D147" s="22" t="n">
        <v>45961</v>
      </c>
      <c r="E147" s="22" t="n">
        <v>45991</v>
      </c>
      <c r="F147" s="9" t="n">
        <v>16845.13</v>
      </c>
      <c r="G147" s="23" t="n">
        <v>45991</v>
      </c>
      <c r="H147" s="24" t="inlineStr">
        <is>
          <t>Medium</t>
        </is>
      </c>
      <c r="I147" s="24" t="inlineStr">
        <is>
          <t>Contractual due date pending refreshed collection call</t>
        </is>
      </c>
      <c r="J147" s="8">
        <f>IFERROR(MATCH(G147,'13W Cash Forecast'!$B$4:$N$4,1),1)</f>
        <v/>
      </c>
    </row>
    <row r="148">
      <c r="A148" s="8" t="inlineStr">
        <is>
          <t>PAYAPP-ARM-2522-202510</t>
        </is>
      </c>
      <c r="B148" s="8" t="inlineStr">
        <is>
          <t>ARM-2522</t>
        </is>
      </c>
      <c r="C148" s="8" t="inlineStr">
        <is>
          <t>Summit Surgical Properties</t>
        </is>
      </c>
      <c r="D148" s="22" t="n">
        <v>45961</v>
      </c>
      <c r="E148" s="22" t="n">
        <v>45991</v>
      </c>
      <c r="F148" s="9" t="n">
        <v>5886.81</v>
      </c>
      <c r="G148" s="23" t="n">
        <v>45991</v>
      </c>
      <c r="H148" s="24" t="inlineStr">
        <is>
          <t>Medium</t>
        </is>
      </c>
      <c r="I148" s="24" t="inlineStr">
        <is>
          <t>Contractual due date pending refreshed collection call</t>
        </is>
      </c>
      <c r="J148" s="8">
        <f>IFERROR(MATCH(G148,'13W Cash Forecast'!$B$4:$N$4,1),1)</f>
        <v/>
      </c>
    </row>
    <row r="149">
      <c r="A149" s="8" t="inlineStr">
        <is>
          <t>PAYAPP-ARM-2526-202510</t>
        </is>
      </c>
      <c r="B149" s="8" t="inlineStr">
        <is>
          <t>ARM-2526</t>
        </is>
      </c>
      <c r="C149" s="8" t="inlineStr">
        <is>
          <t>Willamette Food Cooperative</t>
        </is>
      </c>
      <c r="D149" s="22" t="n">
        <v>45961</v>
      </c>
      <c r="E149" s="22" t="n">
        <v>45991</v>
      </c>
      <c r="F149" s="9" t="n">
        <v>750.22</v>
      </c>
      <c r="G149" s="23" t="n">
        <v>45991</v>
      </c>
      <c r="H149" s="24" t="inlineStr">
        <is>
          <t>Medium</t>
        </is>
      </c>
      <c r="I149" s="24" t="inlineStr">
        <is>
          <t>Contractual due date pending refreshed collection call</t>
        </is>
      </c>
      <c r="J149" s="8">
        <f>IFERROR(MATCH(G149,'13W Cash Forecast'!$B$4:$N$4,1),1)</f>
        <v/>
      </c>
    </row>
    <row r="150">
      <c r="A150" s="8" t="inlineStr">
        <is>
          <t>PAYAPP-ARM-2403-202510</t>
        </is>
      </c>
      <c r="B150" s="8" t="inlineStr">
        <is>
          <t>ARM-2403</t>
        </is>
      </c>
      <c r="C150" s="8" t="inlineStr">
        <is>
          <t>City of Riverton Facilities Bureau</t>
        </is>
      </c>
      <c r="D150" s="22" t="n">
        <v>45961</v>
      </c>
      <c r="E150" s="22" t="n">
        <v>46006</v>
      </c>
      <c r="F150" s="9" t="n">
        <v>6481.49</v>
      </c>
      <c r="G150" s="23" t="n">
        <v>46006</v>
      </c>
      <c r="H150" s="24" t="inlineStr">
        <is>
          <t>Medium</t>
        </is>
      </c>
      <c r="I150" s="24" t="inlineStr">
        <is>
          <t>Contractual due date pending refreshed collection call</t>
        </is>
      </c>
      <c r="J150" s="8">
        <f>IFERROR(MATCH(G150,'13W Cash Forecast'!$B$4:$N$4,1),1)</f>
        <v/>
      </c>
    </row>
    <row r="151">
      <c r="A151" s="8" t="inlineStr">
        <is>
          <t>PAYAPP-ARM-2412-202510</t>
        </is>
      </c>
      <c r="B151" s="8" t="inlineStr">
        <is>
          <t>ARM-2412</t>
        </is>
      </c>
      <c r="C151" s="8" t="inlineStr">
        <is>
          <t>Oregon State University - Capital Planning</t>
        </is>
      </c>
      <c r="D151" s="22" t="n">
        <v>45961</v>
      </c>
      <c r="E151" s="22" t="n">
        <v>46006</v>
      </c>
      <c r="F151" s="9" t="n">
        <v>6523.37</v>
      </c>
      <c r="G151" s="23" t="n">
        <v>46006</v>
      </c>
      <c r="H151" s="24" t="inlineStr">
        <is>
          <t>Medium</t>
        </is>
      </c>
      <c r="I151" s="24" t="inlineStr">
        <is>
          <t>Contractual due date pending refreshed collection call</t>
        </is>
      </c>
      <c r="J151" s="8">
        <f>IFERROR(MATCH(G151,'13W Cash Forecast'!$B$4:$N$4,1),1)</f>
        <v/>
      </c>
    </row>
    <row r="152">
      <c r="A152" s="8" t="inlineStr">
        <is>
          <t>PAYAPP-ARM-2417-202510</t>
        </is>
      </c>
      <c r="B152" s="8" t="inlineStr">
        <is>
          <t>ARM-2417</t>
        </is>
      </c>
      <c r="C152" s="8" t="inlineStr">
        <is>
          <t>Cascade Health Properties, LLC</t>
        </is>
      </c>
      <c r="D152" s="22" t="n">
        <v>45961</v>
      </c>
      <c r="E152" s="22" t="n">
        <v>46006</v>
      </c>
      <c r="F152" s="9" t="n">
        <v>23175.32</v>
      </c>
      <c r="G152" s="23" t="n">
        <v>46006</v>
      </c>
      <c r="H152" s="24" t="inlineStr">
        <is>
          <t>Medium</t>
        </is>
      </c>
      <c r="I152" s="24" t="inlineStr">
        <is>
          <t>Contractual due date pending refreshed collection call</t>
        </is>
      </c>
      <c r="J152" s="8">
        <f>IFERROR(MATCH(G152,'13W Cash Forecast'!$B$4:$N$4,1),1)</f>
        <v/>
      </c>
    </row>
    <row r="153">
      <c r="A153" s="8" t="inlineStr">
        <is>
          <t>PAYAPP-ARM-2501-202510</t>
        </is>
      </c>
      <c r="B153" s="8" t="inlineStr">
        <is>
          <t>ARM-2501</t>
        </is>
      </c>
      <c r="C153" s="8" t="inlineStr">
        <is>
          <t>Port of Portland Aviation</t>
        </is>
      </c>
      <c r="D153" s="22" t="n">
        <v>45961</v>
      </c>
      <c r="E153" s="22" t="n">
        <v>46006</v>
      </c>
      <c r="F153" s="9" t="n">
        <v>5077.63</v>
      </c>
      <c r="G153" s="23" t="n">
        <v>46006</v>
      </c>
      <c r="H153" s="24" t="inlineStr">
        <is>
          <t>Low</t>
        </is>
      </c>
      <c r="I153" s="24" t="inlineStr">
        <is>
          <t>Awaiting project-accountant follow-up</t>
        </is>
      </c>
      <c r="J153" s="8">
        <f>IFERROR(MATCH(G153,'13W Cash Forecast'!$B$4:$N$4,1),1)</f>
        <v/>
      </c>
    </row>
    <row r="154">
      <c r="A154" s="8" t="inlineStr">
        <is>
          <t>PAYAPP-ARM-2514-202510</t>
        </is>
      </c>
      <c r="B154" s="8" t="inlineStr">
        <is>
          <t>ARM-2514</t>
        </is>
      </c>
      <c r="C154" s="8" t="inlineStr">
        <is>
          <t>Redmond Unified School District</t>
        </is>
      </c>
      <c r="D154" s="22" t="n">
        <v>45961</v>
      </c>
      <c r="E154" s="22" t="n">
        <v>46006</v>
      </c>
      <c r="F154" s="9" t="n">
        <v>12687.83</v>
      </c>
      <c r="G154" s="23" t="n">
        <v>46006</v>
      </c>
      <c r="H154" s="24" t="inlineStr">
        <is>
          <t>Medium</t>
        </is>
      </c>
      <c r="I154" s="24" t="inlineStr">
        <is>
          <t>Contractual due date pending refreshed collection call</t>
        </is>
      </c>
      <c r="J154" s="8">
        <f>IFERROR(MATCH(G154,'13W Cash Forecast'!$B$4:$N$4,1),1)</f>
        <v/>
      </c>
    </row>
    <row r="155">
      <c r="A155" s="8" t="inlineStr">
        <is>
          <t>PAYAPP-ARM-2518-202510</t>
        </is>
      </c>
      <c r="B155" s="8" t="inlineStr">
        <is>
          <t>ARM-2518</t>
        </is>
      </c>
      <c r="C155" s="8" t="inlineStr">
        <is>
          <t>Deschutes County Public Works</t>
        </is>
      </c>
      <c r="D155" s="22" t="n">
        <v>45961</v>
      </c>
      <c r="E155" s="22" t="n">
        <v>46006</v>
      </c>
      <c r="F155" s="9" t="n">
        <v>2999.44</v>
      </c>
      <c r="G155" s="23" t="n">
        <v>46006</v>
      </c>
      <c r="H155" s="24" t="inlineStr">
        <is>
          <t>Medium</t>
        </is>
      </c>
      <c r="I155" s="24" t="inlineStr">
        <is>
          <t>Contractual due date pending refreshed collection call</t>
        </is>
      </c>
      <c r="J155" s="8">
        <f>IFERROR(MATCH(G155,'13W Cash Forecast'!$B$4:$N$4,1),1)</f>
        <v/>
      </c>
    </row>
    <row r="156">
      <c r="A156" s="8" t="inlineStr">
        <is>
          <t>PAYAPP-ARM-2318-202511</t>
        </is>
      </c>
      <c r="B156" s="8" t="inlineStr">
        <is>
          <t>ARM-2318</t>
        </is>
      </c>
      <c r="C156" s="8" t="inlineStr">
        <is>
          <t>Columbia Biologics, Inc.</t>
        </is>
      </c>
      <c r="D156" s="22" t="n">
        <v>45991</v>
      </c>
      <c r="E156" s="22" t="n">
        <v>46021</v>
      </c>
      <c r="F156" s="9" t="n">
        <v>12391.92</v>
      </c>
      <c r="G156" s="23" t="n">
        <v>46021</v>
      </c>
      <c r="H156" s="24" t="inlineStr">
        <is>
          <t>Medium</t>
        </is>
      </c>
      <c r="I156" s="24" t="inlineStr">
        <is>
          <t>Contractual due date pending refreshed collection call</t>
        </is>
      </c>
      <c r="J156" s="8">
        <f>IFERROR(MATCH(G156,'13W Cash Forecast'!$B$4:$N$4,1),1)</f>
        <v/>
      </c>
    </row>
    <row r="157">
      <c r="A157" s="8" t="inlineStr">
        <is>
          <t>PAYAPP-ARM-2409-202511</t>
        </is>
      </c>
      <c r="B157" s="8" t="inlineStr">
        <is>
          <t>ARM-2409</t>
        </is>
      </c>
      <c r="C157" s="8" t="inlineStr">
        <is>
          <t>Northline Cold Storage Holdings</t>
        </is>
      </c>
      <c r="D157" s="22" t="n">
        <v>45991</v>
      </c>
      <c r="E157" s="22" t="n">
        <v>46021</v>
      </c>
      <c r="F157" s="9" t="n">
        <v>5342.18</v>
      </c>
      <c r="G157" s="23" t="n">
        <v>46021</v>
      </c>
      <c r="H157" s="24" t="inlineStr">
        <is>
          <t>Medium</t>
        </is>
      </c>
      <c r="I157" s="24" t="inlineStr">
        <is>
          <t>Contractual due date pending refreshed collection call</t>
        </is>
      </c>
      <c r="J157" s="8">
        <f>IFERROR(MATCH(G157,'13W Cash Forecast'!$B$4:$N$4,1),1)</f>
        <v/>
      </c>
    </row>
    <row r="158">
      <c r="A158" s="8" t="inlineStr">
        <is>
          <t>PAYAPP-ARM-2421-202511</t>
        </is>
      </c>
      <c r="B158" s="8" t="inlineStr">
        <is>
          <t>ARM-2421</t>
        </is>
      </c>
      <c r="C158" s="8" t="inlineStr">
        <is>
          <t>Juniper Hospitality Partners</t>
        </is>
      </c>
      <c r="D158" s="22" t="n">
        <v>45991</v>
      </c>
      <c r="E158" s="22" t="n">
        <v>46021</v>
      </c>
      <c r="F158" s="9" t="n">
        <v>4487.41</v>
      </c>
      <c r="G158" s="23" t="n">
        <v>46021</v>
      </c>
      <c r="H158" s="24" t="inlineStr">
        <is>
          <t>Medium</t>
        </is>
      </c>
      <c r="I158" s="24" t="inlineStr">
        <is>
          <t>Contractual due date pending refreshed collection call</t>
        </is>
      </c>
      <c r="J158" s="8">
        <f>IFERROR(MATCH(G158,'13W Cash Forecast'!$B$4:$N$4,1),1)</f>
        <v/>
      </c>
    </row>
    <row r="159">
      <c r="A159" s="8" t="inlineStr">
        <is>
          <t>PAYAPP-ARM-2506-202511</t>
        </is>
      </c>
      <c r="B159" s="8" t="inlineStr">
        <is>
          <t>ARM-2506</t>
        </is>
      </c>
      <c r="C159" s="8" t="inlineStr">
        <is>
          <t>Eastbank Data Infrastructure, LP</t>
        </is>
      </c>
      <c r="D159" s="22" t="n">
        <v>45991</v>
      </c>
      <c r="E159" s="22" t="n">
        <v>46021</v>
      </c>
      <c r="F159" s="9" t="n">
        <v>21561.39</v>
      </c>
      <c r="G159" s="23" t="n">
        <v>46021</v>
      </c>
      <c r="H159" s="24" t="inlineStr">
        <is>
          <t>Medium</t>
        </is>
      </c>
      <c r="I159" s="24" t="inlineStr">
        <is>
          <t>Contractual due date pending refreshed collection call</t>
        </is>
      </c>
      <c r="J159" s="8">
        <f>IFERROR(MATCH(G159,'13W Cash Forecast'!$B$4:$N$4,1),1)</f>
        <v/>
      </c>
    </row>
    <row r="160">
      <c r="A160" s="8" t="inlineStr">
        <is>
          <t>PAYAPP-ARM-2510-202511</t>
        </is>
      </c>
      <c r="B160" s="8" t="inlineStr">
        <is>
          <t>ARM-2510</t>
        </is>
      </c>
      <c r="C160" s="8" t="inlineStr">
        <is>
          <t>Hawthorne Urban Development, LLC</t>
        </is>
      </c>
      <c r="D160" s="22" t="n">
        <v>45991</v>
      </c>
      <c r="E160" s="22" t="n">
        <v>46021</v>
      </c>
      <c r="F160" s="9" t="n">
        <v>16119.12</v>
      </c>
      <c r="G160" s="23" t="n">
        <v>46021</v>
      </c>
      <c r="H160" s="24" t="inlineStr">
        <is>
          <t>Low</t>
        </is>
      </c>
      <c r="I160" s="24" t="inlineStr">
        <is>
          <t>Awaiting project-accountant follow-up</t>
        </is>
      </c>
      <c r="J160" s="8">
        <f>IFERROR(MATCH(G160,'13W Cash Forecast'!$B$4:$N$4,1),1)</f>
        <v/>
      </c>
    </row>
    <row r="161">
      <c r="A161" s="8" t="inlineStr">
        <is>
          <t>PAYAPP-ARM-2522-202511</t>
        </is>
      </c>
      <c r="B161" s="8" t="inlineStr">
        <is>
          <t>ARM-2522</t>
        </is>
      </c>
      <c r="C161" s="8" t="inlineStr">
        <is>
          <t>Summit Surgical Properties</t>
        </is>
      </c>
      <c r="D161" s="22" t="n">
        <v>45991</v>
      </c>
      <c r="E161" s="22" t="n">
        <v>46021</v>
      </c>
      <c r="F161" s="9" t="n">
        <v>7418.33</v>
      </c>
      <c r="G161" s="23" t="n">
        <v>46021</v>
      </c>
      <c r="H161" s="24" t="inlineStr">
        <is>
          <t>Medium</t>
        </is>
      </c>
      <c r="I161" s="24" t="inlineStr">
        <is>
          <t>Contractual due date pending refreshed collection call</t>
        </is>
      </c>
      <c r="J161" s="8">
        <f>IFERROR(MATCH(G161,'13W Cash Forecast'!$B$4:$N$4,1),1)</f>
        <v/>
      </c>
    </row>
    <row r="162">
      <c r="A162" s="8" t="inlineStr">
        <is>
          <t>PAYAPP-ARM-2526-202511</t>
        </is>
      </c>
      <c r="B162" s="8" t="inlineStr">
        <is>
          <t>ARM-2526</t>
        </is>
      </c>
      <c r="C162" s="8" t="inlineStr">
        <is>
          <t>Willamette Food Cooperative</t>
        </is>
      </c>
      <c r="D162" s="22" t="n">
        <v>45991</v>
      </c>
      <c r="E162" s="22" t="n">
        <v>46021</v>
      </c>
      <c r="F162" s="9" t="n">
        <v>1655.69</v>
      </c>
      <c r="G162" s="23" t="n">
        <v>46021</v>
      </c>
      <c r="H162" s="24" t="inlineStr">
        <is>
          <t>Medium</t>
        </is>
      </c>
      <c r="I162" s="24" t="inlineStr">
        <is>
          <t>Contractual due date pending refreshed collection call</t>
        </is>
      </c>
      <c r="J162" s="8">
        <f>IFERROR(MATCH(G162,'13W Cash Forecast'!$B$4:$N$4,1),1)</f>
        <v/>
      </c>
    </row>
    <row r="163">
      <c r="A163" s="8" t="inlineStr">
        <is>
          <t>PAYAPP-ARM-2403-202511</t>
        </is>
      </c>
      <c r="B163" s="8" t="inlineStr">
        <is>
          <t>ARM-2403</t>
        </is>
      </c>
      <c r="C163" s="8" t="inlineStr">
        <is>
          <t>City of Riverton Facilities Bureau</t>
        </is>
      </c>
      <c r="D163" s="22" t="n">
        <v>45991</v>
      </c>
      <c r="E163" s="22" t="n">
        <v>46036</v>
      </c>
      <c r="F163" s="9" t="n">
        <v>5297.01</v>
      </c>
      <c r="G163" s="23" t="n">
        <v>46036</v>
      </c>
      <c r="H163" s="24" t="inlineStr">
        <is>
          <t>Medium</t>
        </is>
      </c>
      <c r="I163" s="24" t="inlineStr">
        <is>
          <t>Contractual due date pending refreshed collection call</t>
        </is>
      </c>
      <c r="J163" s="8">
        <f>IFERROR(MATCH(G163,'13W Cash Forecast'!$B$4:$N$4,1),1)</f>
        <v/>
      </c>
    </row>
    <row r="164">
      <c r="A164" s="8" t="inlineStr">
        <is>
          <t>PAYAPP-ARM-2412-202511</t>
        </is>
      </c>
      <c r="B164" s="8" t="inlineStr">
        <is>
          <t>ARM-2412</t>
        </is>
      </c>
      <c r="C164" s="8" t="inlineStr">
        <is>
          <t>Oregon State University - Capital Planning</t>
        </is>
      </c>
      <c r="D164" s="22" t="n">
        <v>45991</v>
      </c>
      <c r="E164" s="22" t="n">
        <v>46036</v>
      </c>
      <c r="F164" s="9" t="n">
        <v>5393.62</v>
      </c>
      <c r="G164" s="23" t="n">
        <v>46036</v>
      </c>
      <c r="H164" s="24" t="inlineStr">
        <is>
          <t>Medium</t>
        </is>
      </c>
      <c r="I164" s="24" t="inlineStr">
        <is>
          <t>Contractual due date pending refreshed collection call</t>
        </is>
      </c>
      <c r="J164" s="8">
        <f>IFERROR(MATCH(G164,'13W Cash Forecast'!$B$4:$N$4,1),1)</f>
        <v/>
      </c>
    </row>
    <row r="165">
      <c r="A165" s="8" t="inlineStr">
        <is>
          <t>PAYAPP-ARM-2417-202511</t>
        </is>
      </c>
      <c r="B165" s="8" t="inlineStr">
        <is>
          <t>ARM-2417</t>
        </is>
      </c>
      <c r="C165" s="8" t="inlineStr">
        <is>
          <t>Cascade Health Properties, LLC</t>
        </is>
      </c>
      <c r="D165" s="22" t="n">
        <v>45991</v>
      </c>
      <c r="E165" s="22" t="n">
        <v>46036</v>
      </c>
      <c r="F165" s="9" t="n">
        <v>19602.24</v>
      </c>
      <c r="G165" s="23" t="n">
        <v>46036</v>
      </c>
      <c r="H165" s="24" t="inlineStr">
        <is>
          <t>Medium</t>
        </is>
      </c>
      <c r="I165" s="24" t="inlineStr">
        <is>
          <t>Contractual due date pending refreshed collection call</t>
        </is>
      </c>
      <c r="J165" s="8">
        <f>IFERROR(MATCH(G165,'13W Cash Forecast'!$B$4:$N$4,1),1)</f>
        <v/>
      </c>
    </row>
    <row r="166">
      <c r="A166" s="8" t="inlineStr">
        <is>
          <t>PAYAPP-ARM-2501-202511</t>
        </is>
      </c>
      <c r="B166" s="8" t="inlineStr">
        <is>
          <t>ARM-2501</t>
        </is>
      </c>
      <c r="C166" s="8" t="inlineStr">
        <is>
          <t>Port of Portland Aviation</t>
        </is>
      </c>
      <c r="D166" s="22" t="n">
        <v>45991</v>
      </c>
      <c r="E166" s="22" t="n">
        <v>46036</v>
      </c>
      <c r="F166" s="9" t="n">
        <v>5103.32</v>
      </c>
      <c r="G166" s="23" t="n">
        <v>46036</v>
      </c>
      <c r="H166" s="24" t="inlineStr">
        <is>
          <t>Medium</t>
        </is>
      </c>
      <c r="I166" s="24" t="inlineStr">
        <is>
          <t>Contractual due date pending refreshed collection call</t>
        </is>
      </c>
      <c r="J166" s="8">
        <f>IFERROR(MATCH(G166,'13W Cash Forecast'!$B$4:$N$4,1),1)</f>
        <v/>
      </c>
    </row>
    <row r="167">
      <c r="A167" s="8" t="inlineStr">
        <is>
          <t>PAYAPP-ARM-2514-202511</t>
        </is>
      </c>
      <c r="B167" s="8" t="inlineStr">
        <is>
          <t>ARM-2514</t>
        </is>
      </c>
      <c r="C167" s="8" t="inlineStr">
        <is>
          <t>Redmond Unified School District</t>
        </is>
      </c>
      <c r="D167" s="22" t="n">
        <v>45991</v>
      </c>
      <c r="E167" s="22" t="n">
        <v>46036</v>
      </c>
      <c r="F167" s="9" t="n">
        <v>12453.52</v>
      </c>
      <c r="G167" s="23" t="n">
        <v>46036</v>
      </c>
      <c r="H167" s="24" t="inlineStr">
        <is>
          <t>Low</t>
        </is>
      </c>
      <c r="I167" s="24" t="inlineStr">
        <is>
          <t>Awaiting project-accountant follow-up</t>
        </is>
      </c>
      <c r="J167" s="8">
        <f>IFERROR(MATCH(G167,'13W Cash Forecast'!$B$4:$N$4,1),1)</f>
        <v/>
      </c>
    </row>
    <row r="168">
      <c r="A168" s="8" t="inlineStr">
        <is>
          <t>PAYAPP-ARM-2518-202511</t>
        </is>
      </c>
      <c r="B168" s="8" t="inlineStr">
        <is>
          <t>ARM-2518</t>
        </is>
      </c>
      <c r="C168" s="8" t="inlineStr">
        <is>
          <t>Deschutes County Public Works</t>
        </is>
      </c>
      <c r="D168" s="22" t="n">
        <v>45991</v>
      </c>
      <c r="E168" s="22" t="n">
        <v>46036</v>
      </c>
      <c r="F168" s="9" t="n">
        <v>3218.92</v>
      </c>
      <c r="G168" s="23" t="n">
        <v>46036</v>
      </c>
      <c r="H168" s="24" t="inlineStr">
        <is>
          <t>Medium</t>
        </is>
      </c>
      <c r="I168" s="24" t="inlineStr">
        <is>
          <t>Contractual due date pending refreshed collection call</t>
        </is>
      </c>
      <c r="J168" s="8">
        <f>IFERROR(MATCH(G168,'13W Cash Forecast'!$B$4:$N$4,1),1)</f>
        <v/>
      </c>
    </row>
    <row r="169">
      <c r="A169" s="8" t="inlineStr">
        <is>
          <t>PAYAPP-ARM-2318-202512</t>
        </is>
      </c>
      <c r="B169" s="8" t="inlineStr">
        <is>
          <t>ARM-2318</t>
        </is>
      </c>
      <c r="C169" s="8" t="inlineStr">
        <is>
          <t>Columbia Biologics, Inc.</t>
        </is>
      </c>
      <c r="D169" s="22" t="n">
        <v>46022</v>
      </c>
      <c r="E169" s="22" t="n">
        <v>46052</v>
      </c>
      <c r="F169" s="9" t="n">
        <v>8825.23</v>
      </c>
      <c r="G169" s="23" t="n">
        <v>46052</v>
      </c>
      <c r="H169" s="24" t="inlineStr">
        <is>
          <t>Medium</t>
        </is>
      </c>
      <c r="I169" s="24" t="inlineStr">
        <is>
          <t>Contractual due date pending refreshed collection call</t>
        </is>
      </c>
      <c r="J169" s="8">
        <f>IFERROR(MATCH(G169,'13W Cash Forecast'!$B$4:$N$4,1),1)</f>
        <v/>
      </c>
    </row>
    <row r="170">
      <c r="A170" s="8" t="inlineStr">
        <is>
          <t>PAYAPP-ARM-2409-202512</t>
        </is>
      </c>
      <c r="B170" s="8" t="inlineStr">
        <is>
          <t>ARM-2409</t>
        </is>
      </c>
      <c r="C170" s="8" t="inlineStr">
        <is>
          <t>Northline Cold Storage Holdings</t>
        </is>
      </c>
      <c r="D170" s="22" t="n">
        <v>46022</v>
      </c>
      <c r="E170" s="22" t="n">
        <v>46052</v>
      </c>
      <c r="F170" s="9" t="n">
        <v>4452.43</v>
      </c>
      <c r="G170" s="23" t="n">
        <v>46052</v>
      </c>
      <c r="H170" s="24" t="inlineStr">
        <is>
          <t>Medium</t>
        </is>
      </c>
      <c r="I170" s="24" t="inlineStr">
        <is>
          <t>Contractual due date pending refreshed collection call</t>
        </is>
      </c>
      <c r="J170" s="8">
        <f>IFERROR(MATCH(G170,'13W Cash Forecast'!$B$4:$N$4,1),1)</f>
        <v/>
      </c>
    </row>
    <row r="171">
      <c r="A171" s="8" t="inlineStr">
        <is>
          <t>PAYAPP-ARM-2421-202512</t>
        </is>
      </c>
      <c r="B171" s="8" t="inlineStr">
        <is>
          <t>ARM-2421</t>
        </is>
      </c>
      <c r="C171" s="8" t="inlineStr">
        <is>
          <t>Juniper Hospitality Partners</t>
        </is>
      </c>
      <c r="D171" s="22" t="n">
        <v>46022</v>
      </c>
      <c r="E171" s="22" t="n">
        <v>46052</v>
      </c>
      <c r="F171" s="9" t="n">
        <v>3442.71</v>
      </c>
      <c r="G171" s="23" t="n">
        <v>46052</v>
      </c>
      <c r="H171" s="24" t="inlineStr">
        <is>
          <t>Medium</t>
        </is>
      </c>
      <c r="I171" s="24" t="inlineStr">
        <is>
          <t>Contractual due date pending refreshed collection call</t>
        </is>
      </c>
      <c r="J171" s="8">
        <f>IFERROR(MATCH(G171,'13W Cash Forecast'!$B$4:$N$4,1),1)</f>
        <v/>
      </c>
    </row>
    <row r="172">
      <c r="A172" s="8" t="inlineStr">
        <is>
          <t>PAYAPP-ARM-2506-202512</t>
        </is>
      </c>
      <c r="B172" s="8" t="inlineStr">
        <is>
          <t>ARM-2506</t>
        </is>
      </c>
      <c r="C172" s="8" t="inlineStr">
        <is>
          <t>Eastbank Data Infrastructure, LP</t>
        </is>
      </c>
      <c r="D172" s="22" t="n">
        <v>46022</v>
      </c>
      <c r="E172" s="22" t="n">
        <v>46052</v>
      </c>
      <c r="F172" s="9" t="n">
        <v>20827.3</v>
      </c>
      <c r="G172" s="23" t="n">
        <v>46052</v>
      </c>
      <c r="H172" s="24" t="inlineStr">
        <is>
          <t>Medium</t>
        </is>
      </c>
      <c r="I172" s="24" t="inlineStr">
        <is>
          <t>Contractual due date pending refreshed collection call</t>
        </is>
      </c>
      <c r="J172" s="8">
        <f>IFERROR(MATCH(G172,'13W Cash Forecast'!$B$4:$N$4,1),1)</f>
        <v/>
      </c>
    </row>
    <row r="173">
      <c r="A173" s="8" t="inlineStr">
        <is>
          <t>PAYAPP-ARM-2510-202512</t>
        </is>
      </c>
      <c r="B173" s="8" t="inlineStr">
        <is>
          <t>ARM-2510</t>
        </is>
      </c>
      <c r="C173" s="8" t="inlineStr">
        <is>
          <t>Hawthorne Urban Development, LLC</t>
        </is>
      </c>
      <c r="D173" s="22" t="n">
        <v>46022</v>
      </c>
      <c r="E173" s="22" t="n">
        <v>46052</v>
      </c>
      <c r="F173" s="9" t="n">
        <v>13704.43</v>
      </c>
      <c r="G173" s="23" t="n">
        <v>46052</v>
      </c>
      <c r="H173" s="24" t="inlineStr">
        <is>
          <t>Medium</t>
        </is>
      </c>
      <c r="I173" s="24" t="inlineStr">
        <is>
          <t>Contractual due date pending refreshed collection call</t>
        </is>
      </c>
      <c r="J173" s="8">
        <f>IFERROR(MATCH(G173,'13W Cash Forecast'!$B$4:$N$4,1),1)</f>
        <v/>
      </c>
    </row>
    <row r="174">
      <c r="A174" s="8" t="inlineStr">
        <is>
          <t>PAYAPP-ARM-2522-202512</t>
        </is>
      </c>
      <c r="B174" s="8" t="inlineStr">
        <is>
          <t>ARM-2522</t>
        </is>
      </c>
      <c r="C174" s="8" t="inlineStr">
        <is>
          <t>Summit Surgical Properties</t>
        </is>
      </c>
      <c r="D174" s="22" t="n">
        <v>46022</v>
      </c>
      <c r="E174" s="22" t="n">
        <v>46052</v>
      </c>
      <c r="F174" s="9" t="n">
        <v>7673.83</v>
      </c>
      <c r="G174" s="23" t="n">
        <v>46052</v>
      </c>
      <c r="H174" s="24" t="inlineStr">
        <is>
          <t>Low</t>
        </is>
      </c>
      <c r="I174" s="24" t="inlineStr">
        <is>
          <t>Awaiting project-accountant follow-up</t>
        </is>
      </c>
      <c r="J174" s="8">
        <f>IFERROR(MATCH(G174,'13W Cash Forecast'!$B$4:$N$4,1),1)</f>
        <v/>
      </c>
    </row>
    <row r="175">
      <c r="A175" s="8" t="inlineStr">
        <is>
          <t>PAYAPP-ARM-2526-202512</t>
        </is>
      </c>
      <c r="B175" s="8" t="inlineStr">
        <is>
          <t>ARM-2526</t>
        </is>
      </c>
      <c r="C175" s="8" t="inlineStr">
        <is>
          <t>Willamette Food Cooperative</t>
        </is>
      </c>
      <c r="D175" s="22" t="n">
        <v>46022</v>
      </c>
      <c r="E175" s="22" t="n">
        <v>46052</v>
      </c>
      <c r="F175" s="9" t="n">
        <v>2640.58</v>
      </c>
      <c r="G175" s="23" t="n">
        <v>46052</v>
      </c>
      <c r="H175" s="24" t="inlineStr">
        <is>
          <t>Medium</t>
        </is>
      </c>
      <c r="I175" s="24" t="inlineStr">
        <is>
          <t>Contractual due date pending refreshed collection call</t>
        </is>
      </c>
      <c r="J175" s="8">
        <f>IFERROR(MATCH(G175,'13W Cash Forecast'!$B$4:$N$4,1),1)</f>
        <v/>
      </c>
    </row>
    <row r="176">
      <c r="A176" s="8" t="inlineStr">
        <is>
          <t>PAYAPP-ARM-2403-202512</t>
        </is>
      </c>
      <c r="B176" s="8" t="inlineStr">
        <is>
          <t>ARM-2403</t>
        </is>
      </c>
      <c r="C176" s="8" t="inlineStr">
        <is>
          <t>City of Riverton Facilities Bureau</t>
        </is>
      </c>
      <c r="D176" s="22" t="n">
        <v>46022</v>
      </c>
      <c r="E176" s="22" t="n">
        <v>46067</v>
      </c>
      <c r="F176" s="9" t="n">
        <v>5402.62</v>
      </c>
      <c r="G176" s="23" t="n">
        <v>46067</v>
      </c>
      <c r="H176" s="24" t="inlineStr">
        <is>
          <t>Medium</t>
        </is>
      </c>
      <c r="I176" s="24" t="inlineStr">
        <is>
          <t>Contractual due date pending refreshed collection call</t>
        </is>
      </c>
      <c r="J176" s="8">
        <f>IFERROR(MATCH(G176,'13W Cash Forecast'!$B$4:$N$4,1),1)</f>
        <v/>
      </c>
    </row>
    <row r="177">
      <c r="A177" s="8" t="inlineStr">
        <is>
          <t>PAYAPP-ARM-2412-202512</t>
        </is>
      </c>
      <c r="B177" s="8" t="inlineStr">
        <is>
          <t>ARM-2412</t>
        </is>
      </c>
      <c r="C177" s="8" t="inlineStr">
        <is>
          <t>Oregon State University - Capital Planning</t>
        </is>
      </c>
      <c r="D177" s="22" t="n">
        <v>46022</v>
      </c>
      <c r="E177" s="22" t="n">
        <v>46067</v>
      </c>
      <c r="F177" s="9" t="n">
        <v>5361.92</v>
      </c>
      <c r="G177" s="23" t="n">
        <v>46067</v>
      </c>
      <c r="H177" s="24" t="inlineStr">
        <is>
          <t>Medium</t>
        </is>
      </c>
      <c r="I177" s="24" t="inlineStr">
        <is>
          <t>Contractual due date pending refreshed collection call</t>
        </is>
      </c>
      <c r="J177" s="8">
        <f>IFERROR(MATCH(G177,'13W Cash Forecast'!$B$4:$N$4,1),1)</f>
        <v/>
      </c>
    </row>
    <row r="178">
      <c r="A178" s="8" t="inlineStr">
        <is>
          <t>PAYAPP-ARM-2417-202512</t>
        </is>
      </c>
      <c r="B178" s="8" t="inlineStr">
        <is>
          <t>ARM-2417</t>
        </is>
      </c>
      <c r="C178" s="8" t="inlineStr">
        <is>
          <t>Cascade Health Properties, LLC</t>
        </is>
      </c>
      <c r="D178" s="22" t="n">
        <v>46022</v>
      </c>
      <c r="E178" s="22" t="n">
        <v>46067</v>
      </c>
      <c r="F178" s="9" t="n">
        <v>17708.83</v>
      </c>
      <c r="G178" s="23" t="n">
        <v>46067</v>
      </c>
      <c r="H178" s="24" t="inlineStr">
        <is>
          <t>Medium</t>
        </is>
      </c>
      <c r="I178" s="24" t="inlineStr">
        <is>
          <t>Contractual due date pending refreshed collection call</t>
        </is>
      </c>
      <c r="J178" s="8">
        <f>IFERROR(MATCH(G178,'13W Cash Forecast'!$B$4:$N$4,1),1)</f>
        <v/>
      </c>
    </row>
    <row r="179">
      <c r="A179" s="8" t="inlineStr">
        <is>
          <t>PAYAPP-ARM-2501-202512</t>
        </is>
      </c>
      <c r="B179" s="8" t="inlineStr">
        <is>
          <t>ARM-2501</t>
        </is>
      </c>
      <c r="C179" s="8" t="inlineStr">
        <is>
          <t>Port of Portland Aviation</t>
        </is>
      </c>
      <c r="D179" s="22" t="n">
        <v>46022</v>
      </c>
      <c r="E179" s="22" t="n">
        <v>46067</v>
      </c>
      <c r="F179" s="9" t="n">
        <v>4261.75</v>
      </c>
      <c r="G179" s="23" t="n">
        <v>46067</v>
      </c>
      <c r="H179" s="24" t="inlineStr">
        <is>
          <t>Medium</t>
        </is>
      </c>
      <c r="I179" s="24" t="inlineStr">
        <is>
          <t>Contractual due date pending refreshed collection call</t>
        </is>
      </c>
      <c r="J179" s="8">
        <f>IFERROR(MATCH(G179,'13W Cash Forecast'!$B$4:$N$4,1),1)</f>
        <v/>
      </c>
    </row>
    <row r="180">
      <c r="A180" s="8" t="inlineStr">
        <is>
          <t>PAYAPP-ARM-2514-202512</t>
        </is>
      </c>
      <c r="B180" s="8" t="inlineStr">
        <is>
          <t>ARM-2514</t>
        </is>
      </c>
      <c r="C180" s="8" t="inlineStr">
        <is>
          <t>Redmond Unified School District</t>
        </is>
      </c>
      <c r="D180" s="22" t="n">
        <v>46022</v>
      </c>
      <c r="E180" s="22" t="n">
        <v>46067</v>
      </c>
      <c r="F180" s="9" t="n">
        <v>13028.14</v>
      </c>
      <c r="G180" s="23" t="n">
        <v>46067</v>
      </c>
      <c r="H180" s="24" t="inlineStr">
        <is>
          <t>Medium</t>
        </is>
      </c>
      <c r="I180" s="24" t="inlineStr">
        <is>
          <t>Contractual due date pending refreshed collection call</t>
        </is>
      </c>
      <c r="J180" s="8">
        <f>IFERROR(MATCH(G180,'13W Cash Forecast'!$B$4:$N$4,1),1)</f>
        <v/>
      </c>
    </row>
    <row r="181">
      <c r="A181" s="8" t="inlineStr">
        <is>
          <t>PAYAPP-ARM-2518-202512</t>
        </is>
      </c>
      <c r="B181" s="8" t="inlineStr">
        <is>
          <t>ARM-2518</t>
        </is>
      </c>
      <c r="C181" s="8" t="inlineStr">
        <is>
          <t>Deschutes County Public Works</t>
        </is>
      </c>
      <c r="D181" s="22" t="n">
        <v>46022</v>
      </c>
      <c r="E181" s="22" t="n">
        <v>46067</v>
      </c>
      <c r="F181" s="9" t="n">
        <v>3644.96</v>
      </c>
      <c r="G181" s="23" t="n">
        <v>46067</v>
      </c>
      <c r="H181" s="24" t="inlineStr">
        <is>
          <t>Low</t>
        </is>
      </c>
      <c r="I181" s="24" t="inlineStr">
        <is>
          <t>Awaiting project-accountant follow-up</t>
        </is>
      </c>
      <c r="J181" s="8">
        <f>IFERROR(MATCH(G181,'13W Cash Forecast'!$B$4:$N$4,1),1)</f>
        <v/>
      </c>
    </row>
    <row r="182">
      <c r="A182" s="8" t="inlineStr">
        <is>
          <t>PAYAPP-ARM-2318-202601</t>
        </is>
      </c>
      <c r="B182" s="8" t="inlineStr">
        <is>
          <t>ARM-2318</t>
        </is>
      </c>
      <c r="C182" s="8" t="inlineStr">
        <is>
          <t>Columbia Biologics, Inc.</t>
        </is>
      </c>
      <c r="D182" s="22" t="n">
        <v>46053</v>
      </c>
      <c r="E182" s="22" t="n">
        <v>46083</v>
      </c>
      <c r="F182" s="9" t="n">
        <v>45948.19</v>
      </c>
      <c r="G182" s="23" t="n">
        <v>46083</v>
      </c>
      <c r="H182" s="24" t="inlineStr">
        <is>
          <t>Medium</t>
        </is>
      </c>
      <c r="I182" s="24" t="inlineStr">
        <is>
          <t>Contractual due date pending refreshed collection call</t>
        </is>
      </c>
      <c r="J182" s="8">
        <f>IFERROR(MATCH(G182,'13W Cash Forecast'!$B$4:$N$4,1),1)</f>
        <v/>
      </c>
    </row>
    <row r="183">
      <c r="A183" s="8" t="inlineStr">
        <is>
          <t>PAYAPP-ARM-2409-202601</t>
        </is>
      </c>
      <c r="B183" s="8" t="inlineStr">
        <is>
          <t>ARM-2409</t>
        </is>
      </c>
      <c r="C183" s="8" t="inlineStr">
        <is>
          <t>Northline Cold Storage Holdings</t>
        </is>
      </c>
      <c r="D183" s="22" t="n">
        <v>46053</v>
      </c>
      <c r="E183" s="22" t="n">
        <v>46083</v>
      </c>
      <c r="F183" s="9" t="n">
        <v>21489.63</v>
      </c>
      <c r="G183" s="23" t="n">
        <v>46083</v>
      </c>
      <c r="H183" s="24" t="inlineStr">
        <is>
          <t>Medium</t>
        </is>
      </c>
      <c r="I183" s="24" t="inlineStr">
        <is>
          <t>Contractual due date pending refreshed collection call</t>
        </is>
      </c>
      <c r="J183" s="8">
        <f>IFERROR(MATCH(G183,'13W Cash Forecast'!$B$4:$N$4,1),1)</f>
        <v/>
      </c>
    </row>
    <row r="184">
      <c r="A184" s="8" t="inlineStr">
        <is>
          <t>PAYAPP-ARM-2421-202601</t>
        </is>
      </c>
      <c r="B184" s="8" t="inlineStr">
        <is>
          <t>ARM-2421</t>
        </is>
      </c>
      <c r="C184" s="8" t="inlineStr">
        <is>
          <t>Juniper Hospitality Partners</t>
        </is>
      </c>
      <c r="D184" s="22" t="n">
        <v>46053</v>
      </c>
      <c r="E184" s="22" t="n">
        <v>46083</v>
      </c>
      <c r="F184" s="9" t="n">
        <v>14521.12</v>
      </c>
      <c r="G184" s="23" t="n">
        <v>46083</v>
      </c>
      <c r="H184" s="24" t="inlineStr">
        <is>
          <t>Medium</t>
        </is>
      </c>
      <c r="I184" s="24" t="inlineStr">
        <is>
          <t>Contractual due date pending refreshed collection call</t>
        </is>
      </c>
      <c r="J184" s="8">
        <f>IFERROR(MATCH(G184,'13W Cash Forecast'!$B$4:$N$4,1),1)</f>
        <v/>
      </c>
    </row>
    <row r="185">
      <c r="A185" s="8" t="inlineStr">
        <is>
          <t>PAYAPP-ARM-2506-202601</t>
        </is>
      </c>
      <c r="B185" s="8" t="inlineStr">
        <is>
          <t>ARM-2506</t>
        </is>
      </c>
      <c r="C185" s="8" t="inlineStr">
        <is>
          <t>Eastbank Data Infrastructure, LP</t>
        </is>
      </c>
      <c r="D185" s="22" t="n">
        <v>46053</v>
      </c>
      <c r="E185" s="22" t="n">
        <v>46083</v>
      </c>
      <c r="F185" s="9" t="n">
        <v>98393.56</v>
      </c>
      <c r="G185" s="23" t="n">
        <v>46083</v>
      </c>
      <c r="H185" s="24" t="inlineStr">
        <is>
          <t>Medium</t>
        </is>
      </c>
      <c r="I185" s="24" t="inlineStr">
        <is>
          <t>Contractual due date pending refreshed collection call</t>
        </is>
      </c>
      <c r="J185" s="8">
        <f>IFERROR(MATCH(G185,'13W Cash Forecast'!$B$4:$N$4,1),1)</f>
        <v/>
      </c>
    </row>
    <row r="186">
      <c r="A186" s="8" t="inlineStr">
        <is>
          <t>PAYAPP-ARM-2510-202601</t>
        </is>
      </c>
      <c r="B186" s="8" t="inlineStr">
        <is>
          <t>ARM-2510</t>
        </is>
      </c>
      <c r="C186" s="8" t="inlineStr">
        <is>
          <t>Hawthorne Urban Development, LLC</t>
        </is>
      </c>
      <c r="D186" s="22" t="n">
        <v>46053</v>
      </c>
      <c r="E186" s="22" t="n">
        <v>46083</v>
      </c>
      <c r="F186" s="9" t="n">
        <v>73869.50999999999</v>
      </c>
      <c r="G186" s="23" t="n">
        <v>46083</v>
      </c>
      <c r="H186" s="24" t="inlineStr">
        <is>
          <t>Medium</t>
        </is>
      </c>
      <c r="I186" s="24" t="inlineStr">
        <is>
          <t>Contractual due date pending refreshed collection call</t>
        </is>
      </c>
      <c r="J186" s="8">
        <f>IFERROR(MATCH(G186,'13W Cash Forecast'!$B$4:$N$4,1),1)</f>
        <v/>
      </c>
    </row>
    <row r="187">
      <c r="A187" s="8" t="inlineStr">
        <is>
          <t>PAYAPP-ARM-2522-202601</t>
        </is>
      </c>
      <c r="B187" s="8" t="inlineStr">
        <is>
          <t>ARM-2522</t>
        </is>
      </c>
      <c r="C187" s="8" t="inlineStr">
        <is>
          <t>Summit Surgical Properties</t>
        </is>
      </c>
      <c r="D187" s="22" t="n">
        <v>46053</v>
      </c>
      <c r="E187" s="22" t="n">
        <v>46083</v>
      </c>
      <c r="F187" s="9" t="n">
        <v>48685.42</v>
      </c>
      <c r="G187" s="23" t="n">
        <v>46083</v>
      </c>
      <c r="H187" s="24" t="inlineStr">
        <is>
          <t>Medium</t>
        </is>
      </c>
      <c r="I187" s="24" t="inlineStr">
        <is>
          <t>Contractual due date pending refreshed collection call</t>
        </is>
      </c>
      <c r="J187" s="8">
        <f>IFERROR(MATCH(G187,'13W Cash Forecast'!$B$4:$N$4,1),1)</f>
        <v/>
      </c>
    </row>
    <row r="188">
      <c r="A188" s="8" t="inlineStr">
        <is>
          <t>PAYAPP-ARM-2526-202601</t>
        </is>
      </c>
      <c r="B188" s="8" t="inlineStr">
        <is>
          <t>ARM-2526</t>
        </is>
      </c>
      <c r="C188" s="8" t="inlineStr">
        <is>
          <t>Willamette Food Cooperative</t>
        </is>
      </c>
      <c r="D188" s="22" t="n">
        <v>46053</v>
      </c>
      <c r="E188" s="22" t="n">
        <v>46083</v>
      </c>
      <c r="F188" s="9" t="n">
        <v>18482.4</v>
      </c>
      <c r="G188" s="23" t="n">
        <v>46083</v>
      </c>
      <c r="H188" s="24" t="inlineStr">
        <is>
          <t>Low</t>
        </is>
      </c>
      <c r="I188" s="24" t="inlineStr">
        <is>
          <t>Awaiting project-accountant follow-up</t>
        </is>
      </c>
      <c r="J188" s="8">
        <f>IFERROR(MATCH(G188,'13W Cash Forecast'!$B$4:$N$4,1),1)</f>
        <v/>
      </c>
    </row>
    <row r="189">
      <c r="A189" s="8" t="inlineStr">
        <is>
          <t>PAYAPP-ARM-2602-202601</t>
        </is>
      </c>
      <c r="B189" s="8" t="inlineStr">
        <is>
          <t>ARM-2602</t>
        </is>
      </c>
      <c r="C189" s="8" t="inlineStr">
        <is>
          <t>Pacific Northwest Distribution REIT</t>
        </is>
      </c>
      <c r="D189" s="22" t="n">
        <v>46053</v>
      </c>
      <c r="E189" s="22" t="n">
        <v>46083</v>
      </c>
      <c r="F189" s="9" t="n">
        <v>12266.72</v>
      </c>
      <c r="G189" s="23" t="n">
        <v>46083</v>
      </c>
      <c r="H189" s="24" t="inlineStr">
        <is>
          <t>Medium</t>
        </is>
      </c>
      <c r="I189" s="24" t="inlineStr">
        <is>
          <t>Contractual due date pending refreshed collection call</t>
        </is>
      </c>
      <c r="J189" s="8">
        <f>IFERROR(MATCH(G189,'13W Cash Forecast'!$B$4:$N$4,1),1)</f>
        <v/>
      </c>
    </row>
    <row r="190">
      <c r="A190" s="8" t="inlineStr">
        <is>
          <t>PAYAPP-ARM-2403-202601</t>
        </is>
      </c>
      <c r="B190" s="8" t="inlineStr">
        <is>
          <t>ARM-2403</t>
        </is>
      </c>
      <c r="C190" s="8" t="inlineStr">
        <is>
          <t>City of Riverton Facilities Bureau</t>
        </is>
      </c>
      <c r="D190" s="22" t="n">
        <v>46053</v>
      </c>
      <c r="E190" s="22" t="n">
        <v>46098</v>
      </c>
      <c r="F190" s="9" t="n">
        <v>22510.06</v>
      </c>
      <c r="G190" s="23" t="n">
        <v>46098</v>
      </c>
      <c r="H190" s="24" t="inlineStr">
        <is>
          <t>Medium</t>
        </is>
      </c>
      <c r="I190" s="24" t="inlineStr">
        <is>
          <t>Contractual due date pending refreshed collection call</t>
        </is>
      </c>
      <c r="J190" s="8">
        <f>IFERROR(MATCH(G190,'13W Cash Forecast'!$B$4:$N$4,1),1)</f>
        <v/>
      </c>
    </row>
    <row r="191">
      <c r="A191" s="8" t="inlineStr">
        <is>
          <t>PAYAPP-ARM-2412-202601</t>
        </is>
      </c>
      <c r="B191" s="8" t="inlineStr">
        <is>
          <t>ARM-2412</t>
        </is>
      </c>
      <c r="C191" s="8" t="inlineStr">
        <is>
          <t>Oregon State University - Capital Planning</t>
        </is>
      </c>
      <c r="D191" s="22" t="n">
        <v>46053</v>
      </c>
      <c r="E191" s="22" t="n">
        <v>46098</v>
      </c>
      <c r="F191" s="9" t="n">
        <v>23429.15</v>
      </c>
      <c r="G191" s="23" t="n">
        <v>46098</v>
      </c>
      <c r="H191" s="24" t="inlineStr">
        <is>
          <t>Medium</t>
        </is>
      </c>
      <c r="I191" s="24" t="inlineStr">
        <is>
          <t>Contractual due date pending refreshed collection call</t>
        </is>
      </c>
      <c r="J191" s="8">
        <f>IFERROR(MATCH(G191,'13W Cash Forecast'!$B$4:$N$4,1),1)</f>
        <v/>
      </c>
    </row>
    <row r="192">
      <c r="A192" s="8" t="inlineStr">
        <is>
          <t>PAYAPP-ARM-2417-202601</t>
        </is>
      </c>
      <c r="B192" s="8" t="inlineStr">
        <is>
          <t>ARM-2417</t>
        </is>
      </c>
      <c r="C192" s="8" t="inlineStr">
        <is>
          <t>Cascade Health Properties, LLC</t>
        </is>
      </c>
      <c r="D192" s="22" t="n">
        <v>46053</v>
      </c>
      <c r="E192" s="22" t="n">
        <v>46098</v>
      </c>
      <c r="F192" s="9" t="n">
        <v>81724.78</v>
      </c>
      <c r="G192" s="23" t="n">
        <v>46098</v>
      </c>
      <c r="H192" s="24" t="inlineStr">
        <is>
          <t>Medium</t>
        </is>
      </c>
      <c r="I192" s="24" t="inlineStr">
        <is>
          <t>Contractual due date pending refreshed collection call</t>
        </is>
      </c>
      <c r="J192" s="8">
        <f>IFERROR(MATCH(G192,'13W Cash Forecast'!$B$4:$N$4,1),1)</f>
        <v/>
      </c>
    </row>
    <row r="193">
      <c r="A193" s="8" t="inlineStr">
        <is>
          <t>PAYAPP-ARM-2501-202601</t>
        </is>
      </c>
      <c r="B193" s="8" t="inlineStr">
        <is>
          <t>ARM-2501</t>
        </is>
      </c>
      <c r="C193" s="8" t="inlineStr">
        <is>
          <t>Port of Portland Aviation</t>
        </is>
      </c>
      <c r="D193" s="22" t="n">
        <v>46053</v>
      </c>
      <c r="E193" s="22" t="n">
        <v>46098</v>
      </c>
      <c r="F193" s="9" t="n">
        <v>23944.02</v>
      </c>
      <c r="G193" s="23" t="n">
        <v>46098</v>
      </c>
      <c r="H193" s="24" t="inlineStr">
        <is>
          <t>Medium</t>
        </is>
      </c>
      <c r="I193" s="24" t="inlineStr">
        <is>
          <t>Contractual due date pending refreshed collection call</t>
        </is>
      </c>
      <c r="J193" s="8">
        <f>IFERROR(MATCH(G193,'13W Cash Forecast'!$B$4:$N$4,1),1)</f>
        <v/>
      </c>
    </row>
    <row r="194">
      <c r="A194" s="8" t="inlineStr">
        <is>
          <t>PAYAPP-ARM-2514-202601</t>
        </is>
      </c>
      <c r="B194" s="8" t="inlineStr">
        <is>
          <t>ARM-2514</t>
        </is>
      </c>
      <c r="C194" s="8" t="inlineStr">
        <is>
          <t>Redmond Unified School District</t>
        </is>
      </c>
      <c r="D194" s="22" t="n">
        <v>46053</v>
      </c>
      <c r="E194" s="22" t="n">
        <v>46098</v>
      </c>
      <c r="F194" s="9" t="n">
        <v>67137.27</v>
      </c>
      <c r="G194" s="23" t="n">
        <v>46098</v>
      </c>
      <c r="H194" s="24" t="inlineStr">
        <is>
          <t>Medium</t>
        </is>
      </c>
      <c r="I194" s="24" t="inlineStr">
        <is>
          <t>Contractual due date pending refreshed collection call</t>
        </is>
      </c>
      <c r="J194" s="8">
        <f>IFERROR(MATCH(G194,'13W Cash Forecast'!$B$4:$N$4,1),1)</f>
        <v/>
      </c>
    </row>
    <row r="195">
      <c r="A195" s="8" t="inlineStr">
        <is>
          <t>PAYAPP-ARM-2518-202601</t>
        </is>
      </c>
      <c r="B195" s="8" t="inlineStr">
        <is>
          <t>ARM-2518</t>
        </is>
      </c>
      <c r="C195" s="8" t="inlineStr">
        <is>
          <t>Deschutes County Public Works</t>
        </is>
      </c>
      <c r="D195" s="22" t="n">
        <v>46053</v>
      </c>
      <c r="E195" s="22" t="n">
        <v>46098</v>
      </c>
      <c r="F195" s="9" t="n">
        <v>19287.81</v>
      </c>
      <c r="G195" s="23" t="n">
        <v>46098</v>
      </c>
      <c r="H195" s="24" t="inlineStr">
        <is>
          <t>Low</t>
        </is>
      </c>
      <c r="I195" s="24" t="inlineStr">
        <is>
          <t>Awaiting project-accountant follow-up</t>
        </is>
      </c>
      <c r="J195" s="8">
        <f>IFERROR(MATCH(G195,'13W Cash Forecast'!$B$4:$N$4,1),1)</f>
        <v/>
      </c>
    </row>
    <row r="196">
      <c r="A196" s="8" t="inlineStr">
        <is>
          <t>PAYAPP-ARM-2318-202602</t>
        </is>
      </c>
      <c r="B196" s="8" t="inlineStr">
        <is>
          <t>ARM-2318</t>
        </is>
      </c>
      <c r="C196" s="8" t="inlineStr">
        <is>
          <t>Columbia Biologics, Inc.</t>
        </is>
      </c>
      <c r="D196" s="22" t="n">
        <v>46081</v>
      </c>
      <c r="E196" s="22" t="n">
        <v>46111</v>
      </c>
      <c r="F196" s="9" t="n">
        <v>32837.34</v>
      </c>
      <c r="G196" s="23" t="n">
        <v>46111</v>
      </c>
      <c r="H196" s="24" t="inlineStr">
        <is>
          <t>Medium</t>
        </is>
      </c>
      <c r="I196" s="24" t="inlineStr">
        <is>
          <t>Contractual due date pending refreshed collection call</t>
        </is>
      </c>
      <c r="J196" s="8">
        <f>IFERROR(MATCH(G196,'13W Cash Forecast'!$B$4:$N$4,1),1)</f>
        <v/>
      </c>
    </row>
    <row r="197">
      <c r="A197" s="8" t="inlineStr">
        <is>
          <t>PAYAPP-ARM-2409-202602</t>
        </is>
      </c>
      <c r="B197" s="8" t="inlineStr">
        <is>
          <t>ARM-2409</t>
        </is>
      </c>
      <c r="C197" s="8" t="inlineStr">
        <is>
          <t>Northline Cold Storage Holdings</t>
        </is>
      </c>
      <c r="D197" s="22" t="n">
        <v>46081</v>
      </c>
      <c r="E197" s="22" t="n">
        <v>46111</v>
      </c>
      <c r="F197" s="9" t="n">
        <v>16573.32</v>
      </c>
      <c r="G197" s="23" t="n">
        <v>46111</v>
      </c>
      <c r="H197" s="24" t="inlineStr">
        <is>
          <t>Medium</t>
        </is>
      </c>
      <c r="I197" s="24" t="inlineStr">
        <is>
          <t>Contractual due date pending refreshed collection call</t>
        </is>
      </c>
      <c r="J197" s="8">
        <f>IFERROR(MATCH(G197,'13W Cash Forecast'!$B$4:$N$4,1),1)</f>
        <v/>
      </c>
    </row>
    <row r="198">
      <c r="A198" s="8" t="inlineStr">
        <is>
          <t>PAYAPP-ARM-2421-202602</t>
        </is>
      </c>
      <c r="B198" s="8" t="inlineStr">
        <is>
          <t>ARM-2421</t>
        </is>
      </c>
      <c r="C198" s="8" t="inlineStr">
        <is>
          <t>Juniper Hospitality Partners</t>
        </is>
      </c>
      <c r="D198" s="22" t="n">
        <v>46081</v>
      </c>
      <c r="E198" s="22" t="n">
        <v>46111</v>
      </c>
      <c r="F198" s="9" t="n">
        <v>10050.49</v>
      </c>
      <c r="G198" s="23" t="n">
        <v>46111</v>
      </c>
      <c r="H198" s="24" t="inlineStr">
        <is>
          <t>Medium</t>
        </is>
      </c>
      <c r="I198" s="24" t="inlineStr">
        <is>
          <t>Contractual due date pending refreshed collection call</t>
        </is>
      </c>
      <c r="J198" s="8">
        <f>IFERROR(MATCH(G198,'13W Cash Forecast'!$B$4:$N$4,1),1)</f>
        <v/>
      </c>
    </row>
    <row r="199">
      <c r="A199" s="8" t="inlineStr">
        <is>
          <t>PAYAPP-ARM-2506-202602</t>
        </is>
      </c>
      <c r="B199" s="8" t="inlineStr">
        <is>
          <t>ARM-2506</t>
        </is>
      </c>
      <c r="C199" s="8" t="inlineStr">
        <is>
          <t>Eastbank Data Infrastructure, LP</t>
        </is>
      </c>
      <c r="D199" s="22" t="n">
        <v>46081</v>
      </c>
      <c r="E199" s="22" t="n">
        <v>46111</v>
      </c>
      <c r="F199" s="9" t="n">
        <v>89827.97</v>
      </c>
      <c r="G199" s="23" t="n">
        <v>46111</v>
      </c>
      <c r="H199" s="24" t="inlineStr">
        <is>
          <t>Medium</t>
        </is>
      </c>
      <c r="I199" s="24" t="inlineStr">
        <is>
          <t>Contractual due date pending refreshed collection call</t>
        </is>
      </c>
      <c r="J199" s="8">
        <f>IFERROR(MATCH(G199,'13W Cash Forecast'!$B$4:$N$4,1),1)</f>
        <v/>
      </c>
    </row>
    <row r="200">
      <c r="A200" s="8" t="inlineStr">
        <is>
          <t>PAYAPP-ARM-2510-202602</t>
        </is>
      </c>
      <c r="B200" s="8" t="inlineStr">
        <is>
          <t>ARM-2510</t>
        </is>
      </c>
      <c r="C200" s="8" t="inlineStr">
        <is>
          <t>Hawthorne Urban Development, LLC</t>
        </is>
      </c>
      <c r="D200" s="22" t="n">
        <v>46081</v>
      </c>
      <c r="E200" s="22" t="n">
        <v>46111</v>
      </c>
      <c r="F200" s="9" t="n">
        <v>56253.83</v>
      </c>
      <c r="G200" s="23" t="n">
        <v>46111</v>
      </c>
      <c r="H200" s="24" t="inlineStr">
        <is>
          <t>Medium</t>
        </is>
      </c>
      <c r="I200" s="24" t="inlineStr">
        <is>
          <t>Contractual due date pending refreshed collection call</t>
        </is>
      </c>
      <c r="J200" s="8">
        <f>IFERROR(MATCH(G200,'13W Cash Forecast'!$B$4:$N$4,1),1)</f>
        <v/>
      </c>
    </row>
    <row r="201">
      <c r="A201" s="8" t="inlineStr">
        <is>
          <t>PAYAPP-ARM-2522-202602</t>
        </is>
      </c>
      <c r="B201" s="8" t="inlineStr">
        <is>
          <t>ARM-2522</t>
        </is>
      </c>
      <c r="C201" s="8" t="inlineStr">
        <is>
          <t>Summit Surgical Properties</t>
        </is>
      </c>
      <c r="D201" s="22" t="n">
        <v>46081</v>
      </c>
      <c r="E201" s="22" t="n">
        <v>46111</v>
      </c>
      <c r="F201" s="9" t="n">
        <v>40809.94</v>
      </c>
      <c r="G201" s="23" t="n">
        <v>46111</v>
      </c>
      <c r="H201" s="24" t="inlineStr">
        <is>
          <t>Medium</t>
        </is>
      </c>
      <c r="I201" s="24" t="inlineStr">
        <is>
          <t>Contractual due date pending refreshed collection call</t>
        </is>
      </c>
      <c r="J201" s="8">
        <f>IFERROR(MATCH(G201,'13W Cash Forecast'!$B$4:$N$4,1),1)</f>
        <v/>
      </c>
    </row>
    <row r="202">
      <c r="A202" s="8" t="inlineStr">
        <is>
          <t>PAYAPP-ARM-2526-202602</t>
        </is>
      </c>
      <c r="B202" s="8" t="inlineStr">
        <is>
          <t>ARM-2526</t>
        </is>
      </c>
      <c r="C202" s="8" t="inlineStr">
        <is>
          <t>Willamette Food Cooperative</t>
        </is>
      </c>
      <c r="D202" s="22" t="n">
        <v>46081</v>
      </c>
      <c r="E202" s="22" t="n">
        <v>46111</v>
      </c>
      <c r="F202" s="9" t="n">
        <v>16903.75</v>
      </c>
      <c r="G202" s="23" t="n">
        <v>46111</v>
      </c>
      <c r="H202" s="24" t="inlineStr">
        <is>
          <t>Low</t>
        </is>
      </c>
      <c r="I202" s="24" t="inlineStr">
        <is>
          <t>Awaiting project-accountant follow-up</t>
        </is>
      </c>
      <c r="J202" s="8">
        <f>IFERROR(MATCH(G202,'13W Cash Forecast'!$B$4:$N$4,1),1)</f>
        <v/>
      </c>
    </row>
    <row r="203">
      <c r="A203" s="8" t="inlineStr">
        <is>
          <t>PAYAPP-ARM-2602-202602</t>
        </is>
      </c>
      <c r="B203" s="8" t="inlineStr">
        <is>
          <t>ARM-2602</t>
        </is>
      </c>
      <c r="C203" s="8" t="inlineStr">
        <is>
          <t>Pacific Northwest Distribution REIT</t>
        </is>
      </c>
      <c r="D203" s="22" t="n">
        <v>46081</v>
      </c>
      <c r="E203" s="22" t="n">
        <v>46111</v>
      </c>
      <c r="F203" s="9" t="n">
        <v>25622.53</v>
      </c>
      <c r="G203" s="23" t="n">
        <v>46111</v>
      </c>
      <c r="H203" s="24" t="inlineStr">
        <is>
          <t>Medium</t>
        </is>
      </c>
      <c r="I203" s="24" t="inlineStr">
        <is>
          <t>Contractual due date pending refreshed collection call</t>
        </is>
      </c>
      <c r="J203" s="8">
        <f>IFERROR(MATCH(G203,'13W Cash Forecast'!$B$4:$N$4,1),1)</f>
        <v/>
      </c>
    </row>
    <row r="204">
      <c r="A204" s="8" t="inlineStr">
        <is>
          <t>PAYAPP-ARM-2605-202602</t>
        </is>
      </c>
      <c r="B204" s="8" t="inlineStr">
        <is>
          <t>ARM-2605</t>
        </is>
      </c>
      <c r="C204" s="8" t="inlineStr">
        <is>
          <t>Rose Quarter Entertainment Holdings</t>
        </is>
      </c>
      <c r="D204" s="22" t="n">
        <v>46081</v>
      </c>
      <c r="E204" s="22" t="n">
        <v>46111</v>
      </c>
      <c r="F204" s="9" t="n">
        <v>14015.86</v>
      </c>
      <c r="G204" s="23" t="n">
        <v>46111</v>
      </c>
      <c r="H204" s="24" t="inlineStr">
        <is>
          <t>Medium</t>
        </is>
      </c>
      <c r="I204" s="24" t="inlineStr">
        <is>
          <t>Contractual due date pending refreshed collection call</t>
        </is>
      </c>
      <c r="J204" s="8">
        <f>IFERROR(MATCH(G204,'13W Cash Forecast'!$B$4:$N$4,1),1)</f>
        <v/>
      </c>
    </row>
    <row r="205">
      <c r="A205" s="8" t="inlineStr">
        <is>
          <t>PAYAPP-ARM-2403-202602</t>
        </is>
      </c>
      <c r="B205" s="8" t="inlineStr">
        <is>
          <t>ARM-2403</t>
        </is>
      </c>
      <c r="C205" s="8" t="inlineStr">
        <is>
          <t>City of Riverton Facilities Bureau</t>
        </is>
      </c>
      <c r="D205" s="22" t="n">
        <v>46081</v>
      </c>
      <c r="E205" s="22" t="n">
        <v>46126</v>
      </c>
      <c r="F205" s="9" t="n">
        <v>18827.09</v>
      </c>
      <c r="G205" s="23" t="n">
        <v>46126</v>
      </c>
      <c r="H205" s="24" t="inlineStr">
        <is>
          <t>Medium</t>
        </is>
      </c>
      <c r="I205" s="24" t="inlineStr">
        <is>
          <t>Contractual due date pending refreshed collection call</t>
        </is>
      </c>
      <c r="J205" s="8">
        <f>IFERROR(MATCH(G205,'13W Cash Forecast'!$B$4:$N$4,1),1)</f>
        <v/>
      </c>
    </row>
    <row r="206">
      <c r="A206" s="8" t="inlineStr">
        <is>
          <t>PAYAPP-ARM-2412-202602</t>
        </is>
      </c>
      <c r="B206" s="8" t="inlineStr">
        <is>
          <t>ARM-2412</t>
        </is>
      </c>
      <c r="C206" s="8" t="inlineStr">
        <is>
          <t>Oregon State University - Capital Planning</t>
        </is>
      </c>
      <c r="D206" s="22" t="n">
        <v>46081</v>
      </c>
      <c r="E206" s="22" t="n">
        <v>46126</v>
      </c>
      <c r="F206" s="9" t="n">
        <v>18645.73</v>
      </c>
      <c r="G206" s="23" t="n">
        <v>46126</v>
      </c>
      <c r="H206" s="24" t="inlineStr">
        <is>
          <t>Medium</t>
        </is>
      </c>
      <c r="I206" s="24" t="inlineStr">
        <is>
          <t>Contractual due date pending refreshed collection call</t>
        </is>
      </c>
      <c r="J206" s="8">
        <f>IFERROR(MATCH(G206,'13W Cash Forecast'!$B$4:$N$4,1),1)</f>
        <v/>
      </c>
    </row>
    <row r="207">
      <c r="A207" s="8" t="inlineStr">
        <is>
          <t>PAYAPP-ARM-2417-202602</t>
        </is>
      </c>
      <c r="B207" s="8" t="inlineStr">
        <is>
          <t>ARM-2417</t>
        </is>
      </c>
      <c r="C207" s="8" t="inlineStr">
        <is>
          <t>Cascade Health Properties, LLC</t>
        </is>
      </c>
      <c r="D207" s="22" t="n">
        <v>46081</v>
      </c>
      <c r="E207" s="22" t="n">
        <v>46126</v>
      </c>
      <c r="F207" s="9" t="n">
        <v>77103.81</v>
      </c>
      <c r="G207" s="23" t="n">
        <v>46126</v>
      </c>
      <c r="H207" s="24" t="inlineStr">
        <is>
          <t>Medium</t>
        </is>
      </c>
      <c r="I207" s="24" t="inlineStr">
        <is>
          <t>Contractual due date pending refreshed collection call</t>
        </is>
      </c>
      <c r="J207" s="8">
        <f>IFERROR(MATCH(G207,'13W Cash Forecast'!$B$4:$N$4,1),1)</f>
        <v/>
      </c>
    </row>
    <row r="208">
      <c r="A208" s="8" t="inlineStr">
        <is>
          <t>PAYAPP-ARM-2501-202602</t>
        </is>
      </c>
      <c r="B208" s="8" t="inlineStr">
        <is>
          <t>ARM-2501</t>
        </is>
      </c>
      <c r="C208" s="8" t="inlineStr">
        <is>
          <t>Port of Portland Aviation</t>
        </is>
      </c>
      <c r="D208" s="22" t="n">
        <v>46081</v>
      </c>
      <c r="E208" s="22" t="n">
        <v>46126</v>
      </c>
      <c r="F208" s="9" t="n">
        <v>17633.29</v>
      </c>
      <c r="G208" s="23" t="n">
        <v>46126</v>
      </c>
      <c r="H208" s="24" t="inlineStr">
        <is>
          <t>Medium</t>
        </is>
      </c>
      <c r="I208" s="24" t="inlineStr">
        <is>
          <t>Contractual due date pending refreshed collection call</t>
        </is>
      </c>
      <c r="J208" s="8">
        <f>IFERROR(MATCH(G208,'13W Cash Forecast'!$B$4:$N$4,1),1)</f>
        <v/>
      </c>
    </row>
    <row r="209">
      <c r="A209" s="8" t="inlineStr">
        <is>
          <t>PAYAPP-ARM-2514-202602</t>
        </is>
      </c>
      <c r="B209" s="8" t="inlineStr">
        <is>
          <t>ARM-2514</t>
        </is>
      </c>
      <c r="C209" s="8" t="inlineStr">
        <is>
          <t>Redmond Unified School District</t>
        </is>
      </c>
      <c r="D209" s="22" t="n">
        <v>46081</v>
      </c>
      <c r="E209" s="22" t="n">
        <v>46126</v>
      </c>
      <c r="F209" s="9" t="n">
        <v>51638.1</v>
      </c>
      <c r="G209" s="23" t="n">
        <v>46126</v>
      </c>
      <c r="H209" s="24" t="inlineStr">
        <is>
          <t>Low</t>
        </is>
      </c>
      <c r="I209" s="24" t="inlineStr">
        <is>
          <t>Awaiting project-accountant follow-up</t>
        </is>
      </c>
      <c r="J209" s="8">
        <f>IFERROR(MATCH(G209,'13W Cash Forecast'!$B$4:$N$4,1),1)</f>
        <v/>
      </c>
    </row>
    <row r="210">
      <c r="A210" s="8" t="inlineStr">
        <is>
          <t>PAYAPP-ARM-2518-202602</t>
        </is>
      </c>
      <c r="B210" s="8" t="inlineStr">
        <is>
          <t>ARM-2518</t>
        </is>
      </c>
      <c r="C210" s="8" t="inlineStr">
        <is>
          <t>Deschutes County Public Works</t>
        </is>
      </c>
      <c r="D210" s="22" t="n">
        <v>46081</v>
      </c>
      <c r="E210" s="22" t="n">
        <v>46126</v>
      </c>
      <c r="F210" s="9" t="n">
        <v>18100.72</v>
      </c>
      <c r="G210" s="23" t="n">
        <v>46126</v>
      </c>
      <c r="H210" s="24" t="inlineStr">
        <is>
          <t>Medium</t>
        </is>
      </c>
      <c r="I210" s="24" t="inlineStr">
        <is>
          <t>Contractual due date pending refreshed collection call</t>
        </is>
      </c>
      <c r="J210" s="8">
        <f>IFERROR(MATCH(G210,'13W Cash Forecast'!$B$4:$N$4,1),1)</f>
        <v/>
      </c>
    </row>
    <row r="211">
      <c r="A211" s="8" t="inlineStr">
        <is>
          <t>PAYAPP-ARM-2318-202603</t>
        </is>
      </c>
      <c r="B211" s="8" t="inlineStr">
        <is>
          <t>ARM-2318</t>
        </is>
      </c>
      <c r="C211" s="8" t="inlineStr">
        <is>
          <t>Columbia Biologics, Inc.</t>
        </is>
      </c>
      <c r="D211" s="22" t="n">
        <v>46112</v>
      </c>
      <c r="E211" s="22" t="n">
        <v>46142</v>
      </c>
      <c r="F211" s="9" t="n">
        <v>27321.45</v>
      </c>
      <c r="G211" s="23" t="n">
        <v>46142</v>
      </c>
      <c r="H211" s="24" t="inlineStr">
        <is>
          <t>Medium</t>
        </is>
      </c>
      <c r="I211" s="24" t="inlineStr">
        <is>
          <t>Contractual due date pending refreshed collection call</t>
        </is>
      </c>
      <c r="J211" s="8">
        <f>IFERROR(MATCH(G211,'13W Cash Forecast'!$B$4:$N$4,1),1)</f>
        <v/>
      </c>
    </row>
    <row r="212">
      <c r="A212" s="8" t="inlineStr">
        <is>
          <t>PAYAPP-ARM-2409-202603</t>
        </is>
      </c>
      <c r="B212" s="8" t="inlineStr">
        <is>
          <t>ARM-2409</t>
        </is>
      </c>
      <c r="C212" s="8" t="inlineStr">
        <is>
          <t>Northline Cold Storage Holdings</t>
        </is>
      </c>
      <c r="D212" s="22" t="n">
        <v>46112</v>
      </c>
      <c r="E212" s="22" t="n">
        <v>46142</v>
      </c>
      <c r="F212" s="9" t="n">
        <v>16223.21</v>
      </c>
      <c r="G212" s="23" t="n">
        <v>46142</v>
      </c>
      <c r="H212" s="24" t="inlineStr">
        <is>
          <t>Medium</t>
        </is>
      </c>
      <c r="I212" s="24" t="inlineStr">
        <is>
          <t>Contractual due date pending refreshed collection call</t>
        </is>
      </c>
      <c r="J212" s="8">
        <f>IFERROR(MATCH(G212,'13W Cash Forecast'!$B$4:$N$4,1),1)</f>
        <v/>
      </c>
    </row>
    <row r="213">
      <c r="A213" s="8" t="inlineStr">
        <is>
          <t>PAYAPP-ARM-2421-202603</t>
        </is>
      </c>
      <c r="B213" s="8" t="inlineStr">
        <is>
          <t>ARM-2421</t>
        </is>
      </c>
      <c r="C213" s="8" t="inlineStr">
        <is>
          <t>Juniper Hospitality Partners</t>
        </is>
      </c>
      <c r="D213" s="22" t="n">
        <v>46112</v>
      </c>
      <c r="E213" s="22" t="n">
        <v>46142</v>
      </c>
      <c r="F213" s="9" t="n">
        <v>9066.389999999999</v>
      </c>
      <c r="G213" s="23" t="n">
        <v>46142</v>
      </c>
      <c r="H213" s="24" t="inlineStr">
        <is>
          <t>Medium</t>
        </is>
      </c>
      <c r="I213" s="24" t="inlineStr">
        <is>
          <t>Contractual due date pending refreshed collection call</t>
        </is>
      </c>
      <c r="J213" s="8">
        <f>IFERROR(MATCH(G213,'13W Cash Forecast'!$B$4:$N$4,1),1)</f>
        <v/>
      </c>
    </row>
    <row r="214">
      <c r="A214" s="8" t="inlineStr">
        <is>
          <t>PAYAPP-ARM-2506-202603</t>
        </is>
      </c>
      <c r="B214" s="8" t="inlineStr">
        <is>
          <t>ARM-2506</t>
        </is>
      </c>
      <c r="C214" s="8" t="inlineStr">
        <is>
          <t>Eastbank Data Infrastructure, LP</t>
        </is>
      </c>
      <c r="D214" s="22" t="n">
        <v>46112</v>
      </c>
      <c r="E214" s="22" t="n">
        <v>46142</v>
      </c>
      <c r="F214" s="9" t="n">
        <v>59927.54</v>
      </c>
      <c r="G214" s="23" t="n">
        <v>46142</v>
      </c>
      <c r="H214" s="24" t="inlineStr">
        <is>
          <t>Medium</t>
        </is>
      </c>
      <c r="I214" s="24" t="inlineStr">
        <is>
          <t>Contractual due date pending refreshed collection call</t>
        </is>
      </c>
      <c r="J214" s="8">
        <f>IFERROR(MATCH(G214,'13W Cash Forecast'!$B$4:$N$4,1),1)</f>
        <v/>
      </c>
    </row>
    <row r="215">
      <c r="A215" s="8" t="inlineStr">
        <is>
          <t>PAYAPP-ARM-2510-202603</t>
        </is>
      </c>
      <c r="B215" s="8" t="inlineStr">
        <is>
          <t>ARM-2510</t>
        </is>
      </c>
      <c r="C215" s="8" t="inlineStr">
        <is>
          <t>Hawthorne Urban Development, LLC</t>
        </is>
      </c>
      <c r="D215" s="22" t="n">
        <v>46112</v>
      </c>
      <c r="E215" s="22" t="n">
        <v>46142</v>
      </c>
      <c r="F215" s="9" t="n">
        <v>48536.45</v>
      </c>
      <c r="G215" s="23" t="n">
        <v>46142</v>
      </c>
      <c r="H215" s="24" t="inlineStr">
        <is>
          <t>Medium</t>
        </is>
      </c>
      <c r="I215" s="24" t="inlineStr">
        <is>
          <t>Contractual due date pending refreshed collection call</t>
        </is>
      </c>
      <c r="J215" s="8">
        <f>IFERROR(MATCH(G215,'13W Cash Forecast'!$B$4:$N$4,1),1)</f>
        <v/>
      </c>
    </row>
    <row r="216">
      <c r="A216" s="8" t="inlineStr">
        <is>
          <t>PAYAPP-ARM-2522-202603</t>
        </is>
      </c>
      <c r="B216" s="8" t="inlineStr">
        <is>
          <t>ARM-2522</t>
        </is>
      </c>
      <c r="C216" s="8" t="inlineStr">
        <is>
          <t>Summit Surgical Properties</t>
        </is>
      </c>
      <c r="D216" s="22" t="n">
        <v>46112</v>
      </c>
      <c r="E216" s="22" t="n">
        <v>46142</v>
      </c>
      <c r="F216" s="9" t="n">
        <v>35032.14</v>
      </c>
      <c r="G216" s="23" t="n">
        <v>46142</v>
      </c>
      <c r="H216" s="24" t="inlineStr">
        <is>
          <t>Low</t>
        </is>
      </c>
      <c r="I216" s="24" t="inlineStr">
        <is>
          <t>Awaiting project-accountant follow-up</t>
        </is>
      </c>
      <c r="J216" s="8">
        <f>IFERROR(MATCH(G216,'13W Cash Forecast'!$B$4:$N$4,1),1)</f>
        <v/>
      </c>
    </row>
    <row r="217">
      <c r="A217" s="8" t="inlineStr">
        <is>
          <t>PAYAPP-ARM-2526-202603</t>
        </is>
      </c>
      <c r="B217" s="8" t="inlineStr">
        <is>
          <t>ARM-2526</t>
        </is>
      </c>
      <c r="C217" s="8" t="inlineStr">
        <is>
          <t>Willamette Food Cooperative</t>
        </is>
      </c>
      <c r="D217" s="22" t="n">
        <v>46112</v>
      </c>
      <c r="E217" s="22" t="n">
        <v>46142</v>
      </c>
      <c r="F217" s="9" t="n">
        <v>15017.25</v>
      </c>
      <c r="G217" s="23" t="n">
        <v>46142</v>
      </c>
      <c r="H217" s="24" t="inlineStr">
        <is>
          <t>Medium</t>
        </is>
      </c>
      <c r="I217" s="24" t="inlineStr">
        <is>
          <t>Contractual due date pending refreshed collection call</t>
        </is>
      </c>
      <c r="J217" s="8">
        <f>IFERROR(MATCH(G217,'13W Cash Forecast'!$B$4:$N$4,1),1)</f>
        <v/>
      </c>
    </row>
    <row r="218">
      <c r="A218" s="8" t="inlineStr">
        <is>
          <t>PAYAPP-ARM-2602-202603</t>
        </is>
      </c>
      <c r="B218" s="8" t="inlineStr">
        <is>
          <t>ARM-2602</t>
        </is>
      </c>
      <c r="C218" s="8" t="inlineStr">
        <is>
          <t>Pacific Northwest Distribution REIT</t>
        </is>
      </c>
      <c r="D218" s="22" t="n">
        <v>46112</v>
      </c>
      <c r="E218" s="22" t="n">
        <v>46142</v>
      </c>
      <c r="F218" s="9" t="n">
        <v>33323.4</v>
      </c>
      <c r="G218" s="23" t="n">
        <v>46142</v>
      </c>
      <c r="H218" s="24" t="inlineStr">
        <is>
          <t>Medium</t>
        </is>
      </c>
      <c r="I218" s="24" t="inlineStr">
        <is>
          <t>Contractual due date pending refreshed collection call</t>
        </is>
      </c>
      <c r="J218" s="8">
        <f>IFERROR(MATCH(G218,'13W Cash Forecast'!$B$4:$N$4,1),1)</f>
        <v/>
      </c>
    </row>
    <row r="219">
      <c r="A219" s="8" t="inlineStr">
        <is>
          <t>PAYAPP-ARM-2605-202603</t>
        </is>
      </c>
      <c r="B219" s="8" t="inlineStr">
        <is>
          <t>ARM-2605</t>
        </is>
      </c>
      <c r="C219" s="8" t="inlineStr">
        <is>
          <t>Rose Quarter Entertainment Holdings</t>
        </is>
      </c>
      <c r="D219" s="22" t="n">
        <v>46112</v>
      </c>
      <c r="E219" s="22" t="n">
        <v>46142</v>
      </c>
      <c r="F219" s="9" t="n">
        <v>26960.48</v>
      </c>
      <c r="G219" s="23" t="n">
        <v>46142</v>
      </c>
      <c r="H219" s="24" t="inlineStr">
        <is>
          <t>Medium</t>
        </is>
      </c>
      <c r="I219" s="24" t="inlineStr">
        <is>
          <t>Contractual due date pending refreshed collection call</t>
        </is>
      </c>
      <c r="J219" s="8">
        <f>IFERROR(MATCH(G219,'13W Cash Forecast'!$B$4:$N$4,1),1)</f>
        <v/>
      </c>
    </row>
    <row r="220">
      <c r="A220" s="8" t="inlineStr">
        <is>
          <t>AR-0030496</t>
        </is>
      </c>
      <c r="B220" s="8" t="inlineStr">
        <is>
          <t>Service</t>
        </is>
      </c>
      <c r="C220" s="8" t="inlineStr">
        <is>
          <t>Lake Oswego Office Partners - East Campus Services</t>
        </is>
      </c>
      <c r="D220" s="22" t="n">
        <v>46098</v>
      </c>
      <c r="E220" s="22" t="n">
        <v>46143</v>
      </c>
      <c r="F220" s="9" t="n">
        <v>974.42</v>
      </c>
      <c r="G220" s="23" t="n">
        <v>46143</v>
      </c>
      <c r="H220" s="24" t="inlineStr">
        <is>
          <t>Medium</t>
        </is>
      </c>
      <c r="I220" s="24" t="inlineStr">
        <is>
          <t>Contractual due date pending refreshed collection call</t>
        </is>
      </c>
      <c r="J220" s="8">
        <f>IFERROR(MATCH(G220,'13W Cash Forecast'!$B$4:$N$4,1),1)</f>
        <v/>
      </c>
    </row>
    <row r="221">
      <c r="A221" s="8" t="inlineStr">
        <is>
          <t>AR-0030658</t>
        </is>
      </c>
      <c r="B221" s="8" t="inlineStr">
        <is>
          <t>Service</t>
        </is>
      </c>
      <c r="C221" s="8" t="inlineStr">
        <is>
          <t>Klamath County Facilities - South Property Group</t>
        </is>
      </c>
      <c r="D221" s="22" t="n">
        <v>46113</v>
      </c>
      <c r="E221" s="22" t="n">
        <v>46143</v>
      </c>
      <c r="F221" s="9" t="n">
        <v>421.79</v>
      </c>
      <c r="G221" s="23" t="n">
        <v>46143</v>
      </c>
      <c r="H221" s="24" t="inlineStr">
        <is>
          <t>Medium</t>
        </is>
      </c>
      <c r="I221" s="24" t="inlineStr">
        <is>
          <t>Contractual due date pending refreshed collection call</t>
        </is>
      </c>
      <c r="J221" s="8">
        <f>IFERROR(MATCH(G221,'13W Cash Forecast'!$B$4:$N$4,1),1)</f>
        <v/>
      </c>
    </row>
    <row r="222">
      <c r="A222" s="8" t="inlineStr">
        <is>
          <t>AR-0030685</t>
        </is>
      </c>
      <c r="B222" s="8" t="inlineStr">
        <is>
          <t>Service</t>
        </is>
      </c>
      <c r="C222" s="8" t="inlineStr">
        <is>
          <t>Summit Surgical Properties</t>
        </is>
      </c>
      <c r="D222" s="22" t="n">
        <v>46113</v>
      </c>
      <c r="E222" s="22" t="n">
        <v>46143</v>
      </c>
      <c r="F222" s="9" t="n">
        <v>1197.45</v>
      </c>
      <c r="G222" s="23" t="n">
        <v>46143</v>
      </c>
      <c r="H222" s="24" t="inlineStr">
        <is>
          <t>Medium</t>
        </is>
      </c>
      <c r="I222" s="24" t="inlineStr">
        <is>
          <t>Contractual due date pending refreshed collection call</t>
        </is>
      </c>
      <c r="J222" s="8">
        <f>IFERROR(MATCH(G222,'13W Cash Forecast'!$B$4:$N$4,1),1)</f>
        <v/>
      </c>
    </row>
    <row r="223">
      <c r="A223" s="8" t="inlineStr">
        <is>
          <t>AR-0030733</t>
        </is>
      </c>
      <c r="B223" s="8" t="inlineStr">
        <is>
          <t>Service</t>
        </is>
      </c>
      <c r="C223" s="8" t="inlineStr">
        <is>
          <t>Hillsboro Life Sciences Operating Company</t>
        </is>
      </c>
      <c r="D223" s="22" t="n">
        <v>46128</v>
      </c>
      <c r="E223" s="22" t="n">
        <v>46143</v>
      </c>
      <c r="F223" s="9" t="n">
        <v>567.9299999999999</v>
      </c>
      <c r="G223" s="23" t="n">
        <v>46143</v>
      </c>
      <c r="H223" s="24" t="inlineStr">
        <is>
          <t>Low</t>
        </is>
      </c>
      <c r="I223" s="24" t="inlineStr">
        <is>
          <t>Awaiting project-accountant follow-up</t>
        </is>
      </c>
      <c r="J223" s="8">
        <f>IFERROR(MATCH(G223,'13W Cash Forecast'!$B$4:$N$4,1),1)</f>
        <v/>
      </c>
    </row>
    <row r="224">
      <c r="A224" s="8" t="inlineStr">
        <is>
          <t>AR-0030739</t>
        </is>
      </c>
      <c r="B224" s="8" t="inlineStr">
        <is>
          <t>Service</t>
        </is>
      </c>
      <c r="C224" s="8" t="inlineStr">
        <is>
          <t>Copperline Apartments - Campus LLC</t>
        </is>
      </c>
      <c r="D224" s="22" t="n">
        <v>46113</v>
      </c>
      <c r="E224" s="22" t="n">
        <v>46143</v>
      </c>
      <c r="F224" s="9" t="n">
        <v>278.62</v>
      </c>
      <c r="G224" s="23" t="n">
        <v>46143</v>
      </c>
      <c r="H224" s="24" t="inlineStr">
        <is>
          <t>Medium</t>
        </is>
      </c>
      <c r="I224" s="24" t="inlineStr">
        <is>
          <t>Contractual due date pending refreshed collection call</t>
        </is>
      </c>
      <c r="J224" s="8">
        <f>IFERROR(MATCH(G224,'13W Cash Forecast'!$B$4:$N$4,1),1)</f>
        <v/>
      </c>
    </row>
    <row r="225">
      <c r="A225" s="8" t="inlineStr">
        <is>
          <t>AR-0030793</t>
        </is>
      </c>
      <c r="B225" s="8" t="inlineStr">
        <is>
          <t>Service</t>
        </is>
      </c>
      <c r="C225" s="8" t="inlineStr">
        <is>
          <t>Sunrise Hospitality - East Development Company</t>
        </is>
      </c>
      <c r="D225" s="22" t="n">
        <v>46113</v>
      </c>
      <c r="E225" s="22" t="n">
        <v>46143</v>
      </c>
      <c r="F225" s="9" t="n">
        <v>237.42</v>
      </c>
      <c r="G225" s="23" t="n">
        <v>46143</v>
      </c>
      <c r="H225" s="24" t="inlineStr">
        <is>
          <t>Medium</t>
        </is>
      </c>
      <c r="I225" s="24" t="inlineStr">
        <is>
          <t>Contractual due date pending refreshed collection call</t>
        </is>
      </c>
      <c r="J225" s="8">
        <f>IFERROR(MATCH(G225,'13W Cash Forecast'!$B$4:$N$4,1),1)</f>
        <v/>
      </c>
    </row>
    <row r="226">
      <c r="A226" s="8" t="inlineStr">
        <is>
          <t>AR-0030820</t>
        </is>
      </c>
      <c r="B226" s="8" t="inlineStr">
        <is>
          <t>Service</t>
        </is>
      </c>
      <c r="C226" s="8" t="inlineStr">
        <is>
          <t>Columbia River Logistics - Portfolio Partners, LP</t>
        </is>
      </c>
      <c r="D226" s="22" t="n">
        <v>46113</v>
      </c>
      <c r="E226" s="22" t="n">
        <v>46143</v>
      </c>
      <c r="F226" s="9" t="n">
        <v>621.97</v>
      </c>
      <c r="G226" s="23" t="n">
        <v>46143</v>
      </c>
      <c r="H226" s="24" t="inlineStr">
        <is>
          <t>Medium</t>
        </is>
      </c>
      <c r="I226" s="24" t="inlineStr">
        <is>
          <t>Contractual due date pending refreshed collection call</t>
        </is>
      </c>
      <c r="J226" s="8">
        <f>IFERROR(MATCH(G226,'13W Cash Forecast'!$B$4:$N$4,1),1)</f>
        <v/>
      </c>
    </row>
    <row r="227">
      <c r="A227" s="8" t="inlineStr">
        <is>
          <t>AR-0030868</t>
        </is>
      </c>
      <c r="B227" s="8" t="inlineStr">
        <is>
          <t>Service</t>
        </is>
      </c>
      <c r="C227" s="8" t="inlineStr">
        <is>
          <t>Hillsboro Life Sciences - Campus Campus Services</t>
        </is>
      </c>
      <c r="D227" s="22" t="n">
        <v>46128</v>
      </c>
      <c r="E227" s="22" t="n">
        <v>46143</v>
      </c>
      <c r="F227" s="9" t="n">
        <v>1612</v>
      </c>
      <c r="G227" s="23" t="n">
        <v>46143</v>
      </c>
      <c r="H227" s="24" t="inlineStr">
        <is>
          <t>Medium</t>
        </is>
      </c>
      <c r="I227" s="24" t="inlineStr">
        <is>
          <t>Contractual due date pending refreshed collection call</t>
        </is>
      </c>
      <c r="J227" s="8">
        <f>IFERROR(MATCH(G227,'13W Cash Forecast'!$B$4:$N$4,1),1)</f>
        <v/>
      </c>
    </row>
    <row r="228">
      <c r="A228" s="8" t="inlineStr">
        <is>
          <t>AR-0030874</t>
        </is>
      </c>
      <c r="B228" s="8" t="inlineStr">
        <is>
          <t>Service</t>
        </is>
      </c>
      <c r="C228" s="8" t="inlineStr">
        <is>
          <t>Salem Surgical Partners - Campus Development Company</t>
        </is>
      </c>
      <c r="D228" s="22" t="n">
        <v>46113</v>
      </c>
      <c r="E228" s="22" t="n">
        <v>46143</v>
      </c>
      <c r="F228" s="9" t="n">
        <v>566.79</v>
      </c>
      <c r="G228" s="23" t="n">
        <v>46143</v>
      </c>
      <c r="H228" s="24" t="inlineStr">
        <is>
          <t>Medium</t>
        </is>
      </c>
      <c r="I228" s="24" t="inlineStr">
        <is>
          <t>Contractual due date pending refreshed collection call</t>
        </is>
      </c>
      <c r="J228" s="8">
        <f>IFERROR(MATCH(G228,'13W Cash Forecast'!$B$4:$N$4,1),1)</f>
        <v/>
      </c>
    </row>
    <row r="229">
      <c r="A229" s="8" t="inlineStr">
        <is>
          <t>AR-0030690</t>
        </is>
      </c>
      <c r="B229" s="8" t="inlineStr">
        <is>
          <t>Service</t>
        </is>
      </c>
      <c r="C229" s="8" t="inlineStr">
        <is>
          <t>Oak Street Development - North Holdings, LLC</t>
        </is>
      </c>
      <c r="D229" s="22" t="n">
        <v>46114</v>
      </c>
      <c r="E229" s="22" t="n">
        <v>46144</v>
      </c>
      <c r="F229" s="9" t="n">
        <v>403.65</v>
      </c>
      <c r="G229" s="23" t="n">
        <v>46144</v>
      </c>
      <c r="H229" s="24" t="inlineStr">
        <is>
          <t>Medium</t>
        </is>
      </c>
      <c r="I229" s="24" t="inlineStr">
        <is>
          <t>Contractual due date pending refreshed collection call</t>
        </is>
      </c>
      <c r="J229" s="8">
        <f>IFERROR(MATCH(G229,'13W Cash Forecast'!$B$4:$N$4,1),1)</f>
        <v/>
      </c>
    </row>
    <row r="230">
      <c r="A230" s="8" t="inlineStr">
        <is>
          <t>AR-0030717</t>
        </is>
      </c>
      <c r="B230" s="8" t="inlineStr">
        <is>
          <t>Service</t>
        </is>
      </c>
      <c r="C230" s="8" t="inlineStr">
        <is>
          <t>Copperline Apartments Development Company</t>
        </is>
      </c>
      <c r="D230" s="22" t="n">
        <v>46114</v>
      </c>
      <c r="E230" s="22" t="n">
        <v>46144</v>
      </c>
      <c r="F230" s="9" t="n">
        <v>2145.38</v>
      </c>
      <c r="G230" s="23" t="n">
        <v>46144</v>
      </c>
      <c r="H230" s="24" t="inlineStr">
        <is>
          <t>Low</t>
        </is>
      </c>
      <c r="I230" s="24" t="inlineStr">
        <is>
          <t>Awaiting project-accountant follow-up</t>
        </is>
      </c>
      <c r="J230" s="8">
        <f>IFERROR(MATCH(G230,'13W Cash Forecast'!$B$4:$N$4,1),1)</f>
        <v/>
      </c>
    </row>
    <row r="231">
      <c r="A231" s="8" t="inlineStr">
        <is>
          <t>AR-0030744</t>
        </is>
      </c>
      <c r="B231" s="8" t="inlineStr">
        <is>
          <t>Service</t>
        </is>
      </c>
      <c r="C231" s="8" t="inlineStr">
        <is>
          <t>Valley View Food Systems Development Company</t>
        </is>
      </c>
      <c r="D231" s="22" t="n">
        <v>46114</v>
      </c>
      <c r="E231" s="22" t="n">
        <v>46144</v>
      </c>
      <c r="F231" s="9" t="n">
        <v>625.13</v>
      </c>
      <c r="G231" s="23" t="n">
        <v>46144</v>
      </c>
      <c r="H231" s="24" t="inlineStr">
        <is>
          <t>Medium</t>
        </is>
      </c>
      <c r="I231" s="24" t="inlineStr">
        <is>
          <t>Contractual due date pending refreshed collection call</t>
        </is>
      </c>
      <c r="J231" s="8">
        <f>IFERROR(MATCH(G231,'13W Cash Forecast'!$B$4:$N$4,1),1)</f>
        <v/>
      </c>
    </row>
    <row r="232">
      <c r="A232" s="8" t="inlineStr">
        <is>
          <t>AR-0030771</t>
        </is>
      </c>
      <c r="B232" s="8" t="inlineStr">
        <is>
          <t>Service</t>
        </is>
      </c>
      <c r="C232" s="8" t="inlineStr">
        <is>
          <t>High Desert Manufacturing - Portfolio Development Company</t>
        </is>
      </c>
      <c r="D232" s="22" t="n">
        <v>46114</v>
      </c>
      <c r="E232" s="22" t="n">
        <v>46144</v>
      </c>
      <c r="F232" s="9" t="n">
        <v>1205.14</v>
      </c>
      <c r="G232" s="23" t="n">
        <v>46144</v>
      </c>
      <c r="H232" s="24" t="inlineStr">
        <is>
          <t>Medium</t>
        </is>
      </c>
      <c r="I232" s="24" t="inlineStr">
        <is>
          <t>Contractual due date pending refreshed collection call</t>
        </is>
      </c>
      <c r="J232" s="8">
        <f>IFERROR(MATCH(G232,'13W Cash Forecast'!$B$4:$N$4,1),1)</f>
        <v/>
      </c>
    </row>
    <row r="233">
      <c r="A233" s="8" t="inlineStr">
        <is>
          <t>AR-0030798</t>
        </is>
      </c>
      <c r="B233" s="8" t="inlineStr">
        <is>
          <t>Service</t>
        </is>
      </c>
      <c r="C233" s="8" t="inlineStr">
        <is>
          <t>Pacific Crest Biotech - East Facilities</t>
        </is>
      </c>
      <c r="D233" s="22" t="n">
        <v>46114</v>
      </c>
      <c r="E233" s="22" t="n">
        <v>46144</v>
      </c>
      <c r="F233" s="9" t="n">
        <v>381.95</v>
      </c>
      <c r="G233" s="23" t="n">
        <v>46144</v>
      </c>
      <c r="H233" s="24" t="inlineStr">
        <is>
          <t>Medium</t>
        </is>
      </c>
      <c r="I233" s="24" t="inlineStr">
        <is>
          <t>Contractual due date pending refreshed collection call</t>
        </is>
      </c>
      <c r="J233" s="8">
        <f>IFERROR(MATCH(G233,'13W Cash Forecast'!$B$4:$N$4,1),1)</f>
        <v/>
      </c>
    </row>
    <row r="234">
      <c r="A234" s="8" t="inlineStr">
        <is>
          <t>AR-0030846</t>
        </is>
      </c>
      <c r="B234" s="8" t="inlineStr">
        <is>
          <t>Service</t>
        </is>
      </c>
      <c r="C234" s="8" t="inlineStr">
        <is>
          <t>Tualatin Commerce Center - West Real Estate, LLC</t>
        </is>
      </c>
      <c r="D234" s="22" t="n">
        <v>46129</v>
      </c>
      <c r="E234" s="22" t="n">
        <v>46144</v>
      </c>
      <c r="F234" s="9" t="n">
        <v>229.25</v>
      </c>
      <c r="G234" s="23" t="n">
        <v>46144</v>
      </c>
      <c r="H234" s="24" t="inlineStr">
        <is>
          <t>Medium</t>
        </is>
      </c>
      <c r="I234" s="24" t="inlineStr">
        <is>
          <t>Contractual due date pending refreshed collection call</t>
        </is>
      </c>
      <c r="J234" s="8">
        <f>IFERROR(MATCH(G234,'13W Cash Forecast'!$B$4:$N$4,1),1)</f>
        <v/>
      </c>
    </row>
    <row r="235">
      <c r="A235" s="8" t="inlineStr">
        <is>
          <t>AR-0030852</t>
        </is>
      </c>
      <c r="B235" s="8" t="inlineStr">
        <is>
          <t>Service</t>
        </is>
      </c>
      <c r="C235" s="8" t="inlineStr">
        <is>
          <t>Forest Park Hospitality - West Development Company</t>
        </is>
      </c>
      <c r="D235" s="22" t="n">
        <v>46114</v>
      </c>
      <c r="E235" s="22" t="n">
        <v>46144</v>
      </c>
      <c r="F235" s="9" t="n">
        <v>664.84</v>
      </c>
      <c r="G235" s="23" t="n">
        <v>46144</v>
      </c>
      <c r="H235" s="24" t="inlineStr">
        <is>
          <t>Medium</t>
        </is>
      </c>
      <c r="I235" s="24" t="inlineStr">
        <is>
          <t>Contractual due date pending refreshed collection call</t>
        </is>
      </c>
      <c r="J235" s="8">
        <f>IFERROR(MATCH(G235,'13W Cash Forecast'!$B$4:$N$4,1),1)</f>
        <v/>
      </c>
    </row>
    <row r="236">
      <c r="A236" s="8" t="inlineStr">
        <is>
          <t>AR-0030900</t>
        </is>
      </c>
      <c r="B236" s="8" t="inlineStr">
        <is>
          <t>Service</t>
        </is>
      </c>
      <c r="C236" s="8" t="inlineStr">
        <is>
          <t>McKenzie River Foods - Central Property Group</t>
        </is>
      </c>
      <c r="D236" s="22" t="n">
        <v>46129</v>
      </c>
      <c r="E236" s="22" t="n">
        <v>46144</v>
      </c>
      <c r="F236" s="9" t="n">
        <v>619.92</v>
      </c>
      <c r="G236" s="23" t="n">
        <v>46144</v>
      </c>
      <c r="H236" s="24" t="inlineStr">
        <is>
          <t>Medium</t>
        </is>
      </c>
      <c r="I236" s="24" t="inlineStr">
        <is>
          <t>Contractual due date pending refreshed collection call</t>
        </is>
      </c>
      <c r="J236" s="8">
        <f>IFERROR(MATCH(G236,'13W Cash Forecast'!$B$4:$N$4,1),1)</f>
        <v/>
      </c>
    </row>
    <row r="237">
      <c r="A237" s="8" t="inlineStr">
        <is>
          <t>AR-0030906</t>
        </is>
      </c>
      <c r="B237" s="8" t="inlineStr">
        <is>
          <t>Service</t>
        </is>
      </c>
      <c r="C237" s="8" t="inlineStr">
        <is>
          <t>Valley View Food Systems - Operations Holdings, LLC</t>
        </is>
      </c>
      <c r="D237" s="22" t="n">
        <v>46114</v>
      </c>
      <c r="E237" s="22" t="n">
        <v>46144</v>
      </c>
      <c r="F237" s="9" t="n">
        <v>514.5700000000001</v>
      </c>
      <c r="G237" s="23" t="n">
        <v>46144</v>
      </c>
      <c r="H237" s="24" t="inlineStr">
        <is>
          <t>Low</t>
        </is>
      </c>
      <c r="I237" s="24" t="inlineStr">
        <is>
          <t>Awaiting project-accountant follow-up</t>
        </is>
      </c>
      <c r="J237" s="8">
        <f>IFERROR(MATCH(G237,'13W Cash Forecast'!$B$4:$N$4,1),1)</f>
        <v/>
      </c>
    </row>
    <row r="238">
      <c r="A238" s="8" t="inlineStr">
        <is>
          <t>AR-0030641</t>
        </is>
      </c>
      <c r="B238" s="8" t="inlineStr">
        <is>
          <t>Service</t>
        </is>
      </c>
      <c r="C238" s="8" t="inlineStr">
        <is>
          <t>Portland Arts and Events - Central Asset Management</t>
        </is>
      </c>
      <c r="D238" s="22" t="n">
        <v>46100</v>
      </c>
      <c r="E238" s="22" t="n">
        <v>46145</v>
      </c>
      <c r="F238" s="9" t="n">
        <v>298.31</v>
      </c>
      <c r="G238" s="23" t="n">
        <v>46145</v>
      </c>
      <c r="H238" s="24" t="inlineStr">
        <is>
          <t>Medium</t>
        </is>
      </c>
      <c r="I238" s="24" t="inlineStr">
        <is>
          <t>Contractual due date pending refreshed collection call</t>
        </is>
      </c>
      <c r="J238" s="8">
        <f>IFERROR(MATCH(G238,'13W Cash Forecast'!$B$4:$N$4,1),1)</f>
        <v/>
      </c>
    </row>
    <row r="239">
      <c r="A239" s="8" t="inlineStr">
        <is>
          <t>AR-0030668</t>
        </is>
      </c>
      <c r="B239" s="8" t="inlineStr">
        <is>
          <t>Service</t>
        </is>
      </c>
      <c r="C239" s="8" t="inlineStr">
        <is>
          <t>Central Cascades Foods - Central Holdings, LLC</t>
        </is>
      </c>
      <c r="D239" s="22" t="n">
        <v>46115</v>
      </c>
      <c r="E239" s="22" t="n">
        <v>46145</v>
      </c>
      <c r="F239" s="9" t="n">
        <v>592.91</v>
      </c>
      <c r="G239" s="23" t="n">
        <v>46145</v>
      </c>
      <c r="H239" s="24" t="inlineStr">
        <is>
          <t>Medium</t>
        </is>
      </c>
      <c r="I239" s="24" t="inlineStr">
        <is>
          <t>Contractual due date pending refreshed collection call</t>
        </is>
      </c>
      <c r="J239" s="8">
        <f>IFERROR(MATCH(G239,'13W Cash Forecast'!$B$4:$N$4,1),1)</f>
        <v/>
      </c>
    </row>
    <row r="240">
      <c r="A240" s="8" t="inlineStr">
        <is>
          <t>AR-0030695</t>
        </is>
      </c>
      <c r="B240" s="8" t="inlineStr">
        <is>
          <t>Service</t>
        </is>
      </c>
      <c r="C240" s="8" t="inlineStr">
        <is>
          <t>Juniper Ridge Properties - North Operating Company</t>
        </is>
      </c>
      <c r="D240" s="22" t="n">
        <v>46115</v>
      </c>
      <c r="E240" s="22" t="n">
        <v>46145</v>
      </c>
      <c r="F240" s="9" t="n">
        <v>2392.98</v>
      </c>
      <c r="G240" s="23" t="n">
        <v>46145</v>
      </c>
      <c r="H240" s="24" t="inlineStr">
        <is>
          <t>Medium</t>
        </is>
      </c>
      <c r="I240" s="24" t="inlineStr">
        <is>
          <t>Contractual due date pending refreshed collection call</t>
        </is>
      </c>
      <c r="J240" s="8">
        <f>IFERROR(MATCH(G240,'13W Cash Forecast'!$B$4:$N$4,1),1)</f>
        <v/>
      </c>
    </row>
    <row r="241">
      <c r="A241" s="8" t="inlineStr">
        <is>
          <t>AR-0030722</t>
        </is>
      </c>
      <c r="B241" s="8" t="inlineStr">
        <is>
          <t>Service</t>
        </is>
      </c>
      <c r="C241" s="8" t="inlineStr">
        <is>
          <t>Willamette Food Cooperative</t>
        </is>
      </c>
      <c r="D241" s="22" t="n">
        <v>46115</v>
      </c>
      <c r="E241" s="22" t="n">
        <v>46145</v>
      </c>
      <c r="F241" s="9" t="n">
        <v>326.73</v>
      </c>
      <c r="G241" s="23" t="n">
        <v>46145</v>
      </c>
      <c r="H241" s="24" t="inlineStr">
        <is>
          <t>Medium</t>
        </is>
      </c>
      <c r="I241" s="24" t="inlineStr">
        <is>
          <t>Contractual due date pending refreshed collection call</t>
        </is>
      </c>
      <c r="J241" s="8">
        <f>IFERROR(MATCH(G241,'13W Cash Forecast'!$B$4:$N$4,1),1)</f>
        <v/>
      </c>
    </row>
    <row r="242">
      <c r="A242" s="8" t="inlineStr">
        <is>
          <t>AR-0030749</t>
        </is>
      </c>
      <c r="B242" s="8" t="inlineStr">
        <is>
          <t>Service</t>
        </is>
      </c>
      <c r="C242" s="8" t="inlineStr">
        <is>
          <t>Mt. Hood Community Health Campus Services</t>
        </is>
      </c>
      <c r="D242" s="22" t="n">
        <v>46115</v>
      </c>
      <c r="E242" s="22" t="n">
        <v>46145</v>
      </c>
      <c r="F242" s="9" t="n">
        <v>557.8</v>
      </c>
      <c r="G242" s="23" t="n">
        <v>46145</v>
      </c>
      <c r="H242" s="24" t="inlineStr">
        <is>
          <t>Medium</t>
        </is>
      </c>
      <c r="I242" s="24" t="inlineStr">
        <is>
          <t>Contractual due date pending refreshed collection call</t>
        </is>
      </c>
      <c r="J242" s="8">
        <f>IFERROR(MATCH(G242,'13W Cash Forecast'!$B$4:$N$4,1),1)</f>
        <v/>
      </c>
    </row>
    <row r="243">
      <c r="A243" s="8" t="inlineStr">
        <is>
          <t>AR-0030776</t>
        </is>
      </c>
      <c r="B243" s="8" t="inlineStr">
        <is>
          <t>Service</t>
        </is>
      </c>
      <c r="C243" s="8" t="inlineStr">
        <is>
          <t>Columbia River Logistics - Portfolio Facilities</t>
        </is>
      </c>
      <c r="D243" s="22" t="n">
        <v>46115</v>
      </c>
      <c r="E243" s="22" t="n">
        <v>46145</v>
      </c>
      <c r="F243" s="9" t="n">
        <v>1313.69</v>
      </c>
      <c r="G243" s="23" t="n">
        <v>46145</v>
      </c>
      <c r="H243" s="24" t="inlineStr">
        <is>
          <t>Medium</t>
        </is>
      </c>
      <c r="I243" s="24" t="inlineStr">
        <is>
          <t>Contractual due date pending refreshed collection call</t>
        </is>
      </c>
      <c r="J243" s="8">
        <f>IFERROR(MATCH(G243,'13W Cash Forecast'!$B$4:$N$4,1),1)</f>
        <v/>
      </c>
    </row>
    <row r="244">
      <c r="A244" s="8" t="inlineStr">
        <is>
          <t>AR-0030824</t>
        </is>
      </c>
      <c r="B244" s="8" t="inlineStr">
        <is>
          <t>Service</t>
        </is>
      </c>
      <c r="C244" s="8" t="inlineStr">
        <is>
          <t>Hillsboro Life Sciences - Campus Real Estate, LLC</t>
        </is>
      </c>
      <c r="D244" s="22" t="n">
        <v>46130</v>
      </c>
      <c r="E244" s="22" t="n">
        <v>46145</v>
      </c>
      <c r="F244" s="9" t="n">
        <v>258.98</v>
      </c>
      <c r="G244" s="23" t="n">
        <v>46145</v>
      </c>
      <c r="H244" s="24" t="inlineStr">
        <is>
          <t>Low</t>
        </is>
      </c>
      <c r="I244" s="24" t="inlineStr">
        <is>
          <t>Awaiting project-accountant follow-up</t>
        </is>
      </c>
      <c r="J244" s="8">
        <f>IFERROR(MATCH(G244,'13W Cash Forecast'!$B$4:$N$4,1),1)</f>
        <v/>
      </c>
    </row>
    <row r="245">
      <c r="A245" s="8" t="inlineStr">
        <is>
          <t>AR-0030830</t>
        </is>
      </c>
      <c r="B245" s="8" t="inlineStr">
        <is>
          <t>Service</t>
        </is>
      </c>
      <c r="C245" s="8" t="inlineStr">
        <is>
          <t>Salem Surgical Partners - Campus Asset Management</t>
        </is>
      </c>
      <c r="D245" s="22" t="n">
        <v>46115</v>
      </c>
      <c r="E245" s="22" t="n">
        <v>46145</v>
      </c>
      <c r="F245" s="9" t="n">
        <v>1109.06</v>
      </c>
      <c r="G245" s="23" t="n">
        <v>46145</v>
      </c>
      <c r="H245" s="24" t="inlineStr">
        <is>
          <t>Medium</t>
        </is>
      </c>
      <c r="I245" s="24" t="inlineStr">
        <is>
          <t>Contractual due date pending refreshed collection call</t>
        </is>
      </c>
      <c r="J245" s="8">
        <f>IFERROR(MATCH(G245,'13W Cash Forecast'!$B$4:$N$4,1),1)</f>
        <v/>
      </c>
    </row>
    <row r="246">
      <c r="A246" s="8" t="inlineStr">
        <is>
          <t>AR-0030878</t>
        </is>
      </c>
      <c r="B246" s="8" t="inlineStr">
        <is>
          <t>Service</t>
        </is>
      </c>
      <c r="C246" s="8" t="inlineStr">
        <is>
          <t>Alder Creek Medical - North Property Group</t>
        </is>
      </c>
      <c r="D246" s="22" t="n">
        <v>46130</v>
      </c>
      <c r="E246" s="22" t="n">
        <v>46145</v>
      </c>
      <c r="F246" s="9" t="n">
        <v>425.62</v>
      </c>
      <c r="G246" s="23" t="n">
        <v>46145</v>
      </c>
      <c r="H246" s="24" t="inlineStr">
        <is>
          <t>Medium</t>
        </is>
      </c>
      <c r="I246" s="24" t="inlineStr">
        <is>
          <t>Contractual due date pending refreshed collection call</t>
        </is>
      </c>
      <c r="J246" s="8">
        <f>IFERROR(MATCH(G246,'13W Cash Forecast'!$B$4:$N$4,1),1)</f>
        <v/>
      </c>
    </row>
    <row r="247">
      <c r="A247" s="8" t="inlineStr">
        <is>
          <t>AR-0030884</t>
        </is>
      </c>
      <c r="B247" s="8" t="inlineStr">
        <is>
          <t>Service</t>
        </is>
      </c>
      <c r="C247" s="8" t="inlineStr">
        <is>
          <t>Klamath County Facilities - South Holdings, LLC</t>
        </is>
      </c>
      <c r="D247" s="22" t="n">
        <v>46115</v>
      </c>
      <c r="E247" s="22" t="n">
        <v>46145</v>
      </c>
      <c r="F247" s="9" t="n">
        <v>410.1</v>
      </c>
      <c r="G247" s="23" t="n">
        <v>46145</v>
      </c>
      <c r="H247" s="24" t="inlineStr">
        <is>
          <t>Medium</t>
        </is>
      </c>
      <c r="I247" s="24" t="inlineStr">
        <is>
          <t>Contractual due date pending refreshed collection call</t>
        </is>
      </c>
      <c r="J247" s="8">
        <f>IFERROR(MATCH(G247,'13W Cash Forecast'!$B$4:$N$4,1),1)</f>
        <v/>
      </c>
    </row>
    <row r="248">
      <c r="A248" s="8" t="inlineStr">
        <is>
          <t>AR-0030619</t>
        </is>
      </c>
      <c r="B248" s="8" t="inlineStr">
        <is>
          <t>Service</t>
        </is>
      </c>
      <c r="C248" s="8" t="inlineStr">
        <is>
          <t>Deschutes Medical Group - North Asset Management</t>
        </is>
      </c>
      <c r="D248" s="22" t="n">
        <v>46101</v>
      </c>
      <c r="E248" s="22" t="n">
        <v>46146</v>
      </c>
      <c r="F248" s="9" t="n">
        <v>970.4</v>
      </c>
      <c r="G248" s="23" t="n">
        <v>46146</v>
      </c>
      <c r="H248" s="24" t="inlineStr">
        <is>
          <t>Medium</t>
        </is>
      </c>
      <c r="I248" s="24" t="inlineStr">
        <is>
          <t>Contractual due date pending refreshed collection call</t>
        </is>
      </c>
      <c r="J248" s="8">
        <f>IFERROR(MATCH(G248,'13W Cash Forecast'!$B$4:$N$4,1),1)</f>
        <v/>
      </c>
    </row>
    <row r="249">
      <c r="A249" s="8" t="inlineStr">
        <is>
          <t>AR-0030673</t>
        </is>
      </c>
      <c r="B249" s="8" t="inlineStr">
        <is>
          <t>Service</t>
        </is>
      </c>
      <c r="C249" s="8" t="inlineStr">
        <is>
          <t>Union Station Properties - Central Partners, LP</t>
        </is>
      </c>
      <c r="D249" s="22" t="n">
        <v>46116</v>
      </c>
      <c r="E249" s="22" t="n">
        <v>46146</v>
      </c>
      <c r="F249" s="9" t="n">
        <v>1623.19</v>
      </c>
      <c r="G249" s="23" t="n">
        <v>46146</v>
      </c>
      <c r="H249" s="24" t="inlineStr">
        <is>
          <t>Medium</t>
        </is>
      </c>
      <c r="I249" s="24" t="inlineStr">
        <is>
          <t>Contractual due date pending refreshed collection call</t>
        </is>
      </c>
      <c r="J249" s="8">
        <f>IFERROR(MATCH(G249,'13W Cash Forecast'!$B$4:$N$4,1),1)</f>
        <v/>
      </c>
    </row>
    <row r="250">
      <c r="A250" s="8" t="inlineStr">
        <is>
          <t>AR-0030721</t>
        </is>
      </c>
      <c r="B250" s="8" t="inlineStr">
        <is>
          <t>Service</t>
        </is>
      </c>
      <c r="C250" s="8" t="inlineStr">
        <is>
          <t>Clackamas Health Network - Operations Asset Management</t>
        </is>
      </c>
      <c r="D250" s="22" t="n">
        <v>46131</v>
      </c>
      <c r="E250" s="22" t="n">
        <v>46146</v>
      </c>
      <c r="F250" s="9" t="n">
        <v>416.45</v>
      </c>
      <c r="G250" s="23" t="n">
        <v>46146</v>
      </c>
      <c r="H250" s="24" t="inlineStr">
        <is>
          <t>Medium</t>
        </is>
      </c>
      <c r="I250" s="24" t="inlineStr">
        <is>
          <t>Contractual due date pending refreshed collection call</t>
        </is>
      </c>
      <c r="J250" s="8">
        <f>IFERROR(MATCH(G250,'13W Cash Forecast'!$B$4:$N$4,1),1)</f>
        <v/>
      </c>
    </row>
    <row r="251">
      <c r="A251" s="8" t="inlineStr">
        <is>
          <t>AR-0030727</t>
        </is>
      </c>
      <c r="B251" s="8" t="inlineStr">
        <is>
          <t>Service</t>
        </is>
      </c>
      <c r="C251" s="8" t="inlineStr">
        <is>
          <t>Mt. Hood Community Health - Operations LLC</t>
        </is>
      </c>
      <c r="D251" s="22" t="n">
        <v>46116</v>
      </c>
      <c r="E251" s="22" t="n">
        <v>46146</v>
      </c>
      <c r="F251" s="9" t="n">
        <v>409.38</v>
      </c>
      <c r="G251" s="23" t="n">
        <v>46146</v>
      </c>
      <c r="H251" s="24" t="inlineStr">
        <is>
          <t>Low</t>
        </is>
      </c>
      <c r="I251" s="24" t="inlineStr">
        <is>
          <t>Awaiting project-accountant follow-up</t>
        </is>
      </c>
      <c r="J251" s="8">
        <f>IFERROR(MATCH(G251,'13W Cash Forecast'!$B$4:$N$4,1),1)</f>
        <v/>
      </c>
    </row>
    <row r="252">
      <c r="A252" s="8" t="inlineStr">
        <is>
          <t>AR-0030802</t>
        </is>
      </c>
      <c r="B252" s="8" t="inlineStr">
        <is>
          <t>Service</t>
        </is>
      </c>
      <c r="C252" s="8" t="inlineStr">
        <is>
          <t>Oregon Advanced Materials Operating Company</t>
        </is>
      </c>
      <c r="D252" s="22" t="n">
        <v>46131</v>
      </c>
      <c r="E252" s="22" t="n">
        <v>46146</v>
      </c>
      <c r="F252" s="9" t="n">
        <v>361.07</v>
      </c>
      <c r="G252" s="23" t="n">
        <v>46146</v>
      </c>
      <c r="H252" s="24" t="inlineStr">
        <is>
          <t>Medium</t>
        </is>
      </c>
      <c r="I252" s="24" t="inlineStr">
        <is>
          <t>Contractual due date pending refreshed collection call</t>
        </is>
      </c>
      <c r="J252" s="8">
        <f>IFERROR(MATCH(G252,'13W Cash Forecast'!$B$4:$N$4,1),1)</f>
        <v/>
      </c>
    </row>
    <row r="253">
      <c r="A253" s="8" t="inlineStr">
        <is>
          <t>AR-0030808</t>
        </is>
      </c>
      <c r="B253" s="8" t="inlineStr">
        <is>
          <t>Service</t>
        </is>
      </c>
      <c r="C253" s="8" t="inlineStr">
        <is>
          <t>Forest Park Hospitality - West Asset Management</t>
        </is>
      </c>
      <c r="D253" s="22" t="n">
        <v>46116</v>
      </c>
      <c r="E253" s="22" t="n">
        <v>46146</v>
      </c>
      <c r="F253" s="9" t="n">
        <v>186.09</v>
      </c>
      <c r="G253" s="23" t="n">
        <v>46146</v>
      </c>
      <c r="H253" s="24" t="inlineStr">
        <is>
          <t>Medium</t>
        </is>
      </c>
      <c r="I253" s="24" t="inlineStr">
        <is>
          <t>Contractual due date pending refreshed collection call</t>
        </is>
      </c>
      <c r="J253" s="8">
        <f>IFERROR(MATCH(G253,'13W Cash Forecast'!$B$4:$N$4,1),1)</f>
        <v/>
      </c>
    </row>
    <row r="254">
      <c r="A254" s="8" t="inlineStr">
        <is>
          <t>AR-0030856</t>
        </is>
      </c>
      <c r="B254" s="8" t="inlineStr">
        <is>
          <t>Service</t>
        </is>
      </c>
      <c r="C254" s="8" t="inlineStr">
        <is>
          <t>McKenzie River Foods - Central Holdings, LLC</t>
        </is>
      </c>
      <c r="D254" s="22" t="n">
        <v>46131</v>
      </c>
      <c r="E254" s="22" t="n">
        <v>46146</v>
      </c>
      <c r="F254" s="9" t="n">
        <v>700.47</v>
      </c>
      <c r="G254" s="23" t="n">
        <v>46146</v>
      </c>
      <c r="H254" s="24" t="inlineStr">
        <is>
          <t>Medium</t>
        </is>
      </c>
      <c r="I254" s="24" t="inlineStr">
        <is>
          <t>Contractual due date pending refreshed collection call</t>
        </is>
      </c>
      <c r="J254" s="8">
        <f>IFERROR(MATCH(G254,'13W Cash Forecast'!$B$4:$N$4,1),1)</f>
        <v/>
      </c>
    </row>
    <row r="255">
      <c r="A255" s="8" t="inlineStr">
        <is>
          <t>AR-0030862</t>
        </is>
      </c>
      <c r="B255" s="8" t="inlineStr">
        <is>
          <t>Service</t>
        </is>
      </c>
      <c r="C255" s="8" t="inlineStr">
        <is>
          <t>Valley View Food Systems - Operations LLC</t>
        </is>
      </c>
      <c r="D255" s="22" t="n">
        <v>46116</v>
      </c>
      <c r="E255" s="22" t="n">
        <v>46146</v>
      </c>
      <c r="F255" s="9" t="n">
        <v>1506.74</v>
      </c>
      <c r="G255" s="23" t="n">
        <v>46146</v>
      </c>
      <c r="H255" s="24" t="inlineStr">
        <is>
          <t>Medium</t>
        </is>
      </c>
      <c r="I255" s="24" t="inlineStr">
        <is>
          <t>Contractual due date pending refreshed collection call</t>
        </is>
      </c>
      <c r="J255" s="8">
        <f>IFERROR(MATCH(G255,'13W Cash Forecast'!$B$4:$N$4,1),1)</f>
        <v/>
      </c>
    </row>
    <row r="256">
      <c r="A256" s="8" t="inlineStr">
        <is>
          <t>AR-0030916</t>
        </is>
      </c>
      <c r="B256" s="8" t="inlineStr">
        <is>
          <t>Service</t>
        </is>
      </c>
      <c r="C256" s="8" t="inlineStr">
        <is>
          <t>Oak Street Development - North LLC</t>
        </is>
      </c>
      <c r="D256" s="22" t="n">
        <v>46116</v>
      </c>
      <c r="E256" s="22" t="n">
        <v>46146</v>
      </c>
      <c r="F256" s="9" t="n">
        <v>1032.24</v>
      </c>
      <c r="G256" s="23" t="n">
        <v>46146</v>
      </c>
      <c r="H256" s="24" t="inlineStr">
        <is>
          <t>Medium</t>
        </is>
      </c>
      <c r="I256" s="24" t="inlineStr">
        <is>
          <t>Contractual due date pending refreshed collection call</t>
        </is>
      </c>
      <c r="J256" s="8">
        <f>IFERROR(MATCH(G256,'13W Cash Forecast'!$B$4:$N$4,1),1)</f>
        <v/>
      </c>
    </row>
    <row r="257">
      <c r="A257" s="8" t="inlineStr">
        <is>
          <t>AR-0030597</t>
        </is>
      </c>
      <c r="B257" s="8" t="inlineStr">
        <is>
          <t>Service</t>
        </is>
      </c>
      <c r="C257" s="8" t="inlineStr">
        <is>
          <t>Portland Arts and Events - Central Campus Services</t>
        </is>
      </c>
      <c r="D257" s="22" t="n">
        <v>46102</v>
      </c>
      <c r="E257" s="22" t="n">
        <v>46147</v>
      </c>
      <c r="F257" s="9" t="n">
        <v>776.46</v>
      </c>
      <c r="G257" s="23" t="n">
        <v>46147</v>
      </c>
      <c r="H257" s="24" t="inlineStr">
        <is>
          <t>Medium</t>
        </is>
      </c>
      <c r="I257" s="24" t="inlineStr">
        <is>
          <t>Contractual due date pending refreshed collection call</t>
        </is>
      </c>
      <c r="J257" s="8">
        <f>IFERROR(MATCH(G257,'13W Cash Forecast'!$B$4:$N$4,1),1)</f>
        <v/>
      </c>
    </row>
    <row r="258">
      <c r="A258" s="8" t="inlineStr">
        <is>
          <t>AR-0030699</t>
        </is>
      </c>
      <c r="B258" s="8" t="inlineStr">
        <is>
          <t>Service</t>
        </is>
      </c>
      <c r="C258" s="8" t="inlineStr">
        <is>
          <t>Oregon Advanced Materials - South Campus Services</t>
        </is>
      </c>
      <c r="D258" s="22" t="n">
        <v>46132</v>
      </c>
      <c r="E258" s="22" t="n">
        <v>46147</v>
      </c>
      <c r="F258" s="9" t="n">
        <v>210.14</v>
      </c>
      <c r="G258" s="23" t="n">
        <v>46147</v>
      </c>
      <c r="H258" s="24" t="inlineStr">
        <is>
          <t>Low</t>
        </is>
      </c>
      <c r="I258" s="24" t="inlineStr">
        <is>
          <t>Awaiting project-accountant follow-up</t>
        </is>
      </c>
      <c r="J258" s="8">
        <f>IFERROR(MATCH(G258,'13W Cash Forecast'!$B$4:$N$4,1),1)</f>
        <v/>
      </c>
    </row>
    <row r="259">
      <c r="A259" s="8" t="inlineStr">
        <is>
          <t>AR-0030705</t>
        </is>
      </c>
      <c r="B259" s="8" t="inlineStr">
        <is>
          <t>Service</t>
        </is>
      </c>
      <c r="C259" s="8" t="inlineStr">
        <is>
          <t>Beacon Industrial - South LLC</t>
        </is>
      </c>
      <c r="D259" s="22" t="n">
        <v>46117</v>
      </c>
      <c r="E259" s="22" t="n">
        <v>46147</v>
      </c>
      <c r="F259" s="9" t="n">
        <v>582.25</v>
      </c>
      <c r="G259" s="23" t="n">
        <v>46147</v>
      </c>
      <c r="H259" s="24" t="inlineStr">
        <is>
          <t>Medium</t>
        </is>
      </c>
      <c r="I259" s="24" t="inlineStr">
        <is>
          <t>Contractual due date pending refreshed collection call</t>
        </is>
      </c>
      <c r="J259" s="8">
        <f>IFERROR(MATCH(G259,'13W Cash Forecast'!$B$4:$N$4,1),1)</f>
        <v/>
      </c>
    </row>
    <row r="260">
      <c r="A260" s="8" t="inlineStr">
        <is>
          <t>AR-0030753</t>
        </is>
      </c>
      <c r="B260" s="8" t="inlineStr">
        <is>
          <t>Service</t>
        </is>
      </c>
      <c r="C260" s="8" t="inlineStr">
        <is>
          <t>Fairview Property Partners - East Facilities</t>
        </is>
      </c>
      <c r="D260" s="22" t="n">
        <v>46132</v>
      </c>
      <c r="E260" s="22" t="n">
        <v>46147</v>
      </c>
      <c r="F260" s="9" t="n">
        <v>850.9299999999999</v>
      </c>
      <c r="G260" s="23" t="n">
        <v>46147</v>
      </c>
      <c r="H260" s="24" t="inlineStr">
        <is>
          <t>Medium</t>
        </is>
      </c>
      <c r="I260" s="24" t="inlineStr">
        <is>
          <t>Contractual due date pending refreshed collection call</t>
        </is>
      </c>
      <c r="J260" s="8">
        <f>IFERROR(MATCH(G260,'13W Cash Forecast'!$B$4:$N$4,1),1)</f>
        <v/>
      </c>
    </row>
    <row r="261">
      <c r="A261" s="8" t="inlineStr">
        <is>
          <t>AR-0030759</t>
        </is>
      </c>
      <c r="B261" s="8" t="inlineStr">
        <is>
          <t>Service</t>
        </is>
      </c>
      <c r="C261" s="8" t="inlineStr">
        <is>
          <t>Columbia Biologics, Inc.</t>
        </is>
      </c>
      <c r="D261" s="22" t="n">
        <v>46117</v>
      </c>
      <c r="E261" s="22" t="n">
        <v>46147</v>
      </c>
      <c r="F261" s="9" t="n">
        <v>461.17</v>
      </c>
      <c r="G261" s="23" t="n">
        <v>46147</v>
      </c>
      <c r="H261" s="24" t="inlineStr">
        <is>
          <t>Medium</t>
        </is>
      </c>
      <c r="I261" s="24" t="inlineStr">
        <is>
          <t>Contractual due date pending refreshed collection call</t>
        </is>
      </c>
      <c r="J261" s="8">
        <f>IFERROR(MATCH(G261,'13W Cash Forecast'!$B$4:$N$4,1),1)</f>
        <v/>
      </c>
    </row>
    <row r="262">
      <c r="A262" s="8" t="inlineStr">
        <is>
          <t>AR-0030786</t>
        </is>
      </c>
      <c r="B262" s="8" t="inlineStr">
        <is>
          <t>Service</t>
        </is>
      </c>
      <c r="C262" s="8" t="inlineStr">
        <is>
          <t>Klamath County Facilities Development Company</t>
        </is>
      </c>
      <c r="D262" s="22" t="n">
        <v>46117</v>
      </c>
      <c r="E262" s="22" t="n">
        <v>46147</v>
      </c>
      <c r="F262" s="9" t="n">
        <v>374.49</v>
      </c>
      <c r="G262" s="23" t="n">
        <v>46147</v>
      </c>
      <c r="H262" s="24" t="inlineStr">
        <is>
          <t>Medium</t>
        </is>
      </c>
      <c r="I262" s="24" t="inlineStr">
        <is>
          <t>Contractual due date pending refreshed collection call</t>
        </is>
      </c>
      <c r="J262" s="8">
        <f>IFERROR(MATCH(G262,'13W Cash Forecast'!$B$4:$N$4,1),1)</f>
        <v/>
      </c>
    </row>
    <row r="263">
      <c r="A263" s="8" t="inlineStr">
        <is>
          <t>AR-0030840</t>
        </is>
      </c>
      <c r="B263" s="8" t="inlineStr">
        <is>
          <t>Service</t>
        </is>
      </c>
      <c r="C263" s="8" t="inlineStr">
        <is>
          <t>Klamath County Facilities - South LLC</t>
        </is>
      </c>
      <c r="D263" s="22" t="n">
        <v>46117</v>
      </c>
      <c r="E263" s="22" t="n">
        <v>46147</v>
      </c>
      <c r="F263" s="9" t="n">
        <v>373.92</v>
      </c>
      <c r="G263" s="23" t="n">
        <v>46147</v>
      </c>
      <c r="H263" s="24" t="inlineStr">
        <is>
          <t>Medium</t>
        </is>
      </c>
      <c r="I263" s="24" t="inlineStr">
        <is>
          <t>Contractual due date pending refreshed collection call</t>
        </is>
      </c>
      <c r="J263" s="8">
        <f>IFERROR(MATCH(G263,'13W Cash Forecast'!$B$4:$N$4,1),1)</f>
        <v/>
      </c>
    </row>
    <row r="264">
      <c r="A264" s="8" t="inlineStr">
        <is>
          <t>AR-0030894</t>
        </is>
      </c>
      <c r="B264" s="8" t="inlineStr">
        <is>
          <t>Service</t>
        </is>
      </c>
      <c r="C264" s="8" t="inlineStr">
        <is>
          <t>Central Cascades Foods - Central LLC</t>
        </is>
      </c>
      <c r="D264" s="22" t="n">
        <v>46117</v>
      </c>
      <c r="E264" s="22" t="n">
        <v>46147</v>
      </c>
      <c r="F264" s="9" t="n">
        <v>1800.23</v>
      </c>
      <c r="G264" s="23" t="n">
        <v>46147</v>
      </c>
      <c r="H264" s="24" t="inlineStr">
        <is>
          <t>Medium</t>
        </is>
      </c>
      <c r="I264" s="24" t="inlineStr">
        <is>
          <t>Contractual due date pending refreshed collection call</t>
        </is>
      </c>
      <c r="J264" s="8">
        <f>IFERROR(MATCH(G264,'13W Cash Forecast'!$B$4:$N$4,1),1)</f>
        <v/>
      </c>
    </row>
    <row r="265">
      <c r="A265" s="8" t="inlineStr">
        <is>
          <t>AR-0030494</t>
        </is>
      </c>
      <c r="B265" s="8" t="inlineStr">
        <is>
          <t>Service</t>
        </is>
      </c>
      <c r="C265" s="8" t="inlineStr">
        <is>
          <t>Lake Oswego Office Partners - East Development Company</t>
        </is>
      </c>
      <c r="D265" s="22" t="n">
        <v>46103</v>
      </c>
      <c r="E265" s="22" t="n">
        <v>46148</v>
      </c>
      <c r="F265" s="9" t="n">
        <v>2239.11</v>
      </c>
      <c r="G265" s="23" t="n">
        <v>46148</v>
      </c>
      <c r="H265" s="24" t="inlineStr">
        <is>
          <t>Low</t>
        </is>
      </c>
      <c r="I265" s="24" t="inlineStr">
        <is>
          <t>Awaiting project-accountant follow-up</t>
        </is>
      </c>
      <c r="J265" s="8">
        <f>IFERROR(MATCH(G265,'13W Cash Forecast'!$B$4:$N$4,1),1)</f>
        <v/>
      </c>
    </row>
    <row r="266">
      <c r="A266" s="8" t="inlineStr">
        <is>
          <t>AR-0030575</t>
        </is>
      </c>
      <c r="B266" s="8" t="inlineStr">
        <is>
          <t>Service</t>
        </is>
      </c>
      <c r="C266" s="8" t="inlineStr">
        <is>
          <t>Deschutes Medical Group - North Campus Services</t>
        </is>
      </c>
      <c r="D266" s="22" t="n">
        <v>46103</v>
      </c>
      <c r="E266" s="22" t="n">
        <v>46148</v>
      </c>
      <c r="F266" s="9" t="n">
        <v>402.62</v>
      </c>
      <c r="G266" s="23" t="n">
        <v>46148</v>
      </c>
      <c r="H266" s="24" t="inlineStr">
        <is>
          <t>Medium</t>
        </is>
      </c>
      <c r="I266" s="24" t="inlineStr">
        <is>
          <t>Contractual due date pending refreshed collection call</t>
        </is>
      </c>
      <c r="J266" s="8">
        <f>IFERROR(MATCH(G266,'13W Cash Forecast'!$B$4:$N$4,1),1)</f>
        <v/>
      </c>
    </row>
    <row r="267">
      <c r="A267" s="8" t="inlineStr">
        <is>
          <t>AR-0030677</t>
        </is>
      </c>
      <c r="B267" s="8" t="inlineStr">
        <is>
          <t>Service</t>
        </is>
      </c>
      <c r="C267" s="8" t="inlineStr">
        <is>
          <t>Clackamas Health Network - Operations Campus Services</t>
        </is>
      </c>
      <c r="D267" s="22" t="n">
        <v>46133</v>
      </c>
      <c r="E267" s="22" t="n">
        <v>46148</v>
      </c>
      <c r="F267" s="9" t="n">
        <v>314.38</v>
      </c>
      <c r="G267" s="23" t="n">
        <v>46148</v>
      </c>
      <c r="H267" s="24" t="inlineStr">
        <is>
          <t>Medium</t>
        </is>
      </c>
      <c r="I267" s="24" t="inlineStr">
        <is>
          <t>Contractual due date pending refreshed collection call</t>
        </is>
      </c>
      <c r="J267" s="8">
        <f>IFERROR(MATCH(G267,'13W Cash Forecast'!$B$4:$N$4,1),1)</f>
        <v/>
      </c>
    </row>
    <row r="268">
      <c r="A268" s="8" t="inlineStr">
        <is>
          <t>AR-0030683</t>
        </is>
      </c>
      <c r="B268" s="8" t="inlineStr">
        <is>
          <t>Service</t>
        </is>
      </c>
      <c r="C268" s="8" t="inlineStr">
        <is>
          <t>Mt. Hood Community Health - Operations Development Company</t>
        </is>
      </c>
      <c r="D268" s="22" t="n">
        <v>46118</v>
      </c>
      <c r="E268" s="22" t="n">
        <v>46148</v>
      </c>
      <c r="F268" s="9" t="n">
        <v>495.25</v>
      </c>
      <c r="G268" s="23" t="n">
        <v>46148</v>
      </c>
      <c r="H268" s="24" t="inlineStr">
        <is>
          <t>Medium</t>
        </is>
      </c>
      <c r="I268" s="24" t="inlineStr">
        <is>
          <t>Contractual due date pending refreshed collection call</t>
        </is>
      </c>
      <c r="J268" s="8">
        <f>IFERROR(MATCH(G268,'13W Cash Forecast'!$B$4:$N$4,1),1)</f>
        <v/>
      </c>
    </row>
    <row r="269">
      <c r="A269" s="8" t="inlineStr">
        <is>
          <t>AR-0030731</t>
        </is>
      </c>
      <c r="B269" s="8" t="inlineStr">
        <is>
          <t>Service</t>
        </is>
      </c>
      <c r="C269" s="8" t="inlineStr">
        <is>
          <t>Rogue Valley Beverage - Portfolio Property Group</t>
        </is>
      </c>
      <c r="D269" s="22" t="n">
        <v>46133</v>
      </c>
      <c r="E269" s="22" t="n">
        <v>46148</v>
      </c>
      <c r="F269" s="9" t="n">
        <v>1073.58</v>
      </c>
      <c r="G269" s="23" t="n">
        <v>46148</v>
      </c>
      <c r="H269" s="24" t="inlineStr">
        <is>
          <t>Medium</t>
        </is>
      </c>
      <c r="I269" s="24" t="inlineStr">
        <is>
          <t>Contractual due date pending refreshed collection call</t>
        </is>
      </c>
      <c r="J269" s="8">
        <f>IFERROR(MATCH(G269,'13W Cash Forecast'!$B$4:$N$4,1),1)</f>
        <v/>
      </c>
    </row>
    <row r="270">
      <c r="A270" s="8" t="inlineStr">
        <is>
          <t>AR-0030737</t>
        </is>
      </c>
      <c r="B270" s="8" t="inlineStr">
        <is>
          <t>Service</t>
        </is>
      </c>
      <c r="C270" s="8" t="inlineStr">
        <is>
          <t>Copperline Apartments - Campus Property Group</t>
        </is>
      </c>
      <c r="D270" s="22" t="n">
        <v>46118</v>
      </c>
      <c r="E270" s="22" t="n">
        <v>46148</v>
      </c>
      <c r="F270" s="9" t="n">
        <v>264.17</v>
      </c>
      <c r="G270" s="23" t="n">
        <v>46148</v>
      </c>
      <c r="H270" s="24" t="inlineStr">
        <is>
          <t>Medium</t>
        </is>
      </c>
      <c r="I270" s="24" t="inlineStr">
        <is>
          <t>Contractual due date pending refreshed collection call</t>
        </is>
      </c>
      <c r="J270" s="8">
        <f>IFERROR(MATCH(G270,'13W Cash Forecast'!$B$4:$N$4,1),1)</f>
        <v/>
      </c>
    </row>
    <row r="271">
      <c r="A271" s="8" t="inlineStr">
        <is>
          <t>AR-0030791</t>
        </is>
      </c>
      <c r="B271" s="8" t="inlineStr">
        <is>
          <t>Service</t>
        </is>
      </c>
      <c r="C271" s="8" t="inlineStr">
        <is>
          <t>Beacon Industrial Campus Services</t>
        </is>
      </c>
      <c r="D271" s="22" t="n">
        <v>46118</v>
      </c>
      <c r="E271" s="22" t="n">
        <v>46148</v>
      </c>
      <c r="F271" s="9" t="n">
        <v>607.77</v>
      </c>
      <c r="G271" s="23" t="n">
        <v>46148</v>
      </c>
      <c r="H271" s="24" t="inlineStr">
        <is>
          <t>Medium</t>
        </is>
      </c>
      <c r="I271" s="24" t="inlineStr">
        <is>
          <t>Contractual due date pending refreshed collection call</t>
        </is>
      </c>
      <c r="J271" s="8">
        <f>IFERROR(MATCH(G271,'13W Cash Forecast'!$B$4:$N$4,1),1)</f>
        <v/>
      </c>
    </row>
    <row r="272">
      <c r="A272" s="8" t="inlineStr">
        <is>
          <t>AR-0030818</t>
        </is>
      </c>
      <c r="B272" s="8" t="inlineStr">
        <is>
          <t>Service</t>
        </is>
      </c>
      <c r="C272" s="8" t="inlineStr">
        <is>
          <t>Salem Surgical Partners Campus Services</t>
        </is>
      </c>
      <c r="D272" s="22" t="n">
        <v>46118</v>
      </c>
      <c r="E272" s="22" t="n">
        <v>46148</v>
      </c>
      <c r="F272" s="9" t="n">
        <v>599.78</v>
      </c>
      <c r="G272" s="23" t="n">
        <v>46148</v>
      </c>
      <c r="H272" s="24" t="inlineStr">
        <is>
          <t>Low</t>
        </is>
      </c>
      <c r="I272" s="24" t="inlineStr">
        <is>
          <t>Awaiting project-accountant follow-up</t>
        </is>
      </c>
      <c r="J272" s="8">
        <f>IFERROR(MATCH(G272,'13W Cash Forecast'!$B$4:$N$4,1),1)</f>
        <v/>
      </c>
    </row>
    <row r="273">
      <c r="A273" s="8" t="inlineStr">
        <is>
          <t>AR-0030872</t>
        </is>
      </c>
      <c r="B273" s="8" t="inlineStr">
        <is>
          <t>Service</t>
        </is>
      </c>
      <c r="C273" s="8" t="inlineStr">
        <is>
          <t>Oak Street Development - North Development Company</t>
        </is>
      </c>
      <c r="D273" s="22" t="n">
        <v>46118</v>
      </c>
      <c r="E273" s="22" t="n">
        <v>46148</v>
      </c>
      <c r="F273" s="9" t="n">
        <v>570.65</v>
      </c>
      <c r="G273" s="23" t="n">
        <v>46148</v>
      </c>
      <c r="H273" s="24" t="inlineStr">
        <is>
          <t>Medium</t>
        </is>
      </c>
      <c r="I273" s="24" t="inlineStr">
        <is>
          <t>Contractual due date pending refreshed collection call</t>
        </is>
      </c>
      <c r="J273" s="8">
        <f>IFERROR(MATCH(G273,'13W Cash Forecast'!$B$4:$N$4,1),1)</f>
        <v/>
      </c>
    </row>
    <row r="274">
      <c r="A274" s="8" t="inlineStr">
        <is>
          <t>AR-0030899</t>
        </is>
      </c>
      <c r="B274" s="8" t="inlineStr">
        <is>
          <t>Service</t>
        </is>
      </c>
      <c r="C274" s="8" t="inlineStr">
        <is>
          <t>Union Station Properties - Central Facilities</t>
        </is>
      </c>
      <c r="D274" s="22" t="n">
        <v>46118</v>
      </c>
      <c r="E274" s="22" t="n">
        <v>46148</v>
      </c>
      <c r="F274" s="9" t="n">
        <v>821.84</v>
      </c>
      <c r="G274" s="23" t="n">
        <v>46148</v>
      </c>
      <c r="H274" s="24" t="inlineStr">
        <is>
          <t>Medium</t>
        </is>
      </c>
      <c r="I274" s="24" t="inlineStr">
        <is>
          <t>Contractual due date pending refreshed collection call</t>
        </is>
      </c>
      <c r="J274" s="8">
        <f>IFERROR(MATCH(G274,'13W Cash Forecast'!$B$4:$N$4,1),1)</f>
        <v/>
      </c>
    </row>
    <row r="275">
      <c r="A275" s="8" t="inlineStr">
        <is>
          <t>AR-0030472</t>
        </is>
      </c>
      <c r="B275" s="8" t="inlineStr">
        <is>
          <t>Service</t>
        </is>
      </c>
      <c r="C275" s="8" t="inlineStr">
        <is>
          <t>Westside Ambulatory - Portfolio Asset Management</t>
        </is>
      </c>
      <c r="D275" s="22" t="n">
        <v>46104</v>
      </c>
      <c r="E275" s="22" t="n">
        <v>46149</v>
      </c>
      <c r="F275" s="9" t="n">
        <v>2242.03</v>
      </c>
      <c r="G275" s="23" t="n">
        <v>46149</v>
      </c>
      <c r="H275" s="24" t="inlineStr">
        <is>
          <t>Medium</t>
        </is>
      </c>
      <c r="I275" s="24" t="inlineStr">
        <is>
          <t>Contractual due date pending refreshed collection call</t>
        </is>
      </c>
      <c r="J275" s="8">
        <f>IFERROR(MATCH(G275,'13W Cash Forecast'!$B$4:$N$4,1),1)</f>
        <v/>
      </c>
    </row>
    <row r="276">
      <c r="A276" s="8" t="inlineStr">
        <is>
          <t>AR-0030526</t>
        </is>
      </c>
      <c r="B276" s="8" t="inlineStr">
        <is>
          <t>Service</t>
        </is>
      </c>
      <c r="C276" s="8" t="inlineStr">
        <is>
          <t>Cascade Health Properties, LLC</t>
        </is>
      </c>
      <c r="D276" s="22" t="n">
        <v>46104</v>
      </c>
      <c r="E276" s="22" t="n">
        <v>46149</v>
      </c>
      <c r="F276" s="9" t="n">
        <v>585.35</v>
      </c>
      <c r="G276" s="23" t="n">
        <v>46149</v>
      </c>
      <c r="H276" s="24" t="inlineStr">
        <is>
          <t>Medium</t>
        </is>
      </c>
      <c r="I276" s="24" t="inlineStr">
        <is>
          <t>Contractual due date pending refreshed collection call</t>
        </is>
      </c>
      <c r="J276" s="8">
        <f>IFERROR(MATCH(G276,'13W Cash Forecast'!$B$4:$N$4,1),1)</f>
        <v/>
      </c>
    </row>
    <row r="277">
      <c r="A277" s="8" t="inlineStr">
        <is>
          <t>AR-0030661</t>
        </is>
      </c>
      <c r="B277" s="8" t="inlineStr">
        <is>
          <t>Service</t>
        </is>
      </c>
      <c r="C277" s="8" t="inlineStr">
        <is>
          <t>Beacon Industrial - South Development Company</t>
        </is>
      </c>
      <c r="D277" s="22" t="n">
        <v>46119</v>
      </c>
      <c r="E277" s="22" t="n">
        <v>46149</v>
      </c>
      <c r="F277" s="9" t="n">
        <v>1002.32</v>
      </c>
      <c r="G277" s="23" t="n">
        <v>46149</v>
      </c>
      <c r="H277" s="24" t="inlineStr">
        <is>
          <t>Medium</t>
        </is>
      </c>
      <c r="I277" s="24" t="inlineStr">
        <is>
          <t>Contractual due date pending refreshed collection call</t>
        </is>
      </c>
      <c r="J277" s="8">
        <f>IFERROR(MATCH(G277,'13W Cash Forecast'!$B$4:$N$4,1),1)</f>
        <v/>
      </c>
    </row>
    <row r="278">
      <c r="A278" s="8" t="inlineStr">
        <is>
          <t>AR-0030709</t>
        </is>
      </c>
      <c r="B278" s="8" t="inlineStr">
        <is>
          <t>Service</t>
        </is>
      </c>
      <c r="C278" s="8" t="inlineStr">
        <is>
          <t>Fairview Property Partners - East Property Group</t>
        </is>
      </c>
      <c r="D278" s="22" t="n">
        <v>46134</v>
      </c>
      <c r="E278" s="22" t="n">
        <v>46149</v>
      </c>
      <c r="F278" s="9" t="n">
        <v>1604.28</v>
      </c>
      <c r="G278" s="23" t="n">
        <v>46149</v>
      </c>
      <c r="H278" s="24" t="inlineStr">
        <is>
          <t>Medium</t>
        </is>
      </c>
      <c r="I278" s="24" t="inlineStr">
        <is>
          <t>Contractual due date pending refreshed collection call</t>
        </is>
      </c>
      <c r="J278" s="8">
        <f>IFERROR(MATCH(G278,'13W Cash Forecast'!$B$4:$N$4,1),1)</f>
        <v/>
      </c>
    </row>
    <row r="279">
      <c r="A279" s="8" t="inlineStr">
        <is>
          <t>AR-0030715</t>
        </is>
      </c>
      <c r="B279" s="8" t="inlineStr">
        <is>
          <t>Service</t>
        </is>
      </c>
      <c r="C279" s="8" t="inlineStr">
        <is>
          <t>Pioneer Medical Properties - West Holdings, LLC</t>
        </is>
      </c>
      <c r="D279" s="22" t="n">
        <v>46119</v>
      </c>
      <c r="E279" s="22" t="n">
        <v>46149</v>
      </c>
      <c r="F279" s="9" t="n">
        <v>608.97</v>
      </c>
      <c r="G279" s="23" t="n">
        <v>46149</v>
      </c>
      <c r="H279" s="24" t="inlineStr">
        <is>
          <t>Low</t>
        </is>
      </c>
      <c r="I279" s="24" t="inlineStr">
        <is>
          <t>Awaiting project-accountant follow-up</t>
        </is>
      </c>
      <c r="J279" s="8">
        <f>IFERROR(MATCH(G279,'13W Cash Forecast'!$B$4:$N$4,1),1)</f>
        <v/>
      </c>
    </row>
    <row r="280">
      <c r="A280" s="8" t="inlineStr">
        <is>
          <t>AR-0030769</t>
        </is>
      </c>
      <c r="B280" s="8" t="inlineStr">
        <is>
          <t>Service</t>
        </is>
      </c>
      <c r="C280" s="8" t="inlineStr">
        <is>
          <t>High Desert Manufacturing - Portfolio Holdings, LLC</t>
        </is>
      </c>
      <c r="D280" s="22" t="n">
        <v>46119</v>
      </c>
      <c r="E280" s="22" t="n">
        <v>46149</v>
      </c>
      <c r="F280" s="9" t="n">
        <v>798.12</v>
      </c>
      <c r="G280" s="23" t="n">
        <v>46149</v>
      </c>
      <c r="H280" s="24" t="inlineStr">
        <is>
          <t>Medium</t>
        </is>
      </c>
      <c r="I280" s="24" t="inlineStr">
        <is>
          <t>Contractual due date pending refreshed collection call</t>
        </is>
      </c>
      <c r="J280" s="8">
        <f>IFERROR(MATCH(G280,'13W Cash Forecast'!$B$4:$N$4,1),1)</f>
        <v/>
      </c>
    </row>
    <row r="281">
      <c r="A281" s="8" t="inlineStr">
        <is>
          <t>AR-0030796</t>
        </is>
      </c>
      <c r="B281" s="8" t="inlineStr">
        <is>
          <t>Service</t>
        </is>
      </c>
      <c r="C281" s="8" t="inlineStr">
        <is>
          <t>Northline Cold Storage Holdings</t>
        </is>
      </c>
      <c r="D281" s="22" t="n">
        <v>46119</v>
      </c>
      <c r="E281" s="22" t="n">
        <v>46149</v>
      </c>
      <c r="F281" s="9" t="n">
        <v>1060.6</v>
      </c>
      <c r="G281" s="23" t="n">
        <v>46149</v>
      </c>
      <c r="H281" s="24" t="inlineStr">
        <is>
          <t>Medium</t>
        </is>
      </c>
      <c r="I281" s="24" t="inlineStr">
        <is>
          <t>Contractual due date pending refreshed collection call</t>
        </is>
      </c>
      <c r="J281" s="8">
        <f>IFERROR(MATCH(G281,'13W Cash Forecast'!$B$4:$N$4,1),1)</f>
        <v/>
      </c>
    </row>
    <row r="282">
      <c r="A282" s="8" t="inlineStr">
        <is>
          <t>AR-0030844</t>
        </is>
      </c>
      <c r="B282" s="8" t="inlineStr">
        <is>
          <t>Service</t>
        </is>
      </c>
      <c r="C282" s="8" t="inlineStr">
        <is>
          <t>Clackamas Health Network Operating Company</t>
        </is>
      </c>
      <c r="D282" s="22" t="n">
        <v>46134</v>
      </c>
      <c r="E282" s="22" t="n">
        <v>46149</v>
      </c>
      <c r="F282" s="9" t="n">
        <v>370.74</v>
      </c>
      <c r="G282" s="23" t="n">
        <v>46149</v>
      </c>
      <c r="H282" s="24" t="inlineStr">
        <is>
          <t>Medium</t>
        </is>
      </c>
      <c r="I282" s="24" t="inlineStr">
        <is>
          <t>Contractual due date pending refreshed collection call</t>
        </is>
      </c>
      <c r="J282" s="8">
        <f>IFERROR(MATCH(G282,'13W Cash Forecast'!$B$4:$N$4,1),1)</f>
        <v/>
      </c>
    </row>
    <row r="283">
      <c r="A283" s="8" t="inlineStr">
        <is>
          <t>AR-0030850</t>
        </is>
      </c>
      <c r="B283" s="8" t="inlineStr">
        <is>
          <t>Service</t>
        </is>
      </c>
      <c r="C283" s="8" t="inlineStr">
        <is>
          <t>Central Cascades Foods - Central Development Company</t>
        </is>
      </c>
      <c r="D283" s="22" t="n">
        <v>46119</v>
      </c>
      <c r="E283" s="22" t="n">
        <v>46149</v>
      </c>
      <c r="F283" s="9" t="n">
        <v>385.45</v>
      </c>
      <c r="G283" s="23" t="n">
        <v>46149</v>
      </c>
      <c r="H283" s="24" t="inlineStr">
        <is>
          <t>Medium</t>
        </is>
      </c>
      <c r="I283" s="24" t="inlineStr">
        <is>
          <t>Contractual due date pending refreshed collection call</t>
        </is>
      </c>
      <c r="J283" s="8">
        <f>IFERROR(MATCH(G283,'13W Cash Forecast'!$B$4:$N$4,1),1)</f>
        <v/>
      </c>
    </row>
    <row r="284">
      <c r="A284" s="8" t="inlineStr">
        <is>
          <t>AR-0030871</t>
        </is>
      </c>
      <c r="B284" s="8" t="inlineStr">
        <is>
          <t>Service</t>
        </is>
      </c>
      <c r="C284" s="8" t="inlineStr">
        <is>
          <t>Tualatin Commerce Center Operating Company</t>
        </is>
      </c>
      <c r="D284" s="22" t="n">
        <v>46134</v>
      </c>
      <c r="E284" s="22" t="n">
        <v>46149</v>
      </c>
      <c r="F284" s="9" t="n">
        <v>408.95</v>
      </c>
      <c r="G284" s="23" t="n">
        <v>46149</v>
      </c>
      <c r="H284" s="24" t="inlineStr">
        <is>
          <t>Medium</t>
        </is>
      </c>
      <c r="I284" s="24" t="inlineStr">
        <is>
          <t>Contractual due date pending refreshed collection call</t>
        </is>
      </c>
      <c r="J284" s="8">
        <f>IFERROR(MATCH(G284,'13W Cash Forecast'!$B$4:$N$4,1),1)</f>
        <v/>
      </c>
    </row>
    <row r="285">
      <c r="A285" s="8" t="inlineStr">
        <is>
          <t>AR-0030877</t>
        </is>
      </c>
      <c r="B285" s="8" t="inlineStr">
        <is>
          <t>Service</t>
        </is>
      </c>
      <c r="C285" s="8" t="inlineStr">
        <is>
          <t>Juniper Ridge Properties - North Facilities</t>
        </is>
      </c>
      <c r="D285" s="22" t="n">
        <v>46119</v>
      </c>
      <c r="E285" s="22" t="n">
        <v>46149</v>
      </c>
      <c r="F285" s="9" t="n">
        <v>1388.09</v>
      </c>
      <c r="G285" s="23" t="n">
        <v>46149</v>
      </c>
      <c r="H285" s="24" t="inlineStr">
        <is>
          <t>Medium</t>
        </is>
      </c>
      <c r="I285" s="24" t="inlineStr">
        <is>
          <t>Contractual due date pending refreshed collection call</t>
        </is>
      </c>
      <c r="J285" s="8">
        <f>IFERROR(MATCH(G285,'13W Cash Forecast'!$B$4:$N$4,1),1)</f>
        <v/>
      </c>
    </row>
    <row r="286">
      <c r="A286" s="8" t="inlineStr">
        <is>
          <t>AR-0030450</t>
        </is>
      </c>
      <c r="B286" s="8" t="inlineStr">
        <is>
          <t>Service</t>
        </is>
      </c>
      <c r="C286" s="8" t="inlineStr">
        <is>
          <t>Lake Oswego Office Partners - East Asset Management</t>
        </is>
      </c>
      <c r="D286" s="22" t="n">
        <v>46105</v>
      </c>
      <c r="E286" s="22" t="n">
        <v>46150</v>
      </c>
      <c r="F286" s="9" t="n">
        <v>564.13</v>
      </c>
      <c r="G286" s="23" t="n">
        <v>46150</v>
      </c>
      <c r="H286" s="24" t="inlineStr">
        <is>
          <t>Low</t>
        </is>
      </c>
      <c r="I286" s="24" t="inlineStr">
        <is>
          <t>Awaiting project-accountant follow-up</t>
        </is>
      </c>
      <c r="J286" s="8">
        <f>IFERROR(MATCH(G286,'13W Cash Forecast'!$B$4:$N$4,1),1)</f>
        <v/>
      </c>
    </row>
    <row r="287">
      <c r="A287" s="8" t="inlineStr">
        <is>
          <t>AR-0030687</t>
        </is>
      </c>
      <c r="B287" s="8" t="inlineStr">
        <is>
          <t>Service</t>
        </is>
      </c>
      <c r="C287" s="8" t="inlineStr">
        <is>
          <t>Rogue Valley Beverage - Portfolio Holdings, LLC</t>
        </is>
      </c>
      <c r="D287" s="22" t="n">
        <v>46135</v>
      </c>
      <c r="E287" s="22" t="n">
        <v>46150</v>
      </c>
      <c r="F287" s="9" t="n">
        <v>1889.99</v>
      </c>
      <c r="G287" s="23" t="n">
        <v>46150</v>
      </c>
      <c r="H287" s="24" t="inlineStr">
        <is>
          <t>Medium</t>
        </is>
      </c>
      <c r="I287" s="24" t="inlineStr">
        <is>
          <t>Contractual due date pending refreshed collection call</t>
        </is>
      </c>
      <c r="J287" s="8">
        <f>IFERROR(MATCH(G287,'13W Cash Forecast'!$B$4:$N$4,1),1)</f>
        <v/>
      </c>
    </row>
    <row r="288">
      <c r="A288" s="8" t="inlineStr">
        <is>
          <t>AR-0030693</t>
        </is>
      </c>
      <c r="B288" s="8" t="inlineStr">
        <is>
          <t>Service</t>
        </is>
      </c>
      <c r="C288" s="8" t="inlineStr">
        <is>
          <t>Copperline Apartments - Campus Holdings, LLC</t>
        </is>
      </c>
      <c r="D288" s="22" t="n">
        <v>46120</v>
      </c>
      <c r="E288" s="22" t="n">
        <v>46150</v>
      </c>
      <c r="F288" s="9" t="n">
        <v>1072.88</v>
      </c>
      <c r="G288" s="23" t="n">
        <v>46150</v>
      </c>
      <c r="H288" s="24" t="inlineStr">
        <is>
          <t>Medium</t>
        </is>
      </c>
      <c r="I288" s="24" t="inlineStr">
        <is>
          <t>Contractual due date pending refreshed collection call</t>
        </is>
      </c>
      <c r="J288" s="8">
        <f>IFERROR(MATCH(G288,'13W Cash Forecast'!$B$4:$N$4,1),1)</f>
        <v/>
      </c>
    </row>
    <row r="289">
      <c r="A289" s="8" t="inlineStr">
        <is>
          <t>AR-0030747</t>
        </is>
      </c>
      <c r="B289" s="8" t="inlineStr">
        <is>
          <t>Service</t>
        </is>
      </c>
      <c r="C289" s="8" t="inlineStr">
        <is>
          <t>Sunrise Hospitality - East LLC</t>
        </is>
      </c>
      <c r="D289" s="22" t="n">
        <v>46120</v>
      </c>
      <c r="E289" s="22" t="n">
        <v>46150</v>
      </c>
      <c r="F289" s="9" t="n">
        <v>885</v>
      </c>
      <c r="G289" s="23" t="n">
        <v>46150</v>
      </c>
      <c r="H289" s="24" t="inlineStr">
        <is>
          <t>Medium</t>
        </is>
      </c>
      <c r="I289" s="24" t="inlineStr">
        <is>
          <t>Contractual due date pending refreshed collection call</t>
        </is>
      </c>
      <c r="J289" s="8">
        <f>IFERROR(MATCH(G289,'13W Cash Forecast'!$B$4:$N$4,1),1)</f>
        <v/>
      </c>
    </row>
    <row r="290">
      <c r="A290" s="8" t="inlineStr">
        <is>
          <t>AR-0030774</t>
        </is>
      </c>
      <c r="B290" s="8" t="inlineStr">
        <is>
          <t>Service</t>
        </is>
      </c>
      <c r="C290" s="8" t="inlineStr">
        <is>
          <t>Columbia River Logistics - Portfolio Operating Company</t>
        </is>
      </c>
      <c r="D290" s="22" t="n">
        <v>46120</v>
      </c>
      <c r="E290" s="22" t="n">
        <v>46150</v>
      </c>
      <c r="F290" s="9" t="n">
        <v>705.6900000000001</v>
      </c>
      <c r="G290" s="23" t="n">
        <v>46150</v>
      </c>
      <c r="H290" s="24" t="inlineStr">
        <is>
          <t>Medium</t>
        </is>
      </c>
      <c r="I290" s="24" t="inlineStr">
        <is>
          <t>Contractual due date pending refreshed collection call</t>
        </is>
      </c>
      <c r="J290" s="8">
        <f>IFERROR(MATCH(G290,'13W Cash Forecast'!$B$4:$N$4,1),1)</f>
        <v/>
      </c>
    </row>
    <row r="291">
      <c r="A291" s="8" t="inlineStr">
        <is>
          <t>AR-0030822</t>
        </is>
      </c>
      <c r="B291" s="8" t="inlineStr">
        <is>
          <t>Service</t>
        </is>
      </c>
      <c r="C291" s="8" t="inlineStr">
        <is>
          <t>Hillsboro Life Sciences - Campus Asset Management</t>
        </is>
      </c>
      <c r="D291" s="22" t="n">
        <v>46135</v>
      </c>
      <c r="E291" s="22" t="n">
        <v>46150</v>
      </c>
      <c r="F291" s="9" t="n">
        <v>826.61</v>
      </c>
      <c r="G291" s="23" t="n">
        <v>46150</v>
      </c>
      <c r="H291" s="24" t="inlineStr">
        <is>
          <t>Medium</t>
        </is>
      </c>
      <c r="I291" s="24" t="inlineStr">
        <is>
          <t>Contractual due date pending refreshed collection call</t>
        </is>
      </c>
      <c r="J291" s="8">
        <f>IFERROR(MATCH(G291,'13W Cash Forecast'!$B$4:$N$4,1),1)</f>
        <v/>
      </c>
    </row>
    <row r="292">
      <c r="A292" s="8" t="inlineStr">
        <is>
          <t>AR-0030828</t>
        </is>
      </c>
      <c r="B292" s="8" t="inlineStr">
        <is>
          <t>Service</t>
        </is>
      </c>
      <c r="C292" s="8" t="inlineStr">
        <is>
          <t>Pacific Northwest Distribution REIT</t>
        </is>
      </c>
      <c r="D292" s="22" t="n">
        <v>46120</v>
      </c>
      <c r="E292" s="22" t="n">
        <v>46150</v>
      </c>
      <c r="F292" s="9" t="n">
        <v>576.45</v>
      </c>
      <c r="G292" s="23" t="n">
        <v>46150</v>
      </c>
      <c r="H292" s="24" t="inlineStr">
        <is>
          <t>Medium</t>
        </is>
      </c>
      <c r="I292" s="24" t="inlineStr">
        <is>
          <t>Contractual due date pending refreshed collection call</t>
        </is>
      </c>
      <c r="J292" s="8">
        <f>IFERROR(MATCH(G292,'13W Cash Forecast'!$B$4:$N$4,1),1)</f>
        <v/>
      </c>
    </row>
    <row r="293">
      <c r="A293" s="8" t="inlineStr">
        <is>
          <t>AR-0030855</t>
        </is>
      </c>
      <c r="B293" s="8" t="inlineStr">
        <is>
          <t>Service</t>
        </is>
      </c>
      <c r="C293" s="8" t="inlineStr">
        <is>
          <t>Pioneer Medical Properties Development Company</t>
        </is>
      </c>
      <c r="D293" s="22" t="n">
        <v>46120</v>
      </c>
      <c r="E293" s="22" t="n">
        <v>46150</v>
      </c>
      <c r="F293" s="9" t="n">
        <v>735.62</v>
      </c>
      <c r="G293" s="23" t="n">
        <v>46150</v>
      </c>
      <c r="H293" s="24" t="inlineStr">
        <is>
          <t>Low</t>
        </is>
      </c>
      <c r="I293" s="24" t="inlineStr">
        <is>
          <t>Awaiting project-accountant follow-up</t>
        </is>
      </c>
      <c r="J293" s="8">
        <f>IFERROR(MATCH(G293,'13W Cash Forecast'!$B$4:$N$4,1),1)</f>
        <v/>
      </c>
    </row>
    <row r="294">
      <c r="A294" s="8" t="inlineStr">
        <is>
          <t>AR-0030903</t>
        </is>
      </c>
      <c r="B294" s="8" t="inlineStr">
        <is>
          <t>Service</t>
        </is>
      </c>
      <c r="C294" s="8" t="inlineStr">
        <is>
          <t>Clackamas Health Network - Operations Real Estate, LLC</t>
        </is>
      </c>
      <c r="D294" s="22" t="n">
        <v>46135</v>
      </c>
      <c r="E294" s="22" t="n">
        <v>46150</v>
      </c>
      <c r="F294" s="9" t="n">
        <v>409.75</v>
      </c>
      <c r="G294" s="23" t="n">
        <v>46150</v>
      </c>
      <c r="H294" s="24" t="inlineStr">
        <is>
          <t>Medium</t>
        </is>
      </c>
      <c r="I294" s="24" t="inlineStr">
        <is>
          <t>Contractual due date pending refreshed collection call</t>
        </is>
      </c>
      <c r="J294" s="8">
        <f>IFERROR(MATCH(G294,'13W Cash Forecast'!$B$4:$N$4,1),1)</f>
        <v/>
      </c>
    </row>
    <row r="295">
      <c r="A295" s="8" t="inlineStr">
        <is>
          <t>AR-0030909</t>
        </is>
      </c>
      <c r="B295" s="8" t="inlineStr">
        <is>
          <t>Service</t>
        </is>
      </c>
      <c r="C295" s="8" t="inlineStr">
        <is>
          <t>Mt. Hood Community Health - Operations Asset Management</t>
        </is>
      </c>
      <c r="D295" s="22" t="n">
        <v>46120</v>
      </c>
      <c r="E295" s="22" t="n">
        <v>46150</v>
      </c>
      <c r="F295" s="9" t="n">
        <v>1596.35</v>
      </c>
      <c r="G295" s="23" t="n">
        <v>46150</v>
      </c>
      <c r="H295" s="24" t="inlineStr">
        <is>
          <t>Medium</t>
        </is>
      </c>
      <c r="I295" s="24" t="inlineStr">
        <is>
          <t>Contractual due date pending refreshed collection call</t>
        </is>
      </c>
      <c r="J295" s="8">
        <f>IFERROR(MATCH(G295,'13W Cash Forecast'!$B$4:$N$4,1),1)</f>
        <v/>
      </c>
    </row>
    <row r="296">
      <c r="A296" s="8" t="inlineStr">
        <is>
          <t>AR-0030428</t>
        </is>
      </c>
      <c r="B296" s="8" t="inlineStr">
        <is>
          <t>Service</t>
        </is>
      </c>
      <c r="C296" s="8" t="inlineStr">
        <is>
          <t>Westside Ambulatory - Portfolio Campus Services</t>
        </is>
      </c>
      <c r="D296" s="22" t="n">
        <v>46106</v>
      </c>
      <c r="E296" s="22" t="n">
        <v>46151</v>
      </c>
      <c r="F296" s="9" t="n">
        <v>1768.7</v>
      </c>
      <c r="G296" s="23" t="n">
        <v>46151</v>
      </c>
      <c r="H296" s="24" t="inlineStr">
        <is>
          <t>Medium</t>
        </is>
      </c>
      <c r="I296" s="24" t="inlineStr">
        <is>
          <t>Contractual due date pending refreshed collection call</t>
        </is>
      </c>
      <c r="J296" s="8">
        <f>IFERROR(MATCH(G296,'13W Cash Forecast'!$B$4:$N$4,1),1)</f>
        <v/>
      </c>
    </row>
    <row r="297">
      <c r="A297" s="8" t="inlineStr">
        <is>
          <t>AR-0030665</t>
        </is>
      </c>
      <c r="B297" s="8" t="inlineStr">
        <is>
          <t>Service</t>
        </is>
      </c>
      <c r="C297" s="8" t="inlineStr">
        <is>
          <t>Fairview Property Partners - East Holdings, LLC</t>
        </is>
      </c>
      <c r="D297" s="22" t="n">
        <v>46136</v>
      </c>
      <c r="E297" s="22" t="n">
        <v>46151</v>
      </c>
      <c r="F297" s="9" t="n">
        <v>664.71</v>
      </c>
      <c r="G297" s="23" t="n">
        <v>46151</v>
      </c>
      <c r="H297" s="24" t="inlineStr">
        <is>
          <t>Medium</t>
        </is>
      </c>
      <c r="I297" s="24" t="inlineStr">
        <is>
          <t>Contractual due date pending refreshed collection call</t>
        </is>
      </c>
      <c r="J297" s="8">
        <f>IFERROR(MATCH(G297,'13W Cash Forecast'!$B$4:$N$4,1),1)</f>
        <v/>
      </c>
    </row>
    <row r="298">
      <c r="A298" s="8" t="inlineStr">
        <is>
          <t>AR-0030671</t>
        </is>
      </c>
      <c r="B298" s="8" t="inlineStr">
        <is>
          <t>Service</t>
        </is>
      </c>
      <c r="C298" s="8" t="inlineStr">
        <is>
          <t>Pioneer Medical Properties - West LLC</t>
        </is>
      </c>
      <c r="D298" s="22" t="n">
        <v>46121</v>
      </c>
      <c r="E298" s="22" t="n">
        <v>46151</v>
      </c>
      <c r="F298" s="9" t="n">
        <v>509.96</v>
      </c>
      <c r="G298" s="23" t="n">
        <v>46151</v>
      </c>
      <c r="H298" s="24" t="inlineStr">
        <is>
          <t>Medium</t>
        </is>
      </c>
      <c r="I298" s="24" t="inlineStr">
        <is>
          <t>Contractual due date pending refreshed collection call</t>
        </is>
      </c>
      <c r="J298" s="8">
        <f>IFERROR(MATCH(G298,'13W Cash Forecast'!$B$4:$N$4,1),1)</f>
        <v/>
      </c>
    </row>
    <row r="299">
      <c r="A299" s="8" t="inlineStr">
        <is>
          <t>AR-0030725</t>
        </is>
      </c>
      <c r="B299" s="8" t="inlineStr">
        <is>
          <t>Service</t>
        </is>
      </c>
      <c r="C299" s="8" t="inlineStr">
        <is>
          <t>High Desert Manufacturing - Portfolio LLC</t>
        </is>
      </c>
      <c r="D299" s="22" t="n">
        <v>46121</v>
      </c>
      <c r="E299" s="22" t="n">
        <v>46151</v>
      </c>
      <c r="F299" s="9" t="n">
        <v>1116.91</v>
      </c>
      <c r="G299" s="23" t="n">
        <v>46151</v>
      </c>
      <c r="H299" s="24" t="inlineStr">
        <is>
          <t>Medium</t>
        </is>
      </c>
      <c r="I299" s="24" t="inlineStr">
        <is>
          <t>Contractual due date pending refreshed collection call</t>
        </is>
      </c>
      <c r="J299" s="8">
        <f>IFERROR(MATCH(G299,'13W Cash Forecast'!$B$4:$N$4,1),1)</f>
        <v/>
      </c>
    </row>
    <row r="300">
      <c r="A300" s="8" t="inlineStr">
        <is>
          <t>AR-0030752</t>
        </is>
      </c>
      <c r="B300" s="8" t="inlineStr">
        <is>
          <t>Service</t>
        </is>
      </c>
      <c r="C300" s="8" t="inlineStr">
        <is>
          <t>Pacific Crest Biotech - East Partners, LP</t>
        </is>
      </c>
      <c r="D300" s="22" t="n">
        <v>46121</v>
      </c>
      <c r="E300" s="22" t="n">
        <v>46151</v>
      </c>
      <c r="F300" s="9" t="n">
        <v>565.76</v>
      </c>
      <c r="G300" s="23" t="n">
        <v>46151</v>
      </c>
      <c r="H300" s="24" t="inlineStr">
        <is>
          <t>Low</t>
        </is>
      </c>
      <c r="I300" s="24" t="inlineStr">
        <is>
          <t>Awaiting project-accountant follow-up</t>
        </is>
      </c>
      <c r="J300" s="8">
        <f>IFERROR(MATCH(G300,'13W Cash Forecast'!$B$4:$N$4,1),1)</f>
        <v/>
      </c>
    </row>
    <row r="301">
      <c r="A301" s="8" t="inlineStr">
        <is>
          <t>AR-0030800</t>
        </is>
      </c>
      <c r="B301" s="8" t="inlineStr">
        <is>
          <t>Service</t>
        </is>
      </c>
      <c r="C301" s="8" t="inlineStr">
        <is>
          <t>Tualatin Commerce Center - West Campus Services</t>
        </is>
      </c>
      <c r="D301" s="22" t="n">
        <v>46136</v>
      </c>
      <c r="E301" s="22" t="n">
        <v>46151</v>
      </c>
      <c r="F301" s="9" t="n">
        <v>1630.25</v>
      </c>
      <c r="G301" s="23" t="n">
        <v>46151</v>
      </c>
      <c r="H301" s="24" t="inlineStr">
        <is>
          <t>Medium</t>
        </is>
      </c>
      <c r="I301" s="24" t="inlineStr">
        <is>
          <t>Contractual due date pending refreshed collection call</t>
        </is>
      </c>
      <c r="J301" s="8">
        <f>IFERROR(MATCH(G301,'13W Cash Forecast'!$B$4:$N$4,1),1)</f>
        <v/>
      </c>
    </row>
    <row r="302">
      <c r="A302" s="8" t="inlineStr">
        <is>
          <t>AR-0030806</t>
        </is>
      </c>
      <c r="B302" s="8" t="inlineStr">
        <is>
          <t>Service</t>
        </is>
      </c>
      <c r="C302" s="8" t="inlineStr">
        <is>
          <t>Forest Park Hospitality - West LLC</t>
        </is>
      </c>
      <c r="D302" s="22" t="n">
        <v>46121</v>
      </c>
      <c r="E302" s="22" t="n">
        <v>46151</v>
      </c>
      <c r="F302" s="9" t="n">
        <v>3192.4</v>
      </c>
      <c r="G302" s="23" t="n">
        <v>46151</v>
      </c>
      <c r="H302" s="24" t="inlineStr">
        <is>
          <t>Medium</t>
        </is>
      </c>
      <c r="I302" s="24" t="inlineStr">
        <is>
          <t>Contractual due date pending refreshed collection call</t>
        </is>
      </c>
      <c r="J302" s="8">
        <f>IFERROR(MATCH(G302,'13W Cash Forecast'!$B$4:$N$4,1),1)</f>
        <v/>
      </c>
    </row>
    <row r="303">
      <c r="A303" s="8" t="inlineStr">
        <is>
          <t>AR-0030854</t>
        </is>
      </c>
      <c r="B303" s="8" t="inlineStr">
        <is>
          <t>Service</t>
        </is>
      </c>
      <c r="C303" s="8" t="inlineStr">
        <is>
          <t>McKenzie River Foods - Central Facilities</t>
        </is>
      </c>
      <c r="D303" s="22" t="n">
        <v>46136</v>
      </c>
      <c r="E303" s="22" t="n">
        <v>46151</v>
      </c>
      <c r="F303" s="9" t="n">
        <v>870.22</v>
      </c>
      <c r="G303" s="23" t="n">
        <v>46151</v>
      </c>
      <c r="H303" s="24" t="inlineStr">
        <is>
          <t>Medium</t>
        </is>
      </c>
      <c r="I303" s="24" t="inlineStr">
        <is>
          <t>Contractual due date pending refreshed collection call</t>
        </is>
      </c>
      <c r="J303" s="8">
        <f>IFERROR(MATCH(G303,'13W Cash Forecast'!$B$4:$N$4,1),1)</f>
        <v/>
      </c>
    </row>
    <row r="304">
      <c r="A304" s="8" t="inlineStr">
        <is>
          <t>AR-0030860</t>
        </is>
      </c>
      <c r="B304" s="8" t="inlineStr">
        <is>
          <t>Service</t>
        </is>
      </c>
      <c r="C304" s="8" t="inlineStr">
        <is>
          <t>Forest Park Hospitality Campus Services</t>
        </is>
      </c>
      <c r="D304" s="22" t="n">
        <v>46121</v>
      </c>
      <c r="E304" s="22" t="n">
        <v>46151</v>
      </c>
      <c r="F304" s="9" t="n">
        <v>1399.17</v>
      </c>
      <c r="G304" s="23" t="n">
        <v>46151</v>
      </c>
      <c r="H304" s="24" t="inlineStr">
        <is>
          <t>Medium</t>
        </is>
      </c>
      <c r="I304" s="24" t="inlineStr">
        <is>
          <t>Contractual due date pending refreshed collection call</t>
        </is>
      </c>
      <c r="J304" s="8">
        <f>IFERROR(MATCH(G304,'13W Cash Forecast'!$B$4:$N$4,1),1)</f>
        <v/>
      </c>
    </row>
    <row r="305">
      <c r="A305" s="8" t="inlineStr">
        <is>
          <t>AR-0030887</t>
        </is>
      </c>
      <c r="B305" s="8" t="inlineStr">
        <is>
          <t>Service</t>
        </is>
      </c>
      <c r="C305" s="8" t="inlineStr">
        <is>
          <t>Beacon Industrial - South Asset Management</t>
        </is>
      </c>
      <c r="D305" s="22" t="n">
        <v>46121</v>
      </c>
      <c r="E305" s="22" t="n">
        <v>46151</v>
      </c>
      <c r="F305" s="9" t="n">
        <v>1687.64</v>
      </c>
      <c r="G305" s="23" t="n">
        <v>46151</v>
      </c>
      <c r="H305" s="24" t="inlineStr">
        <is>
          <t>Medium</t>
        </is>
      </c>
      <c r="I305" s="24" t="inlineStr">
        <is>
          <t>Contractual due date pending refreshed collection call</t>
        </is>
      </c>
      <c r="J305" s="8">
        <f>IFERROR(MATCH(G305,'13W Cash Forecast'!$B$4:$N$4,1),1)</f>
        <v/>
      </c>
    </row>
    <row r="306">
      <c r="A306" s="8" t="inlineStr">
        <is>
          <t>AR-0030703</t>
        </is>
      </c>
      <c r="B306" s="8" t="inlineStr">
        <is>
          <t>Service</t>
        </is>
      </c>
      <c r="C306" s="8" t="inlineStr">
        <is>
          <t>Sunrise Hospitality - East Development Company</t>
        </is>
      </c>
      <c r="D306" s="22" t="n">
        <v>46122</v>
      </c>
      <c r="E306" s="22" t="n">
        <v>46152</v>
      </c>
      <c r="F306" s="9" t="n">
        <v>770.53</v>
      </c>
      <c r="G306" s="23" t="n">
        <v>46152</v>
      </c>
      <c r="H306" s="24" t="inlineStr">
        <is>
          <t>Medium</t>
        </is>
      </c>
      <c r="I306" s="24" t="inlineStr">
        <is>
          <t>Contractual due date pending refreshed collection call</t>
        </is>
      </c>
      <c r="J306" s="8">
        <f>IFERROR(MATCH(G306,'13W Cash Forecast'!$B$4:$N$4,1),1)</f>
        <v/>
      </c>
    </row>
    <row r="307">
      <c r="A307" s="8" t="inlineStr">
        <is>
          <t>AR-0030730</t>
        </is>
      </c>
      <c r="B307" s="8" t="inlineStr">
        <is>
          <t>Service</t>
        </is>
      </c>
      <c r="C307" s="8" t="inlineStr">
        <is>
          <t>Columbia River Logistics - Portfolio Partners, LP</t>
        </is>
      </c>
      <c r="D307" s="22" t="n">
        <v>46122</v>
      </c>
      <c r="E307" s="22" t="n">
        <v>46152</v>
      </c>
      <c r="F307" s="9" t="n">
        <v>1716.57</v>
      </c>
      <c r="G307" s="23" t="n">
        <v>46152</v>
      </c>
      <c r="H307" s="24" t="inlineStr">
        <is>
          <t>Low</t>
        </is>
      </c>
      <c r="I307" s="24" t="inlineStr">
        <is>
          <t>Awaiting project-accountant follow-up</t>
        </is>
      </c>
      <c r="J307" s="8">
        <f>IFERROR(MATCH(G307,'13W Cash Forecast'!$B$4:$N$4,1),1)</f>
        <v/>
      </c>
    </row>
    <row r="308">
      <c r="A308" s="8" t="inlineStr">
        <is>
          <t>AR-0030778</t>
        </is>
      </c>
      <c r="B308" s="8" t="inlineStr">
        <is>
          <t>Service</t>
        </is>
      </c>
      <c r="C308" s="8" t="inlineStr">
        <is>
          <t>Hillsboro Life Sciences - Campus Campus Services</t>
        </is>
      </c>
      <c r="D308" s="22" t="n">
        <v>46137</v>
      </c>
      <c r="E308" s="22" t="n">
        <v>46152</v>
      </c>
      <c r="F308" s="9" t="n">
        <v>2367.48</v>
      </c>
      <c r="G308" s="23" t="n">
        <v>46152</v>
      </c>
      <c r="H308" s="24" t="inlineStr">
        <is>
          <t>Medium</t>
        </is>
      </c>
      <c r="I308" s="24" t="inlineStr">
        <is>
          <t>Contractual due date pending refreshed collection call</t>
        </is>
      </c>
      <c r="J308" s="8">
        <f>IFERROR(MATCH(G308,'13W Cash Forecast'!$B$4:$N$4,1),1)</f>
        <v/>
      </c>
    </row>
    <row r="309">
      <c r="A309" s="8" t="inlineStr">
        <is>
          <t>AR-0030784</t>
        </is>
      </c>
      <c r="B309" s="8" t="inlineStr">
        <is>
          <t>Service</t>
        </is>
      </c>
      <c r="C309" s="8" t="inlineStr">
        <is>
          <t>Salem Surgical Partners - Campus Development Company</t>
        </is>
      </c>
      <c r="D309" s="22" t="n">
        <v>46122</v>
      </c>
      <c r="E309" s="22" t="n">
        <v>46152</v>
      </c>
      <c r="F309" s="9" t="n">
        <v>971.26</v>
      </c>
      <c r="G309" s="23" t="n">
        <v>46152</v>
      </c>
      <c r="H309" s="24" t="inlineStr">
        <is>
          <t>Medium</t>
        </is>
      </c>
      <c r="I309" s="24" t="inlineStr">
        <is>
          <t>Contractual due date pending refreshed collection call</t>
        </is>
      </c>
      <c r="J309" s="8">
        <f>IFERROR(MATCH(G309,'13W Cash Forecast'!$B$4:$N$4,1),1)</f>
        <v/>
      </c>
    </row>
    <row r="310">
      <c r="A310" s="8" t="inlineStr">
        <is>
          <t>AR-0030832</t>
        </is>
      </c>
      <c r="B310" s="8" t="inlineStr">
        <is>
          <t>Service</t>
        </is>
      </c>
      <c r="C310" s="8" t="inlineStr">
        <is>
          <t>Alder Creek Medical - North Facilities</t>
        </is>
      </c>
      <c r="D310" s="22" t="n">
        <v>46137</v>
      </c>
      <c r="E310" s="22" t="n">
        <v>46152</v>
      </c>
      <c r="F310" s="9" t="n">
        <v>1195.87</v>
      </c>
      <c r="G310" s="23" t="n">
        <v>46152</v>
      </c>
      <c r="H310" s="24" t="inlineStr">
        <is>
          <t>Medium</t>
        </is>
      </c>
      <c r="I310" s="24" t="inlineStr">
        <is>
          <t>Contractual due date pending refreshed collection call</t>
        </is>
      </c>
      <c r="J310" s="8">
        <f>IFERROR(MATCH(G310,'13W Cash Forecast'!$B$4:$N$4,1),1)</f>
        <v/>
      </c>
    </row>
    <row r="311">
      <c r="A311" s="8" t="inlineStr">
        <is>
          <t>AR-0030838</t>
        </is>
      </c>
      <c r="B311" s="8" t="inlineStr">
        <is>
          <t>Service</t>
        </is>
      </c>
      <c r="C311" s="8" t="inlineStr">
        <is>
          <t>Klamath County Facilities - South Property Group</t>
        </is>
      </c>
      <c r="D311" s="22" t="n">
        <v>46122</v>
      </c>
      <c r="E311" s="22" t="n">
        <v>46152</v>
      </c>
      <c r="F311" s="9" t="n">
        <v>943.64</v>
      </c>
      <c r="G311" s="23" t="n">
        <v>46152</v>
      </c>
      <c r="H311" s="24" t="inlineStr">
        <is>
          <t>Medium</t>
        </is>
      </c>
      <c r="I311" s="24" t="inlineStr">
        <is>
          <t>Contractual due date pending refreshed collection call</t>
        </is>
      </c>
      <c r="J311" s="8">
        <f>IFERROR(MATCH(G311,'13W Cash Forecast'!$B$4:$N$4,1),1)</f>
        <v/>
      </c>
    </row>
    <row r="312">
      <c r="A312" s="8" t="inlineStr">
        <is>
          <t>AR-0030865</t>
        </is>
      </c>
      <c r="B312" s="8" t="inlineStr">
        <is>
          <t>Service</t>
        </is>
      </c>
      <c r="C312" s="8" t="inlineStr">
        <is>
          <t>Summit Surgical Properties</t>
        </is>
      </c>
      <c r="D312" s="22" t="n">
        <v>46122</v>
      </c>
      <c r="E312" s="22" t="n">
        <v>46152</v>
      </c>
      <c r="F312" s="9" t="n">
        <v>321.62</v>
      </c>
      <c r="G312" s="23" t="n">
        <v>46152</v>
      </c>
      <c r="H312" s="24" t="inlineStr">
        <is>
          <t>Medium</t>
        </is>
      </c>
      <c r="I312" s="24" t="inlineStr">
        <is>
          <t>Contractual due date pending refreshed collection call</t>
        </is>
      </c>
      <c r="J312" s="8">
        <f>IFERROR(MATCH(G312,'13W Cash Forecast'!$B$4:$N$4,1),1)</f>
        <v/>
      </c>
    </row>
    <row r="313">
      <c r="A313" s="8" t="inlineStr">
        <is>
          <t>AR-0030913</t>
        </is>
      </c>
      <c r="B313" s="8" t="inlineStr">
        <is>
          <t>Service</t>
        </is>
      </c>
      <c r="C313" s="8" t="inlineStr">
        <is>
          <t>Hillsboro Life Sciences Operating Company</t>
        </is>
      </c>
      <c r="D313" s="22" t="n">
        <v>46137</v>
      </c>
      <c r="E313" s="22" t="n">
        <v>46152</v>
      </c>
      <c r="F313" s="9" t="n">
        <v>818.15</v>
      </c>
      <c r="G313" s="23" t="n">
        <v>46152</v>
      </c>
      <c r="H313" s="24" t="inlineStr">
        <is>
          <t>Medium</t>
        </is>
      </c>
      <c r="I313" s="24" t="inlineStr">
        <is>
          <t>Contractual due date pending refreshed collection call</t>
        </is>
      </c>
      <c r="J313" s="8">
        <f>IFERROR(MATCH(G313,'13W Cash Forecast'!$B$4:$N$4,1),1)</f>
        <v/>
      </c>
    </row>
    <row r="314">
      <c r="A314" s="8" t="inlineStr">
        <is>
          <t>AR-0030573</t>
        </is>
      </c>
      <c r="B314" s="8" t="inlineStr">
        <is>
          <t>Service</t>
        </is>
      </c>
      <c r="C314" s="8" t="inlineStr">
        <is>
          <t>Deschutes Medical Group - North Development Company</t>
        </is>
      </c>
      <c r="D314" s="22" t="n">
        <v>46108</v>
      </c>
      <c r="E314" s="22" t="n">
        <v>46153</v>
      </c>
      <c r="F314" s="9" t="n">
        <v>142.09</v>
      </c>
      <c r="G314" s="23" t="n">
        <v>46153</v>
      </c>
      <c r="H314" s="24" t="inlineStr">
        <is>
          <t>Low</t>
        </is>
      </c>
      <c r="I314" s="24" t="inlineStr">
        <is>
          <t>Awaiting project-accountant follow-up</t>
        </is>
      </c>
      <c r="J314" s="8">
        <f>IFERROR(MATCH(G314,'13W Cash Forecast'!$B$4:$N$4,1),1)</f>
        <v/>
      </c>
    </row>
    <row r="315">
      <c r="A315" s="8" t="inlineStr">
        <is>
          <t>AR-0030681</t>
        </is>
      </c>
      <c r="B315" s="8" t="inlineStr">
        <is>
          <t>Service</t>
        </is>
      </c>
      <c r="C315" s="8" t="inlineStr">
        <is>
          <t>High Desert Manufacturing - Portfolio Development Company</t>
        </is>
      </c>
      <c r="D315" s="22" t="n">
        <v>46123</v>
      </c>
      <c r="E315" s="22" t="n">
        <v>46153</v>
      </c>
      <c r="F315" s="9" t="n">
        <v>589.66</v>
      </c>
      <c r="G315" s="23" t="n">
        <v>46153</v>
      </c>
      <c r="H315" s="24" t="inlineStr">
        <is>
          <t>Medium</t>
        </is>
      </c>
      <c r="I315" s="24" t="inlineStr">
        <is>
          <t>Contractual due date pending refreshed collection call</t>
        </is>
      </c>
      <c r="J315" s="8">
        <f>IFERROR(MATCH(G315,'13W Cash Forecast'!$B$4:$N$4,1),1)</f>
        <v/>
      </c>
    </row>
    <row r="316">
      <c r="A316" s="8" t="inlineStr">
        <is>
          <t>AR-0030708</t>
        </is>
      </c>
      <c r="B316" s="8" t="inlineStr">
        <is>
          <t>Service</t>
        </is>
      </c>
      <c r="C316" s="8" t="inlineStr">
        <is>
          <t>Pacific Crest Biotech - East Facilities</t>
        </is>
      </c>
      <c r="D316" s="22" t="n">
        <v>46123</v>
      </c>
      <c r="E316" s="22" t="n">
        <v>46153</v>
      </c>
      <c r="F316" s="9" t="n">
        <v>217.78</v>
      </c>
      <c r="G316" s="23" t="n">
        <v>46153</v>
      </c>
      <c r="H316" s="24" t="inlineStr">
        <is>
          <t>Medium</t>
        </is>
      </c>
      <c r="I316" s="24" t="inlineStr">
        <is>
          <t>Contractual due date pending refreshed collection call</t>
        </is>
      </c>
      <c r="J316" s="8">
        <f>IFERROR(MATCH(G316,'13W Cash Forecast'!$B$4:$N$4,1),1)</f>
        <v/>
      </c>
    </row>
    <row r="317">
      <c r="A317" s="8" t="inlineStr">
        <is>
          <t>AR-0030756</t>
        </is>
      </c>
      <c r="B317" s="8" t="inlineStr">
        <is>
          <t>Service</t>
        </is>
      </c>
      <c r="C317" s="8" t="inlineStr">
        <is>
          <t>Tualatin Commerce Center - West Real Estate, LLC</t>
        </is>
      </c>
      <c r="D317" s="22" t="n">
        <v>46138</v>
      </c>
      <c r="E317" s="22" t="n">
        <v>46153</v>
      </c>
      <c r="F317" s="9" t="n">
        <v>1093.4</v>
      </c>
      <c r="G317" s="23" t="n">
        <v>46153</v>
      </c>
      <c r="H317" s="24" t="inlineStr">
        <is>
          <t>Medium</t>
        </is>
      </c>
      <c r="I317" s="24" t="inlineStr">
        <is>
          <t>Contractual due date pending refreshed collection call</t>
        </is>
      </c>
      <c r="J317" s="8">
        <f>IFERROR(MATCH(G317,'13W Cash Forecast'!$B$4:$N$4,1),1)</f>
        <v/>
      </c>
    </row>
    <row r="318">
      <c r="A318" s="8" t="inlineStr">
        <is>
          <t>AR-0030762</t>
        </is>
      </c>
      <c r="B318" s="8" t="inlineStr">
        <is>
          <t>Service</t>
        </is>
      </c>
      <c r="C318" s="8" t="inlineStr">
        <is>
          <t>Forest Park Hospitality - West Development Company</t>
        </is>
      </c>
      <c r="D318" s="22" t="n">
        <v>46123</v>
      </c>
      <c r="E318" s="22" t="n">
        <v>46153</v>
      </c>
      <c r="F318" s="9" t="n">
        <v>1143.07</v>
      </c>
      <c r="G318" s="23" t="n">
        <v>46153</v>
      </c>
      <c r="H318" s="24" t="inlineStr">
        <is>
          <t>Medium</t>
        </is>
      </c>
      <c r="I318" s="24" t="inlineStr">
        <is>
          <t>Contractual due date pending refreshed collection call</t>
        </is>
      </c>
      <c r="J318" s="8">
        <f>IFERROR(MATCH(G318,'13W Cash Forecast'!$B$4:$N$4,1),1)</f>
        <v/>
      </c>
    </row>
    <row r="319">
      <c r="A319" s="8" t="inlineStr">
        <is>
          <t>AR-0030810</t>
        </is>
      </c>
      <c r="B319" s="8" t="inlineStr">
        <is>
          <t>Service</t>
        </is>
      </c>
      <c r="C319" s="8" t="inlineStr">
        <is>
          <t>McKenzie River Foods - Central Property Group</t>
        </is>
      </c>
      <c r="D319" s="22" t="n">
        <v>46138</v>
      </c>
      <c r="E319" s="22" t="n">
        <v>46153</v>
      </c>
      <c r="F319" s="9" t="n">
        <v>1738.84</v>
      </c>
      <c r="G319" s="23" t="n">
        <v>46153</v>
      </c>
      <c r="H319" s="24" t="inlineStr">
        <is>
          <t>Medium</t>
        </is>
      </c>
      <c r="I319" s="24" t="inlineStr">
        <is>
          <t>Contractual due date pending refreshed collection call</t>
        </is>
      </c>
      <c r="J319" s="8">
        <f>IFERROR(MATCH(G319,'13W Cash Forecast'!$B$4:$N$4,1),1)</f>
        <v/>
      </c>
    </row>
    <row r="320">
      <c r="A320" s="8" t="inlineStr">
        <is>
          <t>AR-0030816</t>
        </is>
      </c>
      <c r="B320" s="8" t="inlineStr">
        <is>
          <t>Service</t>
        </is>
      </c>
      <c r="C320" s="8" t="inlineStr">
        <is>
          <t>Valley View Food Systems - Operations Holdings, LLC</t>
        </is>
      </c>
      <c r="D320" s="22" t="n">
        <v>46123</v>
      </c>
      <c r="E320" s="22" t="n">
        <v>46153</v>
      </c>
      <c r="F320" s="9" t="n">
        <v>914.8099999999999</v>
      </c>
      <c r="G320" s="23" t="n">
        <v>46153</v>
      </c>
      <c r="H320" s="24" t="inlineStr">
        <is>
          <t>Medium</t>
        </is>
      </c>
      <c r="I320" s="24" t="inlineStr">
        <is>
          <t>Contractual due date pending refreshed collection call</t>
        </is>
      </c>
      <c r="J320" s="8">
        <f>IFERROR(MATCH(G320,'13W Cash Forecast'!$B$4:$N$4,1),1)</f>
        <v/>
      </c>
    </row>
    <row r="321">
      <c r="A321" s="8" t="inlineStr">
        <is>
          <t>AR-0030870</t>
        </is>
      </c>
      <c r="B321" s="8" t="inlineStr">
        <is>
          <t>Service</t>
        </is>
      </c>
      <c r="C321" s="8" t="inlineStr">
        <is>
          <t>Oak Street Development - North Holdings, LLC</t>
        </is>
      </c>
      <c r="D321" s="22" t="n">
        <v>46123</v>
      </c>
      <c r="E321" s="22" t="n">
        <v>46153</v>
      </c>
      <c r="F321" s="9" t="n">
        <v>457.94</v>
      </c>
      <c r="G321" s="23" t="n">
        <v>46153</v>
      </c>
      <c r="H321" s="24" t="inlineStr">
        <is>
          <t>Low</t>
        </is>
      </c>
      <c r="I321" s="24" t="inlineStr">
        <is>
          <t>Awaiting project-accountant follow-up</t>
        </is>
      </c>
      <c r="J321" s="8">
        <f>IFERROR(MATCH(G321,'13W Cash Forecast'!$B$4:$N$4,1),1)</f>
        <v/>
      </c>
    </row>
    <row r="322">
      <c r="A322" s="8" t="inlineStr">
        <is>
          <t>AR-0030897</t>
        </is>
      </c>
      <c r="B322" s="8" t="inlineStr">
        <is>
          <t>Service</t>
        </is>
      </c>
      <c r="C322" s="8" t="inlineStr">
        <is>
          <t>Copperline Apartments Development Company</t>
        </is>
      </c>
      <c r="D322" s="22" t="n">
        <v>46123</v>
      </c>
      <c r="E322" s="22" t="n">
        <v>46153</v>
      </c>
      <c r="F322" s="9" t="n">
        <v>1272.77</v>
      </c>
      <c r="G322" s="23" t="n">
        <v>46153</v>
      </c>
      <c r="H322" s="24" t="inlineStr">
        <is>
          <t>Medium</t>
        </is>
      </c>
      <c r="I322" s="24" t="inlineStr">
        <is>
          <t>Contractual due date pending refreshed collection call</t>
        </is>
      </c>
      <c r="J322" s="8">
        <f>IFERROR(MATCH(G322,'13W Cash Forecast'!$B$4:$N$4,1),1)</f>
        <v/>
      </c>
    </row>
    <row r="323">
      <c r="A323" s="8" t="inlineStr">
        <is>
          <t>AR-0030659</t>
        </is>
      </c>
      <c r="B323" s="8" t="inlineStr">
        <is>
          <t>Service</t>
        </is>
      </c>
      <c r="C323" s="8" t="inlineStr">
        <is>
          <t>Mt. Hood Community Health Campus Services</t>
        </is>
      </c>
      <c r="D323" s="22" t="n">
        <v>46124</v>
      </c>
      <c r="E323" s="22" t="n">
        <v>46154</v>
      </c>
      <c r="F323" s="9" t="n">
        <v>1016.76</v>
      </c>
      <c r="G323" s="23" t="n">
        <v>46154</v>
      </c>
      <c r="H323" s="24" t="inlineStr">
        <is>
          <t>Medium</t>
        </is>
      </c>
      <c r="I323" s="24" t="inlineStr">
        <is>
          <t>Contractual due date pending refreshed collection call</t>
        </is>
      </c>
      <c r="J323" s="8">
        <f>IFERROR(MATCH(G323,'13W Cash Forecast'!$B$4:$N$4,1),1)</f>
        <v/>
      </c>
    </row>
    <row r="324">
      <c r="A324" s="8" t="inlineStr">
        <is>
          <t>AR-0030686</t>
        </is>
      </c>
      <c r="B324" s="8" t="inlineStr">
        <is>
          <t>Service</t>
        </is>
      </c>
      <c r="C324" s="8" t="inlineStr">
        <is>
          <t>Columbia River Logistics - Portfolio Facilities</t>
        </is>
      </c>
      <c r="D324" s="22" t="n">
        <v>46124</v>
      </c>
      <c r="E324" s="22" t="n">
        <v>46154</v>
      </c>
      <c r="F324" s="9" t="n">
        <v>1207.97</v>
      </c>
      <c r="G324" s="23" t="n">
        <v>46154</v>
      </c>
      <c r="H324" s="24" t="inlineStr">
        <is>
          <t>Medium</t>
        </is>
      </c>
      <c r="I324" s="24" t="inlineStr">
        <is>
          <t>Contractual due date pending refreshed collection call</t>
        </is>
      </c>
      <c r="J324" s="8">
        <f>IFERROR(MATCH(G324,'13W Cash Forecast'!$B$4:$N$4,1),1)</f>
        <v/>
      </c>
    </row>
    <row r="325">
      <c r="A325" s="8" t="inlineStr">
        <is>
          <t>AR-0030734</t>
        </is>
      </c>
      <c r="B325" s="8" t="inlineStr">
        <is>
          <t>Service</t>
        </is>
      </c>
      <c r="C325" s="8" t="inlineStr">
        <is>
          <t>Hillsboro Life Sciences - Campus Real Estate, LLC</t>
        </is>
      </c>
      <c r="D325" s="22" t="n">
        <v>46139</v>
      </c>
      <c r="E325" s="22" t="n">
        <v>46154</v>
      </c>
      <c r="F325" s="9" t="n">
        <v>630.37</v>
      </c>
      <c r="G325" s="23" t="n">
        <v>46154</v>
      </c>
      <c r="H325" s="24" t="inlineStr">
        <is>
          <t>Medium</t>
        </is>
      </c>
      <c r="I325" s="24" t="inlineStr">
        <is>
          <t>Contractual due date pending refreshed collection call</t>
        </is>
      </c>
      <c r="J325" s="8">
        <f>IFERROR(MATCH(G325,'13W Cash Forecast'!$B$4:$N$4,1),1)</f>
        <v/>
      </c>
    </row>
    <row r="326">
      <c r="A326" s="8" t="inlineStr">
        <is>
          <t>AR-0030740</t>
        </is>
      </c>
      <c r="B326" s="8" t="inlineStr">
        <is>
          <t>Service</t>
        </is>
      </c>
      <c r="C326" s="8" t="inlineStr">
        <is>
          <t>Salem Surgical Partners - Campus Asset Management</t>
        </is>
      </c>
      <c r="D326" s="22" t="n">
        <v>46124</v>
      </c>
      <c r="E326" s="22" t="n">
        <v>46154</v>
      </c>
      <c r="F326" s="9" t="n">
        <v>492.7</v>
      </c>
      <c r="G326" s="23" t="n">
        <v>46154</v>
      </c>
      <c r="H326" s="24" t="inlineStr">
        <is>
          <t>Medium</t>
        </is>
      </c>
      <c r="I326" s="24" t="inlineStr">
        <is>
          <t>Contractual due date pending refreshed collection call</t>
        </is>
      </c>
      <c r="J326" s="8">
        <f>IFERROR(MATCH(G326,'13W Cash Forecast'!$B$4:$N$4,1),1)</f>
        <v/>
      </c>
    </row>
    <row r="327">
      <c r="A327" s="8" t="inlineStr">
        <is>
          <t>AR-0030788</t>
        </is>
      </c>
      <c r="B327" s="8" t="inlineStr">
        <is>
          <t>Service</t>
        </is>
      </c>
      <c r="C327" s="8" t="inlineStr">
        <is>
          <t>Alder Creek Medical - North Property Group</t>
        </is>
      </c>
      <c r="D327" s="22" t="n">
        <v>46139</v>
      </c>
      <c r="E327" s="22" t="n">
        <v>46154</v>
      </c>
      <c r="F327" s="9" t="n">
        <v>222.28</v>
      </c>
      <c r="G327" s="23" t="n">
        <v>46154</v>
      </c>
      <c r="H327" s="24" t="inlineStr">
        <is>
          <t>Medium</t>
        </is>
      </c>
      <c r="I327" s="24" t="inlineStr">
        <is>
          <t>Contractual due date pending refreshed collection call</t>
        </is>
      </c>
      <c r="J327" s="8">
        <f>IFERROR(MATCH(G327,'13W Cash Forecast'!$B$4:$N$4,1),1)</f>
        <v/>
      </c>
    </row>
    <row r="328">
      <c r="A328" s="8" t="inlineStr">
        <is>
          <t>AR-0030794</t>
        </is>
      </c>
      <c r="B328" s="8" t="inlineStr">
        <is>
          <t>Service</t>
        </is>
      </c>
      <c r="C328" s="8" t="inlineStr">
        <is>
          <t>Klamath County Facilities - South Holdings, LLC</t>
        </is>
      </c>
      <c r="D328" s="22" t="n">
        <v>46124</v>
      </c>
      <c r="E328" s="22" t="n">
        <v>46154</v>
      </c>
      <c r="F328" s="9" t="n">
        <v>342.44</v>
      </c>
      <c r="G328" s="23" t="n">
        <v>46154</v>
      </c>
      <c r="H328" s="24" t="inlineStr">
        <is>
          <t>Low</t>
        </is>
      </c>
      <c r="I328" s="24" t="inlineStr">
        <is>
          <t>Awaiting project-accountant follow-up</t>
        </is>
      </c>
      <c r="J328" s="8">
        <f>IFERROR(MATCH(G328,'13W Cash Forecast'!$B$4:$N$4,1),1)</f>
        <v/>
      </c>
    </row>
    <row r="329">
      <c r="A329" s="8" t="inlineStr">
        <is>
          <t>AR-0030848</t>
        </is>
      </c>
      <c r="B329" s="8" t="inlineStr">
        <is>
          <t>Service</t>
        </is>
      </c>
      <c r="C329" s="8" t="inlineStr">
        <is>
          <t>Central Cascades Foods - Central Holdings, LLC</t>
        </is>
      </c>
      <c r="D329" s="22" t="n">
        <v>46124</v>
      </c>
      <c r="E329" s="22" t="n">
        <v>46154</v>
      </c>
      <c r="F329" s="9" t="n">
        <v>991.84</v>
      </c>
      <c r="G329" s="23" t="n">
        <v>46154</v>
      </c>
      <c r="H329" s="24" t="inlineStr">
        <is>
          <t>Medium</t>
        </is>
      </c>
      <c r="I329" s="24" t="inlineStr">
        <is>
          <t>Contractual due date pending refreshed collection call</t>
        </is>
      </c>
      <c r="J329" s="8">
        <f>IFERROR(MATCH(G329,'13W Cash Forecast'!$B$4:$N$4,1),1)</f>
        <v/>
      </c>
    </row>
    <row r="330">
      <c r="A330" s="8" t="inlineStr">
        <is>
          <t>AR-0030875</t>
        </is>
      </c>
      <c r="B330" s="8" t="inlineStr">
        <is>
          <t>Service</t>
        </is>
      </c>
      <c r="C330" s="8" t="inlineStr">
        <is>
          <t>Juniper Ridge Properties - North Operating Company</t>
        </is>
      </c>
      <c r="D330" s="22" t="n">
        <v>46124</v>
      </c>
      <c r="E330" s="22" t="n">
        <v>46154</v>
      </c>
      <c r="F330" s="9" t="n">
        <v>259.67</v>
      </c>
      <c r="G330" s="23" t="n">
        <v>46154</v>
      </c>
      <c r="H330" s="24" t="inlineStr">
        <is>
          <t>Medium</t>
        </is>
      </c>
      <c r="I330" s="24" t="inlineStr">
        <is>
          <t>Contractual due date pending refreshed collection call</t>
        </is>
      </c>
      <c r="J330" s="8">
        <f>IFERROR(MATCH(G330,'13W Cash Forecast'!$B$4:$N$4,1),1)</f>
        <v/>
      </c>
    </row>
    <row r="331">
      <c r="A331" s="8" t="inlineStr">
        <is>
          <t>AR-0030902</t>
        </is>
      </c>
      <c r="B331" s="8" t="inlineStr">
        <is>
          <t>Service</t>
        </is>
      </c>
      <c r="C331" s="8" t="inlineStr">
        <is>
          <t>Willamette Food Cooperative</t>
        </is>
      </c>
      <c r="D331" s="22" t="n">
        <v>46124</v>
      </c>
      <c r="E331" s="22" t="n">
        <v>46154</v>
      </c>
      <c r="F331" s="9" t="n">
        <v>686.37</v>
      </c>
      <c r="G331" s="23" t="n">
        <v>46154</v>
      </c>
      <c r="H331" s="24" t="inlineStr">
        <is>
          <t>Medium</t>
        </is>
      </c>
      <c r="I331" s="24" t="inlineStr">
        <is>
          <t>Contractual due date pending refreshed collection call</t>
        </is>
      </c>
      <c r="J331" s="8">
        <f>IFERROR(MATCH(G331,'13W Cash Forecast'!$B$4:$N$4,1),1)</f>
        <v/>
      </c>
    </row>
    <row r="332">
      <c r="A332" s="8" t="inlineStr">
        <is>
          <t>AR-0030718</t>
        </is>
      </c>
      <c r="B332" s="8" t="inlineStr">
        <is>
          <t>Service</t>
        </is>
      </c>
      <c r="C332" s="8" t="inlineStr">
        <is>
          <t>Forest Park Hospitality - West Asset Management</t>
        </is>
      </c>
      <c r="D332" s="22" t="n">
        <v>46125</v>
      </c>
      <c r="E332" s="22" t="n">
        <v>46155</v>
      </c>
      <c r="F332" s="9" t="n">
        <v>973.13</v>
      </c>
      <c r="G332" s="23" t="n">
        <v>46155</v>
      </c>
      <c r="H332" s="24" t="inlineStr">
        <is>
          <t>Medium</t>
        </is>
      </c>
      <c r="I332" s="24" t="inlineStr">
        <is>
          <t>Contractual due date pending refreshed collection call</t>
        </is>
      </c>
      <c r="J332" s="8">
        <f>IFERROR(MATCH(G332,'13W Cash Forecast'!$B$4:$N$4,1),1)</f>
        <v/>
      </c>
    </row>
    <row r="333">
      <c r="A333" s="8" t="inlineStr">
        <is>
          <t>AR-0030772</t>
        </is>
      </c>
      <c r="B333" s="8" t="inlineStr">
        <is>
          <t>Service</t>
        </is>
      </c>
      <c r="C333" s="8" t="inlineStr">
        <is>
          <t>Valley View Food Systems - Operations LLC</t>
        </is>
      </c>
      <c r="D333" s="22" t="n">
        <v>46125</v>
      </c>
      <c r="E333" s="22" t="n">
        <v>46155</v>
      </c>
      <c r="F333" s="9" t="n">
        <v>403.4</v>
      </c>
      <c r="G333" s="23" t="n">
        <v>46155</v>
      </c>
      <c r="H333" s="24" t="inlineStr">
        <is>
          <t>Medium</t>
        </is>
      </c>
      <c r="I333" s="24" t="inlineStr">
        <is>
          <t>Contractual due date pending refreshed collection call</t>
        </is>
      </c>
      <c r="J333" s="8">
        <f>IFERROR(MATCH(G333,'13W Cash Forecast'!$B$4:$N$4,1),1)</f>
        <v/>
      </c>
    </row>
    <row r="334">
      <c r="A334" s="8" t="inlineStr">
        <is>
          <t>AR-0030826</t>
        </is>
      </c>
      <c r="B334" s="8" t="inlineStr">
        <is>
          <t>Service</t>
        </is>
      </c>
      <c r="C334" s="8" t="inlineStr">
        <is>
          <t>Oak Street Development - North LLC</t>
        </is>
      </c>
      <c r="D334" s="22" t="n">
        <v>46125</v>
      </c>
      <c r="E334" s="22" t="n">
        <v>46155</v>
      </c>
      <c r="F334" s="9" t="n">
        <v>1685.55</v>
      </c>
      <c r="G334" s="23" t="n">
        <v>46155</v>
      </c>
      <c r="H334" s="24" t="inlineStr">
        <is>
          <t>Medium</t>
        </is>
      </c>
      <c r="I334" s="24" t="inlineStr">
        <is>
          <t>Contractual due date pending refreshed collection call</t>
        </is>
      </c>
      <c r="J334" s="8">
        <f>IFERROR(MATCH(G334,'13W Cash Forecast'!$B$4:$N$4,1),1)</f>
        <v/>
      </c>
    </row>
    <row r="335">
      <c r="A335" s="8" t="inlineStr">
        <is>
          <t>AR-0030853</t>
        </is>
      </c>
      <c r="B335" s="8" t="inlineStr">
        <is>
          <t>Service</t>
        </is>
      </c>
      <c r="C335" s="8" t="inlineStr">
        <is>
          <t>Union Station Properties - Central Partners, LP</t>
        </is>
      </c>
      <c r="D335" s="22" t="n">
        <v>46125</v>
      </c>
      <c r="E335" s="22" t="n">
        <v>46155</v>
      </c>
      <c r="F335" s="9" t="n">
        <v>536.63</v>
      </c>
      <c r="G335" s="23" t="n">
        <v>46155</v>
      </c>
      <c r="H335" s="24" t="inlineStr">
        <is>
          <t>Low</t>
        </is>
      </c>
      <c r="I335" s="24" t="inlineStr">
        <is>
          <t>Awaiting project-accountant follow-up</t>
        </is>
      </c>
      <c r="J335" s="8">
        <f>IFERROR(MATCH(G335,'13W Cash Forecast'!$B$4:$N$4,1),1)</f>
        <v/>
      </c>
    </row>
    <row r="336">
      <c r="A336" s="8" t="inlineStr">
        <is>
          <t>AR-0030907</t>
        </is>
      </c>
      <c r="B336" s="8" t="inlineStr">
        <is>
          <t>Service</t>
        </is>
      </c>
      <c r="C336" s="8" t="inlineStr">
        <is>
          <t>Mt. Hood Community Health - Operations LLC</t>
        </is>
      </c>
      <c r="D336" s="22" t="n">
        <v>46125</v>
      </c>
      <c r="E336" s="22" t="n">
        <v>46155</v>
      </c>
      <c r="F336" s="9" t="n">
        <v>460.75</v>
      </c>
      <c r="G336" s="23" t="n">
        <v>46155</v>
      </c>
      <c r="H336" s="24" t="inlineStr">
        <is>
          <t>Medium</t>
        </is>
      </c>
      <c r="I336" s="24" t="inlineStr">
        <is>
          <t>Contractual due date pending refreshed collection call</t>
        </is>
      </c>
      <c r="J336" s="8">
        <f>IFERROR(MATCH(G336,'13W Cash Forecast'!$B$4:$N$4,1),1)</f>
        <v/>
      </c>
    </row>
    <row r="337">
      <c r="A337" s="8" t="inlineStr">
        <is>
          <t>AR-0030669</t>
        </is>
      </c>
      <c r="B337" s="8" t="inlineStr">
        <is>
          <t>Service</t>
        </is>
      </c>
      <c r="C337" s="8" t="inlineStr">
        <is>
          <t>Columbia Biologics, Inc.</t>
        </is>
      </c>
      <c r="D337" s="22" t="n">
        <v>46126</v>
      </c>
      <c r="E337" s="22" t="n">
        <v>46156</v>
      </c>
      <c r="F337" s="9" t="n">
        <v>3710.39</v>
      </c>
      <c r="G337" s="23" t="n">
        <v>46156</v>
      </c>
      <c r="H337" s="24" t="inlineStr">
        <is>
          <t>Medium</t>
        </is>
      </c>
      <c r="I337" s="24" t="inlineStr">
        <is>
          <t>Contractual due date pending refreshed collection call</t>
        </is>
      </c>
      <c r="J337" s="8">
        <f>IFERROR(MATCH(G337,'13W Cash Forecast'!$B$4:$N$4,1),1)</f>
        <v/>
      </c>
    </row>
    <row r="338">
      <c r="A338" s="8" t="inlineStr">
        <is>
          <t>AR-0030696</t>
        </is>
      </c>
      <c r="B338" s="8" t="inlineStr">
        <is>
          <t>Service</t>
        </is>
      </c>
      <c r="C338" s="8" t="inlineStr">
        <is>
          <t>Klamath County Facilities Development Company</t>
        </is>
      </c>
      <c r="D338" s="22" t="n">
        <v>46126</v>
      </c>
      <c r="E338" s="22" t="n">
        <v>46156</v>
      </c>
      <c r="F338" s="9" t="n">
        <v>1886.05</v>
      </c>
      <c r="G338" s="23" t="n">
        <v>46156</v>
      </c>
      <c r="H338" s="24" t="inlineStr">
        <is>
          <t>Medium</t>
        </is>
      </c>
      <c r="I338" s="24" t="inlineStr">
        <is>
          <t>Contractual due date pending refreshed collection call</t>
        </is>
      </c>
      <c r="J338" s="8">
        <f>IFERROR(MATCH(G338,'13W Cash Forecast'!$B$4:$N$4,1),1)</f>
        <v/>
      </c>
    </row>
    <row r="339">
      <c r="A339" s="8" t="inlineStr">
        <is>
          <t>AR-0030750</t>
        </is>
      </c>
      <c r="B339" s="8" t="inlineStr">
        <is>
          <t>Service</t>
        </is>
      </c>
      <c r="C339" s="8" t="inlineStr">
        <is>
          <t>Klamath County Facilities - South LLC</t>
        </is>
      </c>
      <c r="D339" s="22" t="n">
        <v>46126</v>
      </c>
      <c r="E339" s="22" t="n">
        <v>46156</v>
      </c>
      <c r="F339" s="9" t="n">
        <v>520.85</v>
      </c>
      <c r="G339" s="23" t="n">
        <v>46156</v>
      </c>
      <c r="H339" s="24" t="inlineStr">
        <is>
          <t>Medium</t>
        </is>
      </c>
      <c r="I339" s="24" t="inlineStr">
        <is>
          <t>Contractual due date pending refreshed collection call</t>
        </is>
      </c>
      <c r="J339" s="8">
        <f>IFERROR(MATCH(G339,'13W Cash Forecast'!$B$4:$N$4,1),1)</f>
        <v/>
      </c>
    </row>
    <row r="340">
      <c r="A340" s="8" t="inlineStr">
        <is>
          <t>AR-0030804</t>
        </is>
      </c>
      <c r="B340" s="8" t="inlineStr">
        <is>
          <t>Service</t>
        </is>
      </c>
      <c r="C340" s="8" t="inlineStr">
        <is>
          <t>Central Cascades Foods - Central LLC</t>
        </is>
      </c>
      <c r="D340" s="22" t="n">
        <v>46126</v>
      </c>
      <c r="E340" s="22" t="n">
        <v>46156</v>
      </c>
      <c r="F340" s="9" t="n">
        <v>370.71</v>
      </c>
      <c r="G340" s="23" t="n">
        <v>46156</v>
      </c>
      <c r="H340" s="24" t="inlineStr">
        <is>
          <t>Medium</t>
        </is>
      </c>
      <c r="I340" s="24" t="inlineStr">
        <is>
          <t>Contractual due date pending refreshed collection call</t>
        </is>
      </c>
      <c r="J340" s="8">
        <f>IFERROR(MATCH(G340,'13W Cash Forecast'!$B$4:$N$4,1),1)</f>
        <v/>
      </c>
    </row>
    <row r="341">
      <c r="A341" s="8" t="inlineStr">
        <is>
          <t>AR-0030831</t>
        </is>
      </c>
      <c r="B341" s="8" t="inlineStr">
        <is>
          <t>Service</t>
        </is>
      </c>
      <c r="C341" s="8" t="inlineStr">
        <is>
          <t>Juniper Ridge Properties - North Partners, LP</t>
        </is>
      </c>
      <c r="D341" s="22" t="n">
        <v>46126</v>
      </c>
      <c r="E341" s="22" t="n">
        <v>46156</v>
      </c>
      <c r="F341" s="9" t="n">
        <v>339.39</v>
      </c>
      <c r="G341" s="23" t="n">
        <v>46156</v>
      </c>
      <c r="H341" s="24" t="inlineStr">
        <is>
          <t>Medium</t>
        </is>
      </c>
      <c r="I341" s="24" t="inlineStr">
        <is>
          <t>Contractual due date pending refreshed collection call</t>
        </is>
      </c>
      <c r="J341" s="8">
        <f>IFERROR(MATCH(G341,'13W Cash Forecast'!$B$4:$N$4,1),1)</f>
        <v/>
      </c>
    </row>
    <row r="342">
      <c r="A342" s="8" t="inlineStr">
        <is>
          <t>AR-0030885</t>
        </is>
      </c>
      <c r="B342" s="8" t="inlineStr">
        <is>
          <t>Service</t>
        </is>
      </c>
      <c r="C342" s="8" t="inlineStr">
        <is>
          <t>Beacon Industrial - South LLC</t>
        </is>
      </c>
      <c r="D342" s="22" t="n">
        <v>46126</v>
      </c>
      <c r="E342" s="22" t="n">
        <v>46156</v>
      </c>
      <c r="F342" s="9" t="n">
        <v>1196.31</v>
      </c>
      <c r="G342" s="23" t="n">
        <v>46156</v>
      </c>
      <c r="H342" s="24" t="inlineStr">
        <is>
          <t>Low</t>
        </is>
      </c>
      <c r="I342" s="24" t="inlineStr">
        <is>
          <t>Awaiting project-accountant follow-up</t>
        </is>
      </c>
      <c r="J342" s="8">
        <f>IFERROR(MATCH(G342,'13W Cash Forecast'!$B$4:$N$4,1),1)</f>
        <v/>
      </c>
    </row>
    <row r="343">
      <c r="A343" s="8" t="inlineStr">
        <is>
          <t>AR-0030701</t>
        </is>
      </c>
      <c r="B343" s="8" t="inlineStr">
        <is>
          <t>Service</t>
        </is>
      </c>
      <c r="C343" s="8" t="inlineStr">
        <is>
          <t>Beacon Industrial Campus Services</t>
        </is>
      </c>
      <c r="D343" s="22" t="n">
        <v>46127</v>
      </c>
      <c r="E343" s="22" t="n">
        <v>46157</v>
      </c>
      <c r="F343" s="9" t="n">
        <v>895.98</v>
      </c>
      <c r="G343" s="23" t="n">
        <v>46157</v>
      </c>
      <c r="H343" s="24" t="inlineStr">
        <is>
          <t>Medium</t>
        </is>
      </c>
      <c r="I343" s="24" t="inlineStr">
        <is>
          <t>Contractual due date pending refreshed collection call</t>
        </is>
      </c>
      <c r="J343" s="8">
        <f>IFERROR(MATCH(G343,'13W Cash Forecast'!$B$4:$N$4,1),1)</f>
        <v/>
      </c>
    </row>
    <row r="344">
      <c r="A344" s="8" t="inlineStr">
        <is>
          <t>AR-0030728</t>
        </is>
      </c>
      <c r="B344" s="8" t="inlineStr">
        <is>
          <t>Service</t>
        </is>
      </c>
      <c r="C344" s="8" t="inlineStr">
        <is>
          <t>Salem Surgical Partners Campus Services</t>
        </is>
      </c>
      <c r="D344" s="22" t="n">
        <v>46127</v>
      </c>
      <c r="E344" s="22" t="n">
        <v>46157</v>
      </c>
      <c r="F344" s="9" t="n">
        <v>267.39</v>
      </c>
      <c r="G344" s="23" t="n">
        <v>46157</v>
      </c>
      <c r="H344" s="24" t="inlineStr">
        <is>
          <t>Medium</t>
        </is>
      </c>
      <c r="I344" s="24" t="inlineStr">
        <is>
          <t>Contractual due date pending refreshed collection call</t>
        </is>
      </c>
      <c r="J344" s="8">
        <f>IFERROR(MATCH(G344,'13W Cash Forecast'!$B$4:$N$4,1),1)</f>
        <v/>
      </c>
    </row>
    <row r="345">
      <c r="A345" s="8" t="inlineStr">
        <is>
          <t>AR-0030782</t>
        </is>
      </c>
      <c r="B345" s="8" t="inlineStr">
        <is>
          <t>Service</t>
        </is>
      </c>
      <c r="C345" s="8" t="inlineStr">
        <is>
          <t>Oak Street Development - North Development Company</t>
        </is>
      </c>
      <c r="D345" s="22" t="n">
        <v>46127</v>
      </c>
      <c r="E345" s="22" t="n">
        <v>46157</v>
      </c>
      <c r="F345" s="9" t="n">
        <v>2381.2</v>
      </c>
      <c r="G345" s="23" t="n">
        <v>46157</v>
      </c>
      <c r="H345" s="24" t="inlineStr">
        <is>
          <t>Medium</t>
        </is>
      </c>
      <c r="I345" s="24" t="inlineStr">
        <is>
          <t>Contractual due date pending refreshed collection call</t>
        </is>
      </c>
      <c r="J345" s="8">
        <f>IFERROR(MATCH(G345,'13W Cash Forecast'!$B$4:$N$4,1),1)</f>
        <v/>
      </c>
    </row>
    <row r="346">
      <c r="A346" s="8" t="inlineStr">
        <is>
          <t>AR-0030809</t>
        </is>
      </c>
      <c r="B346" s="8" t="inlineStr">
        <is>
          <t>Service</t>
        </is>
      </c>
      <c r="C346" s="8" t="inlineStr">
        <is>
          <t>Union Station Properties - Central Facilities</t>
        </is>
      </c>
      <c r="D346" s="22" t="n">
        <v>46127</v>
      </c>
      <c r="E346" s="22" t="n">
        <v>46157</v>
      </c>
      <c r="F346" s="9" t="n">
        <v>3083.08</v>
      </c>
      <c r="G346" s="23" t="n">
        <v>46157</v>
      </c>
      <c r="H346" s="24" t="inlineStr">
        <is>
          <t>Medium</t>
        </is>
      </c>
      <c r="I346" s="24" t="inlineStr">
        <is>
          <t>Contractual due date pending refreshed collection call</t>
        </is>
      </c>
      <c r="J346" s="8">
        <f>IFERROR(MATCH(G346,'13W Cash Forecast'!$B$4:$N$4,1),1)</f>
        <v/>
      </c>
    </row>
    <row r="347">
      <c r="A347" s="8" t="inlineStr">
        <is>
          <t>AR-0030863</t>
        </is>
      </c>
      <c r="B347" s="8" t="inlineStr">
        <is>
          <t>Service</t>
        </is>
      </c>
      <c r="C347" s="8" t="inlineStr">
        <is>
          <t>Mt. Hood Community Health - Operations Development Company</t>
        </is>
      </c>
      <c r="D347" s="22" t="n">
        <v>46127</v>
      </c>
      <c r="E347" s="22" t="n">
        <v>46157</v>
      </c>
      <c r="F347" s="9" t="n">
        <v>1168.21</v>
      </c>
      <c r="G347" s="23" t="n">
        <v>46157</v>
      </c>
      <c r="H347" s="24" t="inlineStr">
        <is>
          <t>Medium</t>
        </is>
      </c>
      <c r="I347" s="24" t="inlineStr">
        <is>
          <t>Contractual due date pending refreshed collection call</t>
        </is>
      </c>
      <c r="J347" s="8">
        <f>IFERROR(MATCH(G347,'13W Cash Forecast'!$B$4:$N$4,1),1)</f>
        <v/>
      </c>
    </row>
    <row r="348">
      <c r="A348" s="8" t="inlineStr">
        <is>
          <t>AR-0030917</t>
        </is>
      </c>
      <c r="B348" s="8" t="inlineStr">
        <is>
          <t>Service</t>
        </is>
      </c>
      <c r="C348" s="8" t="inlineStr">
        <is>
          <t>Copperline Apartments - Campus Property Group</t>
        </is>
      </c>
      <c r="D348" s="22" t="n">
        <v>46127</v>
      </c>
      <c r="E348" s="22" t="n">
        <v>46157</v>
      </c>
      <c r="F348" s="9" t="n">
        <v>1072.93</v>
      </c>
      <c r="G348" s="23" t="n">
        <v>46157</v>
      </c>
      <c r="H348" s="24" t="inlineStr">
        <is>
          <t>Medium</t>
        </is>
      </c>
      <c r="I348" s="24" t="inlineStr">
        <is>
          <t>Contractual due date pending refreshed collection call</t>
        </is>
      </c>
      <c r="J348" s="8">
        <f>IFERROR(MATCH(G348,'13W Cash Forecast'!$B$4:$N$4,1),1)</f>
        <v/>
      </c>
    </row>
    <row r="349">
      <c r="A349" s="8" t="inlineStr">
        <is>
          <t>PAYAPP-ARM-2403-202603</t>
        </is>
      </c>
      <c r="B349" s="8" t="inlineStr">
        <is>
          <t>ARM-2403</t>
        </is>
      </c>
      <c r="C349" s="8" t="inlineStr">
        <is>
          <t>City of Riverton Facilities Bureau</t>
        </is>
      </c>
      <c r="D349" s="22" t="n">
        <v>46112</v>
      </c>
      <c r="E349" s="22" t="n">
        <v>46157</v>
      </c>
      <c r="F349" s="9" t="n">
        <v>12647.93</v>
      </c>
      <c r="G349" s="23" t="n">
        <v>46157</v>
      </c>
      <c r="H349" s="24" t="inlineStr">
        <is>
          <t>Low</t>
        </is>
      </c>
      <c r="I349" s="24" t="inlineStr">
        <is>
          <t>Awaiting project-accountant follow-up</t>
        </is>
      </c>
      <c r="J349" s="8">
        <f>IFERROR(MATCH(G349,'13W Cash Forecast'!$B$4:$N$4,1),1)</f>
        <v/>
      </c>
    </row>
    <row r="350">
      <c r="A350" s="8" t="inlineStr">
        <is>
          <t>PAYAPP-ARM-2412-202603</t>
        </is>
      </c>
      <c r="B350" s="8" t="inlineStr">
        <is>
          <t>ARM-2412</t>
        </is>
      </c>
      <c r="C350" s="8" t="inlineStr">
        <is>
          <t>Oregon State University - Capital Planning</t>
        </is>
      </c>
      <c r="D350" s="22" t="n">
        <v>46112</v>
      </c>
      <c r="E350" s="22" t="n">
        <v>46157</v>
      </c>
      <c r="F350" s="9" t="n">
        <v>12888.96</v>
      </c>
      <c r="G350" s="23" t="n">
        <v>46157</v>
      </c>
      <c r="H350" s="24" t="inlineStr">
        <is>
          <t>Medium</t>
        </is>
      </c>
      <c r="I350" s="24" t="inlineStr">
        <is>
          <t>Contractual due date pending refreshed collection call</t>
        </is>
      </c>
      <c r="J350" s="8">
        <f>IFERROR(MATCH(G350,'13W Cash Forecast'!$B$4:$N$4,1),1)</f>
        <v/>
      </c>
    </row>
    <row r="351">
      <c r="A351" s="8" t="inlineStr">
        <is>
          <t>PAYAPP-ARM-2417-202603</t>
        </is>
      </c>
      <c r="B351" s="8" t="inlineStr">
        <is>
          <t>ARM-2417</t>
        </is>
      </c>
      <c r="C351" s="8" t="inlineStr">
        <is>
          <t>Cascade Health Properties, LLC</t>
        </is>
      </c>
      <c r="D351" s="22" t="n">
        <v>46112</v>
      </c>
      <c r="E351" s="22" t="n">
        <v>46157</v>
      </c>
      <c r="F351" s="9" t="n">
        <v>48987.38</v>
      </c>
      <c r="G351" s="23" t="n">
        <v>46157</v>
      </c>
      <c r="H351" s="24" t="inlineStr">
        <is>
          <t>Medium</t>
        </is>
      </c>
      <c r="I351" s="24" t="inlineStr">
        <is>
          <t>Contractual due date pending refreshed collection call</t>
        </is>
      </c>
      <c r="J351" s="8">
        <f>IFERROR(MATCH(G351,'13W Cash Forecast'!$B$4:$N$4,1),1)</f>
        <v/>
      </c>
    </row>
    <row r="352">
      <c r="A352" s="8" t="inlineStr">
        <is>
          <t>PAYAPP-ARM-2501-202603</t>
        </is>
      </c>
      <c r="B352" s="8" t="inlineStr">
        <is>
          <t>ARM-2501</t>
        </is>
      </c>
      <c r="C352" s="8" t="inlineStr">
        <is>
          <t>Port of Portland Aviation</t>
        </is>
      </c>
      <c r="D352" s="22" t="n">
        <v>46112</v>
      </c>
      <c r="E352" s="22" t="n">
        <v>46157</v>
      </c>
      <c r="F352" s="9" t="n">
        <v>12880.93</v>
      </c>
      <c r="G352" s="23" t="n">
        <v>46157</v>
      </c>
      <c r="H352" s="24" t="inlineStr">
        <is>
          <t>Medium</t>
        </is>
      </c>
      <c r="I352" s="24" t="inlineStr">
        <is>
          <t>Contractual due date pending refreshed collection call</t>
        </is>
      </c>
      <c r="J352" s="8">
        <f>IFERROR(MATCH(G352,'13W Cash Forecast'!$B$4:$N$4,1),1)</f>
        <v/>
      </c>
    </row>
    <row r="353">
      <c r="A353" s="8" t="inlineStr">
        <is>
          <t>PAYAPP-ARM-2514-202603</t>
        </is>
      </c>
      <c r="B353" s="8" t="inlineStr">
        <is>
          <t>ARM-2514</t>
        </is>
      </c>
      <c r="C353" s="8" t="inlineStr">
        <is>
          <t>Redmond Unified School District</t>
        </is>
      </c>
      <c r="D353" s="22" t="n">
        <v>46112</v>
      </c>
      <c r="E353" s="22" t="n">
        <v>46157</v>
      </c>
      <c r="F353" s="9" t="n">
        <v>39199.16</v>
      </c>
      <c r="G353" s="23" t="n">
        <v>46157</v>
      </c>
      <c r="H353" s="24" t="inlineStr">
        <is>
          <t>Medium</t>
        </is>
      </c>
      <c r="I353" s="24" t="inlineStr">
        <is>
          <t>Contractual due date pending refreshed collection call</t>
        </is>
      </c>
      <c r="J353" s="8">
        <f>IFERROR(MATCH(G353,'13W Cash Forecast'!$B$4:$N$4,1),1)</f>
        <v/>
      </c>
    </row>
    <row r="354">
      <c r="A354" s="8" t="inlineStr">
        <is>
          <t>PAYAPP-ARM-2518-202603</t>
        </is>
      </c>
      <c r="B354" s="8" t="inlineStr">
        <is>
          <t>ARM-2518</t>
        </is>
      </c>
      <c r="C354" s="8" t="inlineStr">
        <is>
          <t>Deschutes County Public Works</t>
        </is>
      </c>
      <c r="D354" s="22" t="n">
        <v>46112</v>
      </c>
      <c r="E354" s="22" t="n">
        <v>46157</v>
      </c>
      <c r="F354" s="9" t="n">
        <v>13195.43</v>
      </c>
      <c r="G354" s="23" t="n">
        <v>46157</v>
      </c>
      <c r="H354" s="24" t="inlineStr">
        <is>
          <t>Medium</t>
        </is>
      </c>
      <c r="I354" s="24" t="inlineStr">
        <is>
          <t>Contractual due date pending refreshed collection call</t>
        </is>
      </c>
      <c r="J354" s="8">
        <f>IFERROR(MATCH(G354,'13W Cash Forecast'!$B$4:$N$4,1),1)</f>
        <v/>
      </c>
    </row>
    <row r="355">
      <c r="A355" s="8" t="inlineStr">
        <is>
          <t>PAYAPP-ARM-2608-202603</t>
        </is>
      </c>
      <c r="B355" s="8" t="inlineStr">
        <is>
          <t>ARM-2608</t>
        </is>
      </c>
      <c r="C355" s="8" t="inlineStr">
        <is>
          <t>Cascade Health Properties, LLC</t>
        </is>
      </c>
      <c r="D355" s="22" t="n">
        <v>46112</v>
      </c>
      <c r="E355" s="22" t="n">
        <v>46157</v>
      </c>
      <c r="F355" s="9" t="n">
        <v>9243.209999999999</v>
      </c>
      <c r="G355" s="23" t="n">
        <v>46157</v>
      </c>
      <c r="H355" s="24" t="inlineStr">
        <is>
          <t>Medium</t>
        </is>
      </c>
      <c r="I355" s="24" t="inlineStr">
        <is>
          <t>Contractual due date pending refreshed collection call</t>
        </is>
      </c>
      <c r="J355" s="8">
        <f>IFERROR(MATCH(G355,'13W Cash Forecast'!$B$4:$N$4,1),1)</f>
        <v/>
      </c>
    </row>
    <row r="356">
      <c r="A356" s="8" t="inlineStr">
        <is>
          <t>AR-0030679</t>
        </is>
      </c>
      <c r="B356" s="8" t="inlineStr">
        <is>
          <t>Service</t>
        </is>
      </c>
      <c r="C356" s="8" t="inlineStr">
        <is>
          <t>High Desert Manufacturing - Portfolio Holdings, LLC</t>
        </is>
      </c>
      <c r="D356" s="22" t="n">
        <v>46128</v>
      </c>
      <c r="E356" s="22" t="n">
        <v>46158</v>
      </c>
      <c r="F356" s="9" t="n">
        <v>4877.95</v>
      </c>
      <c r="G356" s="23" t="n">
        <v>46158</v>
      </c>
      <c r="H356" s="24" t="inlineStr">
        <is>
          <t>Low</t>
        </is>
      </c>
      <c r="I356" s="24" t="inlineStr">
        <is>
          <t>Awaiting project-accountant follow-up</t>
        </is>
      </c>
      <c r="J356" s="8">
        <f>IFERROR(MATCH(G356,'13W Cash Forecast'!$B$4:$N$4,1),1)</f>
        <v/>
      </c>
    </row>
    <row r="357">
      <c r="A357" s="8" t="inlineStr">
        <is>
          <t>AR-0030706</t>
        </is>
      </c>
      <c r="B357" s="8" t="inlineStr">
        <is>
          <t>Service</t>
        </is>
      </c>
      <c r="C357" s="8" t="inlineStr">
        <is>
          <t>Northline Cold Storage Holdings</t>
        </is>
      </c>
      <c r="D357" s="22" t="n">
        <v>46128</v>
      </c>
      <c r="E357" s="22" t="n">
        <v>46158</v>
      </c>
      <c r="F357" s="9" t="n">
        <v>2078.62</v>
      </c>
      <c r="G357" s="23" t="n">
        <v>46158</v>
      </c>
      <c r="H357" s="24" t="inlineStr">
        <is>
          <t>Medium</t>
        </is>
      </c>
      <c r="I357" s="24" t="inlineStr">
        <is>
          <t>Contractual due date pending refreshed collection call</t>
        </is>
      </c>
      <c r="J357" s="8">
        <f>IFERROR(MATCH(G357,'13W Cash Forecast'!$B$4:$N$4,1),1)</f>
        <v/>
      </c>
    </row>
    <row r="358">
      <c r="A358" s="8" t="inlineStr">
        <is>
          <t>AR-0030760</t>
        </is>
      </c>
      <c r="B358" s="8" t="inlineStr">
        <is>
          <t>Service</t>
        </is>
      </c>
      <c r="C358" s="8" t="inlineStr">
        <is>
          <t>Central Cascades Foods - Central Development Company</t>
        </is>
      </c>
      <c r="D358" s="22" t="n">
        <v>46128</v>
      </c>
      <c r="E358" s="22" t="n">
        <v>46158</v>
      </c>
      <c r="F358" s="9" t="n">
        <v>1033.22</v>
      </c>
      <c r="G358" s="23" t="n">
        <v>46158</v>
      </c>
      <c r="H358" s="24" t="inlineStr">
        <is>
          <t>Medium</t>
        </is>
      </c>
      <c r="I358" s="24" t="inlineStr">
        <is>
          <t>Contractual due date pending refreshed collection call</t>
        </is>
      </c>
      <c r="J358" s="8">
        <f>IFERROR(MATCH(G358,'13W Cash Forecast'!$B$4:$N$4,1),1)</f>
        <v/>
      </c>
    </row>
    <row r="359">
      <c r="A359" s="8" t="inlineStr">
        <is>
          <t>AR-0030787</t>
        </is>
      </c>
      <c r="B359" s="8" t="inlineStr">
        <is>
          <t>Service</t>
        </is>
      </c>
      <c r="C359" s="8" t="inlineStr">
        <is>
          <t>Juniper Ridge Properties - North Facilities</t>
        </is>
      </c>
      <c r="D359" s="22" t="n">
        <v>46128</v>
      </c>
      <c r="E359" s="22" t="n">
        <v>46158</v>
      </c>
      <c r="F359" s="9" t="n">
        <v>321.91</v>
      </c>
      <c r="G359" s="23" t="n">
        <v>46158</v>
      </c>
      <c r="H359" s="24" t="inlineStr">
        <is>
          <t>Medium</t>
        </is>
      </c>
      <c r="I359" s="24" t="inlineStr">
        <is>
          <t>Contractual due date pending refreshed collection call</t>
        </is>
      </c>
      <c r="J359" s="8">
        <f>IFERROR(MATCH(G359,'13W Cash Forecast'!$B$4:$N$4,1),1)</f>
        <v/>
      </c>
    </row>
    <row r="360">
      <c r="A360" s="8" t="inlineStr">
        <is>
          <t>AR-0030841</t>
        </is>
      </c>
      <c r="B360" s="8" t="inlineStr">
        <is>
          <t>Service</t>
        </is>
      </c>
      <c r="C360" s="8" t="inlineStr">
        <is>
          <t>Beacon Industrial - South Development Company</t>
        </is>
      </c>
      <c r="D360" s="22" t="n">
        <v>46128</v>
      </c>
      <c r="E360" s="22" t="n">
        <v>46158</v>
      </c>
      <c r="F360" s="9" t="n">
        <v>235.6</v>
      </c>
      <c r="G360" s="23" t="n">
        <v>46158</v>
      </c>
      <c r="H360" s="24" t="inlineStr">
        <is>
          <t>Medium</t>
        </is>
      </c>
      <c r="I360" s="24" t="inlineStr">
        <is>
          <t>Contractual due date pending refreshed collection call</t>
        </is>
      </c>
      <c r="J360" s="8">
        <f>IFERROR(MATCH(G360,'13W Cash Forecast'!$B$4:$N$4,1),1)</f>
        <v/>
      </c>
    </row>
    <row r="361">
      <c r="A361" s="8" t="inlineStr">
        <is>
          <t>AR-0030847</t>
        </is>
      </c>
      <c r="B361" s="8" t="inlineStr">
        <is>
          <t>Service</t>
        </is>
      </c>
      <c r="C361" s="8" t="inlineStr">
        <is>
          <t>Lake Oswego Office Partners - East Asset Management</t>
        </is>
      </c>
      <c r="D361" s="22" t="n">
        <v>46113</v>
      </c>
      <c r="E361" s="22" t="n">
        <v>46158</v>
      </c>
      <c r="F361" s="9" t="n">
        <v>885.28</v>
      </c>
      <c r="G361" s="23" t="n">
        <v>46158</v>
      </c>
      <c r="H361" s="24" t="inlineStr">
        <is>
          <t>Medium</t>
        </is>
      </c>
      <c r="I361" s="24" t="inlineStr">
        <is>
          <t>Contractual due date pending refreshed collection call</t>
        </is>
      </c>
      <c r="J361" s="8">
        <f>IFERROR(MATCH(G361,'13W Cash Forecast'!$B$4:$N$4,1),1)</f>
        <v/>
      </c>
    </row>
    <row r="362">
      <c r="A362" s="8" t="inlineStr">
        <is>
          <t>AR-0030895</t>
        </is>
      </c>
      <c r="B362" s="8" t="inlineStr">
        <is>
          <t>Service</t>
        </is>
      </c>
      <c r="C362" s="8" t="inlineStr">
        <is>
          <t>Pioneer Medical Properties - West Holdings, LLC</t>
        </is>
      </c>
      <c r="D362" s="22" t="n">
        <v>46128</v>
      </c>
      <c r="E362" s="22" t="n">
        <v>46158</v>
      </c>
      <c r="F362" s="9" t="n">
        <v>642.21</v>
      </c>
      <c r="G362" s="23" t="n">
        <v>46158</v>
      </c>
      <c r="H362" s="24" t="inlineStr">
        <is>
          <t>Medium</t>
        </is>
      </c>
      <c r="I362" s="24" t="inlineStr">
        <is>
          <t>Contractual due date pending refreshed collection call</t>
        </is>
      </c>
      <c r="J362" s="8">
        <f>IFERROR(MATCH(G362,'13W Cash Forecast'!$B$4:$N$4,1),1)</f>
        <v/>
      </c>
    </row>
    <row r="363">
      <c r="A363" s="8" t="inlineStr">
        <is>
          <t>AR-0030970</t>
        </is>
      </c>
      <c r="B363" s="8" t="inlineStr">
        <is>
          <t>Service</t>
        </is>
      </c>
      <c r="C363" s="8" t="inlineStr">
        <is>
          <t>Fairview Property Partners - East Facilities</t>
        </is>
      </c>
      <c r="D363" s="22" t="n">
        <v>46143</v>
      </c>
      <c r="E363" s="22" t="n">
        <v>46158</v>
      </c>
      <c r="F363" s="9" t="n">
        <v>456.35</v>
      </c>
      <c r="G363" s="23" t="n">
        <v>46158</v>
      </c>
      <c r="H363" s="24" t="inlineStr">
        <is>
          <t>Low</t>
        </is>
      </c>
      <c r="I363" s="24" t="inlineStr">
        <is>
          <t>Awaiting project-accountant follow-up</t>
        </is>
      </c>
      <c r="J363" s="8">
        <f>IFERROR(MATCH(G363,'13W Cash Forecast'!$B$4:$N$4,1),1)</f>
        <v/>
      </c>
    </row>
    <row r="364">
      <c r="A364" s="8" t="inlineStr">
        <is>
          <t>AR-0031186</t>
        </is>
      </c>
      <c r="B364" s="8" t="inlineStr">
        <is>
          <t>Service</t>
        </is>
      </c>
      <c r="C364" s="8" t="inlineStr">
        <is>
          <t>Oregon Advanced Materials - South Campus Services</t>
        </is>
      </c>
      <c r="D364" s="22" t="n">
        <v>46143</v>
      </c>
      <c r="E364" s="22" t="n">
        <v>46158</v>
      </c>
      <c r="F364" s="9" t="n">
        <v>341.73</v>
      </c>
      <c r="G364" s="23" t="n">
        <v>46158</v>
      </c>
      <c r="H364" s="24" t="inlineStr">
        <is>
          <t>Medium</t>
        </is>
      </c>
      <c r="I364" s="24" t="inlineStr">
        <is>
          <t>Contractual due date pending refreshed collection call</t>
        </is>
      </c>
      <c r="J364" s="8">
        <f>IFERROR(MATCH(G364,'13W Cash Forecast'!$B$4:$N$4,1),1)</f>
        <v/>
      </c>
    </row>
    <row r="365">
      <c r="A365" s="8" t="inlineStr">
        <is>
          <t>AR-0030657</t>
        </is>
      </c>
      <c r="B365" s="8" t="inlineStr">
        <is>
          <t>Service</t>
        </is>
      </c>
      <c r="C365" s="8" t="inlineStr">
        <is>
          <t>Sunrise Hospitality - East LLC</t>
        </is>
      </c>
      <c r="D365" s="22" t="n">
        <v>46129</v>
      </c>
      <c r="E365" s="22" t="n">
        <v>46159</v>
      </c>
      <c r="F365" s="9" t="n">
        <v>94.03</v>
      </c>
      <c r="G365" s="23" t="n">
        <v>46159</v>
      </c>
      <c r="H365" s="24" t="inlineStr">
        <is>
          <t>Medium</t>
        </is>
      </c>
      <c r="I365" s="24" t="inlineStr">
        <is>
          <t>Contractual due date pending refreshed collection call</t>
        </is>
      </c>
      <c r="J365" s="8">
        <f>IFERROR(MATCH(G365,'13W Cash Forecast'!$B$4:$N$4,1),1)</f>
        <v/>
      </c>
    </row>
    <row r="366">
      <c r="A366" s="8" t="inlineStr">
        <is>
          <t>AR-0030684</t>
        </is>
      </c>
      <c r="B366" s="8" t="inlineStr">
        <is>
          <t>Service</t>
        </is>
      </c>
      <c r="C366" s="8" t="inlineStr">
        <is>
          <t>Columbia River Logistics - Portfolio Operating Company</t>
        </is>
      </c>
      <c r="D366" s="22" t="n">
        <v>46129</v>
      </c>
      <c r="E366" s="22" t="n">
        <v>46159</v>
      </c>
      <c r="F366" s="9" t="n">
        <v>781.5599999999999</v>
      </c>
      <c r="G366" s="23" t="n">
        <v>46159</v>
      </c>
      <c r="H366" s="24" t="inlineStr">
        <is>
          <t>Medium</t>
        </is>
      </c>
      <c r="I366" s="24" t="inlineStr">
        <is>
          <t>Contractual due date pending refreshed collection call</t>
        </is>
      </c>
      <c r="J366" s="8">
        <f>IFERROR(MATCH(G366,'13W Cash Forecast'!$B$4:$N$4,1),1)</f>
        <v/>
      </c>
    </row>
    <row r="367">
      <c r="A367" s="8" t="inlineStr">
        <is>
          <t>AR-0030738</t>
        </is>
      </c>
      <c r="B367" s="8" t="inlineStr">
        <is>
          <t>Service</t>
        </is>
      </c>
      <c r="C367" s="8" t="inlineStr">
        <is>
          <t>Pacific Northwest Distribution REIT</t>
        </is>
      </c>
      <c r="D367" s="22" t="n">
        <v>46129</v>
      </c>
      <c r="E367" s="22" t="n">
        <v>46159</v>
      </c>
      <c r="F367" s="9" t="n">
        <v>684.6900000000001</v>
      </c>
      <c r="G367" s="23" t="n">
        <v>46159</v>
      </c>
      <c r="H367" s="24" t="inlineStr">
        <is>
          <t>Medium</t>
        </is>
      </c>
      <c r="I367" s="24" t="inlineStr">
        <is>
          <t>Contractual due date pending refreshed collection call</t>
        </is>
      </c>
      <c r="J367" s="8">
        <f>IFERROR(MATCH(G367,'13W Cash Forecast'!$B$4:$N$4,1),1)</f>
        <v/>
      </c>
    </row>
    <row r="368">
      <c r="A368" s="8" t="inlineStr">
        <is>
          <t>AR-0030765</t>
        </is>
      </c>
      <c r="B368" s="8" t="inlineStr">
        <is>
          <t>Service</t>
        </is>
      </c>
      <c r="C368" s="8" t="inlineStr">
        <is>
          <t>Pioneer Medical Properties Development Company</t>
        </is>
      </c>
      <c r="D368" s="22" t="n">
        <v>46129</v>
      </c>
      <c r="E368" s="22" t="n">
        <v>46159</v>
      </c>
      <c r="F368" s="9" t="n">
        <v>1694.55</v>
      </c>
      <c r="G368" s="23" t="n">
        <v>46159</v>
      </c>
      <c r="H368" s="24" t="inlineStr">
        <is>
          <t>Medium</t>
        </is>
      </c>
      <c r="I368" s="24" t="inlineStr">
        <is>
          <t>Contractual due date pending refreshed collection call</t>
        </is>
      </c>
      <c r="J368" s="8">
        <f>IFERROR(MATCH(G368,'13W Cash Forecast'!$B$4:$N$4,1),1)</f>
        <v/>
      </c>
    </row>
    <row r="369">
      <c r="A369" s="8" t="inlineStr">
        <is>
          <t>AR-0030819</t>
        </is>
      </c>
      <c r="B369" s="8" t="inlineStr">
        <is>
          <t>Service</t>
        </is>
      </c>
      <c r="C369" s="8" t="inlineStr">
        <is>
          <t>Mt. Hood Community Health - Operations Asset Management</t>
        </is>
      </c>
      <c r="D369" s="22" t="n">
        <v>46129</v>
      </c>
      <c r="E369" s="22" t="n">
        <v>46159</v>
      </c>
      <c r="F369" s="9" t="n">
        <v>474.72</v>
      </c>
      <c r="G369" s="23" t="n">
        <v>46159</v>
      </c>
      <c r="H369" s="24" t="inlineStr">
        <is>
          <t>Medium</t>
        </is>
      </c>
      <c r="I369" s="24" t="inlineStr">
        <is>
          <t>Contractual due date pending refreshed collection call</t>
        </is>
      </c>
      <c r="J369" s="8">
        <f>IFERROR(MATCH(G369,'13W Cash Forecast'!$B$4:$N$4,1),1)</f>
        <v/>
      </c>
    </row>
    <row r="370">
      <c r="A370" s="8" t="inlineStr">
        <is>
          <t>AR-0030825</t>
        </is>
      </c>
      <c r="B370" s="8" t="inlineStr">
        <is>
          <t>Service</t>
        </is>
      </c>
      <c r="C370" s="8" t="inlineStr">
        <is>
          <t>Westside Ambulatory - Portfolio Campus Services</t>
        </is>
      </c>
      <c r="D370" s="22" t="n">
        <v>46114</v>
      </c>
      <c r="E370" s="22" t="n">
        <v>46159</v>
      </c>
      <c r="F370" s="9" t="n">
        <v>1180.45</v>
      </c>
      <c r="G370" s="23" t="n">
        <v>46159</v>
      </c>
      <c r="H370" s="24" t="inlineStr">
        <is>
          <t>Low</t>
        </is>
      </c>
      <c r="I370" s="24" t="inlineStr">
        <is>
          <t>Awaiting project-accountant follow-up</t>
        </is>
      </c>
      <c r="J370" s="8">
        <f>IFERROR(MATCH(G370,'13W Cash Forecast'!$B$4:$N$4,1),1)</f>
        <v/>
      </c>
    </row>
    <row r="371">
      <c r="A371" s="8" t="inlineStr">
        <is>
          <t>AR-0030873</t>
        </is>
      </c>
      <c r="B371" s="8" t="inlineStr">
        <is>
          <t>Service</t>
        </is>
      </c>
      <c r="C371" s="8" t="inlineStr">
        <is>
          <t>Copperline Apartments - Campus Holdings, LLC</t>
        </is>
      </c>
      <c r="D371" s="22" t="n">
        <v>46129</v>
      </c>
      <c r="E371" s="22" t="n">
        <v>46159</v>
      </c>
      <c r="F371" s="9" t="n">
        <v>763.89</v>
      </c>
      <c r="G371" s="23" t="n">
        <v>46159</v>
      </c>
      <c r="H371" s="24" t="inlineStr">
        <is>
          <t>Medium</t>
        </is>
      </c>
      <c r="I371" s="24" t="inlineStr">
        <is>
          <t>Contractual due date pending refreshed collection call</t>
        </is>
      </c>
      <c r="J371" s="8">
        <f>IFERROR(MATCH(G371,'13W Cash Forecast'!$B$4:$N$4,1),1)</f>
        <v/>
      </c>
    </row>
    <row r="372">
      <c r="A372" s="8" t="inlineStr">
        <is>
          <t>AR-0030948</t>
        </is>
      </c>
      <c r="B372" s="8" t="inlineStr">
        <is>
          <t>Service</t>
        </is>
      </c>
      <c r="C372" s="8" t="inlineStr">
        <is>
          <t>Rogue Valley Beverage - Portfolio Property Group</t>
        </is>
      </c>
      <c r="D372" s="22" t="n">
        <v>46144</v>
      </c>
      <c r="E372" s="22" t="n">
        <v>46159</v>
      </c>
      <c r="F372" s="9" t="n">
        <v>572.96</v>
      </c>
      <c r="G372" s="23" t="n">
        <v>46159</v>
      </c>
      <c r="H372" s="24" t="inlineStr">
        <is>
          <t>Medium</t>
        </is>
      </c>
      <c r="I372" s="24" t="inlineStr">
        <is>
          <t>Contractual due date pending refreshed collection call</t>
        </is>
      </c>
      <c r="J372" s="8">
        <f>IFERROR(MATCH(G372,'13W Cash Forecast'!$B$4:$N$4,1),1)</f>
        <v/>
      </c>
    </row>
    <row r="373">
      <c r="A373" s="8" t="inlineStr">
        <is>
          <t>AR-0031164</t>
        </is>
      </c>
      <c r="B373" s="8" t="inlineStr">
        <is>
          <t>Service</t>
        </is>
      </c>
      <c r="C373" s="8" t="inlineStr">
        <is>
          <t>Clackamas Health Network - Operations Campus Services</t>
        </is>
      </c>
      <c r="D373" s="22" t="n">
        <v>46144</v>
      </c>
      <c r="E373" s="22" t="n">
        <v>46159</v>
      </c>
      <c r="F373" s="9" t="n">
        <v>1297.09</v>
      </c>
      <c r="G373" s="23" t="n">
        <v>46159</v>
      </c>
      <c r="H373" s="24" t="inlineStr">
        <is>
          <t>Medium</t>
        </is>
      </c>
      <c r="I373" s="24" t="inlineStr">
        <is>
          <t>Contractual due date pending refreshed collection call</t>
        </is>
      </c>
      <c r="J373" s="8">
        <f>IFERROR(MATCH(G373,'13W Cash Forecast'!$B$4:$N$4,1),1)</f>
        <v/>
      </c>
    </row>
    <row r="374">
      <c r="A374" s="8" t="inlineStr">
        <is>
          <t>AR-0030662</t>
        </is>
      </c>
      <c r="B374" s="8" t="inlineStr">
        <is>
          <t>Service</t>
        </is>
      </c>
      <c r="C374" s="8" t="inlineStr">
        <is>
          <t>Pacific Crest Biotech - East Partners, LP</t>
        </is>
      </c>
      <c r="D374" s="22" t="n">
        <v>46130</v>
      </c>
      <c r="E374" s="22" t="n">
        <v>46160</v>
      </c>
      <c r="F374" s="9" t="n">
        <v>1393.62</v>
      </c>
      <c r="G374" s="23" t="n">
        <v>46160</v>
      </c>
      <c r="H374" s="24" t="inlineStr">
        <is>
          <t>Medium</t>
        </is>
      </c>
      <c r="I374" s="24" t="inlineStr">
        <is>
          <t>Contractual due date pending refreshed collection call</t>
        </is>
      </c>
      <c r="J374" s="8">
        <f>IFERROR(MATCH(G374,'13W Cash Forecast'!$B$4:$N$4,1),1)</f>
        <v/>
      </c>
    </row>
    <row r="375">
      <c r="A375" s="8" t="inlineStr">
        <is>
          <t>AR-0030716</t>
        </is>
      </c>
      <c r="B375" s="8" t="inlineStr">
        <is>
          <t>Service</t>
        </is>
      </c>
      <c r="C375" s="8" t="inlineStr">
        <is>
          <t>Forest Park Hospitality - West LLC</t>
        </is>
      </c>
      <c r="D375" s="22" t="n">
        <v>46130</v>
      </c>
      <c r="E375" s="22" t="n">
        <v>46160</v>
      </c>
      <c r="F375" s="9" t="n">
        <v>478.58</v>
      </c>
      <c r="G375" s="23" t="n">
        <v>46160</v>
      </c>
      <c r="H375" s="24" t="inlineStr">
        <is>
          <t>Medium</t>
        </is>
      </c>
      <c r="I375" s="24" t="inlineStr">
        <is>
          <t>Contractual due date pending refreshed collection call</t>
        </is>
      </c>
      <c r="J375" s="8">
        <f>IFERROR(MATCH(G375,'13W Cash Forecast'!$B$4:$N$4,1),1)</f>
        <v/>
      </c>
    </row>
    <row r="376">
      <c r="A376" s="8" t="inlineStr">
        <is>
          <t>AR-0030770</t>
        </is>
      </c>
      <c r="B376" s="8" t="inlineStr">
        <is>
          <t>Service</t>
        </is>
      </c>
      <c r="C376" s="8" t="inlineStr">
        <is>
          <t>Forest Park Hospitality Campus Services</t>
        </is>
      </c>
      <c r="D376" s="22" t="n">
        <v>46130</v>
      </c>
      <c r="E376" s="22" t="n">
        <v>46160</v>
      </c>
      <c r="F376" s="9" t="n">
        <v>1566.4</v>
      </c>
      <c r="G376" s="23" t="n">
        <v>46160</v>
      </c>
      <c r="H376" s="24" t="inlineStr">
        <is>
          <t>Medium</t>
        </is>
      </c>
      <c r="I376" s="24" t="inlineStr">
        <is>
          <t>Contractual due date pending refreshed collection call</t>
        </is>
      </c>
      <c r="J376" s="8">
        <f>IFERROR(MATCH(G376,'13W Cash Forecast'!$B$4:$N$4,1),1)</f>
        <v/>
      </c>
    </row>
    <row r="377">
      <c r="A377" s="8" t="inlineStr">
        <is>
          <t>AR-0030797</t>
        </is>
      </c>
      <c r="B377" s="8" t="inlineStr">
        <is>
          <t>Service</t>
        </is>
      </c>
      <c r="C377" s="8" t="inlineStr">
        <is>
          <t>Beacon Industrial - South Asset Management</t>
        </is>
      </c>
      <c r="D377" s="22" t="n">
        <v>46130</v>
      </c>
      <c r="E377" s="22" t="n">
        <v>46160</v>
      </c>
      <c r="F377" s="9" t="n">
        <v>219.5</v>
      </c>
      <c r="G377" s="23" t="n">
        <v>46160</v>
      </c>
      <c r="H377" s="24" t="inlineStr">
        <is>
          <t>Low</t>
        </is>
      </c>
      <c r="I377" s="24" t="inlineStr">
        <is>
          <t>Awaiting project-accountant follow-up</t>
        </is>
      </c>
      <c r="J377" s="8">
        <f>IFERROR(MATCH(G377,'13W Cash Forecast'!$B$4:$N$4,1),1)</f>
        <v/>
      </c>
    </row>
    <row r="378">
      <c r="A378" s="8" t="inlineStr">
        <is>
          <t>AR-0030803</t>
        </is>
      </c>
      <c r="B378" s="8" t="inlineStr">
        <is>
          <t>Service</t>
        </is>
      </c>
      <c r="C378" s="8" t="inlineStr">
        <is>
          <t>Lake Oswego Office Partners - East Campus Services</t>
        </is>
      </c>
      <c r="D378" s="22" t="n">
        <v>46115</v>
      </c>
      <c r="E378" s="22" t="n">
        <v>46160</v>
      </c>
      <c r="F378" s="9" t="n">
        <v>688.3099999999999</v>
      </c>
      <c r="G378" s="23" t="n">
        <v>46160</v>
      </c>
      <c r="H378" s="24" t="inlineStr">
        <is>
          <t>Medium</t>
        </is>
      </c>
      <c r="I378" s="24" t="inlineStr">
        <is>
          <t>Contractual due date pending refreshed collection call</t>
        </is>
      </c>
      <c r="J378" s="8">
        <f>IFERROR(MATCH(G378,'13W Cash Forecast'!$B$4:$N$4,1),1)</f>
        <v/>
      </c>
    </row>
    <row r="379">
      <c r="A379" s="8" t="inlineStr">
        <is>
          <t>AR-0030851</t>
        </is>
      </c>
      <c r="B379" s="8" t="inlineStr">
        <is>
          <t>Service</t>
        </is>
      </c>
      <c r="C379" s="8" t="inlineStr">
        <is>
          <t>Pioneer Medical Properties - West LLC</t>
        </is>
      </c>
      <c r="D379" s="22" t="n">
        <v>46130</v>
      </c>
      <c r="E379" s="22" t="n">
        <v>46160</v>
      </c>
      <c r="F379" s="9" t="n">
        <v>666.41</v>
      </c>
      <c r="G379" s="23" t="n">
        <v>46160</v>
      </c>
      <c r="H379" s="24" t="inlineStr">
        <is>
          <t>Medium</t>
        </is>
      </c>
      <c r="I379" s="24" t="inlineStr">
        <is>
          <t>Contractual due date pending refreshed collection call</t>
        </is>
      </c>
      <c r="J379" s="8">
        <f>IFERROR(MATCH(G379,'13W Cash Forecast'!$B$4:$N$4,1),1)</f>
        <v/>
      </c>
    </row>
    <row r="380">
      <c r="A380" s="8" t="inlineStr">
        <is>
          <t>AR-0030905</t>
        </is>
      </c>
      <c r="B380" s="8" t="inlineStr">
        <is>
          <t>Service</t>
        </is>
      </c>
      <c r="C380" s="8" t="inlineStr">
        <is>
          <t>High Desert Manufacturing - Portfolio LLC</t>
        </is>
      </c>
      <c r="D380" s="22" t="n">
        <v>46130</v>
      </c>
      <c r="E380" s="22" t="n">
        <v>46160</v>
      </c>
      <c r="F380" s="9" t="n">
        <v>268.81</v>
      </c>
      <c r="G380" s="23" t="n">
        <v>46160</v>
      </c>
      <c r="H380" s="24" t="inlineStr">
        <is>
          <t>Medium</t>
        </is>
      </c>
      <c r="I380" s="24" t="inlineStr">
        <is>
          <t>Contractual due date pending refreshed collection call</t>
        </is>
      </c>
      <c r="J380" s="8">
        <f>IFERROR(MATCH(G380,'13W Cash Forecast'!$B$4:$N$4,1),1)</f>
        <v/>
      </c>
    </row>
    <row r="381">
      <c r="A381" s="8" t="inlineStr">
        <is>
          <t>AR-0030926</t>
        </is>
      </c>
      <c r="B381" s="8" t="inlineStr">
        <is>
          <t>Service</t>
        </is>
      </c>
      <c r="C381" s="8" t="inlineStr">
        <is>
          <t>Fairview Property Partners - East Property Group</t>
        </is>
      </c>
      <c r="D381" s="22" t="n">
        <v>46145</v>
      </c>
      <c r="E381" s="22" t="n">
        <v>46160</v>
      </c>
      <c r="F381" s="9" t="n">
        <v>333.34</v>
      </c>
      <c r="G381" s="23" t="n">
        <v>46160</v>
      </c>
      <c r="H381" s="24" t="inlineStr">
        <is>
          <t>Medium</t>
        </is>
      </c>
      <c r="I381" s="24" t="inlineStr">
        <is>
          <t>Contractual due date pending refreshed collection call</t>
        </is>
      </c>
      <c r="J381" s="8">
        <f>IFERROR(MATCH(G381,'13W Cash Forecast'!$B$4:$N$4,1),1)</f>
        <v/>
      </c>
    </row>
    <row r="382">
      <c r="A382" s="8" t="inlineStr">
        <is>
          <t>AR-0031061</t>
        </is>
      </c>
      <c r="B382" s="8" t="inlineStr">
        <is>
          <t>Service</t>
        </is>
      </c>
      <c r="C382" s="8" t="inlineStr">
        <is>
          <t>Clackamas Health Network Operating Company</t>
        </is>
      </c>
      <c r="D382" s="22" t="n">
        <v>46145</v>
      </c>
      <c r="E382" s="22" t="n">
        <v>46160</v>
      </c>
      <c r="F382" s="9" t="n">
        <v>733.88</v>
      </c>
      <c r="G382" s="23" t="n">
        <v>46160</v>
      </c>
      <c r="H382" s="24" t="inlineStr">
        <is>
          <t>Medium</t>
        </is>
      </c>
      <c r="I382" s="24" t="inlineStr">
        <is>
          <t>Contractual due date pending refreshed collection call</t>
        </is>
      </c>
      <c r="J382" s="8">
        <f>IFERROR(MATCH(G382,'13W Cash Forecast'!$B$4:$N$4,1),1)</f>
        <v/>
      </c>
    </row>
    <row r="383">
      <c r="A383" s="8" t="inlineStr">
        <is>
          <t>AR-0031088</t>
        </is>
      </c>
      <c r="B383" s="8" t="inlineStr">
        <is>
          <t>Service</t>
        </is>
      </c>
      <c r="C383" s="8" t="inlineStr">
        <is>
          <t>Tualatin Commerce Center Operating Company</t>
        </is>
      </c>
      <c r="D383" s="22" t="n">
        <v>46145</v>
      </c>
      <c r="E383" s="22" t="n">
        <v>46160</v>
      </c>
      <c r="F383" s="9" t="n">
        <v>569.84</v>
      </c>
      <c r="G383" s="23" t="n">
        <v>46160</v>
      </c>
      <c r="H383" s="24" t="inlineStr">
        <is>
          <t>Medium</t>
        </is>
      </c>
      <c r="I383" s="24" t="inlineStr">
        <is>
          <t>Contractual due date pending refreshed collection call</t>
        </is>
      </c>
      <c r="J383" s="8">
        <f>IFERROR(MATCH(G383,'13W Cash Forecast'!$B$4:$N$4,1),1)</f>
        <v/>
      </c>
    </row>
    <row r="384">
      <c r="A384" s="8" t="inlineStr">
        <is>
          <t>AR-0031142</t>
        </is>
      </c>
      <c r="B384" s="8" t="inlineStr">
        <is>
          <t>Service</t>
        </is>
      </c>
      <c r="C384" s="8" t="inlineStr">
        <is>
          <t>Oregon Advanced Materials - South Real Estate, LLC</t>
        </is>
      </c>
      <c r="D384" s="22" t="n">
        <v>46145</v>
      </c>
      <c r="E384" s="22" t="n">
        <v>46160</v>
      </c>
      <c r="F384" s="9" t="n">
        <v>599.8</v>
      </c>
      <c r="G384" s="23" t="n">
        <v>46160</v>
      </c>
      <c r="H384" s="24" t="inlineStr">
        <is>
          <t>Low</t>
        </is>
      </c>
      <c r="I384" s="24" t="inlineStr">
        <is>
          <t>Awaiting project-accountant follow-up</t>
        </is>
      </c>
      <c r="J384" s="8">
        <f>IFERROR(MATCH(G384,'13W Cash Forecast'!$B$4:$N$4,1),1)</f>
        <v/>
      </c>
    </row>
    <row r="385">
      <c r="A385" s="8" t="inlineStr">
        <is>
          <t>AR-0031196</t>
        </is>
      </c>
      <c r="B385" s="8" t="inlineStr">
        <is>
          <t>Service</t>
        </is>
      </c>
      <c r="C385" s="8" t="inlineStr">
        <is>
          <t>Fairview Property Partners - East Property Group</t>
        </is>
      </c>
      <c r="D385" s="22" t="n">
        <v>46145</v>
      </c>
      <c r="E385" s="22" t="n">
        <v>46160</v>
      </c>
      <c r="F385" s="9" t="n">
        <v>641.78</v>
      </c>
      <c r="G385" s="23" t="n">
        <v>46160</v>
      </c>
      <c r="H385" s="24" t="inlineStr">
        <is>
          <t>Medium</t>
        </is>
      </c>
      <c r="I385" s="24" t="inlineStr">
        <is>
          <t>Contractual due date pending refreshed collection call</t>
        </is>
      </c>
      <c r="J385" s="8">
        <f>IFERROR(MATCH(G385,'13W Cash Forecast'!$B$4:$N$4,1),1)</f>
        <v/>
      </c>
    </row>
    <row r="386">
      <c r="A386" s="8" t="inlineStr">
        <is>
          <t>AR-0030694</t>
        </is>
      </c>
      <c r="B386" s="8" t="inlineStr">
        <is>
          <t>Service</t>
        </is>
      </c>
      <c r="C386" s="8" t="inlineStr">
        <is>
          <t>Salem Surgical Partners - Campus Development Company</t>
        </is>
      </c>
      <c r="D386" s="22" t="n">
        <v>46131</v>
      </c>
      <c r="E386" s="22" t="n">
        <v>46161</v>
      </c>
      <c r="F386" s="9" t="n">
        <v>398.07</v>
      </c>
      <c r="G386" s="23" t="n">
        <v>46161</v>
      </c>
      <c r="H386" s="24" t="inlineStr">
        <is>
          <t>Medium</t>
        </is>
      </c>
      <c r="I386" s="24" t="inlineStr">
        <is>
          <t>Contractual due date pending refreshed collection call</t>
        </is>
      </c>
      <c r="J386" s="8">
        <f>IFERROR(MATCH(G386,'13W Cash Forecast'!$B$4:$N$4,1),1)</f>
        <v/>
      </c>
    </row>
    <row r="387">
      <c r="A387" s="8" t="inlineStr">
        <is>
          <t>AR-0030700</t>
        </is>
      </c>
      <c r="B387" s="8" t="inlineStr">
        <is>
          <t>Service</t>
        </is>
      </c>
      <c r="C387" s="8" t="inlineStr">
        <is>
          <t>Deschutes Medical Group - North Development Company</t>
        </is>
      </c>
      <c r="D387" s="22" t="n">
        <v>46116</v>
      </c>
      <c r="E387" s="22" t="n">
        <v>46161</v>
      </c>
      <c r="F387" s="9" t="n">
        <v>578.02</v>
      </c>
      <c r="G387" s="23" t="n">
        <v>46161</v>
      </c>
      <c r="H387" s="24" t="inlineStr">
        <is>
          <t>Medium</t>
        </is>
      </c>
      <c r="I387" s="24" t="inlineStr">
        <is>
          <t>Contractual due date pending refreshed collection call</t>
        </is>
      </c>
      <c r="J387" s="8">
        <f>IFERROR(MATCH(G387,'13W Cash Forecast'!$B$4:$N$4,1),1)</f>
        <v/>
      </c>
    </row>
    <row r="388">
      <c r="A388" s="8" t="inlineStr">
        <is>
          <t>AR-0030748</t>
        </is>
      </c>
      <c r="B388" s="8" t="inlineStr">
        <is>
          <t>Service</t>
        </is>
      </c>
      <c r="C388" s="8" t="inlineStr">
        <is>
          <t>Klamath County Facilities - South Property Group</t>
        </is>
      </c>
      <c r="D388" s="22" t="n">
        <v>46131</v>
      </c>
      <c r="E388" s="22" t="n">
        <v>46161</v>
      </c>
      <c r="F388" s="9" t="n">
        <v>967.83</v>
      </c>
      <c r="G388" s="23" t="n">
        <v>46161</v>
      </c>
      <c r="H388" s="24" t="inlineStr">
        <is>
          <t>Medium</t>
        </is>
      </c>
      <c r="I388" s="24" t="inlineStr">
        <is>
          <t>Contractual due date pending refreshed collection call</t>
        </is>
      </c>
      <c r="J388" s="8">
        <f>IFERROR(MATCH(G388,'13W Cash Forecast'!$B$4:$N$4,1),1)</f>
        <v/>
      </c>
    </row>
    <row r="389">
      <c r="A389" s="8" t="inlineStr">
        <is>
          <t>AR-0030775</t>
        </is>
      </c>
      <c r="B389" s="8" t="inlineStr">
        <is>
          <t>Service</t>
        </is>
      </c>
      <c r="C389" s="8" t="inlineStr">
        <is>
          <t>Summit Surgical Properties</t>
        </is>
      </c>
      <c r="D389" s="22" t="n">
        <v>46131</v>
      </c>
      <c r="E389" s="22" t="n">
        <v>46161</v>
      </c>
      <c r="F389" s="9" t="n">
        <v>1063.35</v>
      </c>
      <c r="G389" s="23" t="n">
        <v>46161</v>
      </c>
      <c r="H389" s="24" t="inlineStr">
        <is>
          <t>Medium</t>
        </is>
      </c>
      <c r="I389" s="24" t="inlineStr">
        <is>
          <t>Contractual due date pending refreshed collection call</t>
        </is>
      </c>
      <c r="J389" s="8">
        <f>IFERROR(MATCH(G389,'13W Cash Forecast'!$B$4:$N$4,1),1)</f>
        <v/>
      </c>
    </row>
    <row r="390">
      <c r="A390" s="8" t="inlineStr">
        <is>
          <t>AR-0030829</t>
        </is>
      </c>
      <c r="B390" s="8" t="inlineStr">
        <is>
          <t>Service</t>
        </is>
      </c>
      <c r="C390" s="8" t="inlineStr">
        <is>
          <t>Copperline Apartments - Campus LLC</t>
        </is>
      </c>
      <c r="D390" s="22" t="n">
        <v>46131</v>
      </c>
      <c r="E390" s="22" t="n">
        <v>46161</v>
      </c>
      <c r="F390" s="9" t="n">
        <v>454.89</v>
      </c>
      <c r="G390" s="23" t="n">
        <v>46161</v>
      </c>
      <c r="H390" s="24" t="inlineStr">
        <is>
          <t>Medium</t>
        </is>
      </c>
      <c r="I390" s="24" t="inlineStr">
        <is>
          <t>Contractual due date pending refreshed collection call</t>
        </is>
      </c>
      <c r="J390" s="8">
        <f>IFERROR(MATCH(G390,'13W Cash Forecast'!$B$4:$N$4,1),1)</f>
        <v/>
      </c>
    </row>
    <row r="391">
      <c r="A391" s="8" t="inlineStr">
        <is>
          <t>AR-0030883</t>
        </is>
      </c>
      <c r="B391" s="8" t="inlineStr">
        <is>
          <t>Service</t>
        </is>
      </c>
      <c r="C391" s="8" t="inlineStr">
        <is>
          <t>Sunrise Hospitality - East Development Company</t>
        </is>
      </c>
      <c r="D391" s="22" t="n">
        <v>46131</v>
      </c>
      <c r="E391" s="22" t="n">
        <v>46161</v>
      </c>
      <c r="F391" s="9" t="n">
        <v>459.97</v>
      </c>
      <c r="G391" s="23" t="n">
        <v>46161</v>
      </c>
      <c r="H391" s="24" t="inlineStr">
        <is>
          <t>Low</t>
        </is>
      </c>
      <c r="I391" s="24" t="inlineStr">
        <is>
          <t>Awaiting project-accountant follow-up</t>
        </is>
      </c>
      <c r="J391" s="8">
        <f>IFERROR(MATCH(G391,'13W Cash Forecast'!$B$4:$N$4,1),1)</f>
        <v/>
      </c>
    </row>
    <row r="392">
      <c r="A392" s="8" t="inlineStr">
        <is>
          <t>AR-0030910</t>
        </is>
      </c>
      <c r="B392" s="8" t="inlineStr">
        <is>
          <t>Service</t>
        </is>
      </c>
      <c r="C392" s="8" t="inlineStr">
        <is>
          <t>Columbia River Logistics - Portfolio Partners, LP</t>
        </is>
      </c>
      <c r="D392" s="22" t="n">
        <v>46131</v>
      </c>
      <c r="E392" s="22" t="n">
        <v>46161</v>
      </c>
      <c r="F392" s="9" t="n">
        <v>1368.24</v>
      </c>
      <c r="G392" s="23" t="n">
        <v>46161</v>
      </c>
      <c r="H392" s="24" t="inlineStr">
        <is>
          <t>Medium</t>
        </is>
      </c>
      <c r="I392" s="24" t="inlineStr">
        <is>
          <t>Contractual due date pending refreshed collection call</t>
        </is>
      </c>
      <c r="J392" s="8">
        <f>IFERROR(MATCH(G392,'13W Cash Forecast'!$B$4:$N$4,1),1)</f>
        <v/>
      </c>
    </row>
    <row r="393">
      <c r="A393" s="8" t="inlineStr">
        <is>
          <t>AR-0031039</t>
        </is>
      </c>
      <c r="B393" s="8" t="inlineStr">
        <is>
          <t>Service</t>
        </is>
      </c>
      <c r="C393" s="8" t="inlineStr">
        <is>
          <t>Hillsboro Life Sciences - Campus Asset Management</t>
        </is>
      </c>
      <c r="D393" s="22" t="n">
        <v>46146</v>
      </c>
      <c r="E393" s="22" t="n">
        <v>46161</v>
      </c>
      <c r="F393" s="9" t="n">
        <v>1867</v>
      </c>
      <c r="G393" s="23" t="n">
        <v>46161</v>
      </c>
      <c r="H393" s="24" t="inlineStr">
        <is>
          <t>Medium</t>
        </is>
      </c>
      <c r="I393" s="24" t="inlineStr">
        <is>
          <t>Contractual due date pending refreshed collection call</t>
        </is>
      </c>
      <c r="J393" s="8">
        <f>IFERROR(MATCH(G393,'13W Cash Forecast'!$B$4:$N$4,1),1)</f>
        <v/>
      </c>
    </row>
    <row r="394">
      <c r="A394" s="8" t="inlineStr">
        <is>
          <t>AR-0031120</t>
        </is>
      </c>
      <c r="B394" s="8" t="inlineStr">
        <is>
          <t>Service</t>
        </is>
      </c>
      <c r="C394" s="8" t="inlineStr">
        <is>
          <t>Clackamas Health Network - Operations Real Estate, LLC</t>
        </is>
      </c>
      <c r="D394" s="22" t="n">
        <v>46146</v>
      </c>
      <c r="E394" s="22" t="n">
        <v>46161</v>
      </c>
      <c r="F394" s="9" t="n">
        <v>2628.36</v>
      </c>
      <c r="G394" s="23" t="n">
        <v>46161</v>
      </c>
      <c r="H394" s="24" t="inlineStr">
        <is>
          <t>Medium</t>
        </is>
      </c>
      <c r="I394" s="24" t="inlineStr">
        <is>
          <t>Contractual due date pending refreshed collection call</t>
        </is>
      </c>
      <c r="J394" s="8">
        <f>IFERROR(MATCH(G394,'13W Cash Forecast'!$B$4:$N$4,1),1)</f>
        <v/>
      </c>
    </row>
    <row r="395">
      <c r="A395" s="8" t="inlineStr">
        <is>
          <t>AR-0031174</t>
        </is>
      </c>
      <c r="B395" s="8" t="inlineStr">
        <is>
          <t>Service</t>
        </is>
      </c>
      <c r="C395" s="8" t="inlineStr">
        <is>
          <t>Rogue Valley Beverage - Portfolio Holdings, LLC</t>
        </is>
      </c>
      <c r="D395" s="22" t="n">
        <v>46146</v>
      </c>
      <c r="E395" s="22" t="n">
        <v>46161</v>
      </c>
      <c r="F395" s="9" t="n">
        <v>1059.68</v>
      </c>
      <c r="G395" s="23" t="n">
        <v>46161</v>
      </c>
      <c r="H395" s="24" t="inlineStr">
        <is>
          <t>Medium</t>
        </is>
      </c>
      <c r="I395" s="24" t="inlineStr">
        <is>
          <t>Contractual due date pending refreshed collection call</t>
        </is>
      </c>
      <c r="J395" s="8">
        <f>IFERROR(MATCH(G395,'13W Cash Forecast'!$B$4:$N$4,1),1)</f>
        <v/>
      </c>
    </row>
    <row r="396">
      <c r="A396" s="8" t="inlineStr">
        <is>
          <t>AR-0030672</t>
        </is>
      </c>
      <c r="B396" s="8" t="inlineStr">
        <is>
          <t>Service</t>
        </is>
      </c>
      <c r="C396" s="8" t="inlineStr">
        <is>
          <t>Forest Park Hospitality - West Development Company</t>
        </is>
      </c>
      <c r="D396" s="22" t="n">
        <v>46132</v>
      </c>
      <c r="E396" s="22" t="n">
        <v>46162</v>
      </c>
      <c r="F396" s="9" t="n">
        <v>678.37</v>
      </c>
      <c r="G396" s="23" t="n">
        <v>46162</v>
      </c>
      <c r="H396" s="24" t="inlineStr">
        <is>
          <t>Medium</t>
        </is>
      </c>
      <c r="I396" s="24" t="inlineStr">
        <is>
          <t>Contractual due date pending refreshed collection call</t>
        </is>
      </c>
      <c r="J396" s="8">
        <f>IFERROR(MATCH(G396,'13W Cash Forecast'!$B$4:$N$4,1),1)</f>
        <v/>
      </c>
    </row>
    <row r="397">
      <c r="A397" s="8" t="inlineStr">
        <is>
          <t>AR-0030678</t>
        </is>
      </c>
      <c r="B397" s="8" t="inlineStr">
        <is>
          <t>Service</t>
        </is>
      </c>
      <c r="C397" s="8" t="inlineStr">
        <is>
          <t>Portland Arts and Events - Central Asset Management</t>
        </is>
      </c>
      <c r="D397" s="22" t="n">
        <v>46117</v>
      </c>
      <c r="E397" s="22" t="n">
        <v>46162</v>
      </c>
      <c r="F397" s="9" t="n">
        <v>394.15</v>
      </c>
      <c r="G397" s="23" t="n">
        <v>46162</v>
      </c>
      <c r="H397" s="24" t="inlineStr">
        <is>
          <t>Medium</t>
        </is>
      </c>
      <c r="I397" s="24" t="inlineStr">
        <is>
          <t>Contractual due date pending refreshed collection call</t>
        </is>
      </c>
      <c r="J397" s="8">
        <f>IFERROR(MATCH(G397,'13W Cash Forecast'!$B$4:$N$4,1),1)</f>
        <v/>
      </c>
    </row>
    <row r="398">
      <c r="A398" s="8" t="inlineStr">
        <is>
          <t>AR-0030726</t>
        </is>
      </c>
      <c r="B398" s="8" t="inlineStr">
        <is>
          <t>Service</t>
        </is>
      </c>
      <c r="C398" s="8" t="inlineStr">
        <is>
          <t>Valley View Food Systems - Operations Holdings, LLC</t>
        </is>
      </c>
      <c r="D398" s="22" t="n">
        <v>46132</v>
      </c>
      <c r="E398" s="22" t="n">
        <v>46162</v>
      </c>
      <c r="F398" s="9" t="n">
        <v>1153.24</v>
      </c>
      <c r="G398" s="23" t="n">
        <v>46162</v>
      </c>
      <c r="H398" s="24" t="inlineStr">
        <is>
          <t>Low</t>
        </is>
      </c>
      <c r="I398" s="24" t="inlineStr">
        <is>
          <t>Awaiting project-accountant follow-up</t>
        </is>
      </c>
      <c r="J398" s="8">
        <f>IFERROR(MATCH(G398,'13W Cash Forecast'!$B$4:$N$4,1),1)</f>
        <v/>
      </c>
    </row>
    <row r="399">
      <c r="A399" s="8" t="inlineStr">
        <is>
          <t>AR-0030780</t>
        </is>
      </c>
      <c r="B399" s="8" t="inlineStr">
        <is>
          <t>Service</t>
        </is>
      </c>
      <c r="C399" s="8" t="inlineStr">
        <is>
          <t>Oak Street Development - North Holdings, LLC</t>
        </is>
      </c>
      <c r="D399" s="22" t="n">
        <v>46132</v>
      </c>
      <c r="E399" s="22" t="n">
        <v>46162</v>
      </c>
      <c r="F399" s="9" t="n">
        <v>485.15</v>
      </c>
      <c r="G399" s="23" t="n">
        <v>46162</v>
      </c>
      <c r="H399" s="24" t="inlineStr">
        <is>
          <t>Medium</t>
        </is>
      </c>
      <c r="I399" s="24" t="inlineStr">
        <is>
          <t>Contractual due date pending refreshed collection call</t>
        </is>
      </c>
      <c r="J399" s="8">
        <f>IFERROR(MATCH(G399,'13W Cash Forecast'!$B$4:$N$4,1),1)</f>
        <v/>
      </c>
    </row>
    <row r="400">
      <c r="A400" s="8" t="inlineStr">
        <is>
          <t>AR-0030807</t>
        </is>
      </c>
      <c r="B400" s="8" t="inlineStr">
        <is>
          <t>Service</t>
        </is>
      </c>
      <c r="C400" s="8" t="inlineStr">
        <is>
          <t>Copperline Apartments Development Company</t>
        </is>
      </c>
      <c r="D400" s="22" t="n">
        <v>46132</v>
      </c>
      <c r="E400" s="22" t="n">
        <v>46162</v>
      </c>
      <c r="F400" s="9" t="n">
        <v>635.7</v>
      </c>
      <c r="G400" s="23" t="n">
        <v>46162</v>
      </c>
      <c r="H400" s="24" t="inlineStr">
        <is>
          <t>Medium</t>
        </is>
      </c>
      <c r="I400" s="24" t="inlineStr">
        <is>
          <t>Contractual due date pending refreshed collection call</t>
        </is>
      </c>
      <c r="J400" s="8">
        <f>IFERROR(MATCH(G400,'13W Cash Forecast'!$B$4:$N$4,1),1)</f>
        <v/>
      </c>
    </row>
    <row r="401">
      <c r="A401" s="8" t="inlineStr">
        <is>
          <t>AR-0030834</t>
        </is>
      </c>
      <c r="B401" s="8" t="inlineStr">
        <is>
          <t>Service</t>
        </is>
      </c>
      <c r="C401" s="8" t="inlineStr">
        <is>
          <t>Valley View Food Systems Development Company</t>
        </is>
      </c>
      <c r="D401" s="22" t="n">
        <v>46132</v>
      </c>
      <c r="E401" s="22" t="n">
        <v>46162</v>
      </c>
      <c r="F401" s="9" t="n">
        <v>876.98</v>
      </c>
      <c r="G401" s="23" t="n">
        <v>46162</v>
      </c>
      <c r="H401" s="24" t="inlineStr">
        <is>
          <t>Medium</t>
        </is>
      </c>
      <c r="I401" s="24" t="inlineStr">
        <is>
          <t>Contractual due date pending refreshed collection call</t>
        </is>
      </c>
      <c r="J401" s="8">
        <f>IFERROR(MATCH(G401,'13W Cash Forecast'!$B$4:$N$4,1),1)</f>
        <v/>
      </c>
    </row>
    <row r="402">
      <c r="A402" s="8" t="inlineStr">
        <is>
          <t>AR-0030861</t>
        </is>
      </c>
      <c r="B402" s="8" t="inlineStr">
        <is>
          <t>Service</t>
        </is>
      </c>
      <c r="C402" s="8" t="inlineStr">
        <is>
          <t>High Desert Manufacturing - Portfolio Development Company</t>
        </is>
      </c>
      <c r="D402" s="22" t="n">
        <v>46132</v>
      </c>
      <c r="E402" s="22" t="n">
        <v>46162</v>
      </c>
      <c r="F402" s="9" t="n">
        <v>497.58</v>
      </c>
      <c r="G402" s="23" t="n">
        <v>46162</v>
      </c>
      <c r="H402" s="24" t="inlineStr">
        <is>
          <t>Medium</t>
        </is>
      </c>
      <c r="I402" s="24" t="inlineStr">
        <is>
          <t>Contractual due date pending refreshed collection call</t>
        </is>
      </c>
      <c r="J402" s="8">
        <f>IFERROR(MATCH(G402,'13W Cash Forecast'!$B$4:$N$4,1),1)</f>
        <v/>
      </c>
    </row>
    <row r="403">
      <c r="A403" s="8" t="inlineStr">
        <is>
          <t>AR-0030888</t>
        </is>
      </c>
      <c r="B403" s="8" t="inlineStr">
        <is>
          <t>Service</t>
        </is>
      </c>
      <c r="C403" s="8" t="inlineStr">
        <is>
          <t>Pacific Crest Biotech - East Facilities</t>
        </is>
      </c>
      <c r="D403" s="22" t="n">
        <v>46132</v>
      </c>
      <c r="E403" s="22" t="n">
        <v>46162</v>
      </c>
      <c r="F403" s="9" t="n">
        <v>280.95</v>
      </c>
      <c r="G403" s="23" t="n">
        <v>46162</v>
      </c>
      <c r="H403" s="24" t="inlineStr">
        <is>
          <t>Medium</t>
        </is>
      </c>
      <c r="I403" s="24" t="inlineStr">
        <is>
          <t>Contractual due date pending refreshed collection call</t>
        </is>
      </c>
      <c r="J403" s="8">
        <f>IFERROR(MATCH(G403,'13W Cash Forecast'!$B$4:$N$4,1),1)</f>
        <v/>
      </c>
    </row>
    <row r="404">
      <c r="A404" s="8" t="inlineStr">
        <is>
          <t>AR-0031017</t>
        </is>
      </c>
      <c r="B404" s="8" t="inlineStr">
        <is>
          <t>Service</t>
        </is>
      </c>
      <c r="C404" s="8" t="inlineStr">
        <is>
          <t>Tualatin Commerce Center - West Campus Services</t>
        </is>
      </c>
      <c r="D404" s="22" t="n">
        <v>46147</v>
      </c>
      <c r="E404" s="22" t="n">
        <v>46162</v>
      </c>
      <c r="F404" s="9" t="n">
        <v>345.43</v>
      </c>
      <c r="G404" s="23" t="n">
        <v>46162</v>
      </c>
      <c r="H404" s="24" t="inlineStr">
        <is>
          <t>Medium</t>
        </is>
      </c>
      <c r="I404" s="24" t="inlineStr">
        <is>
          <t>Contractual due date pending refreshed collection call</t>
        </is>
      </c>
      <c r="J404" s="8">
        <f>IFERROR(MATCH(G404,'13W Cash Forecast'!$B$4:$N$4,1),1)</f>
        <v/>
      </c>
    </row>
    <row r="405">
      <c r="A405" s="8" t="inlineStr">
        <is>
          <t>AR-0031071</t>
        </is>
      </c>
      <c r="B405" s="8" t="inlineStr">
        <is>
          <t>Service</t>
        </is>
      </c>
      <c r="C405" s="8" t="inlineStr">
        <is>
          <t>McKenzie River Foods - Central Facilities</t>
        </is>
      </c>
      <c r="D405" s="22" t="n">
        <v>46147</v>
      </c>
      <c r="E405" s="22" t="n">
        <v>46162</v>
      </c>
      <c r="F405" s="9" t="n">
        <v>631.37</v>
      </c>
      <c r="G405" s="23" t="n">
        <v>46162</v>
      </c>
      <c r="H405" s="24" t="inlineStr">
        <is>
          <t>Low</t>
        </is>
      </c>
      <c r="I405" s="24" t="inlineStr">
        <is>
          <t>Awaiting project-accountant follow-up</t>
        </is>
      </c>
      <c r="J405" s="8">
        <f>IFERROR(MATCH(G405,'13W Cash Forecast'!$B$4:$N$4,1),1)</f>
        <v/>
      </c>
    </row>
    <row r="406">
      <c r="A406" s="8" t="inlineStr">
        <is>
          <t>AR-0031152</t>
        </is>
      </c>
      <c r="B406" s="8" t="inlineStr">
        <is>
          <t>Service</t>
        </is>
      </c>
      <c r="C406" s="8" t="inlineStr">
        <is>
          <t>Fairview Property Partners - East Holdings, LLC</t>
        </is>
      </c>
      <c r="D406" s="22" t="n">
        <v>46147</v>
      </c>
      <c r="E406" s="22" t="n">
        <v>46162</v>
      </c>
      <c r="F406" s="9" t="n">
        <v>975.9299999999999</v>
      </c>
      <c r="G406" s="23" t="n">
        <v>46162</v>
      </c>
      <c r="H406" s="24" t="inlineStr">
        <is>
          <t>Medium</t>
        </is>
      </c>
      <c r="I406" s="24" t="inlineStr">
        <is>
          <t>Contractual due date pending refreshed collection call</t>
        </is>
      </c>
      <c r="J406" s="8">
        <f>IFERROR(MATCH(G406,'13W Cash Forecast'!$B$4:$N$4,1),1)</f>
        <v/>
      </c>
    </row>
    <row r="407">
      <c r="A407" s="8" t="inlineStr">
        <is>
          <t>AR-0030656</t>
        </is>
      </c>
      <c r="B407" s="8" t="inlineStr">
        <is>
          <t>Service</t>
        </is>
      </c>
      <c r="C407" s="8" t="inlineStr">
        <is>
          <t>Deschutes Medical Group - North Asset Management</t>
        </is>
      </c>
      <c r="D407" s="22" t="n">
        <v>46118</v>
      </c>
      <c r="E407" s="22" t="n">
        <v>46163</v>
      </c>
      <c r="F407" s="9" t="n">
        <v>397.05</v>
      </c>
      <c r="G407" s="23" t="n">
        <v>46163</v>
      </c>
      <c r="H407" s="24" t="inlineStr">
        <is>
          <t>Medium</t>
        </is>
      </c>
      <c r="I407" s="24" t="inlineStr">
        <is>
          <t>Contractual due date pending refreshed collection call</t>
        </is>
      </c>
      <c r="J407" s="8">
        <f>IFERROR(MATCH(G407,'13W Cash Forecast'!$B$4:$N$4,1),1)</f>
        <v/>
      </c>
    </row>
    <row r="408">
      <c r="A408" s="8" t="inlineStr">
        <is>
          <t>AR-0030704</t>
        </is>
      </c>
      <c r="B408" s="8" t="inlineStr">
        <is>
          <t>Service</t>
        </is>
      </c>
      <c r="C408" s="8" t="inlineStr">
        <is>
          <t>Klamath County Facilities - South Holdings, LLC</t>
        </is>
      </c>
      <c r="D408" s="22" t="n">
        <v>46133</v>
      </c>
      <c r="E408" s="22" t="n">
        <v>46163</v>
      </c>
      <c r="F408" s="9" t="n">
        <v>1153.65</v>
      </c>
      <c r="G408" s="23" t="n">
        <v>46163</v>
      </c>
      <c r="H408" s="24" t="inlineStr">
        <is>
          <t>Medium</t>
        </is>
      </c>
      <c r="I408" s="24" t="inlineStr">
        <is>
          <t>Contractual due date pending refreshed collection call</t>
        </is>
      </c>
      <c r="J408" s="8">
        <f>IFERROR(MATCH(G408,'13W Cash Forecast'!$B$4:$N$4,1),1)</f>
        <v/>
      </c>
    </row>
    <row r="409">
      <c r="A409" s="8" t="inlineStr">
        <is>
          <t>AR-0030758</t>
        </is>
      </c>
      <c r="B409" s="8" t="inlineStr">
        <is>
          <t>Service</t>
        </is>
      </c>
      <c r="C409" s="8" t="inlineStr">
        <is>
          <t>Central Cascades Foods - Central Holdings, LLC</t>
        </is>
      </c>
      <c r="D409" s="22" t="n">
        <v>46133</v>
      </c>
      <c r="E409" s="22" t="n">
        <v>46163</v>
      </c>
      <c r="F409" s="9" t="n">
        <v>737.89</v>
      </c>
      <c r="G409" s="23" t="n">
        <v>46163</v>
      </c>
      <c r="H409" s="24" t="inlineStr">
        <is>
          <t>Medium</t>
        </is>
      </c>
      <c r="I409" s="24" t="inlineStr">
        <is>
          <t>Contractual due date pending refreshed collection call</t>
        </is>
      </c>
      <c r="J409" s="8">
        <f>IFERROR(MATCH(G409,'13W Cash Forecast'!$B$4:$N$4,1),1)</f>
        <v/>
      </c>
    </row>
    <row r="410">
      <c r="A410" s="8" t="inlineStr">
        <is>
          <t>AR-0030785</t>
        </is>
      </c>
      <c r="B410" s="8" t="inlineStr">
        <is>
          <t>Service</t>
        </is>
      </c>
      <c r="C410" s="8" t="inlineStr">
        <is>
          <t>Juniper Ridge Properties - North Operating Company</t>
        </is>
      </c>
      <c r="D410" s="22" t="n">
        <v>46133</v>
      </c>
      <c r="E410" s="22" t="n">
        <v>46163</v>
      </c>
      <c r="F410" s="9" t="n">
        <v>493.61</v>
      </c>
      <c r="G410" s="23" t="n">
        <v>46163</v>
      </c>
      <c r="H410" s="24" t="inlineStr">
        <is>
          <t>Medium</t>
        </is>
      </c>
      <c r="I410" s="24" t="inlineStr">
        <is>
          <t>Contractual due date pending refreshed collection call</t>
        </is>
      </c>
      <c r="J410" s="8">
        <f>IFERROR(MATCH(G410,'13W Cash Forecast'!$B$4:$N$4,1),1)</f>
        <v/>
      </c>
    </row>
    <row r="411">
      <c r="A411" s="8" t="inlineStr">
        <is>
          <t>AR-0030812</t>
        </is>
      </c>
      <c r="B411" s="8" t="inlineStr">
        <is>
          <t>Service</t>
        </is>
      </c>
      <c r="C411" s="8" t="inlineStr">
        <is>
          <t>Willamette Food Cooperative</t>
        </is>
      </c>
      <c r="D411" s="22" t="n">
        <v>46133</v>
      </c>
      <c r="E411" s="22" t="n">
        <v>46163</v>
      </c>
      <c r="F411" s="9" t="n">
        <v>401.71</v>
      </c>
      <c r="G411" s="23" t="n">
        <v>46163</v>
      </c>
      <c r="H411" s="24" t="inlineStr">
        <is>
          <t>Medium</t>
        </is>
      </c>
      <c r="I411" s="24" t="inlineStr">
        <is>
          <t>Contractual due date pending refreshed collection call</t>
        </is>
      </c>
      <c r="J411" s="8">
        <f>IFERROR(MATCH(G411,'13W Cash Forecast'!$B$4:$N$4,1),1)</f>
        <v/>
      </c>
    </row>
    <row r="412">
      <c r="A412" s="8" t="inlineStr">
        <is>
          <t>AR-0030839</t>
        </is>
      </c>
      <c r="B412" s="8" t="inlineStr">
        <is>
          <t>Service</t>
        </is>
      </c>
      <c r="C412" s="8" t="inlineStr">
        <is>
          <t>Mt. Hood Community Health Campus Services</t>
        </is>
      </c>
      <c r="D412" s="22" t="n">
        <v>46133</v>
      </c>
      <c r="E412" s="22" t="n">
        <v>46163</v>
      </c>
      <c r="F412" s="9" t="n">
        <v>479.73</v>
      </c>
      <c r="G412" s="23" t="n">
        <v>46163</v>
      </c>
      <c r="H412" s="24" t="inlineStr">
        <is>
          <t>Low</t>
        </is>
      </c>
      <c r="I412" s="24" t="inlineStr">
        <is>
          <t>Awaiting project-accountant follow-up</t>
        </is>
      </c>
      <c r="J412" s="8">
        <f>IFERROR(MATCH(G412,'13W Cash Forecast'!$B$4:$N$4,1),1)</f>
        <v/>
      </c>
    </row>
    <row r="413">
      <c r="A413" s="8" t="inlineStr">
        <is>
          <t>AR-0030866</t>
        </is>
      </c>
      <c r="B413" s="8" t="inlineStr">
        <is>
          <t>Service</t>
        </is>
      </c>
      <c r="C413" s="8" t="inlineStr">
        <is>
          <t>Columbia River Logistics - Portfolio Facilities</t>
        </is>
      </c>
      <c r="D413" s="22" t="n">
        <v>46133</v>
      </c>
      <c r="E413" s="22" t="n">
        <v>46163</v>
      </c>
      <c r="F413" s="9" t="n">
        <v>683.13</v>
      </c>
      <c r="G413" s="23" t="n">
        <v>46163</v>
      </c>
      <c r="H413" s="24" t="inlineStr">
        <is>
          <t>Medium</t>
        </is>
      </c>
      <c r="I413" s="24" t="inlineStr">
        <is>
          <t>Contractual due date pending refreshed collection call</t>
        </is>
      </c>
      <c r="J413" s="8">
        <f>IFERROR(MATCH(G413,'13W Cash Forecast'!$B$4:$N$4,1),1)</f>
        <v/>
      </c>
    </row>
    <row r="414">
      <c r="A414" s="8" t="inlineStr">
        <is>
          <t>AR-0030995</t>
        </is>
      </c>
      <c r="B414" s="8" t="inlineStr">
        <is>
          <t>Service</t>
        </is>
      </c>
      <c r="C414" s="8" t="inlineStr">
        <is>
          <t>Hillsboro Life Sciences - Campus Campus Services</t>
        </is>
      </c>
      <c r="D414" s="22" t="n">
        <v>46148</v>
      </c>
      <c r="E414" s="22" t="n">
        <v>46163</v>
      </c>
      <c r="F414" s="9" t="n">
        <v>1269.53</v>
      </c>
      <c r="G414" s="23" t="n">
        <v>46163</v>
      </c>
      <c r="H414" s="24" t="inlineStr">
        <is>
          <t>Medium</t>
        </is>
      </c>
      <c r="I414" s="24" t="inlineStr">
        <is>
          <t>Contractual due date pending refreshed collection call</t>
        </is>
      </c>
      <c r="J414" s="8">
        <f>IFERROR(MATCH(G414,'13W Cash Forecast'!$B$4:$N$4,1),1)</f>
        <v/>
      </c>
    </row>
    <row r="415">
      <c r="A415" s="8" t="inlineStr">
        <is>
          <t>AR-0031049</t>
        </is>
      </c>
      <c r="B415" s="8" t="inlineStr">
        <is>
          <t>Service</t>
        </is>
      </c>
      <c r="C415" s="8" t="inlineStr">
        <is>
          <t>Alder Creek Medical - North Facilities</t>
        </is>
      </c>
      <c r="D415" s="22" t="n">
        <v>46148</v>
      </c>
      <c r="E415" s="22" t="n">
        <v>46163</v>
      </c>
      <c r="F415" s="9" t="n">
        <v>510.53</v>
      </c>
      <c r="G415" s="23" t="n">
        <v>46163</v>
      </c>
      <c r="H415" s="24" t="inlineStr">
        <is>
          <t>Medium</t>
        </is>
      </c>
      <c r="I415" s="24" t="inlineStr">
        <is>
          <t>Contractual due date pending refreshed collection call</t>
        </is>
      </c>
      <c r="J415" s="8">
        <f>IFERROR(MATCH(G415,'13W Cash Forecast'!$B$4:$N$4,1),1)</f>
        <v/>
      </c>
    </row>
    <row r="416">
      <c r="A416" s="8" t="inlineStr">
        <is>
          <t>AR-0031130</t>
        </is>
      </c>
      <c r="B416" s="8" t="inlineStr">
        <is>
          <t>Service</t>
        </is>
      </c>
      <c r="C416" s="8" t="inlineStr">
        <is>
          <t>Hillsboro Life Sciences Operating Company</t>
        </is>
      </c>
      <c r="D416" s="22" t="n">
        <v>46148</v>
      </c>
      <c r="E416" s="22" t="n">
        <v>46163</v>
      </c>
      <c r="F416" s="9" t="n">
        <v>741.85</v>
      </c>
      <c r="G416" s="23" t="n">
        <v>46163</v>
      </c>
      <c r="H416" s="24" t="inlineStr">
        <is>
          <t>Medium</t>
        </is>
      </c>
      <c r="I416" s="24" t="inlineStr">
        <is>
          <t>Contractual due date pending refreshed collection call</t>
        </is>
      </c>
      <c r="J416" s="8">
        <f>IFERROR(MATCH(G416,'13W Cash Forecast'!$B$4:$N$4,1),1)</f>
        <v/>
      </c>
    </row>
    <row r="417">
      <c r="A417" s="8" t="inlineStr">
        <is>
          <t>AR-0030682</t>
        </is>
      </c>
      <c r="B417" s="8" t="inlineStr">
        <is>
          <t>Service</t>
        </is>
      </c>
      <c r="C417" s="8" t="inlineStr">
        <is>
          <t>Valley View Food Systems - Operations LLC</t>
        </is>
      </c>
      <c r="D417" s="22" t="n">
        <v>46134</v>
      </c>
      <c r="E417" s="22" t="n">
        <v>46164</v>
      </c>
      <c r="F417" s="9" t="n">
        <v>1604.08</v>
      </c>
      <c r="G417" s="23" t="n">
        <v>46164</v>
      </c>
      <c r="H417" s="24" t="inlineStr">
        <is>
          <t>Medium</t>
        </is>
      </c>
      <c r="I417" s="24" t="inlineStr">
        <is>
          <t>Contractual due date pending refreshed collection call</t>
        </is>
      </c>
      <c r="J417" s="8">
        <f>IFERROR(MATCH(G417,'13W Cash Forecast'!$B$4:$N$4,1),1)</f>
        <v/>
      </c>
    </row>
    <row r="418">
      <c r="A418" s="8" t="inlineStr">
        <is>
          <t>AR-0030736</t>
        </is>
      </c>
      <c r="B418" s="8" t="inlineStr">
        <is>
          <t>Service</t>
        </is>
      </c>
      <c r="C418" s="8" t="inlineStr">
        <is>
          <t>Oak Street Development - North LLC</t>
        </is>
      </c>
      <c r="D418" s="22" t="n">
        <v>46134</v>
      </c>
      <c r="E418" s="22" t="n">
        <v>46164</v>
      </c>
      <c r="F418" s="9" t="n">
        <v>643.5</v>
      </c>
      <c r="G418" s="23" t="n">
        <v>46164</v>
      </c>
      <c r="H418" s="24" t="inlineStr">
        <is>
          <t>Medium</t>
        </is>
      </c>
      <c r="I418" s="24" t="inlineStr">
        <is>
          <t>Contractual due date pending refreshed collection call</t>
        </is>
      </c>
      <c r="J418" s="8">
        <f>IFERROR(MATCH(G418,'13W Cash Forecast'!$B$4:$N$4,1),1)</f>
        <v/>
      </c>
    </row>
    <row r="419">
      <c r="A419" s="8" t="inlineStr">
        <is>
          <t>AR-0030763</t>
        </is>
      </c>
      <c r="B419" s="8" t="inlineStr">
        <is>
          <t>Service</t>
        </is>
      </c>
      <c r="C419" s="8" t="inlineStr">
        <is>
          <t>Union Station Properties - Central Partners, LP</t>
        </is>
      </c>
      <c r="D419" s="22" t="n">
        <v>46134</v>
      </c>
      <c r="E419" s="22" t="n">
        <v>46164</v>
      </c>
      <c r="F419" s="9" t="n">
        <v>453.71</v>
      </c>
      <c r="G419" s="23" t="n">
        <v>46164</v>
      </c>
      <c r="H419" s="24" t="inlineStr">
        <is>
          <t>Low</t>
        </is>
      </c>
      <c r="I419" s="24" t="inlineStr">
        <is>
          <t>Awaiting project-accountant follow-up</t>
        </is>
      </c>
      <c r="J419" s="8">
        <f>IFERROR(MATCH(G419,'13W Cash Forecast'!$B$4:$N$4,1),1)</f>
        <v/>
      </c>
    </row>
    <row r="420">
      <c r="A420" s="8" t="inlineStr">
        <is>
          <t>AR-0030817</t>
        </is>
      </c>
      <c r="B420" s="8" t="inlineStr">
        <is>
          <t>Service</t>
        </is>
      </c>
      <c r="C420" s="8" t="inlineStr">
        <is>
          <t>Mt. Hood Community Health - Operations LLC</t>
        </is>
      </c>
      <c r="D420" s="22" t="n">
        <v>46134</v>
      </c>
      <c r="E420" s="22" t="n">
        <v>46164</v>
      </c>
      <c r="F420" s="9" t="n">
        <v>1430.72</v>
      </c>
      <c r="G420" s="23" t="n">
        <v>46164</v>
      </c>
      <c r="H420" s="24" t="inlineStr">
        <is>
          <t>Medium</t>
        </is>
      </c>
      <c r="I420" s="24" t="inlineStr">
        <is>
          <t>Contractual due date pending refreshed collection call</t>
        </is>
      </c>
      <c r="J420" s="8">
        <f>IFERROR(MATCH(G420,'13W Cash Forecast'!$B$4:$N$4,1),1)</f>
        <v/>
      </c>
    </row>
    <row r="421">
      <c r="A421" s="8" t="inlineStr">
        <is>
          <t>AR-0030898</t>
        </is>
      </c>
      <c r="B421" s="8" t="inlineStr">
        <is>
          <t>Service</t>
        </is>
      </c>
      <c r="C421" s="8" t="inlineStr">
        <is>
          <t>Forest Park Hospitality - West Asset Management</t>
        </is>
      </c>
      <c r="D421" s="22" t="n">
        <v>46134</v>
      </c>
      <c r="E421" s="22" t="n">
        <v>46164</v>
      </c>
      <c r="F421" s="9" t="n">
        <v>232.29</v>
      </c>
      <c r="G421" s="23" t="n">
        <v>46164</v>
      </c>
      <c r="H421" s="24" t="inlineStr">
        <is>
          <t>Medium</t>
        </is>
      </c>
      <c r="I421" s="24" t="inlineStr">
        <is>
          <t>Contractual due date pending refreshed collection call</t>
        </is>
      </c>
      <c r="J421" s="8">
        <f>IFERROR(MATCH(G421,'13W Cash Forecast'!$B$4:$N$4,1),1)</f>
        <v/>
      </c>
    </row>
    <row r="422">
      <c r="A422" s="8" t="inlineStr">
        <is>
          <t>AR-0030904</t>
        </is>
      </c>
      <c r="B422" s="8" t="inlineStr">
        <is>
          <t>Service</t>
        </is>
      </c>
      <c r="C422" s="8" t="inlineStr">
        <is>
          <t>Portland Arts and Events - Central Campus Services</t>
        </is>
      </c>
      <c r="D422" s="22" t="n">
        <v>46119</v>
      </c>
      <c r="E422" s="22" t="n">
        <v>46164</v>
      </c>
      <c r="F422" s="9" t="n">
        <v>725.5700000000001</v>
      </c>
      <c r="G422" s="23" t="n">
        <v>46164</v>
      </c>
      <c r="H422" s="24" t="inlineStr">
        <is>
          <t>Medium</t>
        </is>
      </c>
      <c r="I422" s="24" t="inlineStr">
        <is>
          <t>Contractual due date pending refreshed collection call</t>
        </is>
      </c>
      <c r="J422" s="8">
        <f>IFERROR(MATCH(G422,'13W Cash Forecast'!$B$4:$N$4,1),1)</f>
        <v/>
      </c>
    </row>
    <row r="423">
      <c r="A423" s="8" t="inlineStr">
        <is>
          <t>AR-0030973</t>
        </is>
      </c>
      <c r="B423" s="8" t="inlineStr">
        <is>
          <t>Service</t>
        </is>
      </c>
      <c r="C423" s="8" t="inlineStr">
        <is>
          <t>Tualatin Commerce Center - West Real Estate, LLC</t>
        </is>
      </c>
      <c r="D423" s="22" t="n">
        <v>46149</v>
      </c>
      <c r="E423" s="22" t="n">
        <v>46164</v>
      </c>
      <c r="F423" s="9" t="n">
        <v>1085.51</v>
      </c>
      <c r="G423" s="23" t="n">
        <v>46164</v>
      </c>
      <c r="H423" s="24" t="inlineStr">
        <is>
          <t>Medium</t>
        </is>
      </c>
      <c r="I423" s="24" t="inlineStr">
        <is>
          <t>Contractual due date pending refreshed collection call</t>
        </is>
      </c>
      <c r="J423" s="8">
        <f>IFERROR(MATCH(G423,'13W Cash Forecast'!$B$4:$N$4,1),1)</f>
        <v/>
      </c>
    </row>
    <row r="424">
      <c r="A424" s="8" t="inlineStr">
        <is>
          <t>AR-0031027</t>
        </is>
      </c>
      <c r="B424" s="8" t="inlineStr">
        <is>
          <t>Service</t>
        </is>
      </c>
      <c r="C424" s="8" t="inlineStr">
        <is>
          <t>McKenzie River Foods - Central Property Group</t>
        </is>
      </c>
      <c r="D424" s="22" t="n">
        <v>46149</v>
      </c>
      <c r="E424" s="22" t="n">
        <v>46164</v>
      </c>
      <c r="F424" s="9" t="n">
        <v>473.86</v>
      </c>
      <c r="G424" s="23" t="n">
        <v>46164</v>
      </c>
      <c r="H424" s="24" t="inlineStr">
        <is>
          <t>Medium</t>
        </is>
      </c>
      <c r="I424" s="24" t="inlineStr">
        <is>
          <t>Contractual due date pending refreshed collection call</t>
        </is>
      </c>
      <c r="J424" s="8">
        <f>IFERROR(MATCH(G424,'13W Cash Forecast'!$B$4:$N$4,1),1)</f>
        <v/>
      </c>
    </row>
    <row r="425">
      <c r="A425" s="8" t="inlineStr">
        <is>
          <t>AR-0030660</t>
        </is>
      </c>
      <c r="B425" s="8" t="inlineStr">
        <is>
          <t>Service</t>
        </is>
      </c>
      <c r="C425" s="8" t="inlineStr">
        <is>
          <t>Klamath County Facilities - South LLC</t>
        </is>
      </c>
      <c r="D425" s="22" t="n">
        <v>46135</v>
      </c>
      <c r="E425" s="22" t="n">
        <v>46165</v>
      </c>
      <c r="F425" s="9" t="n">
        <v>94.64</v>
      </c>
      <c r="G425" s="23" t="n">
        <v>46165</v>
      </c>
      <c r="H425" s="24" t="inlineStr">
        <is>
          <t>Medium</t>
        </is>
      </c>
      <c r="I425" s="24" t="inlineStr">
        <is>
          <t>Contractual due date pending refreshed collection call</t>
        </is>
      </c>
      <c r="J425" s="8">
        <f>IFERROR(MATCH(G425,'13W Cash Forecast'!$B$4:$N$4,1),1)</f>
        <v/>
      </c>
    </row>
    <row r="426">
      <c r="A426" s="8" t="inlineStr">
        <is>
          <t>AR-0030714</t>
        </is>
      </c>
      <c r="B426" s="8" t="inlineStr">
        <is>
          <t>Service</t>
        </is>
      </c>
      <c r="C426" s="8" t="inlineStr">
        <is>
          <t>Central Cascades Foods - Central LLC</t>
        </is>
      </c>
      <c r="D426" s="22" t="n">
        <v>46135</v>
      </c>
      <c r="E426" s="22" t="n">
        <v>46165</v>
      </c>
      <c r="F426" s="9" t="n">
        <v>1615.95</v>
      </c>
      <c r="G426" s="23" t="n">
        <v>46165</v>
      </c>
      <c r="H426" s="24" t="inlineStr">
        <is>
          <t>Low</t>
        </is>
      </c>
      <c r="I426" s="24" t="inlineStr">
        <is>
          <t>Awaiting project-accountant follow-up</t>
        </is>
      </c>
      <c r="J426" s="8">
        <f>IFERROR(MATCH(G426,'13W Cash Forecast'!$B$4:$N$4,1),1)</f>
        <v/>
      </c>
    </row>
    <row r="427">
      <c r="A427" s="8" t="inlineStr">
        <is>
          <t>AR-0030741</t>
        </is>
      </c>
      <c r="B427" s="8" t="inlineStr">
        <is>
          <t>Service</t>
        </is>
      </c>
      <c r="C427" s="8" t="inlineStr">
        <is>
          <t>Juniper Ridge Properties - North Partners, LP</t>
        </is>
      </c>
      <c r="D427" s="22" t="n">
        <v>46135</v>
      </c>
      <c r="E427" s="22" t="n">
        <v>46165</v>
      </c>
      <c r="F427" s="9" t="n">
        <v>301.36</v>
      </c>
      <c r="G427" s="23" t="n">
        <v>46165</v>
      </c>
      <c r="H427" s="24" t="inlineStr">
        <is>
          <t>Medium</t>
        </is>
      </c>
      <c r="I427" s="24" t="inlineStr">
        <is>
          <t>Contractual due date pending refreshed collection call</t>
        </is>
      </c>
      <c r="J427" s="8">
        <f>IFERROR(MATCH(G427,'13W Cash Forecast'!$B$4:$N$4,1),1)</f>
        <v/>
      </c>
    </row>
    <row r="428">
      <c r="A428" s="8" t="inlineStr">
        <is>
          <t>AR-0030795</t>
        </is>
      </c>
      <c r="B428" s="8" t="inlineStr">
        <is>
          <t>Service</t>
        </is>
      </c>
      <c r="C428" s="8" t="inlineStr">
        <is>
          <t>Beacon Industrial - South LLC</t>
        </is>
      </c>
      <c r="D428" s="22" t="n">
        <v>46135</v>
      </c>
      <c r="E428" s="22" t="n">
        <v>46165</v>
      </c>
      <c r="F428" s="9" t="n">
        <v>516.5599999999999</v>
      </c>
      <c r="G428" s="23" t="n">
        <v>46165</v>
      </c>
      <c r="H428" s="24" t="inlineStr">
        <is>
          <t>Medium</t>
        </is>
      </c>
      <c r="I428" s="24" t="inlineStr">
        <is>
          <t>Contractual due date pending refreshed collection call</t>
        </is>
      </c>
      <c r="J428" s="8">
        <f>IFERROR(MATCH(G428,'13W Cash Forecast'!$B$4:$N$4,1),1)</f>
        <v/>
      </c>
    </row>
    <row r="429">
      <c r="A429" s="8" t="inlineStr">
        <is>
          <t>AR-0030801</t>
        </is>
      </c>
      <c r="B429" s="8" t="inlineStr">
        <is>
          <t>Service</t>
        </is>
      </c>
      <c r="C429" s="8" t="inlineStr">
        <is>
          <t>Lake Oswego Office Partners - East Development Company</t>
        </is>
      </c>
      <c r="D429" s="22" t="n">
        <v>46120</v>
      </c>
      <c r="E429" s="22" t="n">
        <v>46165</v>
      </c>
      <c r="F429" s="9" t="n">
        <v>3056.69</v>
      </c>
      <c r="G429" s="23" t="n">
        <v>46165</v>
      </c>
      <c r="H429" s="24" t="inlineStr">
        <is>
          <t>Medium</t>
        </is>
      </c>
      <c r="I429" s="24" t="inlineStr">
        <is>
          <t>Contractual due date pending refreshed collection call</t>
        </is>
      </c>
      <c r="J429" s="8">
        <f>IFERROR(MATCH(G429,'13W Cash Forecast'!$B$4:$N$4,1),1)</f>
        <v/>
      </c>
    </row>
    <row r="430">
      <c r="A430" s="8" t="inlineStr">
        <is>
          <t>AR-0030849</t>
        </is>
      </c>
      <c r="B430" s="8" t="inlineStr">
        <is>
          <t>Service</t>
        </is>
      </c>
      <c r="C430" s="8" t="inlineStr">
        <is>
          <t>Columbia Biologics, Inc.</t>
        </is>
      </c>
      <c r="D430" s="22" t="n">
        <v>46135</v>
      </c>
      <c r="E430" s="22" t="n">
        <v>46165</v>
      </c>
      <c r="F430" s="9" t="n">
        <v>737.77</v>
      </c>
      <c r="G430" s="23" t="n">
        <v>46165</v>
      </c>
      <c r="H430" s="24" t="inlineStr">
        <is>
          <t>Medium</t>
        </is>
      </c>
      <c r="I430" s="24" t="inlineStr">
        <is>
          <t>Contractual due date pending refreshed collection call</t>
        </is>
      </c>
      <c r="J430" s="8">
        <f>IFERROR(MATCH(G430,'13W Cash Forecast'!$B$4:$N$4,1),1)</f>
        <v/>
      </c>
    </row>
    <row r="431">
      <c r="A431" s="8" t="inlineStr">
        <is>
          <t>AR-0030876</t>
        </is>
      </c>
      <c r="B431" s="8" t="inlineStr">
        <is>
          <t>Service</t>
        </is>
      </c>
      <c r="C431" s="8" t="inlineStr">
        <is>
          <t>Klamath County Facilities Development Company</t>
        </is>
      </c>
      <c r="D431" s="22" t="n">
        <v>46135</v>
      </c>
      <c r="E431" s="22" t="n">
        <v>46165</v>
      </c>
      <c r="F431" s="9" t="n">
        <v>1004.93</v>
      </c>
      <c r="G431" s="23" t="n">
        <v>46165</v>
      </c>
      <c r="H431" s="24" t="inlineStr">
        <is>
          <t>Medium</t>
        </is>
      </c>
      <c r="I431" s="24" t="inlineStr">
        <is>
          <t>Contractual due date pending refreshed collection call</t>
        </is>
      </c>
      <c r="J431" s="8">
        <f>IFERROR(MATCH(G431,'13W Cash Forecast'!$B$4:$N$4,1),1)</f>
        <v/>
      </c>
    </row>
    <row r="432">
      <c r="A432" s="8" t="inlineStr">
        <is>
          <t>AR-0030882</t>
        </is>
      </c>
      <c r="B432" s="8" t="inlineStr">
        <is>
          <t>Service</t>
        </is>
      </c>
      <c r="C432" s="8" t="inlineStr">
        <is>
          <t>Deschutes Medical Group - North Campus Services</t>
        </is>
      </c>
      <c r="D432" s="22" t="n">
        <v>46120</v>
      </c>
      <c r="E432" s="22" t="n">
        <v>46165</v>
      </c>
      <c r="F432" s="9" t="n">
        <v>2044.2</v>
      </c>
      <c r="G432" s="23" t="n">
        <v>46165</v>
      </c>
      <c r="H432" s="24" t="inlineStr">
        <is>
          <t>Medium</t>
        </is>
      </c>
      <c r="I432" s="24" t="inlineStr">
        <is>
          <t>Contractual due date pending refreshed collection call</t>
        </is>
      </c>
      <c r="J432" s="8">
        <f>IFERROR(MATCH(G432,'13W Cash Forecast'!$B$4:$N$4,1),1)</f>
        <v/>
      </c>
    </row>
    <row r="433">
      <c r="A433" s="8" t="inlineStr">
        <is>
          <t>AR-0030951</t>
        </is>
      </c>
      <c r="B433" s="8" t="inlineStr">
        <is>
          <t>Service</t>
        </is>
      </c>
      <c r="C433" s="8" t="inlineStr">
        <is>
          <t>Hillsboro Life Sciences - Campus Real Estate, LLC</t>
        </is>
      </c>
      <c r="D433" s="22" t="n">
        <v>46150</v>
      </c>
      <c r="E433" s="22" t="n">
        <v>46165</v>
      </c>
      <c r="F433" s="9" t="n">
        <v>394.1</v>
      </c>
      <c r="G433" s="23" t="n">
        <v>46165</v>
      </c>
      <c r="H433" s="24" t="inlineStr">
        <is>
          <t>Low</t>
        </is>
      </c>
      <c r="I433" s="24" t="inlineStr">
        <is>
          <t>Awaiting project-accountant follow-up</t>
        </is>
      </c>
      <c r="J433" s="8">
        <f>IFERROR(MATCH(G433,'13W Cash Forecast'!$B$4:$N$4,1),1)</f>
        <v/>
      </c>
    </row>
    <row r="434">
      <c r="A434" s="8" t="inlineStr">
        <is>
          <t>AR-0031005</t>
        </is>
      </c>
      <c r="B434" s="8" t="inlineStr">
        <is>
          <t>Service</t>
        </is>
      </c>
      <c r="C434" s="8" t="inlineStr">
        <is>
          <t>Alder Creek Medical - North Property Group</t>
        </is>
      </c>
      <c r="D434" s="22" t="n">
        <v>46150</v>
      </c>
      <c r="E434" s="22" t="n">
        <v>46165</v>
      </c>
      <c r="F434" s="9" t="n">
        <v>1127.2</v>
      </c>
      <c r="G434" s="23" t="n">
        <v>46165</v>
      </c>
      <c r="H434" s="24" t="inlineStr">
        <is>
          <t>Medium</t>
        </is>
      </c>
      <c r="I434" s="24" t="inlineStr">
        <is>
          <t>Contractual due date pending refreshed collection call</t>
        </is>
      </c>
      <c r="J434" s="8">
        <f>IFERROR(MATCH(G434,'13W Cash Forecast'!$B$4:$N$4,1),1)</f>
        <v/>
      </c>
    </row>
    <row r="435">
      <c r="A435" s="8" t="inlineStr">
        <is>
          <t>AR-0030692</t>
        </is>
      </c>
      <c r="B435" s="8" t="inlineStr">
        <is>
          <t>Service</t>
        </is>
      </c>
      <c r="C435" s="8" t="inlineStr">
        <is>
          <t>Oak Street Development - North Development Company</t>
        </is>
      </c>
      <c r="D435" s="22" t="n">
        <v>46136</v>
      </c>
      <c r="E435" s="22" t="n">
        <v>46166</v>
      </c>
      <c r="F435" s="9" t="n">
        <v>2014.1</v>
      </c>
      <c r="G435" s="23" t="n">
        <v>46166</v>
      </c>
      <c r="H435" s="24" t="inlineStr">
        <is>
          <t>Medium</t>
        </is>
      </c>
      <c r="I435" s="24" t="inlineStr">
        <is>
          <t>Contractual due date pending refreshed collection call</t>
        </is>
      </c>
      <c r="J435" s="8">
        <f>IFERROR(MATCH(G435,'13W Cash Forecast'!$B$4:$N$4,1),1)</f>
        <v/>
      </c>
    </row>
    <row r="436">
      <c r="A436" s="8" t="inlineStr">
        <is>
          <t>AR-0030719</t>
        </is>
      </c>
      <c r="B436" s="8" t="inlineStr">
        <is>
          <t>Service</t>
        </is>
      </c>
      <c r="C436" s="8" t="inlineStr">
        <is>
          <t>Union Station Properties - Central Facilities</t>
        </is>
      </c>
      <c r="D436" s="22" t="n">
        <v>46136</v>
      </c>
      <c r="E436" s="22" t="n">
        <v>46166</v>
      </c>
      <c r="F436" s="9" t="n">
        <v>694.42</v>
      </c>
      <c r="G436" s="23" t="n">
        <v>46166</v>
      </c>
      <c r="H436" s="24" t="inlineStr">
        <is>
          <t>Medium</t>
        </is>
      </c>
      <c r="I436" s="24" t="inlineStr">
        <is>
          <t>Contractual due date pending refreshed collection call</t>
        </is>
      </c>
      <c r="J436" s="8">
        <f>IFERROR(MATCH(G436,'13W Cash Forecast'!$B$4:$N$4,1),1)</f>
        <v/>
      </c>
    </row>
    <row r="437">
      <c r="A437" s="8" t="inlineStr">
        <is>
          <t>AR-0030773</t>
        </is>
      </c>
      <c r="B437" s="8" t="inlineStr">
        <is>
          <t>Service</t>
        </is>
      </c>
      <c r="C437" s="8" t="inlineStr">
        <is>
          <t>Mt. Hood Community Health - Operations Development Company</t>
        </is>
      </c>
      <c r="D437" s="22" t="n">
        <v>46136</v>
      </c>
      <c r="E437" s="22" t="n">
        <v>46166</v>
      </c>
      <c r="F437" s="9" t="n">
        <v>1837.83</v>
      </c>
      <c r="G437" s="23" t="n">
        <v>46166</v>
      </c>
      <c r="H437" s="24" t="inlineStr">
        <is>
          <t>Medium</t>
        </is>
      </c>
      <c r="I437" s="24" t="inlineStr">
        <is>
          <t>Contractual due date pending refreshed collection call</t>
        </is>
      </c>
      <c r="J437" s="8">
        <f>IFERROR(MATCH(G437,'13W Cash Forecast'!$B$4:$N$4,1),1)</f>
        <v/>
      </c>
    </row>
    <row r="438">
      <c r="A438" s="8" t="inlineStr">
        <is>
          <t>AR-0030779</t>
        </is>
      </c>
      <c r="B438" s="8" t="inlineStr">
        <is>
          <t>Service</t>
        </is>
      </c>
      <c r="C438" s="8" t="inlineStr">
        <is>
          <t>Westside Ambulatory - Portfolio Asset Management</t>
        </is>
      </c>
      <c r="D438" s="22" t="n">
        <v>46121</v>
      </c>
      <c r="E438" s="22" t="n">
        <v>46166</v>
      </c>
      <c r="F438" s="9" t="n">
        <v>513.12</v>
      </c>
      <c r="G438" s="23" t="n">
        <v>46166</v>
      </c>
      <c r="H438" s="24" t="inlineStr">
        <is>
          <t>Medium</t>
        </is>
      </c>
      <c r="I438" s="24" t="inlineStr">
        <is>
          <t>Contractual due date pending refreshed collection call</t>
        </is>
      </c>
      <c r="J438" s="8">
        <f>IFERROR(MATCH(G438,'13W Cash Forecast'!$B$4:$N$4,1),1)</f>
        <v/>
      </c>
    </row>
    <row r="439">
      <c r="A439" s="8" t="inlineStr">
        <is>
          <t>AR-0030827</t>
        </is>
      </c>
      <c r="B439" s="8" t="inlineStr">
        <is>
          <t>Service</t>
        </is>
      </c>
      <c r="C439" s="8" t="inlineStr">
        <is>
          <t>Copperline Apartments - Campus Property Group</t>
        </is>
      </c>
      <c r="D439" s="22" t="n">
        <v>46136</v>
      </c>
      <c r="E439" s="22" t="n">
        <v>46166</v>
      </c>
      <c r="F439" s="9" t="n">
        <v>1062.42</v>
      </c>
      <c r="G439" s="23" t="n">
        <v>46166</v>
      </c>
      <c r="H439" s="24" t="inlineStr">
        <is>
          <t>Medium</t>
        </is>
      </c>
      <c r="I439" s="24" t="inlineStr">
        <is>
          <t>Contractual due date pending refreshed collection call</t>
        </is>
      </c>
      <c r="J439" s="8">
        <f>IFERROR(MATCH(G439,'13W Cash Forecast'!$B$4:$N$4,1),1)</f>
        <v/>
      </c>
    </row>
    <row r="440">
      <c r="A440" s="8" t="inlineStr">
        <is>
          <t>AR-0030833</t>
        </is>
      </c>
      <c r="B440" s="8" t="inlineStr">
        <is>
          <t>Service</t>
        </is>
      </c>
      <c r="C440" s="8" t="inlineStr">
        <is>
          <t>Cascade Health Properties, LLC</t>
        </is>
      </c>
      <c r="D440" s="22" t="n">
        <v>46121</v>
      </c>
      <c r="E440" s="22" t="n">
        <v>46166</v>
      </c>
      <c r="F440" s="9" t="n">
        <v>1595.18</v>
      </c>
      <c r="G440" s="23" t="n">
        <v>46166</v>
      </c>
      <c r="H440" s="24" t="inlineStr">
        <is>
          <t>Low</t>
        </is>
      </c>
      <c r="I440" s="24" t="inlineStr">
        <is>
          <t>Awaiting project-accountant follow-up</t>
        </is>
      </c>
      <c r="J440" s="8">
        <f>IFERROR(MATCH(G440,'13W Cash Forecast'!$B$4:$N$4,1),1)</f>
        <v/>
      </c>
    </row>
    <row r="441">
      <c r="A441" s="8" t="inlineStr">
        <is>
          <t>AR-0030881</t>
        </is>
      </c>
      <c r="B441" s="8" t="inlineStr">
        <is>
          <t>Service</t>
        </is>
      </c>
      <c r="C441" s="8" t="inlineStr">
        <is>
          <t>Beacon Industrial Campus Services</t>
        </is>
      </c>
      <c r="D441" s="22" t="n">
        <v>46136</v>
      </c>
      <c r="E441" s="22" t="n">
        <v>46166</v>
      </c>
      <c r="F441" s="9" t="n">
        <v>367.05</v>
      </c>
      <c r="G441" s="23" t="n">
        <v>46166</v>
      </c>
      <c r="H441" s="24" t="inlineStr">
        <is>
          <t>Medium</t>
        </is>
      </c>
      <c r="I441" s="24" t="inlineStr">
        <is>
          <t>Contractual due date pending refreshed collection call</t>
        </is>
      </c>
      <c r="J441" s="8">
        <f>IFERROR(MATCH(G441,'13W Cash Forecast'!$B$4:$N$4,1),1)</f>
        <v/>
      </c>
    </row>
    <row r="442">
      <c r="A442" s="8" t="inlineStr">
        <is>
          <t>AR-0030908</t>
        </is>
      </c>
      <c r="B442" s="8" t="inlineStr">
        <is>
          <t>Service</t>
        </is>
      </c>
      <c r="C442" s="8" t="inlineStr">
        <is>
          <t>Salem Surgical Partners Campus Services</t>
        </is>
      </c>
      <c r="D442" s="22" t="n">
        <v>46136</v>
      </c>
      <c r="E442" s="22" t="n">
        <v>46166</v>
      </c>
      <c r="F442" s="9" t="n">
        <v>275.2</v>
      </c>
      <c r="G442" s="23" t="n">
        <v>46166</v>
      </c>
      <c r="H442" s="24" t="inlineStr">
        <is>
          <t>Medium</t>
        </is>
      </c>
      <c r="I442" s="24" t="inlineStr">
        <is>
          <t>Contractual due date pending refreshed collection call</t>
        </is>
      </c>
      <c r="J442" s="8">
        <f>IFERROR(MATCH(G442,'13W Cash Forecast'!$B$4:$N$4,1),1)</f>
        <v/>
      </c>
    </row>
    <row r="443">
      <c r="A443" s="8" t="inlineStr">
        <is>
          <t>AR-0030929</t>
        </is>
      </c>
      <c r="B443" s="8" t="inlineStr">
        <is>
          <t>Service</t>
        </is>
      </c>
      <c r="C443" s="8" t="inlineStr">
        <is>
          <t>Oregon Advanced Materials Operating Company</t>
        </is>
      </c>
      <c r="D443" s="22" t="n">
        <v>46151</v>
      </c>
      <c r="E443" s="22" t="n">
        <v>46166</v>
      </c>
      <c r="F443" s="9" t="n">
        <v>711.66</v>
      </c>
      <c r="G443" s="23" t="n">
        <v>46166</v>
      </c>
      <c r="H443" s="24" t="inlineStr">
        <is>
          <t>Medium</t>
        </is>
      </c>
      <c r="I443" s="24" t="inlineStr">
        <is>
          <t>Contractual due date pending refreshed collection call</t>
        </is>
      </c>
      <c r="J443" s="8">
        <f>IFERROR(MATCH(G443,'13W Cash Forecast'!$B$4:$N$4,1),1)</f>
        <v/>
      </c>
    </row>
    <row r="444">
      <c r="A444" s="8" t="inlineStr">
        <is>
          <t>AR-0030983</t>
        </is>
      </c>
      <c r="B444" s="8" t="inlineStr">
        <is>
          <t>Service</t>
        </is>
      </c>
      <c r="C444" s="8" t="inlineStr">
        <is>
          <t>McKenzie River Foods - Central Holdings, LLC</t>
        </is>
      </c>
      <c r="D444" s="22" t="n">
        <v>46151</v>
      </c>
      <c r="E444" s="22" t="n">
        <v>46166</v>
      </c>
      <c r="F444" s="9" t="n">
        <v>1541.8</v>
      </c>
      <c r="G444" s="23" t="n">
        <v>46166</v>
      </c>
      <c r="H444" s="24" t="inlineStr">
        <is>
          <t>Medium</t>
        </is>
      </c>
      <c r="I444" s="24" t="inlineStr">
        <is>
          <t>Contractual due date pending refreshed collection call</t>
        </is>
      </c>
      <c r="J444" s="8">
        <f>IFERROR(MATCH(G444,'13W Cash Forecast'!$B$4:$N$4,1),1)</f>
        <v/>
      </c>
    </row>
    <row r="445">
      <c r="A445" s="8" t="inlineStr">
        <is>
          <t>AR-0031118</t>
        </is>
      </c>
      <c r="B445" s="8" t="inlineStr">
        <is>
          <t>Service</t>
        </is>
      </c>
      <c r="C445" s="8" t="inlineStr">
        <is>
          <t>Clackamas Health Network - Operations Asset Management</t>
        </is>
      </c>
      <c r="D445" s="22" t="n">
        <v>46151</v>
      </c>
      <c r="E445" s="22" t="n">
        <v>46166</v>
      </c>
      <c r="F445" s="9" t="n">
        <v>253.6</v>
      </c>
      <c r="G445" s="23" t="n">
        <v>46166</v>
      </c>
      <c r="H445" s="24" t="inlineStr">
        <is>
          <t>Medium</t>
        </is>
      </c>
      <c r="I445" s="24" t="inlineStr">
        <is>
          <t>Contractual due date pending refreshed collection call</t>
        </is>
      </c>
      <c r="J445" s="8">
        <f>IFERROR(MATCH(G445,'13W Cash Forecast'!$B$4:$N$4,1),1)</f>
        <v/>
      </c>
    </row>
    <row r="446">
      <c r="A446" s="8" t="inlineStr">
        <is>
          <t>AR-0031199</t>
        </is>
      </c>
      <c r="B446" s="8" t="inlineStr">
        <is>
          <t>Service</t>
        </is>
      </c>
      <c r="C446" s="8" t="inlineStr">
        <is>
          <t>Oregon Advanced Materials Operating Company</t>
        </is>
      </c>
      <c r="D446" s="22" t="n">
        <v>46151</v>
      </c>
      <c r="E446" s="22" t="n">
        <v>46166</v>
      </c>
      <c r="F446" s="9" t="n">
        <v>2031.81</v>
      </c>
      <c r="G446" s="23" t="n">
        <v>46166</v>
      </c>
      <c r="H446" s="24" t="inlineStr">
        <is>
          <t>Medium</t>
        </is>
      </c>
      <c r="I446" s="24" t="inlineStr">
        <is>
          <t>Contractual due date pending refreshed collection call</t>
        </is>
      </c>
      <c r="J446" s="8">
        <f>IFERROR(MATCH(G446,'13W Cash Forecast'!$B$4:$N$4,1),1)</f>
        <v/>
      </c>
    </row>
    <row r="447">
      <c r="A447" s="8" t="inlineStr">
        <is>
          <t>AR-0030670</t>
        </is>
      </c>
      <c r="B447" s="8" t="inlineStr">
        <is>
          <t>Service</t>
        </is>
      </c>
      <c r="C447" s="8" t="inlineStr">
        <is>
          <t>Central Cascades Foods - Central Development Company</t>
        </is>
      </c>
      <c r="D447" s="22" t="n">
        <v>46137</v>
      </c>
      <c r="E447" s="22" t="n">
        <v>46167</v>
      </c>
      <c r="F447" s="9" t="n">
        <v>661.72</v>
      </c>
      <c r="G447" s="23" t="n">
        <v>46167</v>
      </c>
      <c r="H447" s="24" t="inlineStr">
        <is>
          <t>Low</t>
        </is>
      </c>
      <c r="I447" s="24" t="inlineStr">
        <is>
          <t>Awaiting project-accountant follow-up</t>
        </is>
      </c>
      <c r="J447" s="8">
        <f>IFERROR(MATCH(G447,'13W Cash Forecast'!$B$4:$N$4,1),1)</f>
        <v/>
      </c>
    </row>
    <row r="448">
      <c r="A448" s="8" t="inlineStr">
        <is>
          <t>AR-0030697</t>
        </is>
      </c>
      <c r="B448" s="8" t="inlineStr">
        <is>
          <t>Service</t>
        </is>
      </c>
      <c r="C448" s="8" t="inlineStr">
        <is>
          <t>Juniper Ridge Properties - North Facilities</t>
        </is>
      </c>
      <c r="D448" s="22" t="n">
        <v>46137</v>
      </c>
      <c r="E448" s="22" t="n">
        <v>46167</v>
      </c>
      <c r="F448" s="9" t="n">
        <v>960.83</v>
      </c>
      <c r="G448" s="23" t="n">
        <v>46167</v>
      </c>
      <c r="H448" s="24" t="inlineStr">
        <is>
          <t>Medium</t>
        </is>
      </c>
      <c r="I448" s="24" t="inlineStr">
        <is>
          <t>Contractual due date pending refreshed collection call</t>
        </is>
      </c>
      <c r="J448" s="8">
        <f>IFERROR(MATCH(G448,'13W Cash Forecast'!$B$4:$N$4,1),1)</f>
        <v/>
      </c>
    </row>
    <row r="449">
      <c r="A449" s="8" t="inlineStr">
        <is>
          <t>AR-0030751</t>
        </is>
      </c>
      <c r="B449" s="8" t="inlineStr">
        <is>
          <t>Service</t>
        </is>
      </c>
      <c r="C449" s="8" t="inlineStr">
        <is>
          <t>Beacon Industrial - South Development Company</t>
        </is>
      </c>
      <c r="D449" s="22" t="n">
        <v>46137</v>
      </c>
      <c r="E449" s="22" t="n">
        <v>46167</v>
      </c>
      <c r="F449" s="9" t="n">
        <v>826.96</v>
      </c>
      <c r="G449" s="23" t="n">
        <v>46167</v>
      </c>
      <c r="H449" s="24" t="inlineStr">
        <is>
          <t>Medium</t>
        </is>
      </c>
      <c r="I449" s="24" t="inlineStr">
        <is>
          <t>Contractual due date pending refreshed collection call</t>
        </is>
      </c>
      <c r="J449" s="8">
        <f>IFERROR(MATCH(G449,'13W Cash Forecast'!$B$4:$N$4,1),1)</f>
        <v/>
      </c>
    </row>
    <row r="450">
      <c r="A450" s="8" t="inlineStr">
        <is>
          <t>AR-0030757</t>
        </is>
      </c>
      <c r="B450" s="8" t="inlineStr">
        <is>
          <t>Service</t>
        </is>
      </c>
      <c r="C450" s="8" t="inlineStr">
        <is>
          <t>Lake Oswego Office Partners - East Asset Management</t>
        </is>
      </c>
      <c r="D450" s="22" t="n">
        <v>46122</v>
      </c>
      <c r="E450" s="22" t="n">
        <v>46167</v>
      </c>
      <c r="F450" s="9" t="n">
        <v>713.29</v>
      </c>
      <c r="G450" s="23" t="n">
        <v>46167</v>
      </c>
      <c r="H450" s="24" t="inlineStr">
        <is>
          <t>Medium</t>
        </is>
      </c>
      <c r="I450" s="24" t="inlineStr">
        <is>
          <t>Contractual due date pending refreshed collection call</t>
        </is>
      </c>
      <c r="J450" s="8">
        <f>IFERROR(MATCH(G450,'13W Cash Forecast'!$B$4:$N$4,1),1)</f>
        <v/>
      </c>
    </row>
    <row r="451">
      <c r="A451" s="8" t="inlineStr">
        <is>
          <t>AR-0030805</t>
        </is>
      </c>
      <c r="B451" s="8" t="inlineStr">
        <is>
          <t>Service</t>
        </is>
      </c>
      <c r="C451" s="8" t="inlineStr">
        <is>
          <t>Pioneer Medical Properties - West Holdings, LLC</t>
        </is>
      </c>
      <c r="D451" s="22" t="n">
        <v>46137</v>
      </c>
      <c r="E451" s="22" t="n">
        <v>46167</v>
      </c>
      <c r="F451" s="9" t="n">
        <v>982.39</v>
      </c>
      <c r="G451" s="23" t="n">
        <v>46167</v>
      </c>
      <c r="H451" s="24" t="inlineStr">
        <is>
          <t>Medium</t>
        </is>
      </c>
      <c r="I451" s="24" t="inlineStr">
        <is>
          <t>Contractual due date pending refreshed collection call</t>
        </is>
      </c>
      <c r="J451" s="8">
        <f>IFERROR(MATCH(G451,'13W Cash Forecast'!$B$4:$N$4,1),1)</f>
        <v/>
      </c>
    </row>
    <row r="452">
      <c r="A452" s="8" t="inlineStr">
        <is>
          <t>AR-0030859</t>
        </is>
      </c>
      <c r="B452" s="8" t="inlineStr">
        <is>
          <t>Service</t>
        </is>
      </c>
      <c r="C452" s="8" t="inlineStr">
        <is>
          <t>High Desert Manufacturing - Portfolio Holdings, LLC</t>
        </is>
      </c>
      <c r="D452" s="22" t="n">
        <v>46137</v>
      </c>
      <c r="E452" s="22" t="n">
        <v>46167</v>
      </c>
      <c r="F452" s="9" t="n">
        <v>1624.53</v>
      </c>
      <c r="G452" s="23" t="n">
        <v>46167</v>
      </c>
      <c r="H452" s="24" t="inlineStr">
        <is>
          <t>Medium</t>
        </is>
      </c>
      <c r="I452" s="24" t="inlineStr">
        <is>
          <t>Contractual due date pending refreshed collection call</t>
        </is>
      </c>
      <c r="J452" s="8">
        <f>IFERROR(MATCH(G452,'13W Cash Forecast'!$B$4:$N$4,1),1)</f>
        <v/>
      </c>
    </row>
    <row r="453">
      <c r="A453" s="8" t="inlineStr">
        <is>
          <t>AR-0030886</t>
        </is>
      </c>
      <c r="B453" s="8" t="inlineStr">
        <is>
          <t>Service</t>
        </is>
      </c>
      <c r="C453" s="8" t="inlineStr">
        <is>
          <t>Northline Cold Storage Holdings</t>
        </is>
      </c>
      <c r="D453" s="22" t="n">
        <v>46137</v>
      </c>
      <c r="E453" s="22" t="n">
        <v>46167</v>
      </c>
      <c r="F453" s="9" t="n">
        <v>245.2</v>
      </c>
      <c r="G453" s="23" t="n">
        <v>46167</v>
      </c>
      <c r="H453" s="24" t="inlineStr">
        <is>
          <t>Medium</t>
        </is>
      </c>
      <c r="I453" s="24" t="inlineStr">
        <is>
          <t>Contractual due date pending refreshed collection call</t>
        </is>
      </c>
      <c r="J453" s="8">
        <f>IFERROR(MATCH(G453,'13W Cash Forecast'!$B$4:$N$4,1),1)</f>
        <v/>
      </c>
    </row>
    <row r="454">
      <c r="A454" s="8" t="inlineStr">
        <is>
          <t>AR-0031096</t>
        </is>
      </c>
      <c r="B454" s="8" t="inlineStr">
        <is>
          <t>Service</t>
        </is>
      </c>
      <c r="C454" s="8" t="inlineStr">
        <is>
          <t>Oregon Advanced Materials - South Campus Services</t>
        </is>
      </c>
      <c r="D454" s="22" t="n">
        <v>46152</v>
      </c>
      <c r="E454" s="22" t="n">
        <v>46167</v>
      </c>
      <c r="F454" s="9" t="n">
        <v>660.87</v>
      </c>
      <c r="G454" s="23" t="n">
        <v>46167</v>
      </c>
      <c r="H454" s="24" t="inlineStr">
        <is>
          <t>Low</t>
        </is>
      </c>
      <c r="I454" s="24" t="inlineStr">
        <is>
          <t>Awaiting project-accountant follow-up</t>
        </is>
      </c>
      <c r="J454" s="8">
        <f>IFERROR(MATCH(G454,'13W Cash Forecast'!$B$4:$N$4,1),1)</f>
        <v/>
      </c>
    </row>
    <row r="455">
      <c r="A455" s="8" t="inlineStr">
        <is>
          <t>AR-0031150</t>
        </is>
      </c>
      <c r="B455" s="8" t="inlineStr">
        <is>
          <t>Service</t>
        </is>
      </c>
      <c r="C455" s="8" t="inlineStr">
        <is>
          <t>Fairview Property Partners - East Facilities</t>
        </is>
      </c>
      <c r="D455" s="22" t="n">
        <v>46152</v>
      </c>
      <c r="E455" s="22" t="n">
        <v>46167</v>
      </c>
      <c r="F455" s="9" t="n">
        <v>474.77</v>
      </c>
      <c r="G455" s="23" t="n">
        <v>46167</v>
      </c>
      <c r="H455" s="24" t="inlineStr">
        <is>
          <t>Medium</t>
        </is>
      </c>
      <c r="I455" s="24" t="inlineStr">
        <is>
          <t>Contractual due date pending refreshed collection call</t>
        </is>
      </c>
      <c r="J455" s="8">
        <f>IFERROR(MATCH(G455,'13W Cash Forecast'!$B$4:$N$4,1),1)</f>
        <v/>
      </c>
    </row>
    <row r="456">
      <c r="A456" s="8" t="inlineStr">
        <is>
          <t>AR-0030675</t>
        </is>
      </c>
      <c r="B456" s="8" t="inlineStr">
        <is>
          <t>Service</t>
        </is>
      </c>
      <c r="C456" s="8" t="inlineStr">
        <is>
          <t>Pioneer Medical Properties Development Company</t>
        </is>
      </c>
      <c r="D456" s="22" t="n">
        <v>46138</v>
      </c>
      <c r="E456" s="22" t="n">
        <v>46168</v>
      </c>
      <c r="F456" s="9" t="n">
        <v>687.15</v>
      </c>
      <c r="G456" s="23" t="n">
        <v>46168</v>
      </c>
      <c r="H456" s="24" t="inlineStr">
        <is>
          <t>Medium</t>
        </is>
      </c>
      <c r="I456" s="24" t="inlineStr">
        <is>
          <t>Contractual due date pending refreshed collection call</t>
        </is>
      </c>
      <c r="J456" s="8">
        <f>IFERROR(MATCH(G456,'13W Cash Forecast'!$B$4:$N$4,1),1)</f>
        <v/>
      </c>
    </row>
    <row r="457">
      <c r="A457" s="8" t="inlineStr">
        <is>
          <t>AR-0030729</t>
        </is>
      </c>
      <c r="B457" s="8" t="inlineStr">
        <is>
          <t>Service</t>
        </is>
      </c>
      <c r="C457" s="8" t="inlineStr">
        <is>
          <t>Mt. Hood Community Health - Operations Asset Management</t>
        </is>
      </c>
      <c r="D457" s="22" t="n">
        <v>46138</v>
      </c>
      <c r="E457" s="22" t="n">
        <v>46168</v>
      </c>
      <c r="F457" s="9" t="n">
        <v>410.81</v>
      </c>
      <c r="G457" s="23" t="n">
        <v>46168</v>
      </c>
      <c r="H457" s="24" t="inlineStr">
        <is>
          <t>Medium</t>
        </is>
      </c>
      <c r="I457" s="24" t="inlineStr">
        <is>
          <t>Contractual due date pending refreshed collection call</t>
        </is>
      </c>
      <c r="J457" s="8">
        <f>IFERROR(MATCH(G457,'13W Cash Forecast'!$B$4:$N$4,1),1)</f>
        <v/>
      </c>
    </row>
    <row r="458">
      <c r="A458" s="8" t="inlineStr">
        <is>
          <t>AR-0030735</t>
        </is>
      </c>
      <c r="B458" s="8" t="inlineStr">
        <is>
          <t>Service</t>
        </is>
      </c>
      <c r="C458" s="8" t="inlineStr">
        <is>
          <t>Westside Ambulatory - Portfolio Campus Services</t>
        </is>
      </c>
      <c r="D458" s="22" t="n">
        <v>46123</v>
      </c>
      <c r="E458" s="22" t="n">
        <v>46168</v>
      </c>
      <c r="F458" s="9" t="n">
        <v>513.78</v>
      </c>
      <c r="G458" s="23" t="n">
        <v>46168</v>
      </c>
      <c r="H458" s="24" t="inlineStr">
        <is>
          <t>Medium</t>
        </is>
      </c>
      <c r="I458" s="24" t="inlineStr">
        <is>
          <t>Contractual due date pending refreshed collection call</t>
        </is>
      </c>
      <c r="J458" s="8">
        <f>IFERROR(MATCH(G458,'13W Cash Forecast'!$B$4:$N$4,1),1)</f>
        <v/>
      </c>
    </row>
    <row r="459">
      <c r="A459" s="8" t="inlineStr">
        <is>
          <t>AR-0030783</t>
        </is>
      </c>
      <c r="B459" s="8" t="inlineStr">
        <is>
          <t>Service</t>
        </is>
      </c>
      <c r="C459" s="8" t="inlineStr">
        <is>
          <t>Copperline Apartments - Campus Holdings, LLC</t>
        </is>
      </c>
      <c r="D459" s="22" t="n">
        <v>46138</v>
      </c>
      <c r="E459" s="22" t="n">
        <v>46168</v>
      </c>
      <c r="F459" s="9" t="n">
        <v>690.28</v>
      </c>
      <c r="G459" s="23" t="n">
        <v>46168</v>
      </c>
      <c r="H459" s="24" t="inlineStr">
        <is>
          <t>Medium</t>
        </is>
      </c>
      <c r="I459" s="24" t="inlineStr">
        <is>
          <t>Contractual due date pending refreshed collection call</t>
        </is>
      </c>
      <c r="J459" s="8">
        <f>IFERROR(MATCH(G459,'13W Cash Forecast'!$B$4:$N$4,1),1)</f>
        <v/>
      </c>
    </row>
    <row r="460">
      <c r="A460" s="8" t="inlineStr">
        <is>
          <t>AR-0030837</t>
        </is>
      </c>
      <c r="B460" s="8" t="inlineStr">
        <is>
          <t>Service</t>
        </is>
      </c>
      <c r="C460" s="8" t="inlineStr">
        <is>
          <t>Sunrise Hospitality - East LLC</t>
        </is>
      </c>
      <c r="D460" s="22" t="n">
        <v>46138</v>
      </c>
      <c r="E460" s="22" t="n">
        <v>46168</v>
      </c>
      <c r="F460" s="9" t="n">
        <v>844.53</v>
      </c>
      <c r="G460" s="23" t="n">
        <v>46168</v>
      </c>
      <c r="H460" s="24" t="inlineStr">
        <is>
          <t>Medium</t>
        </is>
      </c>
      <c r="I460" s="24" t="inlineStr">
        <is>
          <t>Contractual due date pending refreshed collection call</t>
        </is>
      </c>
      <c r="J460" s="8">
        <f>IFERROR(MATCH(G460,'13W Cash Forecast'!$B$4:$N$4,1),1)</f>
        <v/>
      </c>
    </row>
    <row r="461">
      <c r="A461" s="8" t="inlineStr">
        <is>
          <t>AR-0030864</t>
        </is>
      </c>
      <c r="B461" s="8" t="inlineStr">
        <is>
          <t>Service</t>
        </is>
      </c>
      <c r="C461" s="8" t="inlineStr">
        <is>
          <t>Columbia River Logistics - Portfolio Operating Company</t>
        </is>
      </c>
      <c r="D461" s="22" t="n">
        <v>46138</v>
      </c>
      <c r="E461" s="22" t="n">
        <v>46168</v>
      </c>
      <c r="F461" s="9" t="n">
        <v>2572.25</v>
      </c>
      <c r="G461" s="23" t="n">
        <v>46168</v>
      </c>
      <c r="H461" s="24" t="inlineStr">
        <is>
          <t>Low</t>
        </is>
      </c>
      <c r="I461" s="24" t="inlineStr">
        <is>
          <t>Awaiting project-accountant follow-up</t>
        </is>
      </c>
      <c r="J461" s="8">
        <f>IFERROR(MATCH(G461,'13W Cash Forecast'!$B$4:$N$4,1),1)</f>
        <v/>
      </c>
    </row>
    <row r="462">
      <c r="A462" s="8" t="inlineStr">
        <is>
          <t>AR-0030918</t>
        </is>
      </c>
      <c r="B462" s="8" t="inlineStr">
        <is>
          <t>Service</t>
        </is>
      </c>
      <c r="C462" s="8" t="inlineStr">
        <is>
          <t>Pacific Northwest Distribution REIT</t>
        </is>
      </c>
      <c r="D462" s="22" t="n">
        <v>46138</v>
      </c>
      <c r="E462" s="22" t="n">
        <v>46168</v>
      </c>
      <c r="F462" s="9" t="n">
        <v>415.82</v>
      </c>
      <c r="G462" s="23" t="n">
        <v>46168</v>
      </c>
      <c r="H462" s="24" t="inlineStr">
        <is>
          <t>Medium</t>
        </is>
      </c>
      <c r="I462" s="24" t="inlineStr">
        <is>
          <t>Contractual due date pending refreshed collection call</t>
        </is>
      </c>
      <c r="J462" s="8">
        <f>IFERROR(MATCH(G462,'13W Cash Forecast'!$B$4:$N$4,1),1)</f>
        <v/>
      </c>
    </row>
    <row r="463">
      <c r="A463" s="8" t="inlineStr">
        <is>
          <t>AR-0031074</t>
        </is>
      </c>
      <c r="B463" s="8" t="inlineStr">
        <is>
          <t>Service</t>
        </is>
      </c>
      <c r="C463" s="8" t="inlineStr">
        <is>
          <t>Clackamas Health Network - Operations Campus Services</t>
        </is>
      </c>
      <c r="D463" s="22" t="n">
        <v>46153</v>
      </c>
      <c r="E463" s="22" t="n">
        <v>46168</v>
      </c>
      <c r="F463" s="9" t="n">
        <v>1964.94</v>
      </c>
      <c r="G463" s="23" t="n">
        <v>46168</v>
      </c>
      <c r="H463" s="24" t="inlineStr">
        <is>
          <t>Medium</t>
        </is>
      </c>
      <c r="I463" s="24" t="inlineStr">
        <is>
          <t>Contractual due date pending refreshed collection call</t>
        </is>
      </c>
      <c r="J463" s="8">
        <f>IFERROR(MATCH(G463,'13W Cash Forecast'!$B$4:$N$4,1),1)</f>
        <v/>
      </c>
    </row>
    <row r="464">
      <c r="A464" s="8" t="inlineStr">
        <is>
          <t>AR-0031128</t>
        </is>
      </c>
      <c r="B464" s="8" t="inlineStr">
        <is>
          <t>Service</t>
        </is>
      </c>
      <c r="C464" s="8" t="inlineStr">
        <is>
          <t>Rogue Valley Beverage - Portfolio Property Group</t>
        </is>
      </c>
      <c r="D464" s="22" t="n">
        <v>46153</v>
      </c>
      <c r="E464" s="22" t="n">
        <v>46168</v>
      </c>
      <c r="F464" s="9" t="n">
        <v>225.2</v>
      </c>
      <c r="G464" s="23" t="n">
        <v>46168</v>
      </c>
      <c r="H464" s="24" t="inlineStr">
        <is>
          <t>Medium</t>
        </is>
      </c>
      <c r="I464" s="24" t="inlineStr">
        <is>
          <t>Contractual due date pending refreshed collection call</t>
        </is>
      </c>
      <c r="J464" s="8">
        <f>IFERROR(MATCH(G464,'13W Cash Forecast'!$B$4:$N$4,1),1)</f>
        <v/>
      </c>
    </row>
    <row r="465">
      <c r="A465" s="8" t="inlineStr">
        <is>
          <t>AR-0030680</t>
        </is>
      </c>
      <c r="B465" s="8" t="inlineStr">
        <is>
          <t>Service</t>
        </is>
      </c>
      <c r="C465" s="8" t="inlineStr">
        <is>
          <t>Forest Park Hospitality Campus Services</t>
        </is>
      </c>
      <c r="D465" s="22" t="n">
        <v>46139</v>
      </c>
      <c r="E465" s="22" t="n">
        <v>46169</v>
      </c>
      <c r="F465" s="9" t="n">
        <v>428.91</v>
      </c>
      <c r="G465" s="23" t="n">
        <v>46169</v>
      </c>
      <c r="H465" s="24" t="inlineStr">
        <is>
          <t>Medium</t>
        </is>
      </c>
      <c r="I465" s="24" t="inlineStr">
        <is>
          <t>Contractual due date pending refreshed collection call</t>
        </is>
      </c>
      <c r="J465" s="8">
        <f>IFERROR(MATCH(G465,'13W Cash Forecast'!$B$4:$N$4,1),1)</f>
        <v/>
      </c>
    </row>
    <row r="466">
      <c r="A466" s="8" t="inlineStr">
        <is>
          <t>AR-0030707</t>
        </is>
      </c>
      <c r="B466" s="8" t="inlineStr">
        <is>
          <t>Service</t>
        </is>
      </c>
      <c r="C466" s="8" t="inlineStr">
        <is>
          <t>Beacon Industrial - South Asset Management</t>
        </is>
      </c>
      <c r="D466" s="22" t="n">
        <v>46139</v>
      </c>
      <c r="E466" s="22" t="n">
        <v>46169</v>
      </c>
      <c r="F466" s="9" t="n">
        <v>1475.09</v>
      </c>
      <c r="G466" s="23" t="n">
        <v>46169</v>
      </c>
      <c r="H466" s="24" t="inlineStr">
        <is>
          <t>Medium</t>
        </is>
      </c>
      <c r="I466" s="24" t="inlineStr">
        <is>
          <t>Contractual due date pending refreshed collection call</t>
        </is>
      </c>
      <c r="J466" s="8">
        <f>IFERROR(MATCH(G466,'13W Cash Forecast'!$B$4:$N$4,1),1)</f>
        <v/>
      </c>
    </row>
    <row r="467">
      <c r="A467" s="8" t="inlineStr">
        <is>
          <t>AR-0030713</t>
        </is>
      </c>
      <c r="B467" s="8" t="inlineStr">
        <is>
          <t>Service</t>
        </is>
      </c>
      <c r="C467" s="8" t="inlineStr">
        <is>
          <t>Lake Oswego Office Partners - East Campus Services</t>
        </is>
      </c>
      <c r="D467" s="22" t="n">
        <v>46124</v>
      </c>
      <c r="E467" s="22" t="n">
        <v>46169</v>
      </c>
      <c r="F467" s="9" t="n">
        <v>136.87</v>
      </c>
      <c r="G467" s="23" t="n">
        <v>46169</v>
      </c>
      <c r="H467" s="24" t="inlineStr">
        <is>
          <t>Medium</t>
        </is>
      </c>
      <c r="I467" s="24" t="inlineStr">
        <is>
          <t>Contractual due date pending refreshed collection call</t>
        </is>
      </c>
      <c r="J467" s="8">
        <f>IFERROR(MATCH(G467,'13W Cash Forecast'!$B$4:$N$4,1),1)</f>
        <v/>
      </c>
    </row>
    <row r="468">
      <c r="A468" s="8" t="inlineStr">
        <is>
          <t>AR-0030761</t>
        </is>
      </c>
      <c r="B468" s="8" t="inlineStr">
        <is>
          <t>Service</t>
        </is>
      </c>
      <c r="C468" s="8" t="inlineStr">
        <is>
          <t>Pioneer Medical Properties - West LLC</t>
        </is>
      </c>
      <c r="D468" s="22" t="n">
        <v>46139</v>
      </c>
      <c r="E468" s="22" t="n">
        <v>46169</v>
      </c>
      <c r="F468" s="9" t="n">
        <v>880.48</v>
      </c>
      <c r="G468" s="23" t="n">
        <v>46169</v>
      </c>
      <c r="H468" s="24" t="inlineStr">
        <is>
          <t>Low</t>
        </is>
      </c>
      <c r="I468" s="24" t="inlineStr">
        <is>
          <t>Awaiting project-accountant follow-up</t>
        </is>
      </c>
      <c r="J468" s="8">
        <f>IFERROR(MATCH(G468,'13W Cash Forecast'!$B$4:$N$4,1),1)</f>
        <v/>
      </c>
    </row>
    <row r="469">
      <c r="A469" s="8" t="inlineStr">
        <is>
          <t>AR-0030815</t>
        </is>
      </c>
      <c r="B469" s="8" t="inlineStr">
        <is>
          <t>Service</t>
        </is>
      </c>
      <c r="C469" s="8" t="inlineStr">
        <is>
          <t>High Desert Manufacturing - Portfolio LLC</t>
        </is>
      </c>
      <c r="D469" s="22" t="n">
        <v>46139</v>
      </c>
      <c r="E469" s="22" t="n">
        <v>46169</v>
      </c>
      <c r="F469" s="9" t="n">
        <v>264.34</v>
      </c>
      <c r="G469" s="23" t="n">
        <v>46169</v>
      </c>
      <c r="H469" s="24" t="inlineStr">
        <is>
          <t>Medium</t>
        </is>
      </c>
      <c r="I469" s="24" t="inlineStr">
        <is>
          <t>Contractual due date pending refreshed collection call</t>
        </is>
      </c>
      <c r="J469" s="8">
        <f>IFERROR(MATCH(G469,'13W Cash Forecast'!$B$4:$N$4,1),1)</f>
        <v/>
      </c>
    </row>
    <row r="470">
      <c r="A470" s="8" t="inlineStr">
        <is>
          <t>AR-0030842</t>
        </is>
      </c>
      <c r="B470" s="8" t="inlineStr">
        <is>
          <t>Service</t>
        </is>
      </c>
      <c r="C470" s="8" t="inlineStr">
        <is>
          <t>Pacific Crest Biotech - East Partners, LP</t>
        </is>
      </c>
      <c r="D470" s="22" t="n">
        <v>46139</v>
      </c>
      <c r="E470" s="22" t="n">
        <v>46169</v>
      </c>
      <c r="F470" s="9" t="n">
        <v>1356.19</v>
      </c>
      <c r="G470" s="23" t="n">
        <v>46169</v>
      </c>
      <c r="H470" s="24" t="inlineStr">
        <is>
          <t>Medium</t>
        </is>
      </c>
      <c r="I470" s="24" t="inlineStr">
        <is>
          <t>Contractual due date pending refreshed collection call</t>
        </is>
      </c>
      <c r="J470" s="8">
        <f>IFERROR(MATCH(G470,'13W Cash Forecast'!$B$4:$N$4,1),1)</f>
        <v/>
      </c>
    </row>
    <row r="471">
      <c r="A471" s="8" t="inlineStr">
        <is>
          <t>AR-0030896</t>
        </is>
      </c>
      <c r="B471" s="8" t="inlineStr">
        <is>
          <t>Service</t>
        </is>
      </c>
      <c r="C471" s="8" t="inlineStr">
        <is>
          <t>Forest Park Hospitality - West LLC</t>
        </is>
      </c>
      <c r="D471" s="22" t="n">
        <v>46139</v>
      </c>
      <c r="E471" s="22" t="n">
        <v>46169</v>
      </c>
      <c r="F471" s="9" t="n">
        <v>324.53</v>
      </c>
      <c r="G471" s="23" t="n">
        <v>46169</v>
      </c>
      <c r="H471" s="24" t="inlineStr">
        <is>
          <t>Medium</t>
        </is>
      </c>
      <c r="I471" s="24" t="inlineStr">
        <is>
          <t>Contractual due date pending refreshed collection call</t>
        </is>
      </c>
      <c r="J471" s="8">
        <f>IFERROR(MATCH(G471,'13W Cash Forecast'!$B$4:$N$4,1),1)</f>
        <v/>
      </c>
    </row>
    <row r="472">
      <c r="A472" s="8" t="inlineStr">
        <is>
          <t>AR-0030971</t>
        </is>
      </c>
      <c r="B472" s="8" t="inlineStr">
        <is>
          <t>Service</t>
        </is>
      </c>
      <c r="C472" s="8" t="inlineStr">
        <is>
          <t>Clackamas Health Network Operating Company</t>
        </is>
      </c>
      <c r="D472" s="22" t="n">
        <v>46154</v>
      </c>
      <c r="E472" s="22" t="n">
        <v>46169</v>
      </c>
      <c r="F472" s="9" t="n">
        <v>427.32</v>
      </c>
      <c r="G472" s="23" t="n">
        <v>46169</v>
      </c>
      <c r="H472" s="24" t="inlineStr">
        <is>
          <t>Medium</t>
        </is>
      </c>
      <c r="I472" s="24" t="inlineStr">
        <is>
          <t>Contractual due date pending refreshed collection call</t>
        </is>
      </c>
      <c r="J472" s="8">
        <f>IFERROR(MATCH(G472,'13W Cash Forecast'!$B$4:$N$4,1),1)</f>
        <v/>
      </c>
    </row>
    <row r="473">
      <c r="A473" s="8" t="inlineStr">
        <is>
          <t>AR-0030998</t>
        </is>
      </c>
      <c r="B473" s="8" t="inlineStr">
        <is>
          <t>Service</t>
        </is>
      </c>
      <c r="C473" s="8" t="inlineStr">
        <is>
          <t>Tualatin Commerce Center Operating Company</t>
        </is>
      </c>
      <c r="D473" s="22" t="n">
        <v>46154</v>
      </c>
      <c r="E473" s="22" t="n">
        <v>46169</v>
      </c>
      <c r="F473" s="9" t="n">
        <v>1301.31</v>
      </c>
      <c r="G473" s="23" t="n">
        <v>46169</v>
      </c>
      <c r="H473" s="24" t="inlineStr">
        <is>
          <t>Medium</t>
        </is>
      </c>
      <c r="I473" s="24" t="inlineStr">
        <is>
          <t>Contractual due date pending refreshed collection call</t>
        </is>
      </c>
      <c r="J473" s="8">
        <f>IFERROR(MATCH(G473,'13W Cash Forecast'!$B$4:$N$4,1),1)</f>
        <v/>
      </c>
    </row>
    <row r="474">
      <c r="A474" s="8" t="inlineStr">
        <is>
          <t>AR-0031052</t>
        </is>
      </c>
      <c r="B474" s="8" t="inlineStr">
        <is>
          <t>Service</t>
        </is>
      </c>
      <c r="C474" s="8" t="inlineStr">
        <is>
          <t>Oregon Advanced Materials - South Real Estate, LLC</t>
        </is>
      </c>
      <c r="D474" s="22" t="n">
        <v>46154</v>
      </c>
      <c r="E474" s="22" t="n">
        <v>46169</v>
      </c>
      <c r="F474" s="9" t="n">
        <v>1328.55</v>
      </c>
      <c r="G474" s="23" t="n">
        <v>46169</v>
      </c>
      <c r="H474" s="24" t="inlineStr">
        <is>
          <t>Medium</t>
        </is>
      </c>
      <c r="I474" s="24" t="inlineStr">
        <is>
          <t>Contractual due date pending refreshed collection call</t>
        </is>
      </c>
      <c r="J474" s="8">
        <f>IFERROR(MATCH(G474,'13W Cash Forecast'!$B$4:$N$4,1),1)</f>
        <v/>
      </c>
    </row>
    <row r="475">
      <c r="A475" s="8" t="inlineStr">
        <is>
          <t>AR-0031106</t>
        </is>
      </c>
      <c r="B475" s="8" t="inlineStr">
        <is>
          <t>Service</t>
        </is>
      </c>
      <c r="C475" s="8" t="inlineStr">
        <is>
          <t>Fairview Property Partners - East Property Group</t>
        </is>
      </c>
      <c r="D475" s="22" t="n">
        <v>46154</v>
      </c>
      <c r="E475" s="22" t="n">
        <v>46169</v>
      </c>
      <c r="F475" s="9" t="n">
        <v>867.23</v>
      </c>
      <c r="G475" s="23" t="n">
        <v>46169</v>
      </c>
      <c r="H475" s="24" t="inlineStr">
        <is>
          <t>Low</t>
        </is>
      </c>
      <c r="I475" s="24" t="inlineStr">
        <is>
          <t>Awaiting project-accountant follow-up</t>
        </is>
      </c>
      <c r="J475" s="8">
        <f>IFERROR(MATCH(G475,'13W Cash Forecast'!$B$4:$N$4,1),1)</f>
        <v/>
      </c>
    </row>
    <row r="476">
      <c r="A476" s="8" t="inlineStr">
        <is>
          <t>AR-0030880</t>
        </is>
      </c>
      <c r="B476" s="8" t="inlineStr">
        <is>
          <t>Service</t>
        </is>
      </c>
      <c r="C476" s="8" t="inlineStr">
        <is>
          <t>Deschutes Medical Group - North Development Company</t>
        </is>
      </c>
      <c r="D476" s="22" t="n">
        <v>46125</v>
      </c>
      <c r="E476" s="22" t="n">
        <v>46170</v>
      </c>
      <c r="F476" s="9" t="n">
        <v>1447.13</v>
      </c>
      <c r="G476" s="23" t="n">
        <v>46170</v>
      </c>
      <c r="H476" s="24" t="inlineStr">
        <is>
          <t>Medium</t>
        </is>
      </c>
      <c r="I476" s="24" t="inlineStr">
        <is>
          <t>Contractual due date pending refreshed collection call</t>
        </is>
      </c>
      <c r="J476" s="8">
        <f>IFERROR(MATCH(G476,'13W Cash Forecast'!$B$4:$N$4,1),1)</f>
        <v/>
      </c>
    </row>
    <row r="477">
      <c r="A477" s="8" t="inlineStr">
        <is>
          <t>AR-0030949</t>
        </is>
      </c>
      <c r="B477" s="8" t="inlineStr">
        <is>
          <t>Service</t>
        </is>
      </c>
      <c r="C477" s="8" t="inlineStr">
        <is>
          <t>Hillsboro Life Sciences - Campus Asset Management</t>
        </is>
      </c>
      <c r="D477" s="22" t="n">
        <v>46155</v>
      </c>
      <c r="E477" s="22" t="n">
        <v>46170</v>
      </c>
      <c r="F477" s="9" t="n">
        <v>468.97</v>
      </c>
      <c r="G477" s="23" t="n">
        <v>46170</v>
      </c>
      <c r="H477" s="24" t="inlineStr">
        <is>
          <t>Medium</t>
        </is>
      </c>
      <c r="I477" s="24" t="inlineStr">
        <is>
          <t>Contractual due date pending refreshed collection call</t>
        </is>
      </c>
      <c r="J477" s="8">
        <f>IFERROR(MATCH(G477,'13W Cash Forecast'!$B$4:$N$4,1),1)</f>
        <v/>
      </c>
    </row>
    <row r="478">
      <c r="A478" s="8" t="inlineStr">
        <is>
          <t>AR-0031030</t>
        </is>
      </c>
      <c r="B478" s="8" t="inlineStr">
        <is>
          <t>Service</t>
        </is>
      </c>
      <c r="C478" s="8" t="inlineStr">
        <is>
          <t>Clackamas Health Network - Operations Real Estate, LLC</t>
        </is>
      </c>
      <c r="D478" s="22" t="n">
        <v>46155</v>
      </c>
      <c r="E478" s="22" t="n">
        <v>46170</v>
      </c>
      <c r="F478" s="9" t="n">
        <v>1252.71</v>
      </c>
      <c r="G478" s="23" t="n">
        <v>46170</v>
      </c>
      <c r="H478" s="24" t="inlineStr">
        <is>
          <t>Medium</t>
        </is>
      </c>
      <c r="I478" s="24" t="inlineStr">
        <is>
          <t>Contractual due date pending refreshed collection call</t>
        </is>
      </c>
      <c r="J478" s="8">
        <f>IFERROR(MATCH(G478,'13W Cash Forecast'!$B$4:$N$4,1),1)</f>
        <v/>
      </c>
    </row>
    <row r="479">
      <c r="A479" s="8" t="inlineStr">
        <is>
          <t>AR-0031084</t>
        </is>
      </c>
      <c r="B479" s="8" t="inlineStr">
        <is>
          <t>Service</t>
        </is>
      </c>
      <c r="C479" s="8" t="inlineStr">
        <is>
          <t>Rogue Valley Beverage - Portfolio Holdings, LLC</t>
        </is>
      </c>
      <c r="D479" s="22" t="n">
        <v>46155</v>
      </c>
      <c r="E479" s="22" t="n">
        <v>46170</v>
      </c>
      <c r="F479" s="9" t="n">
        <v>5439.25</v>
      </c>
      <c r="G479" s="23" t="n">
        <v>46170</v>
      </c>
      <c r="H479" s="24" t="inlineStr">
        <is>
          <t>Medium</t>
        </is>
      </c>
      <c r="I479" s="24" t="inlineStr">
        <is>
          <t>Contractual due date pending refreshed collection call</t>
        </is>
      </c>
      <c r="J479" s="8">
        <f>IFERROR(MATCH(G479,'13W Cash Forecast'!$B$4:$N$4,1),1)</f>
        <v/>
      </c>
    </row>
    <row r="480">
      <c r="A480" s="8" t="inlineStr">
        <is>
          <t>AR-0030858</t>
        </is>
      </c>
      <c r="B480" s="8" t="inlineStr">
        <is>
          <t>Service</t>
        </is>
      </c>
      <c r="C480" s="8" t="inlineStr">
        <is>
          <t>Portland Arts and Events - Central Asset Management</t>
        </is>
      </c>
      <c r="D480" s="22" t="n">
        <v>46126</v>
      </c>
      <c r="E480" s="22" t="n">
        <v>46171</v>
      </c>
      <c r="F480" s="9" t="n">
        <v>698.37</v>
      </c>
      <c r="G480" s="23" t="n">
        <v>46171</v>
      </c>
      <c r="H480" s="24" t="inlineStr">
        <is>
          <t>Medium</t>
        </is>
      </c>
      <c r="I480" s="24" t="inlineStr">
        <is>
          <t>Contractual due date pending refreshed collection call</t>
        </is>
      </c>
      <c r="J480" s="8">
        <f>IFERROR(MATCH(G480,'13W Cash Forecast'!$B$4:$N$4,1),1)</f>
        <v/>
      </c>
    </row>
    <row r="481">
      <c r="A481" s="8" t="inlineStr">
        <is>
          <t>AR-0030927</t>
        </is>
      </c>
      <c r="B481" s="8" t="inlineStr">
        <is>
          <t>Service</t>
        </is>
      </c>
      <c r="C481" s="8" t="inlineStr">
        <is>
          <t>Tualatin Commerce Center - West Campus Services</t>
        </is>
      </c>
      <c r="D481" s="22" t="n">
        <v>46156</v>
      </c>
      <c r="E481" s="22" t="n">
        <v>46171</v>
      </c>
      <c r="F481" s="9" t="n">
        <v>1400.51</v>
      </c>
      <c r="G481" s="23" t="n">
        <v>46171</v>
      </c>
      <c r="H481" s="24" t="inlineStr">
        <is>
          <t>Medium</t>
        </is>
      </c>
      <c r="I481" s="24" t="inlineStr">
        <is>
          <t>Contractual due date pending refreshed collection call</t>
        </is>
      </c>
      <c r="J481" s="8">
        <f>IFERROR(MATCH(G481,'13W Cash Forecast'!$B$4:$N$4,1),1)</f>
        <v/>
      </c>
    </row>
    <row r="482">
      <c r="A482" s="8" t="inlineStr">
        <is>
          <t>AR-0030981</t>
        </is>
      </c>
      <c r="B482" s="8" t="inlineStr">
        <is>
          <t>Service</t>
        </is>
      </c>
      <c r="C482" s="8" t="inlineStr">
        <is>
          <t>McKenzie River Foods - Central Facilities</t>
        </is>
      </c>
      <c r="D482" s="22" t="n">
        <v>46156</v>
      </c>
      <c r="E482" s="22" t="n">
        <v>46171</v>
      </c>
      <c r="F482" s="9" t="n">
        <v>797.5</v>
      </c>
      <c r="G482" s="23" t="n">
        <v>46171</v>
      </c>
      <c r="H482" s="24" t="inlineStr">
        <is>
          <t>Low</t>
        </is>
      </c>
      <c r="I482" s="24" t="inlineStr">
        <is>
          <t>Awaiting project-accountant follow-up</t>
        </is>
      </c>
      <c r="J482" s="8">
        <f>IFERROR(MATCH(G482,'13W Cash Forecast'!$B$4:$N$4,1),1)</f>
        <v/>
      </c>
    </row>
    <row r="483">
      <c r="A483" s="8" t="inlineStr">
        <is>
          <t>AR-0031062</t>
        </is>
      </c>
      <c r="B483" s="8" t="inlineStr">
        <is>
          <t>Service</t>
        </is>
      </c>
      <c r="C483" s="8" t="inlineStr">
        <is>
          <t>Fairview Property Partners - East Holdings, LLC</t>
        </is>
      </c>
      <c r="D483" s="22" t="n">
        <v>46156</v>
      </c>
      <c r="E483" s="22" t="n">
        <v>46171</v>
      </c>
      <c r="F483" s="9" t="n">
        <v>536.37</v>
      </c>
      <c r="G483" s="23" t="n">
        <v>46171</v>
      </c>
      <c r="H483" s="24" t="inlineStr">
        <is>
          <t>Medium</t>
        </is>
      </c>
      <c r="I483" s="24" t="inlineStr">
        <is>
          <t>Contractual due date pending refreshed collection call</t>
        </is>
      </c>
      <c r="J483" s="8">
        <f>IFERROR(MATCH(G483,'13W Cash Forecast'!$B$4:$N$4,1),1)</f>
        <v/>
      </c>
    </row>
    <row r="484">
      <c r="A484" s="8" t="inlineStr">
        <is>
          <t>AR-0031197</t>
        </is>
      </c>
      <c r="B484" s="8" t="inlineStr">
        <is>
          <t>Service</t>
        </is>
      </c>
      <c r="C484" s="8" t="inlineStr">
        <is>
          <t>Tualatin Commerce Center - West Campus Services</t>
        </is>
      </c>
      <c r="D484" s="22" t="n">
        <v>46156</v>
      </c>
      <c r="E484" s="22" t="n">
        <v>46171</v>
      </c>
      <c r="F484" s="9" t="n">
        <v>353.04</v>
      </c>
      <c r="G484" s="23" t="n">
        <v>46171</v>
      </c>
      <c r="H484" s="24" t="inlineStr">
        <is>
          <t>Medium</t>
        </is>
      </c>
      <c r="I484" s="24" t="inlineStr">
        <is>
          <t>Contractual due date pending refreshed collection call</t>
        </is>
      </c>
      <c r="J484" s="8">
        <f>IFERROR(MATCH(G484,'13W Cash Forecast'!$B$4:$N$4,1),1)</f>
        <v/>
      </c>
    </row>
    <row r="485">
      <c r="A485" s="8" t="inlineStr">
        <is>
          <t>AR-0030836</t>
        </is>
      </c>
      <c r="B485" s="8" t="inlineStr">
        <is>
          <t>Service</t>
        </is>
      </c>
      <c r="C485" s="8" t="inlineStr">
        <is>
          <t>Deschutes Medical Group - North Asset Management</t>
        </is>
      </c>
      <c r="D485" s="22" t="n">
        <v>46127</v>
      </c>
      <c r="E485" s="22" t="n">
        <v>46172</v>
      </c>
      <c r="F485" s="9" t="n">
        <v>453.55</v>
      </c>
      <c r="G485" s="23" t="n">
        <v>46172</v>
      </c>
      <c r="H485" s="24" t="inlineStr">
        <is>
          <t>Medium</t>
        </is>
      </c>
      <c r="I485" s="24" t="inlineStr">
        <is>
          <t>Contractual due date pending refreshed collection call</t>
        </is>
      </c>
      <c r="J485" s="8">
        <f>IFERROR(MATCH(G485,'13W Cash Forecast'!$B$4:$N$4,1),1)</f>
        <v/>
      </c>
    </row>
    <row r="486">
      <c r="A486" s="8" t="inlineStr">
        <is>
          <t>AR-0030959</t>
        </is>
      </c>
      <c r="B486" s="8" t="inlineStr">
        <is>
          <t>Service</t>
        </is>
      </c>
      <c r="C486" s="8" t="inlineStr">
        <is>
          <t>Alder Creek Medical - North Facilities</t>
        </is>
      </c>
      <c r="D486" s="22" t="n">
        <v>46157</v>
      </c>
      <c r="E486" s="22" t="n">
        <v>46172</v>
      </c>
      <c r="F486" s="9" t="n">
        <v>977.35</v>
      </c>
      <c r="G486" s="23" t="n">
        <v>46172</v>
      </c>
      <c r="H486" s="24" t="inlineStr">
        <is>
          <t>Medium</t>
        </is>
      </c>
      <c r="I486" s="24" t="inlineStr">
        <is>
          <t>Contractual due date pending refreshed collection call</t>
        </is>
      </c>
      <c r="J486" s="8">
        <f>IFERROR(MATCH(G486,'13W Cash Forecast'!$B$4:$N$4,1),1)</f>
        <v/>
      </c>
    </row>
    <row r="487">
      <c r="A487" s="8" t="inlineStr">
        <is>
          <t>AR-0031040</t>
        </is>
      </c>
      <c r="B487" s="8" t="inlineStr">
        <is>
          <t>Service</t>
        </is>
      </c>
      <c r="C487" s="8" t="inlineStr">
        <is>
          <t>Hillsboro Life Sciences Operating Company</t>
        </is>
      </c>
      <c r="D487" s="22" t="n">
        <v>46157</v>
      </c>
      <c r="E487" s="22" t="n">
        <v>46172</v>
      </c>
      <c r="F487" s="9" t="n">
        <v>2439.88</v>
      </c>
      <c r="G487" s="23" t="n">
        <v>46172</v>
      </c>
      <c r="H487" s="24" t="inlineStr">
        <is>
          <t>Medium</t>
        </is>
      </c>
      <c r="I487" s="24" t="inlineStr">
        <is>
          <t>Contractual due date pending refreshed collection call</t>
        </is>
      </c>
      <c r="J487" s="8">
        <f>IFERROR(MATCH(G487,'13W Cash Forecast'!$B$4:$N$4,1),1)</f>
        <v/>
      </c>
    </row>
    <row r="488">
      <c r="A488" s="8" t="inlineStr">
        <is>
          <t>AR-0031175</t>
        </is>
      </c>
      <c r="B488" s="8" t="inlineStr">
        <is>
          <t>Service</t>
        </is>
      </c>
      <c r="C488" s="8" t="inlineStr">
        <is>
          <t>Hillsboro Life Sciences - Campus Campus Services</t>
        </is>
      </c>
      <c r="D488" s="22" t="n">
        <v>46157</v>
      </c>
      <c r="E488" s="22" t="n">
        <v>46172</v>
      </c>
      <c r="F488" s="9" t="n">
        <v>176.75</v>
      </c>
      <c r="G488" s="23" t="n">
        <v>46172</v>
      </c>
      <c r="H488" s="24" t="inlineStr">
        <is>
          <t>Medium</t>
        </is>
      </c>
      <c r="I488" s="24" t="inlineStr">
        <is>
          <t>Contractual due date pending refreshed collection call</t>
        </is>
      </c>
      <c r="J488" s="8">
        <f>IFERROR(MATCH(G488,'13W Cash Forecast'!$B$4:$N$4,1),1)</f>
        <v/>
      </c>
    </row>
    <row r="489">
      <c r="A489" s="8" t="inlineStr">
        <is>
          <t>PAYAPP-ARM-2318-202604</t>
        </is>
      </c>
      <c r="B489" s="8" t="inlineStr">
        <is>
          <t>ARM-2318</t>
        </is>
      </c>
      <c r="C489" s="8" t="inlineStr">
        <is>
          <t>Columbia Biologics, Inc.</t>
        </is>
      </c>
      <c r="D489" s="22" t="n">
        <v>46142</v>
      </c>
      <c r="E489" s="22" t="n">
        <v>46172</v>
      </c>
      <c r="F489" s="9" t="n">
        <v>31108.03</v>
      </c>
      <c r="G489" s="23" t="n">
        <v>46172</v>
      </c>
      <c r="H489" s="24" t="inlineStr">
        <is>
          <t>Low</t>
        </is>
      </c>
      <c r="I489" s="24" t="inlineStr">
        <is>
          <t>Awaiting project-accountant follow-up</t>
        </is>
      </c>
      <c r="J489" s="8">
        <f>IFERROR(MATCH(G489,'13W Cash Forecast'!$B$4:$N$4,1),1)</f>
        <v/>
      </c>
    </row>
    <row r="490">
      <c r="A490" s="8" t="inlineStr">
        <is>
          <t>PAYAPP-ARM-2409-202604</t>
        </is>
      </c>
      <c r="B490" s="8" t="inlineStr">
        <is>
          <t>ARM-2409</t>
        </is>
      </c>
      <c r="C490" s="8" t="inlineStr">
        <is>
          <t>Northline Cold Storage Holdings</t>
        </is>
      </c>
      <c r="D490" s="22" t="n">
        <v>46142</v>
      </c>
      <c r="E490" s="22" t="n">
        <v>46172</v>
      </c>
      <c r="F490" s="9" t="n">
        <v>8963.299999999999</v>
      </c>
      <c r="G490" s="23" t="n">
        <v>46172</v>
      </c>
      <c r="H490" s="24" t="inlineStr">
        <is>
          <t>Medium</t>
        </is>
      </c>
      <c r="I490" s="24" t="inlineStr">
        <is>
          <t>Contractual due date pending refreshed collection call</t>
        </is>
      </c>
      <c r="J490" s="8">
        <f>IFERROR(MATCH(G490,'13W Cash Forecast'!$B$4:$N$4,1),1)</f>
        <v/>
      </c>
    </row>
    <row r="491">
      <c r="A491" s="8" t="inlineStr">
        <is>
          <t>PAYAPP-ARM-2421-202604</t>
        </is>
      </c>
      <c r="B491" s="8" t="inlineStr">
        <is>
          <t>ARM-2421</t>
        </is>
      </c>
      <c r="C491" s="8" t="inlineStr">
        <is>
          <t>Juniper Hospitality Partners</t>
        </is>
      </c>
      <c r="D491" s="22" t="n">
        <v>46142</v>
      </c>
      <c r="E491" s="22" t="n">
        <v>46172</v>
      </c>
      <c r="F491" s="9" t="n">
        <v>4282.86</v>
      </c>
      <c r="G491" s="23" t="n">
        <v>46172</v>
      </c>
      <c r="H491" s="24" t="inlineStr">
        <is>
          <t>Medium</t>
        </is>
      </c>
      <c r="I491" s="24" t="inlineStr">
        <is>
          <t>Contractual due date pending refreshed collection call</t>
        </is>
      </c>
      <c r="J491" s="8">
        <f>IFERROR(MATCH(G491,'13W Cash Forecast'!$B$4:$N$4,1),1)</f>
        <v/>
      </c>
    </row>
    <row r="492">
      <c r="A492" s="8" t="inlineStr">
        <is>
          <t>PAYAPP-ARM-2506-202604</t>
        </is>
      </c>
      <c r="B492" s="8" t="inlineStr">
        <is>
          <t>ARM-2506</t>
        </is>
      </c>
      <c r="C492" s="8" t="inlineStr">
        <is>
          <t>Eastbank Data Infrastructure, LP</t>
        </is>
      </c>
      <c r="D492" s="22" t="n">
        <v>46142</v>
      </c>
      <c r="E492" s="22" t="n">
        <v>46172</v>
      </c>
      <c r="F492" s="9" t="n">
        <v>41381.21</v>
      </c>
      <c r="G492" s="23" t="n">
        <v>46172</v>
      </c>
      <c r="H492" s="24" t="inlineStr">
        <is>
          <t>Medium</t>
        </is>
      </c>
      <c r="I492" s="24" t="inlineStr">
        <is>
          <t>Contractual due date pending refreshed collection call</t>
        </is>
      </c>
      <c r="J492" s="8">
        <f>IFERROR(MATCH(G492,'13W Cash Forecast'!$B$4:$N$4,1),1)</f>
        <v/>
      </c>
    </row>
    <row r="493">
      <c r="A493" s="8" t="inlineStr">
        <is>
          <t>PAYAPP-ARM-2510-202604</t>
        </is>
      </c>
      <c r="B493" s="8" t="inlineStr">
        <is>
          <t>ARM-2510</t>
        </is>
      </c>
      <c r="C493" s="8" t="inlineStr">
        <is>
          <t>Hawthorne Urban Development, LLC</t>
        </is>
      </c>
      <c r="D493" s="22" t="n">
        <v>46142</v>
      </c>
      <c r="E493" s="22" t="n">
        <v>46172</v>
      </c>
      <c r="F493" s="9" t="n">
        <v>27971.92</v>
      </c>
      <c r="G493" s="23" t="n">
        <v>46172</v>
      </c>
      <c r="H493" s="24" t="inlineStr">
        <is>
          <t>Medium</t>
        </is>
      </c>
      <c r="I493" s="24" t="inlineStr">
        <is>
          <t>Contractual due date pending refreshed collection call</t>
        </is>
      </c>
      <c r="J493" s="8">
        <f>IFERROR(MATCH(G493,'13W Cash Forecast'!$B$4:$N$4,1),1)</f>
        <v/>
      </c>
    </row>
    <row r="494">
      <c r="A494" s="8" t="inlineStr">
        <is>
          <t>PAYAPP-ARM-2522-202604</t>
        </is>
      </c>
      <c r="B494" s="8" t="inlineStr">
        <is>
          <t>ARM-2522</t>
        </is>
      </c>
      <c r="C494" s="8" t="inlineStr">
        <is>
          <t>Summit Surgical Properties</t>
        </is>
      </c>
      <c r="D494" s="22" t="n">
        <v>46142</v>
      </c>
      <c r="E494" s="22" t="n">
        <v>46172</v>
      </c>
      <c r="F494" s="9" t="n">
        <v>21402.43</v>
      </c>
      <c r="G494" s="23" t="n">
        <v>46172</v>
      </c>
      <c r="H494" s="24" t="inlineStr">
        <is>
          <t>Medium</t>
        </is>
      </c>
      <c r="I494" s="24" t="inlineStr">
        <is>
          <t>Contractual due date pending refreshed collection call</t>
        </is>
      </c>
      <c r="J494" s="8">
        <f>IFERROR(MATCH(G494,'13W Cash Forecast'!$B$4:$N$4,1),1)</f>
        <v/>
      </c>
    </row>
    <row r="495">
      <c r="A495" s="8" t="inlineStr">
        <is>
          <t>PAYAPP-ARM-2526-202604</t>
        </is>
      </c>
      <c r="B495" s="8" t="inlineStr">
        <is>
          <t>ARM-2526</t>
        </is>
      </c>
      <c r="C495" s="8" t="inlineStr">
        <is>
          <t>Willamette Food Cooperative</t>
        </is>
      </c>
      <c r="D495" s="22" t="n">
        <v>46142</v>
      </c>
      <c r="E495" s="22" t="n">
        <v>46172</v>
      </c>
      <c r="F495" s="9" t="n">
        <v>9651.030000000001</v>
      </c>
      <c r="G495" s="23" t="n">
        <v>46172</v>
      </c>
      <c r="H495" s="24" t="inlineStr">
        <is>
          <t>Medium</t>
        </is>
      </c>
      <c r="I495" s="24" t="inlineStr">
        <is>
          <t>Contractual due date pending refreshed collection call</t>
        </is>
      </c>
      <c r="J495" s="8">
        <f>IFERROR(MATCH(G495,'13W Cash Forecast'!$B$4:$N$4,1),1)</f>
        <v/>
      </c>
    </row>
    <row r="496">
      <c r="A496" s="8" t="inlineStr">
        <is>
          <t>PAYAPP-ARM-2602-202604</t>
        </is>
      </c>
      <c r="B496" s="8" t="inlineStr">
        <is>
          <t>ARM-2602</t>
        </is>
      </c>
      <c r="C496" s="8" t="inlineStr">
        <is>
          <t>Pacific Northwest Distribution REIT</t>
        </is>
      </c>
      <c r="D496" s="22" t="n">
        <v>46142</v>
      </c>
      <c r="E496" s="22" t="n">
        <v>46172</v>
      </c>
      <c r="F496" s="9" t="n">
        <v>27092.48</v>
      </c>
      <c r="G496" s="23" t="n">
        <v>46172</v>
      </c>
      <c r="H496" s="24" t="inlineStr">
        <is>
          <t>Low</t>
        </is>
      </c>
      <c r="I496" s="24" t="inlineStr">
        <is>
          <t>Awaiting project-accountant follow-up</t>
        </is>
      </c>
      <c r="J496" s="8">
        <f>IFERROR(MATCH(G496,'13W Cash Forecast'!$B$4:$N$4,1),1)</f>
        <v/>
      </c>
    </row>
    <row r="497">
      <c r="A497" s="8" t="inlineStr">
        <is>
          <t>PAYAPP-ARM-2605-202604</t>
        </is>
      </c>
      <c r="B497" s="8" t="inlineStr">
        <is>
          <t>ARM-2605</t>
        </is>
      </c>
      <c r="C497" s="8" t="inlineStr">
        <is>
          <t>Rose Quarter Entertainment Holdings</t>
        </is>
      </c>
      <c r="D497" s="22" t="n">
        <v>46142</v>
      </c>
      <c r="E497" s="22" t="n">
        <v>46172</v>
      </c>
      <c r="F497" s="9" t="n">
        <v>28702.77</v>
      </c>
      <c r="G497" s="23" t="n">
        <v>46172</v>
      </c>
      <c r="H497" s="24" t="inlineStr">
        <is>
          <t>Medium</t>
        </is>
      </c>
      <c r="I497" s="24" t="inlineStr">
        <is>
          <t>Contractual due date pending refreshed collection call</t>
        </is>
      </c>
      <c r="J497" s="8">
        <f>IFERROR(MATCH(G497,'13W Cash Forecast'!$B$4:$N$4,1),1)</f>
        <v/>
      </c>
    </row>
    <row r="498">
      <c r="A498" s="8" t="inlineStr">
        <is>
          <t>AR-0030814</t>
        </is>
      </c>
      <c r="B498" s="8" t="inlineStr">
        <is>
          <t>Service</t>
        </is>
      </c>
      <c r="C498" s="8" t="inlineStr">
        <is>
          <t>Portland Arts and Events - Central Campus Services</t>
        </is>
      </c>
      <c r="D498" s="22" t="n">
        <v>46128</v>
      </c>
      <c r="E498" s="22" t="n">
        <v>46173</v>
      </c>
      <c r="F498" s="9" t="n">
        <v>449.4</v>
      </c>
      <c r="G498" s="23" t="n">
        <v>46173</v>
      </c>
      <c r="H498" s="24" t="inlineStr">
        <is>
          <t>Medium</t>
        </is>
      </c>
      <c r="I498" s="24" t="inlineStr">
        <is>
          <t>Contractual due date pending refreshed collection call</t>
        </is>
      </c>
      <c r="J498" s="8">
        <f>IFERROR(MATCH(G498,'13W Cash Forecast'!$B$4:$N$4,1),1)</f>
        <v/>
      </c>
    </row>
    <row r="499">
      <c r="A499" s="8" t="inlineStr">
        <is>
          <t>AR-0030937</t>
        </is>
      </c>
      <c r="B499" s="8" t="inlineStr">
        <is>
          <t>Service</t>
        </is>
      </c>
      <c r="C499" s="8" t="inlineStr">
        <is>
          <t>McKenzie River Foods - Central Property Group</t>
        </is>
      </c>
      <c r="D499" s="22" t="n">
        <v>46158</v>
      </c>
      <c r="E499" s="22" t="n">
        <v>46173</v>
      </c>
      <c r="F499" s="9" t="n">
        <v>1835.24</v>
      </c>
      <c r="G499" s="23" t="n">
        <v>46173</v>
      </c>
      <c r="H499" s="24" t="inlineStr">
        <is>
          <t>Medium</t>
        </is>
      </c>
      <c r="I499" s="24" t="inlineStr">
        <is>
          <t>Contractual due date pending refreshed collection call</t>
        </is>
      </c>
      <c r="J499" s="8">
        <f>IFERROR(MATCH(G499,'13W Cash Forecast'!$B$4:$N$4,1),1)</f>
        <v/>
      </c>
    </row>
    <row r="500">
      <c r="A500" s="8" t="inlineStr">
        <is>
          <t>AR-0030943</t>
        </is>
      </c>
      <c r="B500" s="8" t="inlineStr">
        <is>
          <t>Service</t>
        </is>
      </c>
      <c r="C500" s="8" t="inlineStr">
        <is>
          <t>Valley View Food Systems - Operations Holdings, LLC</t>
        </is>
      </c>
      <c r="D500" s="22" t="n">
        <v>46143</v>
      </c>
      <c r="E500" s="22" t="n">
        <v>46173</v>
      </c>
      <c r="F500" s="9" t="n">
        <v>731.8200000000001</v>
      </c>
      <c r="G500" s="23" t="n">
        <v>46173</v>
      </c>
      <c r="H500" s="24" t="inlineStr">
        <is>
          <t>Medium</t>
        </is>
      </c>
      <c r="I500" s="24" t="inlineStr">
        <is>
          <t>Contractual due date pending refreshed collection call</t>
        </is>
      </c>
      <c r="J500" s="8">
        <f>IFERROR(MATCH(G500,'13W Cash Forecast'!$B$4:$N$4,1),1)</f>
        <v/>
      </c>
    </row>
    <row r="501">
      <c r="A501" s="8" t="inlineStr">
        <is>
          <t>AR-0030997</t>
        </is>
      </c>
      <c r="B501" s="8" t="inlineStr">
        <is>
          <t>Service</t>
        </is>
      </c>
      <c r="C501" s="8" t="inlineStr">
        <is>
          <t>Oak Street Development - North Holdings, LLC</t>
        </is>
      </c>
      <c r="D501" s="22" t="n">
        <v>46143</v>
      </c>
      <c r="E501" s="22" t="n">
        <v>46173</v>
      </c>
      <c r="F501" s="9" t="n">
        <v>858.52</v>
      </c>
      <c r="G501" s="23" t="n">
        <v>46173</v>
      </c>
      <c r="H501" s="24" t="inlineStr">
        <is>
          <t>Medium</t>
        </is>
      </c>
      <c r="I501" s="24" t="inlineStr">
        <is>
          <t>Contractual due date pending refreshed collection call</t>
        </is>
      </c>
      <c r="J501" s="8">
        <f>IFERROR(MATCH(G501,'13W Cash Forecast'!$B$4:$N$4,1),1)</f>
        <v/>
      </c>
    </row>
    <row r="502">
      <c r="A502" s="8" t="inlineStr">
        <is>
          <t>AR-0031024</t>
        </is>
      </c>
      <c r="B502" s="8" t="inlineStr">
        <is>
          <t>Service</t>
        </is>
      </c>
      <c r="C502" s="8" t="inlineStr">
        <is>
          <t>Copperline Apartments Development Company</t>
        </is>
      </c>
      <c r="D502" s="22" t="n">
        <v>46143</v>
      </c>
      <c r="E502" s="22" t="n">
        <v>46173</v>
      </c>
      <c r="F502" s="9" t="n">
        <v>404.57</v>
      </c>
      <c r="G502" s="23" t="n">
        <v>46173</v>
      </c>
      <c r="H502" s="24" t="inlineStr">
        <is>
          <t>Medium</t>
        </is>
      </c>
      <c r="I502" s="24" t="inlineStr">
        <is>
          <t>Contractual due date pending refreshed collection call</t>
        </is>
      </c>
      <c r="J502" s="8">
        <f>IFERROR(MATCH(G502,'13W Cash Forecast'!$B$4:$N$4,1),1)</f>
        <v/>
      </c>
    </row>
    <row r="503">
      <c r="A503" s="8" t="inlineStr">
        <is>
          <t>AR-0031051</t>
        </is>
      </c>
      <c r="B503" s="8" t="inlineStr">
        <is>
          <t>Service</t>
        </is>
      </c>
      <c r="C503" s="8" t="inlineStr">
        <is>
          <t>Valley View Food Systems Development Company</t>
        </is>
      </c>
      <c r="D503" s="22" t="n">
        <v>46143</v>
      </c>
      <c r="E503" s="22" t="n">
        <v>46173</v>
      </c>
      <c r="F503" s="9" t="n">
        <v>713.9299999999999</v>
      </c>
      <c r="G503" s="23" t="n">
        <v>46173</v>
      </c>
      <c r="H503" s="24" t="inlineStr">
        <is>
          <t>Low</t>
        </is>
      </c>
      <c r="I503" s="24" t="inlineStr">
        <is>
          <t>Awaiting project-accountant follow-up</t>
        </is>
      </c>
      <c r="J503" s="8">
        <f>IFERROR(MATCH(G503,'13W Cash Forecast'!$B$4:$N$4,1),1)</f>
        <v/>
      </c>
    </row>
    <row r="504">
      <c r="A504" s="8" t="inlineStr">
        <is>
          <t>AR-0031078</t>
        </is>
      </c>
      <c r="B504" s="8" t="inlineStr">
        <is>
          <t>Service</t>
        </is>
      </c>
      <c r="C504" s="8" t="inlineStr">
        <is>
          <t>High Desert Manufacturing - Portfolio Development Company</t>
        </is>
      </c>
      <c r="D504" s="22" t="n">
        <v>46143</v>
      </c>
      <c r="E504" s="22" t="n">
        <v>46173</v>
      </c>
      <c r="F504" s="9" t="n">
        <v>1879.96</v>
      </c>
      <c r="G504" s="23" t="n">
        <v>46173</v>
      </c>
      <c r="H504" s="24" t="inlineStr">
        <is>
          <t>Medium</t>
        </is>
      </c>
      <c r="I504" s="24" t="inlineStr">
        <is>
          <t>Contractual due date pending refreshed collection call</t>
        </is>
      </c>
      <c r="J504" s="8">
        <f>IFERROR(MATCH(G504,'13W Cash Forecast'!$B$4:$N$4,1),1)</f>
        <v/>
      </c>
    </row>
    <row r="505">
      <c r="A505" s="8" t="inlineStr">
        <is>
          <t>AR-0031105</t>
        </is>
      </c>
      <c r="B505" s="8" t="inlineStr">
        <is>
          <t>Service</t>
        </is>
      </c>
      <c r="C505" s="8" t="inlineStr">
        <is>
          <t>Pacific Crest Biotech - East Facilities</t>
        </is>
      </c>
      <c r="D505" s="22" t="n">
        <v>46143</v>
      </c>
      <c r="E505" s="22" t="n">
        <v>46173</v>
      </c>
      <c r="F505" s="9" t="n">
        <v>811.84</v>
      </c>
      <c r="G505" s="23" t="n">
        <v>46173</v>
      </c>
      <c r="H505" s="24" t="inlineStr">
        <is>
          <t>Medium</t>
        </is>
      </c>
      <c r="I505" s="24" t="inlineStr">
        <is>
          <t>Contractual due date pending refreshed collection call</t>
        </is>
      </c>
      <c r="J505" s="8">
        <f>IFERROR(MATCH(G505,'13W Cash Forecast'!$B$4:$N$4,1),1)</f>
        <v/>
      </c>
    </row>
    <row r="506">
      <c r="A506" s="8" t="inlineStr">
        <is>
          <t>AR-0031153</t>
        </is>
      </c>
      <c r="B506" s="8" t="inlineStr">
        <is>
          <t>Service</t>
        </is>
      </c>
      <c r="C506" s="8" t="inlineStr">
        <is>
          <t>Tualatin Commerce Center - West Real Estate, LLC</t>
        </is>
      </c>
      <c r="D506" s="22" t="n">
        <v>46158</v>
      </c>
      <c r="E506" s="22" t="n">
        <v>46173</v>
      </c>
      <c r="F506" s="9" t="n">
        <v>863.39</v>
      </c>
      <c r="G506" s="23" t="n">
        <v>46173</v>
      </c>
      <c r="H506" s="24" t="inlineStr">
        <is>
          <t>Medium</t>
        </is>
      </c>
      <c r="I506" s="24" t="inlineStr">
        <is>
          <t>Contractual due date pending refreshed collection call</t>
        </is>
      </c>
      <c r="J506" s="8">
        <f>IFERROR(MATCH(G506,'13W Cash Forecast'!$B$4:$N$4,1),1)</f>
        <v/>
      </c>
    </row>
    <row r="507">
      <c r="A507" s="8" t="inlineStr">
        <is>
          <t>AR-0031159</t>
        </is>
      </c>
      <c r="B507" s="8" t="inlineStr">
        <is>
          <t>Service</t>
        </is>
      </c>
      <c r="C507" s="8" t="inlineStr">
        <is>
          <t>Forest Park Hospitality - West Development Company</t>
        </is>
      </c>
      <c r="D507" s="22" t="n">
        <v>46143</v>
      </c>
      <c r="E507" s="22" t="n">
        <v>46173</v>
      </c>
      <c r="F507" s="9" t="n">
        <v>501.13</v>
      </c>
      <c r="G507" s="23" t="n">
        <v>46173</v>
      </c>
      <c r="H507" s="24" t="inlineStr">
        <is>
          <t>Medium</t>
        </is>
      </c>
      <c r="I507" s="24" t="inlineStr">
        <is>
          <t>Contractual due date pending refreshed collection call</t>
        </is>
      </c>
      <c r="J507" s="8">
        <f>IFERROR(MATCH(G507,'13W Cash Forecast'!$B$4:$N$4,1),1)</f>
        <v/>
      </c>
    </row>
    <row r="508">
      <c r="A508" s="8" t="inlineStr">
        <is>
          <t>AR-0030711</t>
        </is>
      </c>
      <c r="B508" s="8" t="inlineStr">
        <is>
          <t>Service</t>
        </is>
      </c>
      <c r="C508" s="8" t="inlineStr">
        <is>
          <t>Lake Oswego Office Partners - East Development Company</t>
        </is>
      </c>
      <c r="D508" s="22" t="n">
        <v>46129</v>
      </c>
      <c r="E508" s="22" t="n">
        <v>46174</v>
      </c>
      <c r="F508" s="9" t="n">
        <v>856.38</v>
      </c>
      <c r="G508" s="23" t="n">
        <v>46174</v>
      </c>
      <c r="H508" s="24" t="inlineStr">
        <is>
          <t>Medium</t>
        </is>
      </c>
      <c r="I508" s="24" t="inlineStr">
        <is>
          <t>Contractual due date pending refreshed collection call</t>
        </is>
      </c>
      <c r="J508" s="8">
        <f>IFERROR(MATCH(G508,'13W Cash Forecast'!$B$4:$N$4,1),1)</f>
        <v/>
      </c>
    </row>
    <row r="509">
      <c r="A509" s="8" t="inlineStr">
        <is>
          <t>AR-0030792</t>
        </is>
      </c>
      <c r="B509" s="8" t="inlineStr">
        <is>
          <t>Service</t>
        </is>
      </c>
      <c r="C509" s="8" t="inlineStr">
        <is>
          <t>Deschutes Medical Group - North Campus Services</t>
        </is>
      </c>
      <c r="D509" s="22" t="n">
        <v>46129</v>
      </c>
      <c r="E509" s="22" t="n">
        <v>46174</v>
      </c>
      <c r="F509" s="9" t="n">
        <v>368.56</v>
      </c>
      <c r="G509" s="23" t="n">
        <v>46174</v>
      </c>
      <c r="H509" s="24" t="inlineStr">
        <is>
          <t>Medium</t>
        </is>
      </c>
      <c r="I509" s="24" t="inlineStr">
        <is>
          <t>Contractual due date pending refreshed collection call</t>
        </is>
      </c>
      <c r="J509" s="8">
        <f>IFERROR(MATCH(G509,'13W Cash Forecast'!$B$4:$N$4,1),1)</f>
        <v/>
      </c>
    </row>
    <row r="510">
      <c r="A510" s="8" t="inlineStr">
        <is>
          <t>AR-0030921</t>
        </is>
      </c>
      <c r="B510" s="8" t="inlineStr">
        <is>
          <t>Service</t>
        </is>
      </c>
      <c r="C510" s="8" t="inlineStr">
        <is>
          <t>Klamath County Facilities - South Holdings, LLC</t>
        </is>
      </c>
      <c r="D510" s="22" t="n">
        <v>46144</v>
      </c>
      <c r="E510" s="22" t="n">
        <v>46174</v>
      </c>
      <c r="F510" s="9" t="n">
        <v>380.17</v>
      </c>
      <c r="G510" s="23" t="n">
        <v>46174</v>
      </c>
      <c r="H510" s="24" t="inlineStr">
        <is>
          <t>Low</t>
        </is>
      </c>
      <c r="I510" s="24" t="inlineStr">
        <is>
          <t>Awaiting project-accountant follow-up</t>
        </is>
      </c>
      <c r="J510" s="8">
        <f>IFERROR(MATCH(G510,'13W Cash Forecast'!$B$4:$N$4,1),1)</f>
        <v/>
      </c>
    </row>
    <row r="511">
      <c r="A511" s="8" t="inlineStr">
        <is>
          <t>AR-0030975</t>
        </is>
      </c>
      <c r="B511" s="8" t="inlineStr">
        <is>
          <t>Service</t>
        </is>
      </c>
      <c r="C511" s="8" t="inlineStr">
        <is>
          <t>Central Cascades Foods - Central Holdings, LLC</t>
        </is>
      </c>
      <c r="D511" s="22" t="n">
        <v>46144</v>
      </c>
      <c r="E511" s="22" t="n">
        <v>46174</v>
      </c>
      <c r="F511" s="9" t="n">
        <v>255.97</v>
      </c>
      <c r="G511" s="23" t="n">
        <v>46174</v>
      </c>
      <c r="H511" s="24" t="inlineStr">
        <is>
          <t>Medium</t>
        </is>
      </c>
      <c r="I511" s="24" t="inlineStr">
        <is>
          <t>Contractual due date pending refreshed collection call</t>
        </is>
      </c>
      <c r="J511" s="8">
        <f>IFERROR(MATCH(G511,'13W Cash Forecast'!$B$4:$N$4,1),1)</f>
        <v/>
      </c>
    </row>
    <row r="512">
      <c r="A512" s="8" t="inlineStr">
        <is>
          <t>AR-0031002</t>
        </is>
      </c>
      <c r="B512" s="8" t="inlineStr">
        <is>
          <t>Service</t>
        </is>
      </c>
      <c r="C512" s="8" t="inlineStr">
        <is>
          <t>Juniper Ridge Properties - North Operating Company</t>
        </is>
      </c>
      <c r="D512" s="22" t="n">
        <v>46144</v>
      </c>
      <c r="E512" s="22" t="n">
        <v>46174</v>
      </c>
      <c r="F512" s="9" t="n">
        <v>1455.99</v>
      </c>
      <c r="G512" s="23" t="n">
        <v>46174</v>
      </c>
      <c r="H512" s="24" t="inlineStr">
        <is>
          <t>Medium</t>
        </is>
      </c>
      <c r="I512" s="24" t="inlineStr">
        <is>
          <t>Contractual due date pending refreshed collection call</t>
        </is>
      </c>
      <c r="J512" s="8">
        <f>IFERROR(MATCH(G512,'13W Cash Forecast'!$B$4:$N$4,1),1)</f>
        <v/>
      </c>
    </row>
    <row r="513">
      <c r="A513" s="8" t="inlineStr">
        <is>
          <t>AR-0031029</t>
        </is>
      </c>
      <c r="B513" s="8" t="inlineStr">
        <is>
          <t>Service</t>
        </is>
      </c>
      <c r="C513" s="8" t="inlineStr">
        <is>
          <t>Willamette Food Cooperative</t>
        </is>
      </c>
      <c r="D513" s="22" t="n">
        <v>46144</v>
      </c>
      <c r="E513" s="22" t="n">
        <v>46174</v>
      </c>
      <c r="F513" s="9" t="n">
        <v>2653.44</v>
      </c>
      <c r="G513" s="23" t="n">
        <v>46174</v>
      </c>
      <c r="H513" s="24" t="inlineStr">
        <is>
          <t>Medium</t>
        </is>
      </c>
      <c r="I513" s="24" t="inlineStr">
        <is>
          <t>Contractual due date pending refreshed collection call</t>
        </is>
      </c>
      <c r="J513" s="8">
        <f>IFERROR(MATCH(G513,'13W Cash Forecast'!$B$4:$N$4,1),1)</f>
        <v/>
      </c>
    </row>
    <row r="514">
      <c r="A514" s="8" t="inlineStr">
        <is>
          <t>AR-0031056</t>
        </is>
      </c>
      <c r="B514" s="8" t="inlineStr">
        <is>
          <t>Service</t>
        </is>
      </c>
      <c r="C514" s="8" t="inlineStr">
        <is>
          <t>Mt. Hood Community Health Campus Services</t>
        </is>
      </c>
      <c r="D514" s="22" t="n">
        <v>46144</v>
      </c>
      <c r="E514" s="22" t="n">
        <v>46174</v>
      </c>
      <c r="F514" s="9" t="n">
        <v>1192.79</v>
      </c>
      <c r="G514" s="23" t="n">
        <v>46174</v>
      </c>
      <c r="H514" s="24" t="inlineStr">
        <is>
          <t>Medium</t>
        </is>
      </c>
      <c r="I514" s="24" t="inlineStr">
        <is>
          <t>Contractual due date pending refreshed collection call</t>
        </is>
      </c>
      <c r="J514" s="8">
        <f>IFERROR(MATCH(G514,'13W Cash Forecast'!$B$4:$N$4,1),1)</f>
        <v/>
      </c>
    </row>
    <row r="515">
      <c r="A515" s="8" t="inlineStr">
        <is>
          <t>AR-0031083</t>
        </is>
      </c>
      <c r="B515" s="8" t="inlineStr">
        <is>
          <t>Service</t>
        </is>
      </c>
      <c r="C515" s="8" t="inlineStr">
        <is>
          <t>Columbia River Logistics - Portfolio Facilities</t>
        </is>
      </c>
      <c r="D515" s="22" t="n">
        <v>46144</v>
      </c>
      <c r="E515" s="22" t="n">
        <v>46174</v>
      </c>
      <c r="F515" s="9" t="n">
        <v>904.1799999999999</v>
      </c>
      <c r="G515" s="23" t="n">
        <v>46174</v>
      </c>
      <c r="H515" s="24" t="inlineStr">
        <is>
          <t>Medium</t>
        </is>
      </c>
      <c r="I515" s="24" t="inlineStr">
        <is>
          <t>Contractual due date pending refreshed collection call</t>
        </is>
      </c>
      <c r="J515" s="8">
        <f>IFERROR(MATCH(G515,'13W Cash Forecast'!$B$4:$N$4,1),1)</f>
        <v/>
      </c>
    </row>
    <row r="516">
      <c r="A516" s="8" t="inlineStr">
        <is>
          <t>AR-0031131</t>
        </is>
      </c>
      <c r="B516" s="8" t="inlineStr">
        <is>
          <t>Service</t>
        </is>
      </c>
      <c r="C516" s="8" t="inlineStr">
        <is>
          <t>Hillsboro Life Sciences - Campus Real Estate, LLC</t>
        </is>
      </c>
      <c r="D516" s="22" t="n">
        <v>46159</v>
      </c>
      <c r="E516" s="22" t="n">
        <v>46174</v>
      </c>
      <c r="F516" s="9" t="n">
        <v>910.9400000000001</v>
      </c>
      <c r="G516" s="23" t="n">
        <v>46174</v>
      </c>
      <c r="H516" s="24" t="inlineStr">
        <is>
          <t>Medium</t>
        </is>
      </c>
      <c r="I516" s="24" t="inlineStr">
        <is>
          <t>Contractual due date pending refreshed collection call</t>
        </is>
      </c>
      <c r="J516" s="8">
        <f>IFERROR(MATCH(G516,'13W Cash Forecast'!$B$4:$N$4,1),1)</f>
        <v/>
      </c>
    </row>
    <row r="517">
      <c r="A517" s="8" t="inlineStr">
        <is>
          <t>AR-0031137</t>
        </is>
      </c>
      <c r="B517" s="8" t="inlineStr">
        <is>
          <t>Service</t>
        </is>
      </c>
      <c r="C517" s="8" t="inlineStr">
        <is>
          <t>Salem Surgical Partners - Campus Asset Management</t>
        </is>
      </c>
      <c r="D517" s="22" t="n">
        <v>46144</v>
      </c>
      <c r="E517" s="22" t="n">
        <v>46174</v>
      </c>
      <c r="F517" s="9" t="n">
        <v>555.6</v>
      </c>
      <c r="G517" s="23" t="n">
        <v>46174</v>
      </c>
      <c r="H517" s="24" t="inlineStr">
        <is>
          <t>Low</t>
        </is>
      </c>
      <c r="I517" s="24" t="inlineStr">
        <is>
          <t>Awaiting project-accountant follow-up</t>
        </is>
      </c>
      <c r="J517" s="8">
        <f>IFERROR(MATCH(G517,'13W Cash Forecast'!$B$4:$N$4,1),1)</f>
        <v/>
      </c>
    </row>
    <row r="518">
      <c r="A518" s="8" t="inlineStr">
        <is>
          <t>AR-0031185</t>
        </is>
      </c>
      <c r="B518" s="8" t="inlineStr">
        <is>
          <t>Service</t>
        </is>
      </c>
      <c r="C518" s="8" t="inlineStr">
        <is>
          <t>Alder Creek Medical - North Property Group</t>
        </is>
      </c>
      <c r="D518" s="22" t="n">
        <v>46159</v>
      </c>
      <c r="E518" s="22" t="n">
        <v>46174</v>
      </c>
      <c r="F518" s="9" t="n">
        <v>768.48</v>
      </c>
      <c r="G518" s="23" t="n">
        <v>46174</v>
      </c>
      <c r="H518" s="24" t="inlineStr">
        <is>
          <t>Medium</t>
        </is>
      </c>
      <c r="I518" s="24" t="inlineStr">
        <is>
          <t>Contractual due date pending refreshed collection call</t>
        </is>
      </c>
      <c r="J518" s="8">
        <f>IFERROR(MATCH(G518,'13W Cash Forecast'!$B$4:$N$4,1),1)</f>
        <v/>
      </c>
    </row>
    <row r="519">
      <c r="A519" s="8" t="inlineStr">
        <is>
          <t>AR-0031191</t>
        </is>
      </c>
      <c r="B519" s="8" t="inlineStr">
        <is>
          <t>Service</t>
        </is>
      </c>
      <c r="C519" s="8" t="inlineStr">
        <is>
          <t>Klamath County Facilities - South Holdings, LLC</t>
        </is>
      </c>
      <c r="D519" s="22" t="n">
        <v>46144</v>
      </c>
      <c r="E519" s="22" t="n">
        <v>46174</v>
      </c>
      <c r="F519" s="9" t="n">
        <v>577.23</v>
      </c>
      <c r="G519" s="23" t="n">
        <v>46174</v>
      </c>
      <c r="H519" s="24" t="inlineStr">
        <is>
          <t>Medium</t>
        </is>
      </c>
      <c r="I519" s="24" t="inlineStr">
        <is>
          <t>Contractual due date pending refreshed collection call</t>
        </is>
      </c>
      <c r="J519" s="8">
        <f>IFERROR(MATCH(G519,'13W Cash Forecast'!$B$4:$N$4,1),1)</f>
        <v/>
      </c>
    </row>
    <row r="520">
      <c r="A520" s="8" t="inlineStr">
        <is>
          <t>AR-0030689</t>
        </is>
      </c>
      <c r="B520" s="8" t="inlineStr">
        <is>
          <t>Service</t>
        </is>
      </c>
      <c r="C520" s="8" t="inlineStr">
        <is>
          <t>Westside Ambulatory - Portfolio Asset Management</t>
        </is>
      </c>
      <c r="D520" s="22" t="n">
        <v>46130</v>
      </c>
      <c r="E520" s="22" t="n">
        <v>46175</v>
      </c>
      <c r="F520" s="9" t="n">
        <v>343.64</v>
      </c>
      <c r="G520" s="23" t="n">
        <v>46175</v>
      </c>
      <c r="H520" s="24" t="inlineStr">
        <is>
          <t>Medium</t>
        </is>
      </c>
      <c r="I520" s="24" t="inlineStr">
        <is>
          <t>Contractual due date pending refreshed collection call</t>
        </is>
      </c>
      <c r="J520" s="8">
        <f>IFERROR(MATCH(G520,'13W Cash Forecast'!$B$4:$N$4,1),1)</f>
        <v/>
      </c>
    </row>
    <row r="521">
      <c r="A521" s="8" t="inlineStr">
        <is>
          <t>AR-0030743</t>
        </is>
      </c>
      <c r="B521" s="8" t="inlineStr">
        <is>
          <t>Service</t>
        </is>
      </c>
      <c r="C521" s="8" t="inlineStr">
        <is>
          <t>Cascade Health Properties, LLC</t>
        </is>
      </c>
      <c r="D521" s="22" t="n">
        <v>46130</v>
      </c>
      <c r="E521" s="22" t="n">
        <v>46175</v>
      </c>
      <c r="F521" s="9" t="n">
        <v>377.76</v>
      </c>
      <c r="G521" s="23" t="n">
        <v>46175</v>
      </c>
      <c r="H521" s="24" t="inlineStr">
        <is>
          <t>Medium</t>
        </is>
      </c>
      <c r="I521" s="24" t="inlineStr">
        <is>
          <t>Contractual due date pending refreshed collection call</t>
        </is>
      </c>
      <c r="J521" s="8">
        <f>IFERROR(MATCH(G521,'13W Cash Forecast'!$B$4:$N$4,1),1)</f>
        <v/>
      </c>
    </row>
    <row r="522">
      <c r="A522" s="8" t="inlineStr">
        <is>
          <t>AR-0030953</t>
        </is>
      </c>
      <c r="B522" s="8" t="inlineStr">
        <is>
          <t>Service</t>
        </is>
      </c>
      <c r="C522" s="8" t="inlineStr">
        <is>
          <t>Oak Street Development - North LLC</t>
        </is>
      </c>
      <c r="D522" s="22" t="n">
        <v>46145</v>
      </c>
      <c r="E522" s="22" t="n">
        <v>46175</v>
      </c>
      <c r="F522" s="9" t="n">
        <v>1303.38</v>
      </c>
      <c r="G522" s="23" t="n">
        <v>46175</v>
      </c>
      <c r="H522" s="24" t="inlineStr">
        <is>
          <t>Medium</t>
        </is>
      </c>
      <c r="I522" s="24" t="inlineStr">
        <is>
          <t>Contractual due date pending refreshed collection call</t>
        </is>
      </c>
      <c r="J522" s="8">
        <f>IFERROR(MATCH(G522,'13W Cash Forecast'!$B$4:$N$4,1),1)</f>
        <v/>
      </c>
    </row>
    <row r="523">
      <c r="A523" s="8" t="inlineStr">
        <is>
          <t>AR-0030980</t>
        </is>
      </c>
      <c r="B523" s="8" t="inlineStr">
        <is>
          <t>Service</t>
        </is>
      </c>
      <c r="C523" s="8" t="inlineStr">
        <is>
          <t>Union Station Properties - Central Partners, LP</t>
        </is>
      </c>
      <c r="D523" s="22" t="n">
        <v>46145</v>
      </c>
      <c r="E523" s="22" t="n">
        <v>46175</v>
      </c>
      <c r="F523" s="9" t="n">
        <v>452.85</v>
      </c>
      <c r="G523" s="23" t="n">
        <v>46175</v>
      </c>
      <c r="H523" s="24" t="inlineStr">
        <is>
          <t>Medium</t>
        </is>
      </c>
      <c r="I523" s="24" t="inlineStr">
        <is>
          <t>Contractual due date pending refreshed collection call</t>
        </is>
      </c>
      <c r="J523" s="8">
        <f>IFERROR(MATCH(G523,'13W Cash Forecast'!$B$4:$N$4,1),1)</f>
        <v/>
      </c>
    </row>
    <row r="524">
      <c r="A524" s="8" t="inlineStr">
        <is>
          <t>AR-0031028</t>
        </is>
      </c>
      <c r="B524" s="8" t="inlineStr">
        <is>
          <t>Service</t>
        </is>
      </c>
      <c r="C524" s="8" t="inlineStr">
        <is>
          <t>Clackamas Health Network - Operations Asset Management</t>
        </is>
      </c>
      <c r="D524" s="22" t="n">
        <v>46160</v>
      </c>
      <c r="E524" s="22" t="n">
        <v>46175</v>
      </c>
      <c r="F524" s="9" t="n">
        <v>612.73</v>
      </c>
      <c r="G524" s="23" t="n">
        <v>46175</v>
      </c>
      <c r="H524" s="24" t="inlineStr">
        <is>
          <t>Low</t>
        </is>
      </c>
      <c r="I524" s="24" t="inlineStr">
        <is>
          <t>Awaiting project-accountant follow-up</t>
        </is>
      </c>
      <c r="J524" s="8">
        <f>IFERROR(MATCH(G524,'13W Cash Forecast'!$B$4:$N$4,1),1)</f>
        <v/>
      </c>
    </row>
    <row r="525">
      <c r="A525" s="8" t="inlineStr">
        <is>
          <t>AR-0031034</t>
        </is>
      </c>
      <c r="B525" s="8" t="inlineStr">
        <is>
          <t>Service</t>
        </is>
      </c>
      <c r="C525" s="8" t="inlineStr">
        <is>
          <t>Mt. Hood Community Health - Operations LLC</t>
        </is>
      </c>
      <c r="D525" s="22" t="n">
        <v>46145</v>
      </c>
      <c r="E525" s="22" t="n">
        <v>46175</v>
      </c>
      <c r="F525" s="9" t="n">
        <v>462.94</v>
      </c>
      <c r="G525" s="23" t="n">
        <v>46175</v>
      </c>
      <c r="H525" s="24" t="inlineStr">
        <is>
          <t>Medium</t>
        </is>
      </c>
      <c r="I525" s="24" t="inlineStr">
        <is>
          <t>Contractual due date pending refreshed collection call</t>
        </is>
      </c>
      <c r="J525" s="8">
        <f>IFERROR(MATCH(G525,'13W Cash Forecast'!$B$4:$N$4,1),1)</f>
        <v/>
      </c>
    </row>
    <row r="526">
      <c r="A526" s="8" t="inlineStr">
        <is>
          <t>AR-0031109</t>
        </is>
      </c>
      <c r="B526" s="8" t="inlineStr">
        <is>
          <t>Service</t>
        </is>
      </c>
      <c r="C526" s="8" t="inlineStr">
        <is>
          <t>Oregon Advanced Materials Operating Company</t>
        </is>
      </c>
      <c r="D526" s="22" t="n">
        <v>46160</v>
      </c>
      <c r="E526" s="22" t="n">
        <v>46175</v>
      </c>
      <c r="F526" s="9" t="n">
        <v>520.76</v>
      </c>
      <c r="G526" s="23" t="n">
        <v>46175</v>
      </c>
      <c r="H526" s="24" t="inlineStr">
        <is>
          <t>Medium</t>
        </is>
      </c>
      <c r="I526" s="24" t="inlineStr">
        <is>
          <t>Contractual due date pending refreshed collection call</t>
        </is>
      </c>
      <c r="J526" s="8">
        <f>IFERROR(MATCH(G526,'13W Cash Forecast'!$B$4:$N$4,1),1)</f>
        <v/>
      </c>
    </row>
    <row r="527">
      <c r="A527" s="8" t="inlineStr">
        <is>
          <t>AR-0031115</t>
        </is>
      </c>
      <c r="B527" s="8" t="inlineStr">
        <is>
          <t>Service</t>
        </is>
      </c>
      <c r="C527" s="8" t="inlineStr">
        <is>
          <t>Forest Park Hospitality - West Asset Management</t>
        </is>
      </c>
      <c r="D527" s="22" t="n">
        <v>46145</v>
      </c>
      <c r="E527" s="22" t="n">
        <v>46175</v>
      </c>
      <c r="F527" s="9" t="n">
        <v>365.41</v>
      </c>
      <c r="G527" s="23" t="n">
        <v>46175</v>
      </c>
      <c r="H527" s="24" t="inlineStr">
        <is>
          <t>Medium</t>
        </is>
      </c>
      <c r="I527" s="24" t="inlineStr">
        <is>
          <t>Contractual due date pending refreshed collection call</t>
        </is>
      </c>
      <c r="J527" s="8">
        <f>IFERROR(MATCH(G527,'13W Cash Forecast'!$B$4:$N$4,1),1)</f>
        <v/>
      </c>
    </row>
    <row r="528">
      <c r="A528" s="8" t="inlineStr">
        <is>
          <t>AR-0031163</t>
        </is>
      </c>
      <c r="B528" s="8" t="inlineStr">
        <is>
          <t>Service</t>
        </is>
      </c>
      <c r="C528" s="8" t="inlineStr">
        <is>
          <t>McKenzie River Foods - Central Holdings, LLC</t>
        </is>
      </c>
      <c r="D528" s="22" t="n">
        <v>46160</v>
      </c>
      <c r="E528" s="22" t="n">
        <v>46175</v>
      </c>
      <c r="F528" s="9" t="n">
        <v>972.41</v>
      </c>
      <c r="G528" s="23" t="n">
        <v>46175</v>
      </c>
      <c r="H528" s="24" t="inlineStr">
        <is>
          <t>Medium</t>
        </is>
      </c>
      <c r="I528" s="24" t="inlineStr">
        <is>
          <t>Contractual due date pending refreshed collection call</t>
        </is>
      </c>
      <c r="J528" s="8">
        <f>IFERROR(MATCH(G528,'13W Cash Forecast'!$B$4:$N$4,1),1)</f>
        <v/>
      </c>
    </row>
    <row r="529">
      <c r="A529" s="8" t="inlineStr">
        <is>
          <t>AR-0031169</t>
        </is>
      </c>
      <c r="B529" s="8" t="inlineStr">
        <is>
          <t>Service</t>
        </is>
      </c>
      <c r="C529" s="8" t="inlineStr">
        <is>
          <t>Valley View Food Systems - Operations LLC</t>
        </is>
      </c>
      <c r="D529" s="22" t="n">
        <v>46145</v>
      </c>
      <c r="E529" s="22" t="n">
        <v>46175</v>
      </c>
      <c r="F529" s="9" t="n">
        <v>198.87</v>
      </c>
      <c r="G529" s="23" t="n">
        <v>46175</v>
      </c>
      <c r="H529" s="24" t="inlineStr">
        <is>
          <t>Medium</t>
        </is>
      </c>
      <c r="I529" s="24" t="inlineStr">
        <is>
          <t>Contractual due date pending refreshed collection call</t>
        </is>
      </c>
      <c r="J529" s="8">
        <f>IFERROR(MATCH(G529,'13W Cash Forecast'!$B$4:$N$4,1),1)</f>
        <v/>
      </c>
    </row>
    <row r="530">
      <c r="A530" s="8" t="inlineStr">
        <is>
          <t>AR-0030667</t>
        </is>
      </c>
      <c r="B530" s="8" t="inlineStr">
        <is>
          <t>Service</t>
        </is>
      </c>
      <c r="C530" s="8" t="inlineStr">
        <is>
          <t>Lake Oswego Office Partners - East Asset Management</t>
        </is>
      </c>
      <c r="D530" s="22" t="n">
        <v>46131</v>
      </c>
      <c r="E530" s="22" t="n">
        <v>46176</v>
      </c>
      <c r="F530" s="9" t="n">
        <v>293.67</v>
      </c>
      <c r="G530" s="23" t="n">
        <v>46176</v>
      </c>
      <c r="H530" s="24" t="inlineStr">
        <is>
          <t>Medium</t>
        </is>
      </c>
      <c r="I530" s="24" t="inlineStr">
        <is>
          <t>Contractual due date pending refreshed collection call</t>
        </is>
      </c>
      <c r="J530" s="8">
        <f>IFERROR(MATCH(G530,'13W Cash Forecast'!$B$4:$N$4,1),1)</f>
        <v/>
      </c>
    </row>
    <row r="531">
      <c r="A531" s="8" t="inlineStr">
        <is>
          <t>AR-0030931</t>
        </is>
      </c>
      <c r="B531" s="8" t="inlineStr">
        <is>
          <t>Service</t>
        </is>
      </c>
      <c r="C531" s="8" t="inlineStr">
        <is>
          <t>Central Cascades Foods - Central LLC</t>
        </is>
      </c>
      <c r="D531" s="22" t="n">
        <v>46146</v>
      </c>
      <c r="E531" s="22" t="n">
        <v>46176</v>
      </c>
      <c r="F531" s="9" t="n">
        <v>319.22</v>
      </c>
      <c r="G531" s="23" t="n">
        <v>46176</v>
      </c>
      <c r="H531" s="24" t="inlineStr">
        <is>
          <t>Low</t>
        </is>
      </c>
      <c r="I531" s="24" t="inlineStr">
        <is>
          <t>Awaiting project-accountant follow-up</t>
        </is>
      </c>
      <c r="J531" s="8">
        <f>IFERROR(MATCH(G531,'13W Cash Forecast'!$B$4:$N$4,1),1)</f>
        <v/>
      </c>
    </row>
    <row r="532">
      <c r="A532" s="8" t="inlineStr">
        <is>
          <t>AR-0030958</t>
        </is>
      </c>
      <c r="B532" s="8" t="inlineStr">
        <is>
          <t>Service</t>
        </is>
      </c>
      <c r="C532" s="8" t="inlineStr">
        <is>
          <t>Juniper Ridge Properties - North Partners, LP</t>
        </is>
      </c>
      <c r="D532" s="22" t="n">
        <v>46146</v>
      </c>
      <c r="E532" s="22" t="n">
        <v>46176</v>
      </c>
      <c r="F532" s="9" t="n">
        <v>770.8</v>
      </c>
      <c r="G532" s="23" t="n">
        <v>46176</v>
      </c>
      <c r="H532" s="24" t="inlineStr">
        <is>
          <t>Medium</t>
        </is>
      </c>
      <c r="I532" s="24" t="inlineStr">
        <is>
          <t>Contractual due date pending refreshed collection call</t>
        </is>
      </c>
      <c r="J532" s="8">
        <f>IFERROR(MATCH(G532,'13W Cash Forecast'!$B$4:$N$4,1),1)</f>
        <v/>
      </c>
    </row>
    <row r="533">
      <c r="A533" s="8" t="inlineStr">
        <is>
          <t>AR-0031006</t>
        </is>
      </c>
      <c r="B533" s="8" t="inlineStr">
        <is>
          <t>Service</t>
        </is>
      </c>
      <c r="C533" s="8" t="inlineStr">
        <is>
          <t>Oregon Advanced Materials - South Campus Services</t>
        </is>
      </c>
      <c r="D533" s="22" t="n">
        <v>46161</v>
      </c>
      <c r="E533" s="22" t="n">
        <v>46176</v>
      </c>
      <c r="F533" s="9" t="n">
        <v>95.39</v>
      </c>
      <c r="G533" s="23" t="n">
        <v>46176</v>
      </c>
      <c r="H533" s="24" t="inlineStr">
        <is>
          <t>Medium</t>
        </is>
      </c>
      <c r="I533" s="24" t="inlineStr">
        <is>
          <t>Contractual due date pending refreshed collection call</t>
        </is>
      </c>
      <c r="J533" s="8">
        <f>IFERROR(MATCH(G533,'13W Cash Forecast'!$B$4:$N$4,1),1)</f>
        <v/>
      </c>
    </row>
    <row r="534">
      <c r="A534" s="8" t="inlineStr">
        <is>
          <t>AR-0031012</t>
        </is>
      </c>
      <c r="B534" s="8" t="inlineStr">
        <is>
          <t>Service</t>
        </is>
      </c>
      <c r="C534" s="8" t="inlineStr">
        <is>
          <t>Beacon Industrial - South LLC</t>
        </is>
      </c>
      <c r="D534" s="22" t="n">
        <v>46146</v>
      </c>
      <c r="E534" s="22" t="n">
        <v>46176</v>
      </c>
      <c r="F534" s="9" t="n">
        <v>643.85</v>
      </c>
      <c r="G534" s="23" t="n">
        <v>46176</v>
      </c>
      <c r="H534" s="24" t="inlineStr">
        <is>
          <t>Medium</t>
        </is>
      </c>
      <c r="I534" s="24" t="inlineStr">
        <is>
          <t>Contractual due date pending refreshed collection call</t>
        </is>
      </c>
      <c r="J534" s="8">
        <f>IFERROR(MATCH(G534,'13W Cash Forecast'!$B$4:$N$4,1),1)</f>
        <v/>
      </c>
    </row>
    <row r="535">
      <c r="A535" s="8" t="inlineStr">
        <is>
          <t>AR-0031060</t>
        </is>
      </c>
      <c r="B535" s="8" t="inlineStr">
        <is>
          <t>Service</t>
        </is>
      </c>
      <c r="C535" s="8" t="inlineStr">
        <is>
          <t>Fairview Property Partners - East Facilities</t>
        </is>
      </c>
      <c r="D535" s="22" t="n">
        <v>46161</v>
      </c>
      <c r="E535" s="22" t="n">
        <v>46176</v>
      </c>
      <c r="F535" s="9" t="n">
        <v>1307.87</v>
      </c>
      <c r="G535" s="23" t="n">
        <v>46176</v>
      </c>
      <c r="H535" s="24" t="inlineStr">
        <is>
          <t>Medium</t>
        </is>
      </c>
      <c r="I535" s="24" t="inlineStr">
        <is>
          <t>Contractual due date pending refreshed collection call</t>
        </is>
      </c>
      <c r="J535" s="8">
        <f>IFERROR(MATCH(G535,'13W Cash Forecast'!$B$4:$N$4,1),1)</f>
        <v/>
      </c>
    </row>
    <row r="536">
      <c r="A536" s="8" t="inlineStr">
        <is>
          <t>AR-0031066</t>
        </is>
      </c>
      <c r="B536" s="8" t="inlineStr">
        <is>
          <t>Service</t>
        </is>
      </c>
      <c r="C536" s="8" t="inlineStr">
        <is>
          <t>Columbia Biologics, Inc.</t>
        </is>
      </c>
      <c r="D536" s="22" t="n">
        <v>46146</v>
      </c>
      <c r="E536" s="22" t="n">
        <v>46176</v>
      </c>
      <c r="F536" s="9" t="n">
        <v>1313.78</v>
      </c>
      <c r="G536" s="23" t="n">
        <v>46176</v>
      </c>
      <c r="H536" s="24" t="inlineStr">
        <is>
          <t>Medium</t>
        </is>
      </c>
      <c r="I536" s="24" t="inlineStr">
        <is>
          <t>Contractual due date pending refreshed collection call</t>
        </is>
      </c>
      <c r="J536" s="8">
        <f>IFERROR(MATCH(G536,'13W Cash Forecast'!$B$4:$N$4,1),1)</f>
        <v/>
      </c>
    </row>
    <row r="537">
      <c r="A537" s="8" t="inlineStr">
        <is>
          <t>AR-0031093</t>
        </is>
      </c>
      <c r="B537" s="8" t="inlineStr">
        <is>
          <t>Service</t>
        </is>
      </c>
      <c r="C537" s="8" t="inlineStr">
        <is>
          <t>Klamath County Facilities Development Company</t>
        </is>
      </c>
      <c r="D537" s="22" t="n">
        <v>46146</v>
      </c>
      <c r="E537" s="22" t="n">
        <v>46176</v>
      </c>
      <c r="F537" s="9" t="n">
        <v>687.24</v>
      </c>
      <c r="G537" s="23" t="n">
        <v>46176</v>
      </c>
      <c r="H537" s="24" t="inlineStr">
        <is>
          <t>Medium</t>
        </is>
      </c>
      <c r="I537" s="24" t="inlineStr">
        <is>
          <t>Contractual due date pending refreshed collection call</t>
        </is>
      </c>
      <c r="J537" s="8">
        <f>IFERROR(MATCH(G537,'13W Cash Forecast'!$B$4:$N$4,1),1)</f>
        <v/>
      </c>
    </row>
    <row r="538">
      <c r="A538" s="8" t="inlineStr">
        <is>
          <t>AR-0031147</t>
        </is>
      </c>
      <c r="B538" s="8" t="inlineStr">
        <is>
          <t>Service</t>
        </is>
      </c>
      <c r="C538" s="8" t="inlineStr">
        <is>
          <t>Klamath County Facilities - South LLC</t>
        </is>
      </c>
      <c r="D538" s="22" t="n">
        <v>46146</v>
      </c>
      <c r="E538" s="22" t="n">
        <v>46176</v>
      </c>
      <c r="F538" s="9" t="n">
        <v>2882.9</v>
      </c>
      <c r="G538" s="23" t="n">
        <v>46176</v>
      </c>
      <c r="H538" s="24" t="inlineStr">
        <is>
          <t>Low</t>
        </is>
      </c>
      <c r="I538" s="24" t="inlineStr">
        <is>
          <t>Awaiting project-accountant follow-up</t>
        </is>
      </c>
      <c r="J538" s="8">
        <f>IFERROR(MATCH(G538,'13W Cash Forecast'!$B$4:$N$4,1),1)</f>
        <v/>
      </c>
    </row>
    <row r="539">
      <c r="A539" s="8" t="inlineStr">
        <is>
          <t>AR-0031201</t>
        </is>
      </c>
      <c r="B539" s="8" t="inlineStr">
        <is>
          <t>Service</t>
        </is>
      </c>
      <c r="C539" s="8" t="inlineStr">
        <is>
          <t>Central Cascades Foods - Central LLC</t>
        </is>
      </c>
      <c r="D539" s="22" t="n">
        <v>46146</v>
      </c>
      <c r="E539" s="22" t="n">
        <v>46176</v>
      </c>
      <c r="F539" s="9" t="n">
        <v>369.31</v>
      </c>
      <c r="G539" s="23" t="n">
        <v>46176</v>
      </c>
      <c r="H539" s="24" t="inlineStr">
        <is>
          <t>Medium</t>
        </is>
      </c>
      <c r="I539" s="24" t="inlineStr">
        <is>
          <t>Contractual due date pending refreshed collection call</t>
        </is>
      </c>
      <c r="J539" s="8">
        <f>IFERROR(MATCH(G539,'13W Cash Forecast'!$B$4:$N$4,1),1)</f>
        <v/>
      </c>
    </row>
    <row r="540">
      <c r="A540" s="8" t="inlineStr">
        <is>
          <t>AR-0030915</t>
        </is>
      </c>
      <c r="B540" s="8" t="inlineStr">
        <is>
          <t>Service</t>
        </is>
      </c>
      <c r="C540" s="8" t="inlineStr">
        <is>
          <t>Westside Ambulatory - Portfolio Campus Services</t>
        </is>
      </c>
      <c r="D540" s="22" t="n">
        <v>46132</v>
      </c>
      <c r="E540" s="22" t="n">
        <v>46177</v>
      </c>
      <c r="F540" s="9" t="n">
        <v>415.48</v>
      </c>
      <c r="G540" s="23" t="n">
        <v>46177</v>
      </c>
      <c r="H540" s="24" t="inlineStr">
        <is>
          <t>Medium</t>
        </is>
      </c>
      <c r="I540" s="24" t="inlineStr">
        <is>
          <t>Contractual due date pending refreshed collection call</t>
        </is>
      </c>
      <c r="J540" s="8">
        <f>IFERROR(MATCH(G540,'13W Cash Forecast'!$B$4:$N$4,1),1)</f>
        <v/>
      </c>
    </row>
    <row r="541">
      <c r="A541" s="8" t="inlineStr">
        <is>
          <t>AR-0030936</t>
        </is>
      </c>
      <c r="B541" s="8" t="inlineStr">
        <is>
          <t>Service</t>
        </is>
      </c>
      <c r="C541" s="8" t="inlineStr">
        <is>
          <t>Union Station Properties - Central Facilities</t>
        </is>
      </c>
      <c r="D541" s="22" t="n">
        <v>46147</v>
      </c>
      <c r="E541" s="22" t="n">
        <v>46177</v>
      </c>
      <c r="F541" s="9" t="n">
        <v>148.19</v>
      </c>
      <c r="G541" s="23" t="n">
        <v>46177</v>
      </c>
      <c r="H541" s="24" t="inlineStr">
        <is>
          <t>Medium</t>
        </is>
      </c>
      <c r="I541" s="24" t="inlineStr">
        <is>
          <t>Contractual due date pending refreshed collection call</t>
        </is>
      </c>
      <c r="J541" s="8">
        <f>IFERROR(MATCH(G541,'13W Cash Forecast'!$B$4:$N$4,1),1)</f>
        <v/>
      </c>
    </row>
    <row r="542">
      <c r="A542" s="8" t="inlineStr">
        <is>
          <t>AR-0030984</t>
        </is>
      </c>
      <c r="B542" s="8" t="inlineStr">
        <is>
          <t>Service</t>
        </is>
      </c>
      <c r="C542" s="8" t="inlineStr">
        <is>
          <t>Clackamas Health Network - Operations Campus Services</t>
        </is>
      </c>
      <c r="D542" s="22" t="n">
        <v>46162</v>
      </c>
      <c r="E542" s="22" t="n">
        <v>46177</v>
      </c>
      <c r="F542" s="9" t="n">
        <v>1999.63</v>
      </c>
      <c r="G542" s="23" t="n">
        <v>46177</v>
      </c>
      <c r="H542" s="24" t="inlineStr">
        <is>
          <t>Medium</t>
        </is>
      </c>
      <c r="I542" s="24" t="inlineStr">
        <is>
          <t>Contractual due date pending refreshed collection call</t>
        </is>
      </c>
      <c r="J542" s="8">
        <f>IFERROR(MATCH(G542,'13W Cash Forecast'!$B$4:$N$4,1),1)</f>
        <v/>
      </c>
    </row>
    <row r="543">
      <c r="A543" s="8" t="inlineStr">
        <is>
          <t>AR-0030990</t>
        </is>
      </c>
      <c r="B543" s="8" t="inlineStr">
        <is>
          <t>Service</t>
        </is>
      </c>
      <c r="C543" s="8" t="inlineStr">
        <is>
          <t>Mt. Hood Community Health - Operations Development Company</t>
        </is>
      </c>
      <c r="D543" s="22" t="n">
        <v>46147</v>
      </c>
      <c r="E543" s="22" t="n">
        <v>46177</v>
      </c>
      <c r="F543" s="9" t="n">
        <v>410.51</v>
      </c>
      <c r="G543" s="23" t="n">
        <v>46177</v>
      </c>
      <c r="H543" s="24" t="inlineStr">
        <is>
          <t>Medium</t>
        </is>
      </c>
      <c r="I543" s="24" t="inlineStr">
        <is>
          <t>Contractual due date pending refreshed collection call</t>
        </is>
      </c>
      <c r="J543" s="8">
        <f>IFERROR(MATCH(G543,'13W Cash Forecast'!$B$4:$N$4,1),1)</f>
        <v/>
      </c>
    </row>
    <row r="544">
      <c r="A544" s="8" t="inlineStr">
        <is>
          <t>AR-0031038</t>
        </is>
      </c>
      <c r="B544" s="8" t="inlineStr">
        <is>
          <t>Service</t>
        </is>
      </c>
      <c r="C544" s="8" t="inlineStr">
        <is>
          <t>Rogue Valley Beverage - Portfolio Property Group</t>
        </is>
      </c>
      <c r="D544" s="22" t="n">
        <v>46162</v>
      </c>
      <c r="E544" s="22" t="n">
        <v>46177</v>
      </c>
      <c r="F544" s="9" t="n">
        <v>481.66</v>
      </c>
      <c r="G544" s="23" t="n">
        <v>46177</v>
      </c>
      <c r="H544" s="24" t="inlineStr">
        <is>
          <t>Medium</t>
        </is>
      </c>
      <c r="I544" s="24" t="inlineStr">
        <is>
          <t>Contractual due date pending refreshed collection call</t>
        </is>
      </c>
      <c r="J544" s="8">
        <f>IFERROR(MATCH(G544,'13W Cash Forecast'!$B$4:$N$4,1),1)</f>
        <v/>
      </c>
    </row>
    <row r="545">
      <c r="A545" s="8" t="inlineStr">
        <is>
          <t>AR-0031044</t>
        </is>
      </c>
      <c r="B545" s="8" t="inlineStr">
        <is>
          <t>Service</t>
        </is>
      </c>
      <c r="C545" s="8" t="inlineStr">
        <is>
          <t>Copperline Apartments - Campus Property Group</t>
        </is>
      </c>
      <c r="D545" s="22" t="n">
        <v>46147</v>
      </c>
      <c r="E545" s="22" t="n">
        <v>46177</v>
      </c>
      <c r="F545" s="9" t="n">
        <v>171.31</v>
      </c>
      <c r="G545" s="23" t="n">
        <v>46177</v>
      </c>
      <c r="H545" s="24" t="inlineStr">
        <is>
          <t>Low</t>
        </is>
      </c>
      <c r="I545" s="24" t="inlineStr">
        <is>
          <t>Awaiting project-accountant follow-up</t>
        </is>
      </c>
      <c r="J545" s="8">
        <f>IFERROR(MATCH(G545,'13W Cash Forecast'!$B$4:$N$4,1),1)</f>
        <v/>
      </c>
    </row>
    <row r="546">
      <c r="A546" s="8" t="inlineStr">
        <is>
          <t>AR-0031098</t>
        </is>
      </c>
      <c r="B546" s="8" t="inlineStr">
        <is>
          <t>Service</t>
        </is>
      </c>
      <c r="C546" s="8" t="inlineStr">
        <is>
          <t>Beacon Industrial Campus Services</t>
        </is>
      </c>
      <c r="D546" s="22" t="n">
        <v>46147</v>
      </c>
      <c r="E546" s="22" t="n">
        <v>46177</v>
      </c>
      <c r="F546" s="9" t="n">
        <v>1360.9</v>
      </c>
      <c r="G546" s="23" t="n">
        <v>46177</v>
      </c>
      <c r="H546" s="24" t="inlineStr">
        <is>
          <t>Medium</t>
        </is>
      </c>
      <c r="I546" s="24" t="inlineStr">
        <is>
          <t>Contractual due date pending refreshed collection call</t>
        </is>
      </c>
      <c r="J546" s="8">
        <f>IFERROR(MATCH(G546,'13W Cash Forecast'!$B$4:$N$4,1),1)</f>
        <v/>
      </c>
    </row>
    <row r="547">
      <c r="A547" s="8" t="inlineStr">
        <is>
          <t>AR-0031125</t>
        </is>
      </c>
      <c r="B547" s="8" t="inlineStr">
        <is>
          <t>Service</t>
        </is>
      </c>
      <c r="C547" s="8" t="inlineStr">
        <is>
          <t>Salem Surgical Partners Campus Services</t>
        </is>
      </c>
      <c r="D547" s="22" t="n">
        <v>46147</v>
      </c>
      <c r="E547" s="22" t="n">
        <v>46177</v>
      </c>
      <c r="F547" s="9" t="n">
        <v>478.22</v>
      </c>
      <c r="G547" s="23" t="n">
        <v>46177</v>
      </c>
      <c r="H547" s="24" t="inlineStr">
        <is>
          <t>Medium</t>
        </is>
      </c>
      <c r="I547" s="24" t="inlineStr">
        <is>
          <t>Contractual due date pending refreshed collection call</t>
        </is>
      </c>
      <c r="J547" s="8">
        <f>IFERROR(MATCH(G547,'13W Cash Forecast'!$B$4:$N$4,1),1)</f>
        <v/>
      </c>
    </row>
    <row r="548">
      <c r="A548" s="8" t="inlineStr">
        <is>
          <t>AR-0031179</t>
        </is>
      </c>
      <c r="B548" s="8" t="inlineStr">
        <is>
          <t>Service</t>
        </is>
      </c>
      <c r="C548" s="8" t="inlineStr">
        <is>
          <t>Oak Street Development - North Development Company</t>
        </is>
      </c>
      <c r="D548" s="22" t="n">
        <v>46147</v>
      </c>
      <c r="E548" s="22" t="n">
        <v>46177</v>
      </c>
      <c r="F548" s="9" t="n">
        <v>358.47</v>
      </c>
      <c r="G548" s="23" t="n">
        <v>46177</v>
      </c>
      <c r="H548" s="24" t="inlineStr">
        <is>
          <t>Medium</t>
        </is>
      </c>
      <c r="I548" s="24" t="inlineStr">
        <is>
          <t>Contractual due date pending refreshed collection call</t>
        </is>
      </c>
      <c r="J548" s="8">
        <f>IFERROR(MATCH(G548,'13W Cash Forecast'!$B$4:$N$4,1),1)</f>
        <v/>
      </c>
    </row>
    <row r="549">
      <c r="A549" s="8" t="inlineStr">
        <is>
          <t>AR-0030893</t>
        </is>
      </c>
      <c r="B549" s="8" t="inlineStr">
        <is>
          <t>Service</t>
        </is>
      </c>
      <c r="C549" s="8" t="inlineStr">
        <is>
          <t>Lake Oswego Office Partners - East Campus Services</t>
        </is>
      </c>
      <c r="D549" s="22" t="n">
        <v>46133</v>
      </c>
      <c r="E549" s="22" t="n">
        <v>46178</v>
      </c>
      <c r="F549" s="9" t="n">
        <v>165.68</v>
      </c>
      <c r="G549" s="23" t="n">
        <v>46178</v>
      </c>
      <c r="H549" s="24" t="inlineStr">
        <is>
          <t>Medium</t>
        </is>
      </c>
      <c r="I549" s="24" t="inlineStr">
        <is>
          <t>Contractual due date pending refreshed collection call</t>
        </is>
      </c>
      <c r="J549" s="8">
        <f>IFERROR(MATCH(G549,'13W Cash Forecast'!$B$4:$N$4,1),1)</f>
        <v/>
      </c>
    </row>
    <row r="550">
      <c r="A550" s="8" t="inlineStr">
        <is>
          <t>AR-0030962</t>
        </is>
      </c>
      <c r="B550" s="8" t="inlineStr">
        <is>
          <t>Service</t>
        </is>
      </c>
      <c r="C550" s="8" t="inlineStr">
        <is>
          <t>Oregon Advanced Materials - South Real Estate, LLC</t>
        </is>
      </c>
      <c r="D550" s="22" t="n">
        <v>46163</v>
      </c>
      <c r="E550" s="22" t="n">
        <v>46178</v>
      </c>
      <c r="F550" s="9" t="n">
        <v>2141.53</v>
      </c>
      <c r="G550" s="23" t="n">
        <v>46178</v>
      </c>
      <c r="H550" s="24" t="inlineStr">
        <is>
          <t>Medium</t>
        </is>
      </c>
      <c r="I550" s="24" t="inlineStr">
        <is>
          <t>Contractual due date pending refreshed collection call</t>
        </is>
      </c>
      <c r="J550" s="8">
        <f>IFERROR(MATCH(G550,'13W Cash Forecast'!$B$4:$N$4,1),1)</f>
        <v/>
      </c>
    </row>
    <row r="551">
      <c r="A551" s="8" t="inlineStr">
        <is>
          <t>AR-0030968</t>
        </is>
      </c>
      <c r="B551" s="8" t="inlineStr">
        <is>
          <t>Service</t>
        </is>
      </c>
      <c r="C551" s="8" t="inlineStr">
        <is>
          <t>Beacon Industrial - South Development Company</t>
        </is>
      </c>
      <c r="D551" s="22" t="n">
        <v>46148</v>
      </c>
      <c r="E551" s="22" t="n">
        <v>46178</v>
      </c>
      <c r="F551" s="9" t="n">
        <v>655.17</v>
      </c>
      <c r="G551" s="23" t="n">
        <v>46178</v>
      </c>
      <c r="H551" s="24" t="inlineStr">
        <is>
          <t>Medium</t>
        </is>
      </c>
      <c r="I551" s="24" t="inlineStr">
        <is>
          <t>Contractual due date pending refreshed collection call</t>
        </is>
      </c>
      <c r="J551" s="8">
        <f>IFERROR(MATCH(G551,'13W Cash Forecast'!$B$4:$N$4,1),1)</f>
        <v/>
      </c>
    </row>
    <row r="552">
      <c r="A552" s="8" t="inlineStr">
        <is>
          <t>AR-0031016</t>
        </is>
      </c>
      <c r="B552" s="8" t="inlineStr">
        <is>
          <t>Service</t>
        </is>
      </c>
      <c r="C552" s="8" t="inlineStr">
        <is>
          <t>Fairview Property Partners - East Property Group</t>
        </is>
      </c>
      <c r="D552" s="22" t="n">
        <v>46163</v>
      </c>
      <c r="E552" s="22" t="n">
        <v>46178</v>
      </c>
      <c r="F552" s="9" t="n">
        <v>131.38</v>
      </c>
      <c r="G552" s="23" t="n">
        <v>46178</v>
      </c>
      <c r="H552" s="24" t="inlineStr">
        <is>
          <t>Low</t>
        </is>
      </c>
      <c r="I552" s="24" t="inlineStr">
        <is>
          <t>Awaiting project-accountant follow-up</t>
        </is>
      </c>
      <c r="J552" s="8">
        <f>IFERROR(MATCH(G552,'13W Cash Forecast'!$B$4:$N$4,1),1)</f>
        <v/>
      </c>
    </row>
    <row r="553">
      <c r="A553" s="8" t="inlineStr">
        <is>
          <t>AR-0031022</t>
        </is>
      </c>
      <c r="B553" s="8" t="inlineStr">
        <is>
          <t>Service</t>
        </is>
      </c>
      <c r="C553" s="8" t="inlineStr">
        <is>
          <t>Pioneer Medical Properties - West Holdings, LLC</t>
        </is>
      </c>
      <c r="D553" s="22" t="n">
        <v>46148</v>
      </c>
      <c r="E553" s="22" t="n">
        <v>46178</v>
      </c>
      <c r="F553" s="9" t="n">
        <v>1202.41</v>
      </c>
      <c r="G553" s="23" t="n">
        <v>46178</v>
      </c>
      <c r="H553" s="24" t="inlineStr">
        <is>
          <t>Medium</t>
        </is>
      </c>
      <c r="I553" s="24" t="inlineStr">
        <is>
          <t>Contractual due date pending refreshed collection call</t>
        </is>
      </c>
      <c r="J553" s="8">
        <f>IFERROR(MATCH(G553,'13W Cash Forecast'!$B$4:$N$4,1),1)</f>
        <v/>
      </c>
    </row>
    <row r="554">
      <c r="A554" s="8" t="inlineStr">
        <is>
          <t>AR-0031076</t>
        </is>
      </c>
      <c r="B554" s="8" t="inlineStr">
        <is>
          <t>Service</t>
        </is>
      </c>
      <c r="C554" s="8" t="inlineStr">
        <is>
          <t>High Desert Manufacturing - Portfolio Holdings, LLC</t>
        </is>
      </c>
      <c r="D554" s="22" t="n">
        <v>46148</v>
      </c>
      <c r="E554" s="22" t="n">
        <v>46178</v>
      </c>
      <c r="F554" s="9" t="n">
        <v>314.63</v>
      </c>
      <c r="G554" s="23" t="n">
        <v>46178</v>
      </c>
      <c r="H554" s="24" t="inlineStr">
        <is>
          <t>Medium</t>
        </is>
      </c>
      <c r="I554" s="24" t="inlineStr">
        <is>
          <t>Contractual due date pending refreshed collection call</t>
        </is>
      </c>
      <c r="J554" s="8">
        <f>IFERROR(MATCH(G554,'13W Cash Forecast'!$B$4:$N$4,1),1)</f>
        <v/>
      </c>
    </row>
    <row r="555">
      <c r="A555" s="8" t="inlineStr">
        <is>
          <t>AR-0031103</t>
        </is>
      </c>
      <c r="B555" s="8" t="inlineStr">
        <is>
          <t>Service</t>
        </is>
      </c>
      <c r="C555" s="8" t="inlineStr">
        <is>
          <t>Northline Cold Storage Holdings</t>
        </is>
      </c>
      <c r="D555" s="22" t="n">
        <v>46148</v>
      </c>
      <c r="E555" s="22" t="n">
        <v>46178</v>
      </c>
      <c r="F555" s="9" t="n">
        <v>1622.19</v>
      </c>
      <c r="G555" s="23" t="n">
        <v>46178</v>
      </c>
      <c r="H555" s="24" t="inlineStr">
        <is>
          <t>Medium</t>
        </is>
      </c>
      <c r="I555" s="24" t="inlineStr">
        <is>
          <t>Contractual due date pending refreshed collection call</t>
        </is>
      </c>
      <c r="J555" s="8">
        <f>IFERROR(MATCH(G555,'13W Cash Forecast'!$B$4:$N$4,1),1)</f>
        <v/>
      </c>
    </row>
    <row r="556">
      <c r="A556" s="8" t="inlineStr">
        <is>
          <t>AR-0031151</t>
        </is>
      </c>
      <c r="B556" s="8" t="inlineStr">
        <is>
          <t>Service</t>
        </is>
      </c>
      <c r="C556" s="8" t="inlineStr">
        <is>
          <t>Clackamas Health Network Operating Company</t>
        </is>
      </c>
      <c r="D556" s="22" t="n">
        <v>46163</v>
      </c>
      <c r="E556" s="22" t="n">
        <v>46178</v>
      </c>
      <c r="F556" s="9" t="n">
        <v>3362.33</v>
      </c>
      <c r="G556" s="23" t="n">
        <v>46178</v>
      </c>
      <c r="H556" s="24" t="inlineStr">
        <is>
          <t>Medium</t>
        </is>
      </c>
      <c r="I556" s="24" t="inlineStr">
        <is>
          <t>Contractual due date pending refreshed collection call</t>
        </is>
      </c>
      <c r="J556" s="8">
        <f>IFERROR(MATCH(G556,'13W Cash Forecast'!$B$4:$N$4,1),1)</f>
        <v/>
      </c>
    </row>
    <row r="557">
      <c r="A557" s="8" t="inlineStr">
        <is>
          <t>AR-0031157</t>
        </is>
      </c>
      <c r="B557" s="8" t="inlineStr">
        <is>
          <t>Service</t>
        </is>
      </c>
      <c r="C557" s="8" t="inlineStr">
        <is>
          <t>Central Cascades Foods - Central Development Company</t>
        </is>
      </c>
      <c r="D557" s="22" t="n">
        <v>46148</v>
      </c>
      <c r="E557" s="22" t="n">
        <v>46178</v>
      </c>
      <c r="F557" s="9" t="n">
        <v>740.66</v>
      </c>
      <c r="G557" s="23" t="n">
        <v>46178</v>
      </c>
      <c r="H557" s="24" t="inlineStr">
        <is>
          <t>Medium</t>
        </is>
      </c>
      <c r="I557" s="24" t="inlineStr">
        <is>
          <t>Contractual due date pending refreshed collection call</t>
        </is>
      </c>
      <c r="J557" s="8">
        <f>IFERROR(MATCH(G557,'13W Cash Forecast'!$B$4:$N$4,1),1)</f>
        <v/>
      </c>
    </row>
    <row r="558">
      <c r="A558" s="8" t="inlineStr">
        <is>
          <t>AR-0031178</t>
        </is>
      </c>
      <c r="B558" s="8" t="inlineStr">
        <is>
          <t>Service</t>
        </is>
      </c>
      <c r="C558" s="8" t="inlineStr">
        <is>
          <t>Tualatin Commerce Center Operating Company</t>
        </is>
      </c>
      <c r="D558" s="22" t="n">
        <v>46163</v>
      </c>
      <c r="E558" s="22" t="n">
        <v>46178</v>
      </c>
      <c r="F558" s="9" t="n">
        <v>961.79</v>
      </c>
      <c r="G558" s="23" t="n">
        <v>46178</v>
      </c>
      <c r="H558" s="24" t="inlineStr">
        <is>
          <t>Medium</t>
        </is>
      </c>
      <c r="I558" s="24" t="inlineStr">
        <is>
          <t>Contractual due date pending refreshed collection call</t>
        </is>
      </c>
      <c r="J558" s="8">
        <f>IFERROR(MATCH(G558,'13W Cash Forecast'!$B$4:$N$4,1),1)</f>
        <v/>
      </c>
    </row>
    <row r="559">
      <c r="A559" s="8" t="inlineStr">
        <is>
          <t>AR-0031184</t>
        </is>
      </c>
      <c r="B559" s="8" t="inlineStr">
        <is>
          <t>Service</t>
        </is>
      </c>
      <c r="C559" s="8" t="inlineStr">
        <is>
          <t>Juniper Ridge Properties - North Facilities</t>
        </is>
      </c>
      <c r="D559" s="22" t="n">
        <v>46148</v>
      </c>
      <c r="E559" s="22" t="n">
        <v>46178</v>
      </c>
      <c r="F559" s="9" t="n">
        <v>84.48999999999999</v>
      </c>
      <c r="G559" s="23" t="n">
        <v>46178</v>
      </c>
      <c r="H559" s="24" t="inlineStr">
        <is>
          <t>Low</t>
        </is>
      </c>
      <c r="I559" s="24" t="inlineStr">
        <is>
          <t>Awaiting project-accountant follow-up</t>
        </is>
      </c>
      <c r="J559" s="8">
        <f>IFERROR(MATCH(G559,'13W Cash Forecast'!$B$4:$N$4,1),1)</f>
        <v/>
      </c>
    </row>
    <row r="560">
      <c r="A560" s="8" t="inlineStr">
        <is>
          <t>AR-0030790</t>
        </is>
      </c>
      <c r="B560" s="8" t="inlineStr">
        <is>
          <t>Service</t>
        </is>
      </c>
      <c r="C560" s="8" t="inlineStr">
        <is>
          <t>Deschutes Medical Group - North Development Company</t>
        </is>
      </c>
      <c r="D560" s="22" t="n">
        <v>46134</v>
      </c>
      <c r="E560" s="22" t="n">
        <v>46179</v>
      </c>
      <c r="F560" s="9" t="n">
        <v>2175.12</v>
      </c>
      <c r="G560" s="23" t="n">
        <v>46179</v>
      </c>
      <c r="H560" s="24" t="inlineStr">
        <is>
          <t>Medium</t>
        </is>
      </c>
      <c r="I560" s="24" t="inlineStr">
        <is>
          <t>Contractual due date pending refreshed collection call</t>
        </is>
      </c>
      <c r="J560" s="8">
        <f>IFERROR(MATCH(G560,'13W Cash Forecast'!$B$4:$N$4,1),1)</f>
        <v/>
      </c>
    </row>
    <row r="561">
      <c r="A561" s="8" t="inlineStr">
        <is>
          <t>AR-0030940</t>
        </is>
      </c>
      <c r="B561" s="8" t="inlineStr">
        <is>
          <t>Service</t>
        </is>
      </c>
      <c r="C561" s="8" t="inlineStr">
        <is>
          <t>Clackamas Health Network - Operations Real Estate, LLC</t>
        </is>
      </c>
      <c r="D561" s="22" t="n">
        <v>46164</v>
      </c>
      <c r="E561" s="22" t="n">
        <v>46179</v>
      </c>
      <c r="F561" s="9" t="n">
        <v>547.3099999999999</v>
      </c>
      <c r="G561" s="23" t="n">
        <v>46179</v>
      </c>
      <c r="H561" s="24" t="inlineStr">
        <is>
          <t>Medium</t>
        </is>
      </c>
      <c r="I561" s="24" t="inlineStr">
        <is>
          <t>Contractual due date pending refreshed collection call</t>
        </is>
      </c>
      <c r="J561" s="8">
        <f>IFERROR(MATCH(G561,'13W Cash Forecast'!$B$4:$N$4,1),1)</f>
        <v/>
      </c>
    </row>
    <row r="562">
      <c r="A562" s="8" t="inlineStr">
        <is>
          <t>AR-0030946</t>
        </is>
      </c>
      <c r="B562" s="8" t="inlineStr">
        <is>
          <t>Service</t>
        </is>
      </c>
      <c r="C562" s="8" t="inlineStr">
        <is>
          <t>Mt. Hood Community Health - Operations Asset Management</t>
        </is>
      </c>
      <c r="D562" s="22" t="n">
        <v>46149</v>
      </c>
      <c r="E562" s="22" t="n">
        <v>46179</v>
      </c>
      <c r="F562" s="9" t="n">
        <v>818.6</v>
      </c>
      <c r="G562" s="23" t="n">
        <v>46179</v>
      </c>
      <c r="H562" s="24" t="inlineStr">
        <is>
          <t>Medium</t>
        </is>
      </c>
      <c r="I562" s="24" t="inlineStr">
        <is>
          <t>Contractual due date pending refreshed collection call</t>
        </is>
      </c>
      <c r="J562" s="8">
        <f>IFERROR(MATCH(G562,'13W Cash Forecast'!$B$4:$N$4,1),1)</f>
        <v/>
      </c>
    </row>
    <row r="563">
      <c r="A563" s="8" t="inlineStr">
        <is>
          <t>AR-0030994</t>
        </is>
      </c>
      <c r="B563" s="8" t="inlineStr">
        <is>
          <t>Service</t>
        </is>
      </c>
      <c r="C563" s="8" t="inlineStr">
        <is>
          <t>Rogue Valley Beverage - Portfolio Holdings, LLC</t>
        </is>
      </c>
      <c r="D563" s="22" t="n">
        <v>46164</v>
      </c>
      <c r="E563" s="22" t="n">
        <v>46179</v>
      </c>
      <c r="F563" s="9" t="n">
        <v>1318.92</v>
      </c>
      <c r="G563" s="23" t="n">
        <v>46179</v>
      </c>
      <c r="H563" s="24" t="inlineStr">
        <is>
          <t>Medium</t>
        </is>
      </c>
      <c r="I563" s="24" t="inlineStr">
        <is>
          <t>Contractual due date pending refreshed collection call</t>
        </is>
      </c>
      <c r="J563" s="8">
        <f>IFERROR(MATCH(G563,'13W Cash Forecast'!$B$4:$N$4,1),1)</f>
        <v/>
      </c>
    </row>
    <row r="564">
      <c r="A564" s="8" t="inlineStr">
        <is>
          <t>AR-0031000</t>
        </is>
      </c>
      <c r="B564" s="8" t="inlineStr">
        <is>
          <t>Service</t>
        </is>
      </c>
      <c r="C564" s="8" t="inlineStr">
        <is>
          <t>Copperline Apartments - Campus Holdings, LLC</t>
        </is>
      </c>
      <c r="D564" s="22" t="n">
        <v>46149</v>
      </c>
      <c r="E564" s="22" t="n">
        <v>46179</v>
      </c>
      <c r="F564" s="9" t="n">
        <v>1170.93</v>
      </c>
      <c r="G564" s="23" t="n">
        <v>46179</v>
      </c>
      <c r="H564" s="24" t="inlineStr">
        <is>
          <t>Medium</t>
        </is>
      </c>
      <c r="I564" s="24" t="inlineStr">
        <is>
          <t>Contractual due date pending refreshed collection call</t>
        </is>
      </c>
      <c r="J564" s="8">
        <f>IFERROR(MATCH(G564,'13W Cash Forecast'!$B$4:$N$4,1),1)</f>
        <v/>
      </c>
    </row>
    <row r="565">
      <c r="A565" s="8" t="inlineStr">
        <is>
          <t>AR-0031054</t>
        </is>
      </c>
      <c r="B565" s="8" t="inlineStr">
        <is>
          <t>Service</t>
        </is>
      </c>
      <c r="C565" s="8" t="inlineStr">
        <is>
          <t>Sunrise Hospitality - East LLC</t>
        </is>
      </c>
      <c r="D565" s="22" t="n">
        <v>46149</v>
      </c>
      <c r="E565" s="22" t="n">
        <v>46179</v>
      </c>
      <c r="F565" s="9" t="n">
        <v>168.21</v>
      </c>
      <c r="G565" s="23" t="n">
        <v>46179</v>
      </c>
      <c r="H565" s="24" t="inlineStr">
        <is>
          <t>Medium</t>
        </is>
      </c>
      <c r="I565" s="24" t="inlineStr">
        <is>
          <t>Contractual due date pending refreshed collection call</t>
        </is>
      </c>
      <c r="J565" s="8">
        <f>IFERROR(MATCH(G565,'13W Cash Forecast'!$B$4:$N$4,1),1)</f>
        <v/>
      </c>
    </row>
    <row r="566">
      <c r="A566" s="8" t="inlineStr">
        <is>
          <t>AR-0031081</t>
        </is>
      </c>
      <c r="B566" s="8" t="inlineStr">
        <is>
          <t>Service</t>
        </is>
      </c>
      <c r="C566" s="8" t="inlineStr">
        <is>
          <t>Columbia River Logistics - Portfolio Operating Company</t>
        </is>
      </c>
      <c r="D566" s="22" t="n">
        <v>46149</v>
      </c>
      <c r="E566" s="22" t="n">
        <v>46179</v>
      </c>
      <c r="F566" s="9" t="n">
        <v>216.66</v>
      </c>
      <c r="G566" s="23" t="n">
        <v>46179</v>
      </c>
      <c r="H566" s="24" t="inlineStr">
        <is>
          <t>Low</t>
        </is>
      </c>
      <c r="I566" s="24" t="inlineStr">
        <is>
          <t>Awaiting project-accountant follow-up</t>
        </is>
      </c>
      <c r="J566" s="8">
        <f>IFERROR(MATCH(G566,'13W Cash Forecast'!$B$4:$N$4,1),1)</f>
        <v/>
      </c>
    </row>
    <row r="567">
      <c r="A567" s="8" t="inlineStr">
        <is>
          <t>AR-0031129</t>
        </is>
      </c>
      <c r="B567" s="8" t="inlineStr">
        <is>
          <t>Service</t>
        </is>
      </c>
      <c r="C567" s="8" t="inlineStr">
        <is>
          <t>Hillsboro Life Sciences - Campus Asset Management</t>
        </is>
      </c>
      <c r="D567" s="22" t="n">
        <v>46164</v>
      </c>
      <c r="E567" s="22" t="n">
        <v>46179</v>
      </c>
      <c r="F567" s="9" t="n">
        <v>728.4400000000001</v>
      </c>
      <c r="G567" s="23" t="n">
        <v>46179</v>
      </c>
      <c r="H567" s="24" t="inlineStr">
        <is>
          <t>Medium</t>
        </is>
      </c>
      <c r="I567" s="24" t="inlineStr">
        <is>
          <t>Contractual due date pending refreshed collection call</t>
        </is>
      </c>
      <c r="J567" s="8">
        <f>IFERROR(MATCH(G567,'13W Cash Forecast'!$B$4:$N$4,1),1)</f>
        <v/>
      </c>
    </row>
    <row r="568">
      <c r="A568" s="8" t="inlineStr">
        <is>
          <t>AR-0031135</t>
        </is>
      </c>
      <c r="B568" s="8" t="inlineStr">
        <is>
          <t>Service</t>
        </is>
      </c>
      <c r="C568" s="8" t="inlineStr">
        <is>
          <t>Pacific Northwest Distribution REIT</t>
        </is>
      </c>
      <c r="D568" s="22" t="n">
        <v>46149</v>
      </c>
      <c r="E568" s="22" t="n">
        <v>46179</v>
      </c>
      <c r="F568" s="9" t="n">
        <v>676.25</v>
      </c>
      <c r="G568" s="23" t="n">
        <v>46179</v>
      </c>
      <c r="H568" s="24" t="inlineStr">
        <is>
          <t>Medium</t>
        </is>
      </c>
      <c r="I568" s="24" t="inlineStr">
        <is>
          <t>Contractual due date pending refreshed collection call</t>
        </is>
      </c>
      <c r="J568" s="8">
        <f>IFERROR(MATCH(G568,'13W Cash Forecast'!$B$4:$N$4,1),1)</f>
        <v/>
      </c>
    </row>
    <row r="569">
      <c r="A569" s="8" t="inlineStr">
        <is>
          <t>AR-0031162</t>
        </is>
      </c>
      <c r="B569" s="8" t="inlineStr">
        <is>
          <t>Service</t>
        </is>
      </c>
      <c r="C569" s="8" t="inlineStr">
        <is>
          <t>Pioneer Medical Properties Development Company</t>
        </is>
      </c>
      <c r="D569" s="22" t="n">
        <v>46149</v>
      </c>
      <c r="E569" s="22" t="n">
        <v>46179</v>
      </c>
      <c r="F569" s="9" t="n">
        <v>975.89</v>
      </c>
      <c r="G569" s="23" t="n">
        <v>46179</v>
      </c>
      <c r="H569" s="24" t="inlineStr">
        <is>
          <t>Medium</t>
        </is>
      </c>
      <c r="I569" s="24" t="inlineStr">
        <is>
          <t>Contractual due date pending refreshed collection call</t>
        </is>
      </c>
      <c r="J569" s="8">
        <f>IFERROR(MATCH(G569,'13W Cash Forecast'!$B$4:$N$4,1),1)</f>
        <v/>
      </c>
    </row>
    <row r="570">
      <c r="A570" s="8" t="inlineStr">
        <is>
          <t>AR-0030768</t>
        </is>
      </c>
      <c r="B570" s="8" t="inlineStr">
        <is>
          <t>Service</t>
        </is>
      </c>
      <c r="C570" s="8" t="inlineStr">
        <is>
          <t>Portland Arts and Events - Central Asset Management</t>
        </is>
      </c>
      <c r="D570" s="22" t="n">
        <v>46135</v>
      </c>
      <c r="E570" s="22" t="n">
        <v>46180</v>
      </c>
      <c r="F570" s="9" t="n">
        <v>840.21</v>
      </c>
      <c r="G570" s="23" t="n">
        <v>46180</v>
      </c>
      <c r="H570" s="24" t="inlineStr">
        <is>
          <t>Medium</t>
        </is>
      </c>
      <c r="I570" s="24" t="inlineStr">
        <is>
          <t>Contractual due date pending refreshed collection call</t>
        </is>
      </c>
      <c r="J570" s="8">
        <f>IFERROR(MATCH(G570,'13W Cash Forecast'!$B$4:$N$4,1),1)</f>
        <v/>
      </c>
    </row>
    <row r="571">
      <c r="A571" s="8" t="inlineStr">
        <is>
          <t>AR-0030924</t>
        </is>
      </c>
      <c r="B571" s="8" t="inlineStr">
        <is>
          <t>Service</t>
        </is>
      </c>
      <c r="C571" s="8" t="inlineStr">
        <is>
          <t>Beacon Industrial - South Asset Management</t>
        </is>
      </c>
      <c r="D571" s="22" t="n">
        <v>46150</v>
      </c>
      <c r="E571" s="22" t="n">
        <v>46180</v>
      </c>
      <c r="F571" s="9" t="n">
        <v>233.86</v>
      </c>
      <c r="G571" s="23" t="n">
        <v>46180</v>
      </c>
      <c r="H571" s="24" t="inlineStr">
        <is>
          <t>Medium</t>
        </is>
      </c>
      <c r="I571" s="24" t="inlineStr">
        <is>
          <t>Contractual due date pending refreshed collection call</t>
        </is>
      </c>
      <c r="J571" s="8">
        <f>IFERROR(MATCH(G571,'13W Cash Forecast'!$B$4:$N$4,1),1)</f>
        <v/>
      </c>
    </row>
    <row r="572">
      <c r="A572" s="8" t="inlineStr">
        <is>
          <t>AR-0030972</t>
        </is>
      </c>
      <c r="B572" s="8" t="inlineStr">
        <is>
          <t>Service</t>
        </is>
      </c>
      <c r="C572" s="8" t="inlineStr">
        <is>
          <t>Fairview Property Partners - East Holdings, LLC</t>
        </is>
      </c>
      <c r="D572" s="22" t="n">
        <v>46165</v>
      </c>
      <c r="E572" s="22" t="n">
        <v>46180</v>
      </c>
      <c r="F572" s="9" t="n">
        <v>534.35</v>
      </c>
      <c r="G572" s="23" t="n">
        <v>46180</v>
      </c>
      <c r="H572" s="24" t="inlineStr">
        <is>
          <t>Medium</t>
        </is>
      </c>
      <c r="I572" s="24" t="inlineStr">
        <is>
          <t>Contractual due date pending refreshed collection call</t>
        </is>
      </c>
      <c r="J572" s="8">
        <f>IFERROR(MATCH(G572,'13W Cash Forecast'!$B$4:$N$4,1),1)</f>
        <v/>
      </c>
    </row>
    <row r="573">
      <c r="A573" s="8" t="inlineStr">
        <is>
          <t>AR-0030978</t>
        </is>
      </c>
      <c r="B573" s="8" t="inlineStr">
        <is>
          <t>Service</t>
        </is>
      </c>
      <c r="C573" s="8" t="inlineStr">
        <is>
          <t>Pioneer Medical Properties - West LLC</t>
        </is>
      </c>
      <c r="D573" s="22" t="n">
        <v>46150</v>
      </c>
      <c r="E573" s="22" t="n">
        <v>46180</v>
      </c>
      <c r="F573" s="9" t="n">
        <v>687.79</v>
      </c>
      <c r="G573" s="23" t="n">
        <v>46180</v>
      </c>
      <c r="H573" s="24" t="inlineStr">
        <is>
          <t>Low</t>
        </is>
      </c>
      <c r="I573" s="24" t="inlineStr">
        <is>
          <t>Awaiting project-accountant follow-up</t>
        </is>
      </c>
      <c r="J573" s="8">
        <f>IFERROR(MATCH(G573,'13W Cash Forecast'!$B$4:$N$4,1),1)</f>
        <v/>
      </c>
    </row>
    <row r="574">
      <c r="A574" s="8" t="inlineStr">
        <is>
          <t>AR-0031032</t>
        </is>
      </c>
      <c r="B574" s="8" t="inlineStr">
        <is>
          <t>Service</t>
        </is>
      </c>
      <c r="C574" s="8" t="inlineStr">
        <is>
          <t>High Desert Manufacturing - Portfolio LLC</t>
        </is>
      </c>
      <c r="D574" s="22" t="n">
        <v>46150</v>
      </c>
      <c r="E574" s="22" t="n">
        <v>46180</v>
      </c>
      <c r="F574" s="9" t="n">
        <v>533.76</v>
      </c>
      <c r="G574" s="23" t="n">
        <v>46180</v>
      </c>
      <c r="H574" s="24" t="inlineStr">
        <is>
          <t>Medium</t>
        </is>
      </c>
      <c r="I574" s="24" t="inlineStr">
        <is>
          <t>Contractual due date pending refreshed collection call</t>
        </is>
      </c>
      <c r="J574" s="8">
        <f>IFERROR(MATCH(G574,'13W Cash Forecast'!$B$4:$N$4,1),1)</f>
        <v/>
      </c>
    </row>
    <row r="575">
      <c r="A575" s="8" t="inlineStr">
        <is>
          <t>AR-0031059</t>
        </is>
      </c>
      <c r="B575" s="8" t="inlineStr">
        <is>
          <t>Service</t>
        </is>
      </c>
      <c r="C575" s="8" t="inlineStr">
        <is>
          <t>Pacific Crest Biotech - East Partners, LP</t>
        </is>
      </c>
      <c r="D575" s="22" t="n">
        <v>46150</v>
      </c>
      <c r="E575" s="22" t="n">
        <v>46180</v>
      </c>
      <c r="F575" s="9" t="n">
        <v>436.56</v>
      </c>
      <c r="G575" s="23" t="n">
        <v>46180</v>
      </c>
      <c r="H575" s="24" t="inlineStr">
        <is>
          <t>Medium</t>
        </is>
      </c>
      <c r="I575" s="24" t="inlineStr">
        <is>
          <t>Contractual due date pending refreshed collection call</t>
        </is>
      </c>
      <c r="J575" s="8">
        <f>IFERROR(MATCH(G575,'13W Cash Forecast'!$B$4:$N$4,1),1)</f>
        <v/>
      </c>
    </row>
    <row r="576">
      <c r="A576" s="8" t="inlineStr">
        <is>
          <t>AR-0031107</t>
        </is>
      </c>
      <c r="B576" s="8" t="inlineStr">
        <is>
          <t>Service</t>
        </is>
      </c>
      <c r="C576" s="8" t="inlineStr">
        <is>
          <t>Tualatin Commerce Center - West Campus Services</t>
        </is>
      </c>
      <c r="D576" s="22" t="n">
        <v>46165</v>
      </c>
      <c r="E576" s="22" t="n">
        <v>46180</v>
      </c>
      <c r="F576" s="9" t="n">
        <v>247.73</v>
      </c>
      <c r="G576" s="23" t="n">
        <v>46180</v>
      </c>
      <c r="H576" s="24" t="inlineStr">
        <is>
          <t>Medium</t>
        </is>
      </c>
      <c r="I576" s="24" t="inlineStr">
        <is>
          <t>Contractual due date pending refreshed collection call</t>
        </is>
      </c>
      <c r="J576" s="8">
        <f>IFERROR(MATCH(G576,'13W Cash Forecast'!$B$4:$N$4,1),1)</f>
        <v/>
      </c>
    </row>
    <row r="577">
      <c r="A577" s="8" t="inlineStr">
        <is>
          <t>AR-0031113</t>
        </is>
      </c>
      <c r="B577" s="8" t="inlineStr">
        <is>
          <t>Service</t>
        </is>
      </c>
      <c r="C577" s="8" t="inlineStr">
        <is>
          <t>Forest Park Hospitality - West LLC</t>
        </is>
      </c>
      <c r="D577" s="22" t="n">
        <v>46150</v>
      </c>
      <c r="E577" s="22" t="n">
        <v>46180</v>
      </c>
      <c r="F577" s="9" t="n">
        <v>735.3</v>
      </c>
      <c r="G577" s="23" t="n">
        <v>46180</v>
      </c>
      <c r="H577" s="24" t="inlineStr">
        <is>
          <t>Medium</t>
        </is>
      </c>
      <c r="I577" s="24" t="inlineStr">
        <is>
          <t>Contractual due date pending refreshed collection call</t>
        </is>
      </c>
      <c r="J577" s="8">
        <f>IFERROR(MATCH(G577,'13W Cash Forecast'!$B$4:$N$4,1),1)</f>
        <v/>
      </c>
    </row>
    <row r="578">
      <c r="A578" s="8" t="inlineStr">
        <is>
          <t>AR-0031161</t>
        </is>
      </c>
      <c r="B578" s="8" t="inlineStr">
        <is>
          <t>Service</t>
        </is>
      </c>
      <c r="C578" s="8" t="inlineStr">
        <is>
          <t>McKenzie River Foods - Central Facilities</t>
        </is>
      </c>
      <c r="D578" s="22" t="n">
        <v>46165</v>
      </c>
      <c r="E578" s="22" t="n">
        <v>46180</v>
      </c>
      <c r="F578" s="9" t="n">
        <v>815.41</v>
      </c>
      <c r="G578" s="23" t="n">
        <v>46180</v>
      </c>
      <c r="H578" s="24" t="inlineStr">
        <is>
          <t>Medium</t>
        </is>
      </c>
      <c r="I578" s="24" t="inlineStr">
        <is>
          <t>Contractual due date pending refreshed collection call</t>
        </is>
      </c>
      <c r="J578" s="8">
        <f>IFERROR(MATCH(G578,'13W Cash Forecast'!$B$4:$N$4,1),1)</f>
        <v/>
      </c>
    </row>
    <row r="579">
      <c r="A579" s="8" t="inlineStr">
        <is>
          <t>AR-0031167</t>
        </is>
      </c>
      <c r="B579" s="8" t="inlineStr">
        <is>
          <t>Service</t>
        </is>
      </c>
      <c r="C579" s="8" t="inlineStr">
        <is>
          <t>Forest Park Hospitality Campus Services</t>
        </is>
      </c>
      <c r="D579" s="22" t="n">
        <v>46150</v>
      </c>
      <c r="E579" s="22" t="n">
        <v>46180</v>
      </c>
      <c r="F579" s="9" t="n">
        <v>542.86</v>
      </c>
      <c r="G579" s="23" t="n">
        <v>46180</v>
      </c>
      <c r="H579" s="24" t="inlineStr">
        <is>
          <t>Medium</t>
        </is>
      </c>
      <c r="I579" s="24" t="inlineStr">
        <is>
          <t>Contractual due date pending refreshed collection call</t>
        </is>
      </c>
      <c r="J579" s="8">
        <f>IFERROR(MATCH(G579,'13W Cash Forecast'!$B$4:$N$4,1),1)</f>
        <v/>
      </c>
    </row>
    <row r="580">
      <c r="A580" s="8" t="inlineStr">
        <is>
          <t>AR-0031194</t>
        </is>
      </c>
      <c r="B580" s="8" t="inlineStr">
        <is>
          <t>Service</t>
        </is>
      </c>
      <c r="C580" s="8" t="inlineStr">
        <is>
          <t>Beacon Industrial - South Asset Management</t>
        </is>
      </c>
      <c r="D580" s="22" t="n">
        <v>46150</v>
      </c>
      <c r="E580" s="22" t="n">
        <v>46180</v>
      </c>
      <c r="F580" s="9" t="n">
        <v>583.14</v>
      </c>
      <c r="G580" s="23" t="n">
        <v>46180</v>
      </c>
      <c r="H580" s="24" t="inlineStr">
        <is>
          <t>Low</t>
        </is>
      </c>
      <c r="I580" s="24" t="inlineStr">
        <is>
          <t>Awaiting project-accountant follow-up</t>
        </is>
      </c>
      <c r="J580" s="8">
        <f>IFERROR(MATCH(G580,'13W Cash Forecast'!$B$4:$N$4,1),1)</f>
        <v/>
      </c>
    </row>
    <row r="581">
      <c r="A581" s="8" t="inlineStr">
        <is>
          <t>AR-0030746</t>
        </is>
      </c>
      <c r="B581" s="8" t="inlineStr">
        <is>
          <t>Service</t>
        </is>
      </c>
      <c r="C581" s="8" t="inlineStr">
        <is>
          <t>Deschutes Medical Group - North Asset Management</t>
        </is>
      </c>
      <c r="D581" s="22" t="n">
        <v>46136</v>
      </c>
      <c r="E581" s="22" t="n">
        <v>46181</v>
      </c>
      <c r="F581" s="9" t="n">
        <v>506.03</v>
      </c>
      <c r="G581" s="23" t="n">
        <v>46181</v>
      </c>
      <c r="H581" s="24" t="inlineStr">
        <is>
          <t>Medium</t>
        </is>
      </c>
      <c r="I581" s="24" t="inlineStr">
        <is>
          <t>Contractual due date pending refreshed collection call</t>
        </is>
      </c>
      <c r="J581" s="8">
        <f>IFERROR(MATCH(G581,'13W Cash Forecast'!$B$4:$N$4,1),1)</f>
        <v/>
      </c>
    </row>
    <row r="582">
      <c r="A582" s="8" t="inlineStr">
        <is>
          <t>AR-0030950</t>
        </is>
      </c>
      <c r="B582" s="8" t="inlineStr">
        <is>
          <t>Service</t>
        </is>
      </c>
      <c r="C582" s="8" t="inlineStr">
        <is>
          <t>Hillsboro Life Sciences Operating Company</t>
        </is>
      </c>
      <c r="D582" s="22" t="n">
        <v>46166</v>
      </c>
      <c r="E582" s="22" t="n">
        <v>46181</v>
      </c>
      <c r="F582" s="9" t="n">
        <v>1216.94</v>
      </c>
      <c r="G582" s="23" t="n">
        <v>46181</v>
      </c>
      <c r="H582" s="24" t="inlineStr">
        <is>
          <t>Medium</t>
        </is>
      </c>
      <c r="I582" s="24" t="inlineStr">
        <is>
          <t>Contractual due date pending refreshed collection call</t>
        </is>
      </c>
      <c r="J582" s="8">
        <f>IFERROR(MATCH(G582,'13W Cash Forecast'!$B$4:$N$4,1),1)</f>
        <v/>
      </c>
    </row>
    <row r="583">
      <c r="A583" s="8" t="inlineStr">
        <is>
          <t>AR-0030956</t>
        </is>
      </c>
      <c r="B583" s="8" t="inlineStr">
        <is>
          <t>Service</t>
        </is>
      </c>
      <c r="C583" s="8" t="inlineStr">
        <is>
          <t>Copperline Apartments - Campus LLC</t>
        </is>
      </c>
      <c r="D583" s="22" t="n">
        <v>46151</v>
      </c>
      <c r="E583" s="22" t="n">
        <v>46181</v>
      </c>
      <c r="F583" s="9" t="n">
        <v>2660.3</v>
      </c>
      <c r="G583" s="23" t="n">
        <v>46181</v>
      </c>
      <c r="H583" s="24" t="inlineStr">
        <is>
          <t>Medium</t>
        </is>
      </c>
      <c r="I583" s="24" t="inlineStr">
        <is>
          <t>Contractual due date pending refreshed collection call</t>
        </is>
      </c>
      <c r="J583" s="8">
        <f>IFERROR(MATCH(G583,'13W Cash Forecast'!$B$4:$N$4,1),1)</f>
        <v/>
      </c>
    </row>
    <row r="584">
      <c r="A584" s="8" t="inlineStr">
        <is>
          <t>AR-0031010</t>
        </is>
      </c>
      <c r="B584" s="8" t="inlineStr">
        <is>
          <t>Service</t>
        </is>
      </c>
      <c r="C584" s="8" t="inlineStr">
        <is>
          <t>Sunrise Hospitality - East Development Company</t>
        </is>
      </c>
      <c r="D584" s="22" t="n">
        <v>46151</v>
      </c>
      <c r="E584" s="22" t="n">
        <v>46181</v>
      </c>
      <c r="F584" s="9" t="n">
        <v>1026.77</v>
      </c>
      <c r="G584" s="23" t="n">
        <v>46181</v>
      </c>
      <c r="H584" s="24" t="inlineStr">
        <is>
          <t>Medium</t>
        </is>
      </c>
      <c r="I584" s="24" t="inlineStr">
        <is>
          <t>Contractual due date pending refreshed collection call</t>
        </is>
      </c>
      <c r="J584" s="8">
        <f>IFERROR(MATCH(G584,'13W Cash Forecast'!$B$4:$N$4,1),1)</f>
        <v/>
      </c>
    </row>
    <row r="585">
      <c r="A585" s="8" t="inlineStr">
        <is>
          <t>AR-0031037</t>
        </is>
      </c>
      <c r="B585" s="8" t="inlineStr">
        <is>
          <t>Service</t>
        </is>
      </c>
      <c r="C585" s="8" t="inlineStr">
        <is>
          <t>Columbia River Logistics - Portfolio Partners, LP</t>
        </is>
      </c>
      <c r="D585" s="22" t="n">
        <v>46151</v>
      </c>
      <c r="E585" s="22" t="n">
        <v>46181</v>
      </c>
      <c r="F585" s="9" t="n">
        <v>2374.42</v>
      </c>
      <c r="G585" s="23" t="n">
        <v>46181</v>
      </c>
      <c r="H585" s="24" t="inlineStr">
        <is>
          <t>Medium</t>
        </is>
      </c>
      <c r="I585" s="24" t="inlineStr">
        <is>
          <t>Contractual due date pending refreshed collection call</t>
        </is>
      </c>
      <c r="J585" s="8">
        <f>IFERROR(MATCH(G585,'13W Cash Forecast'!$B$4:$N$4,1),1)</f>
        <v/>
      </c>
    </row>
    <row r="586">
      <c r="A586" s="8" t="inlineStr">
        <is>
          <t>AR-0031085</t>
        </is>
      </c>
      <c r="B586" s="8" t="inlineStr">
        <is>
          <t>Service</t>
        </is>
      </c>
      <c r="C586" s="8" t="inlineStr">
        <is>
          <t>Hillsboro Life Sciences - Campus Campus Services</t>
        </is>
      </c>
      <c r="D586" s="22" t="n">
        <v>46166</v>
      </c>
      <c r="E586" s="22" t="n">
        <v>46181</v>
      </c>
      <c r="F586" s="9" t="n">
        <v>517.04</v>
      </c>
      <c r="G586" s="23" t="n">
        <v>46181</v>
      </c>
      <c r="H586" s="24" t="inlineStr">
        <is>
          <t>Medium</t>
        </is>
      </c>
      <c r="I586" s="24" t="inlineStr">
        <is>
          <t>Contractual due date pending refreshed collection call</t>
        </is>
      </c>
      <c r="J586" s="8">
        <f>IFERROR(MATCH(G586,'13W Cash Forecast'!$B$4:$N$4,1),1)</f>
        <v/>
      </c>
    </row>
    <row r="587">
      <c r="A587" s="8" t="inlineStr">
        <is>
          <t>AR-0031091</t>
        </is>
      </c>
      <c r="B587" s="8" t="inlineStr">
        <is>
          <t>Service</t>
        </is>
      </c>
      <c r="C587" s="8" t="inlineStr">
        <is>
          <t>Salem Surgical Partners - Campus Development Company</t>
        </is>
      </c>
      <c r="D587" s="22" t="n">
        <v>46151</v>
      </c>
      <c r="E587" s="22" t="n">
        <v>46181</v>
      </c>
      <c r="F587" s="9" t="n">
        <v>522.52</v>
      </c>
      <c r="G587" s="23" t="n">
        <v>46181</v>
      </c>
      <c r="H587" s="24" t="inlineStr">
        <is>
          <t>Low</t>
        </is>
      </c>
      <c r="I587" s="24" t="inlineStr">
        <is>
          <t>Awaiting project-accountant follow-up</t>
        </is>
      </c>
      <c r="J587" s="8">
        <f>IFERROR(MATCH(G587,'13W Cash Forecast'!$B$4:$N$4,1),1)</f>
        <v/>
      </c>
    </row>
    <row r="588">
      <c r="A588" s="8" t="inlineStr">
        <is>
          <t>AR-0031139</t>
        </is>
      </c>
      <c r="B588" s="8" t="inlineStr">
        <is>
          <t>Service</t>
        </is>
      </c>
      <c r="C588" s="8" t="inlineStr">
        <is>
          <t>Alder Creek Medical - North Facilities</t>
        </is>
      </c>
      <c r="D588" s="22" t="n">
        <v>46166</v>
      </c>
      <c r="E588" s="22" t="n">
        <v>46181</v>
      </c>
      <c r="F588" s="9" t="n">
        <v>717.03</v>
      </c>
      <c r="G588" s="23" t="n">
        <v>46181</v>
      </c>
      <c r="H588" s="24" t="inlineStr">
        <is>
          <t>Medium</t>
        </is>
      </c>
      <c r="I588" s="24" t="inlineStr">
        <is>
          <t>Contractual due date pending refreshed collection call</t>
        </is>
      </c>
      <c r="J588" s="8">
        <f>IFERROR(MATCH(G588,'13W Cash Forecast'!$B$4:$N$4,1),1)</f>
        <v/>
      </c>
    </row>
    <row r="589">
      <c r="A589" s="8" t="inlineStr">
        <is>
          <t>AR-0031145</t>
        </is>
      </c>
      <c r="B589" s="8" t="inlineStr">
        <is>
          <t>Service</t>
        </is>
      </c>
      <c r="C589" s="8" t="inlineStr">
        <is>
          <t>Klamath County Facilities - South Property Group</t>
        </is>
      </c>
      <c r="D589" s="22" t="n">
        <v>46151</v>
      </c>
      <c r="E589" s="22" t="n">
        <v>46181</v>
      </c>
      <c r="F589" s="9" t="n">
        <v>510.88</v>
      </c>
      <c r="G589" s="23" t="n">
        <v>46181</v>
      </c>
      <c r="H589" s="24" t="inlineStr">
        <is>
          <t>Medium</t>
        </is>
      </c>
      <c r="I589" s="24" t="inlineStr">
        <is>
          <t>Contractual due date pending refreshed collection call</t>
        </is>
      </c>
      <c r="J589" s="8">
        <f>IFERROR(MATCH(G589,'13W Cash Forecast'!$B$4:$N$4,1),1)</f>
        <v/>
      </c>
    </row>
    <row r="590">
      <c r="A590" s="8" t="inlineStr">
        <is>
          <t>AR-0031172</t>
        </is>
      </c>
      <c r="B590" s="8" t="inlineStr">
        <is>
          <t>Service</t>
        </is>
      </c>
      <c r="C590" s="8" t="inlineStr">
        <is>
          <t>Summit Surgical Properties</t>
        </is>
      </c>
      <c r="D590" s="22" t="n">
        <v>46151</v>
      </c>
      <c r="E590" s="22" t="n">
        <v>46181</v>
      </c>
      <c r="F590" s="9" t="n">
        <v>997.34</v>
      </c>
      <c r="G590" s="23" t="n">
        <v>46181</v>
      </c>
      <c r="H590" s="24" t="inlineStr">
        <is>
          <t>Medium</t>
        </is>
      </c>
      <c r="I590" s="24" t="inlineStr">
        <is>
          <t>Contractual due date pending refreshed collection call</t>
        </is>
      </c>
      <c r="J590" s="8">
        <f>IFERROR(MATCH(G590,'13W Cash Forecast'!$B$4:$N$4,1),1)</f>
        <v/>
      </c>
    </row>
    <row r="591">
      <c r="A591" s="8" t="inlineStr">
        <is>
          <t>AR-0030724</t>
        </is>
      </c>
      <c r="B591" s="8" t="inlineStr">
        <is>
          <t>Service</t>
        </is>
      </c>
      <c r="C591" s="8" t="inlineStr">
        <is>
          <t>Portland Arts and Events - Central Campus Services</t>
        </is>
      </c>
      <c r="D591" s="22" t="n">
        <v>46137</v>
      </c>
      <c r="E591" s="22" t="n">
        <v>46182</v>
      </c>
      <c r="F591" s="9" t="n">
        <v>330.43</v>
      </c>
      <c r="G591" s="23" t="n">
        <v>46182</v>
      </c>
      <c r="H591" s="24" t="inlineStr">
        <is>
          <t>Medium</t>
        </is>
      </c>
      <c r="I591" s="24" t="inlineStr">
        <is>
          <t>Contractual due date pending refreshed collection call</t>
        </is>
      </c>
      <c r="J591" s="8">
        <f>IFERROR(MATCH(G591,'13W Cash Forecast'!$B$4:$N$4,1),1)</f>
        <v/>
      </c>
    </row>
    <row r="592">
      <c r="A592" s="8" t="inlineStr">
        <is>
          <t>AR-0030934</t>
        </is>
      </c>
      <c r="B592" s="8" t="inlineStr">
        <is>
          <t>Service</t>
        </is>
      </c>
      <c r="C592" s="8" t="inlineStr">
        <is>
          <t>Copperline Apartments Development Company</t>
        </is>
      </c>
      <c r="D592" s="22" t="n">
        <v>46152</v>
      </c>
      <c r="E592" s="22" t="n">
        <v>46182</v>
      </c>
      <c r="F592" s="9" t="n">
        <v>630.21</v>
      </c>
      <c r="G592" s="23" t="n">
        <v>46182</v>
      </c>
      <c r="H592" s="24" t="inlineStr">
        <is>
          <t>Medium</t>
        </is>
      </c>
      <c r="I592" s="24" t="inlineStr">
        <is>
          <t>Contractual due date pending refreshed collection call</t>
        </is>
      </c>
      <c r="J592" s="8">
        <f>IFERROR(MATCH(G592,'13W Cash Forecast'!$B$4:$N$4,1),1)</f>
        <v/>
      </c>
    </row>
    <row r="593">
      <c r="A593" s="8" t="inlineStr">
        <is>
          <t>AR-0030961</t>
        </is>
      </c>
      <c r="B593" s="8" t="inlineStr">
        <is>
          <t>Service</t>
        </is>
      </c>
      <c r="C593" s="8" t="inlineStr">
        <is>
          <t>Valley View Food Systems Development Company</t>
        </is>
      </c>
      <c r="D593" s="22" t="n">
        <v>46152</v>
      </c>
      <c r="E593" s="22" t="n">
        <v>46182</v>
      </c>
      <c r="F593" s="9" t="n">
        <v>582.39</v>
      </c>
      <c r="G593" s="23" t="n">
        <v>46182</v>
      </c>
      <c r="H593" s="24" t="inlineStr">
        <is>
          <t>Medium</t>
        </is>
      </c>
      <c r="I593" s="24" t="inlineStr">
        <is>
          <t>Contractual due date pending refreshed collection call</t>
        </is>
      </c>
      <c r="J593" s="8">
        <f>IFERROR(MATCH(G593,'13W Cash Forecast'!$B$4:$N$4,1),1)</f>
        <v/>
      </c>
    </row>
    <row r="594">
      <c r="A594" s="8" t="inlineStr">
        <is>
          <t>AR-0030988</t>
        </is>
      </c>
      <c r="B594" s="8" t="inlineStr">
        <is>
          <t>Service</t>
        </is>
      </c>
      <c r="C594" s="8" t="inlineStr">
        <is>
          <t>High Desert Manufacturing - Portfolio Development Company</t>
        </is>
      </c>
      <c r="D594" s="22" t="n">
        <v>46152</v>
      </c>
      <c r="E594" s="22" t="n">
        <v>46182</v>
      </c>
      <c r="F594" s="9" t="n">
        <v>1388.88</v>
      </c>
      <c r="G594" s="23" t="n">
        <v>46182</v>
      </c>
      <c r="H594" s="24" t="inlineStr">
        <is>
          <t>Low</t>
        </is>
      </c>
      <c r="I594" s="24" t="inlineStr">
        <is>
          <t>Awaiting project-accountant follow-up</t>
        </is>
      </c>
      <c r="J594" s="8">
        <f>IFERROR(MATCH(G594,'13W Cash Forecast'!$B$4:$N$4,1),1)</f>
        <v/>
      </c>
    </row>
    <row r="595">
      <c r="A595" s="8" t="inlineStr">
        <is>
          <t>AR-0031015</t>
        </is>
      </c>
      <c r="B595" s="8" t="inlineStr">
        <is>
          <t>Service</t>
        </is>
      </c>
      <c r="C595" s="8" t="inlineStr">
        <is>
          <t>Pacific Crest Biotech - East Facilities</t>
        </is>
      </c>
      <c r="D595" s="22" t="n">
        <v>46152</v>
      </c>
      <c r="E595" s="22" t="n">
        <v>46182</v>
      </c>
      <c r="F595" s="9" t="n">
        <v>281.19</v>
      </c>
      <c r="G595" s="23" t="n">
        <v>46182</v>
      </c>
      <c r="H595" s="24" t="inlineStr">
        <is>
          <t>Medium</t>
        </is>
      </c>
      <c r="I595" s="24" t="inlineStr">
        <is>
          <t>Contractual due date pending refreshed collection call</t>
        </is>
      </c>
      <c r="J595" s="8">
        <f>IFERROR(MATCH(G595,'13W Cash Forecast'!$B$4:$N$4,1),1)</f>
        <v/>
      </c>
    </row>
    <row r="596">
      <c r="A596" s="8" t="inlineStr">
        <is>
          <t>AR-0031063</t>
        </is>
      </c>
      <c r="B596" s="8" t="inlineStr">
        <is>
          <t>Service</t>
        </is>
      </c>
      <c r="C596" s="8" t="inlineStr">
        <is>
          <t>Tualatin Commerce Center - West Real Estate, LLC</t>
        </is>
      </c>
      <c r="D596" s="22" t="n">
        <v>46167</v>
      </c>
      <c r="E596" s="22" t="n">
        <v>46182</v>
      </c>
      <c r="F596" s="9" t="n">
        <v>545.24</v>
      </c>
      <c r="G596" s="23" t="n">
        <v>46182</v>
      </c>
      <c r="H596" s="24" t="inlineStr">
        <is>
          <t>Medium</t>
        </is>
      </c>
      <c r="I596" s="24" t="inlineStr">
        <is>
          <t>Contractual due date pending refreshed collection call</t>
        </is>
      </c>
      <c r="J596" s="8">
        <f>IFERROR(MATCH(G596,'13W Cash Forecast'!$B$4:$N$4,1),1)</f>
        <v/>
      </c>
    </row>
    <row r="597">
      <c r="A597" s="8" t="inlineStr">
        <is>
          <t>AR-0031069</t>
        </is>
      </c>
      <c r="B597" s="8" t="inlineStr">
        <is>
          <t>Service</t>
        </is>
      </c>
      <c r="C597" s="8" t="inlineStr">
        <is>
          <t>Forest Park Hospitality - West Development Company</t>
        </is>
      </c>
      <c r="D597" s="22" t="n">
        <v>46152</v>
      </c>
      <c r="E597" s="22" t="n">
        <v>46182</v>
      </c>
      <c r="F597" s="9" t="n">
        <v>211.65</v>
      </c>
      <c r="G597" s="23" t="n">
        <v>46182</v>
      </c>
      <c r="H597" s="24" t="inlineStr">
        <is>
          <t>Medium</t>
        </is>
      </c>
      <c r="I597" s="24" t="inlineStr">
        <is>
          <t>Contractual due date pending refreshed collection call</t>
        </is>
      </c>
      <c r="J597" s="8">
        <f>IFERROR(MATCH(G597,'13W Cash Forecast'!$B$4:$N$4,1),1)</f>
        <v/>
      </c>
    </row>
    <row r="598">
      <c r="A598" s="8" t="inlineStr">
        <is>
          <t>AR-0031117</t>
        </is>
      </c>
      <c r="B598" s="8" t="inlineStr">
        <is>
          <t>Service</t>
        </is>
      </c>
      <c r="C598" s="8" t="inlineStr">
        <is>
          <t>McKenzie River Foods - Central Property Group</t>
        </is>
      </c>
      <c r="D598" s="22" t="n">
        <v>46167</v>
      </c>
      <c r="E598" s="22" t="n">
        <v>46182</v>
      </c>
      <c r="F598" s="9" t="n">
        <v>1250.14</v>
      </c>
      <c r="G598" s="23" t="n">
        <v>46182</v>
      </c>
      <c r="H598" s="24" t="inlineStr">
        <is>
          <t>Medium</t>
        </is>
      </c>
      <c r="I598" s="24" t="inlineStr">
        <is>
          <t>Contractual due date pending refreshed collection call</t>
        </is>
      </c>
      <c r="J598" s="8">
        <f>IFERROR(MATCH(G598,'13W Cash Forecast'!$B$4:$N$4,1),1)</f>
        <v/>
      </c>
    </row>
    <row r="599">
      <c r="A599" s="8" t="inlineStr">
        <is>
          <t>AR-0031123</t>
        </is>
      </c>
      <c r="B599" s="8" t="inlineStr">
        <is>
          <t>Service</t>
        </is>
      </c>
      <c r="C599" s="8" t="inlineStr">
        <is>
          <t>Valley View Food Systems - Operations Holdings, LLC</t>
        </is>
      </c>
      <c r="D599" s="22" t="n">
        <v>46152</v>
      </c>
      <c r="E599" s="22" t="n">
        <v>46182</v>
      </c>
      <c r="F599" s="9" t="n">
        <v>1177.17</v>
      </c>
      <c r="G599" s="23" t="n">
        <v>46182</v>
      </c>
      <c r="H599" s="24" t="inlineStr">
        <is>
          <t>Medium</t>
        </is>
      </c>
      <c r="I599" s="24" t="inlineStr">
        <is>
          <t>Contractual due date pending refreshed collection call</t>
        </is>
      </c>
      <c r="J599" s="8">
        <f>IFERROR(MATCH(G599,'13W Cash Forecast'!$B$4:$N$4,1),1)</f>
        <v/>
      </c>
    </row>
    <row r="600">
      <c r="A600" s="8" t="inlineStr">
        <is>
          <t>AR-0031177</t>
        </is>
      </c>
      <c r="B600" s="8" t="inlineStr">
        <is>
          <t>Service</t>
        </is>
      </c>
      <c r="C600" s="8" t="inlineStr">
        <is>
          <t>Oak Street Development - North Holdings, LLC</t>
        </is>
      </c>
      <c r="D600" s="22" t="n">
        <v>46152</v>
      </c>
      <c r="E600" s="22" t="n">
        <v>46182</v>
      </c>
      <c r="F600" s="9" t="n">
        <v>1974</v>
      </c>
      <c r="G600" s="23" t="n">
        <v>46182</v>
      </c>
      <c r="H600" s="24" t="inlineStr">
        <is>
          <t>Medium</t>
        </is>
      </c>
      <c r="I600" s="24" t="inlineStr">
        <is>
          <t>Contractual due date pending refreshed collection call</t>
        </is>
      </c>
      <c r="J600" s="8">
        <f>IFERROR(MATCH(G600,'13W Cash Forecast'!$B$4:$N$4,1),1)</f>
        <v/>
      </c>
    </row>
    <row r="601">
      <c r="A601" s="8" t="inlineStr">
        <is>
          <t>AR-0030702</t>
        </is>
      </c>
      <c r="B601" s="8" t="inlineStr">
        <is>
          <t>Service</t>
        </is>
      </c>
      <c r="C601" s="8" t="inlineStr">
        <is>
          <t>Deschutes Medical Group - North Campus Services</t>
        </is>
      </c>
      <c r="D601" s="22" t="n">
        <v>46138</v>
      </c>
      <c r="E601" s="22" t="n">
        <v>46183</v>
      </c>
      <c r="F601" s="9" t="n">
        <v>322.33</v>
      </c>
      <c r="G601" s="23" t="n">
        <v>46183</v>
      </c>
      <c r="H601" s="24" t="inlineStr">
        <is>
          <t>Low</t>
        </is>
      </c>
      <c r="I601" s="24" t="inlineStr">
        <is>
          <t>Awaiting project-accountant follow-up</t>
        </is>
      </c>
      <c r="J601" s="8">
        <f>IFERROR(MATCH(G601,'13W Cash Forecast'!$B$4:$N$4,1),1)</f>
        <v/>
      </c>
    </row>
    <row r="602">
      <c r="A602" s="8" t="inlineStr">
        <is>
          <t>AR-0030891</t>
        </is>
      </c>
      <c r="B602" s="8" t="inlineStr">
        <is>
          <t>Service</t>
        </is>
      </c>
      <c r="C602" s="8" t="inlineStr">
        <is>
          <t>Lake Oswego Office Partners - East Development Company</t>
        </is>
      </c>
      <c r="D602" s="22" t="n">
        <v>46138</v>
      </c>
      <c r="E602" s="22" t="n">
        <v>46183</v>
      </c>
      <c r="F602" s="9" t="n">
        <v>366.6</v>
      </c>
      <c r="G602" s="23" t="n">
        <v>46183</v>
      </c>
      <c r="H602" s="24" t="inlineStr">
        <is>
          <t>Medium</t>
        </is>
      </c>
      <c r="I602" s="24" t="inlineStr">
        <is>
          <t>Contractual due date pending refreshed collection call</t>
        </is>
      </c>
      <c r="J602" s="8">
        <f>IFERROR(MATCH(G602,'13W Cash Forecast'!$B$4:$N$4,1),1)</f>
        <v/>
      </c>
    </row>
    <row r="603">
      <c r="A603" s="8" t="inlineStr">
        <is>
          <t>AR-0030939</t>
        </is>
      </c>
      <c r="B603" s="8" t="inlineStr">
        <is>
          <t>Service</t>
        </is>
      </c>
      <c r="C603" s="8" t="inlineStr">
        <is>
          <t>Willamette Food Cooperative</t>
        </is>
      </c>
      <c r="D603" s="22" t="n">
        <v>46153</v>
      </c>
      <c r="E603" s="22" t="n">
        <v>46183</v>
      </c>
      <c r="F603" s="9" t="n">
        <v>804.1</v>
      </c>
      <c r="G603" s="23" t="n">
        <v>46183</v>
      </c>
      <c r="H603" s="24" t="inlineStr">
        <is>
          <t>Medium</t>
        </is>
      </c>
      <c r="I603" s="24" t="inlineStr">
        <is>
          <t>Contractual due date pending refreshed collection call</t>
        </is>
      </c>
      <c r="J603" s="8">
        <f>IFERROR(MATCH(G603,'13W Cash Forecast'!$B$4:$N$4,1),1)</f>
        <v/>
      </c>
    </row>
    <row r="604">
      <c r="A604" s="8" t="inlineStr">
        <is>
          <t>AR-0030966</t>
        </is>
      </c>
      <c r="B604" s="8" t="inlineStr">
        <is>
          <t>Service</t>
        </is>
      </c>
      <c r="C604" s="8" t="inlineStr">
        <is>
          <t>Mt. Hood Community Health Campus Services</t>
        </is>
      </c>
      <c r="D604" s="22" t="n">
        <v>46153</v>
      </c>
      <c r="E604" s="22" t="n">
        <v>46183</v>
      </c>
      <c r="F604" s="9" t="n">
        <v>558.91</v>
      </c>
      <c r="G604" s="23" t="n">
        <v>46183</v>
      </c>
      <c r="H604" s="24" t="inlineStr">
        <is>
          <t>Medium</t>
        </is>
      </c>
      <c r="I604" s="24" t="inlineStr">
        <is>
          <t>Contractual due date pending refreshed collection call</t>
        </is>
      </c>
      <c r="J604" s="8">
        <f>IFERROR(MATCH(G604,'13W Cash Forecast'!$B$4:$N$4,1),1)</f>
        <v/>
      </c>
    </row>
    <row r="605">
      <c r="A605" s="8" t="inlineStr">
        <is>
          <t>AR-0030993</t>
        </is>
      </c>
      <c r="B605" s="8" t="inlineStr">
        <is>
          <t>Service</t>
        </is>
      </c>
      <c r="C605" s="8" t="inlineStr">
        <is>
          <t>Columbia River Logistics - Portfolio Facilities</t>
        </is>
      </c>
      <c r="D605" s="22" t="n">
        <v>46153</v>
      </c>
      <c r="E605" s="22" t="n">
        <v>46183</v>
      </c>
      <c r="F605" s="9" t="n">
        <v>352.67</v>
      </c>
      <c r="G605" s="23" t="n">
        <v>46183</v>
      </c>
      <c r="H605" s="24" t="inlineStr">
        <is>
          <t>Medium</t>
        </is>
      </c>
      <c r="I605" s="24" t="inlineStr">
        <is>
          <t>Contractual due date pending refreshed collection call</t>
        </is>
      </c>
      <c r="J605" s="8">
        <f>IFERROR(MATCH(G605,'13W Cash Forecast'!$B$4:$N$4,1),1)</f>
        <v/>
      </c>
    </row>
    <row r="606">
      <c r="A606" s="8" t="inlineStr">
        <is>
          <t>AR-0031041</t>
        </is>
      </c>
      <c r="B606" s="8" t="inlineStr">
        <is>
          <t>Service</t>
        </is>
      </c>
      <c r="C606" s="8" t="inlineStr">
        <is>
          <t>Hillsboro Life Sciences - Campus Real Estate, LLC</t>
        </is>
      </c>
      <c r="D606" s="22" t="n">
        <v>46168</v>
      </c>
      <c r="E606" s="22" t="n">
        <v>46183</v>
      </c>
      <c r="F606" s="9" t="n">
        <v>413.78</v>
      </c>
      <c r="G606" s="23" t="n">
        <v>46183</v>
      </c>
      <c r="H606" s="24" t="inlineStr">
        <is>
          <t>Medium</t>
        </is>
      </c>
      <c r="I606" s="24" t="inlineStr">
        <is>
          <t>Contractual due date pending refreshed collection call</t>
        </is>
      </c>
      <c r="J606" s="8">
        <f>IFERROR(MATCH(G606,'13W Cash Forecast'!$B$4:$N$4,1),1)</f>
        <v/>
      </c>
    </row>
    <row r="607">
      <c r="A607" s="8" t="inlineStr">
        <is>
          <t>AR-0031047</t>
        </is>
      </c>
      <c r="B607" s="8" t="inlineStr">
        <is>
          <t>Service</t>
        </is>
      </c>
      <c r="C607" s="8" t="inlineStr">
        <is>
          <t>Salem Surgical Partners - Campus Asset Management</t>
        </is>
      </c>
      <c r="D607" s="22" t="n">
        <v>46153</v>
      </c>
      <c r="E607" s="22" t="n">
        <v>46183</v>
      </c>
      <c r="F607" s="9" t="n">
        <v>395.59</v>
      </c>
      <c r="G607" s="23" t="n">
        <v>46183</v>
      </c>
      <c r="H607" s="24" t="inlineStr">
        <is>
          <t>Medium</t>
        </is>
      </c>
      <c r="I607" s="24" t="inlineStr">
        <is>
          <t>Contractual due date pending refreshed collection call</t>
        </is>
      </c>
      <c r="J607" s="8">
        <f>IFERROR(MATCH(G607,'13W Cash Forecast'!$B$4:$N$4,1),1)</f>
        <v/>
      </c>
    </row>
    <row r="608">
      <c r="A608" s="8" t="inlineStr">
        <is>
          <t>AR-0031095</t>
        </is>
      </c>
      <c r="B608" s="8" t="inlineStr">
        <is>
          <t>Service</t>
        </is>
      </c>
      <c r="C608" s="8" t="inlineStr">
        <is>
          <t>Alder Creek Medical - North Property Group</t>
        </is>
      </c>
      <c r="D608" s="22" t="n">
        <v>46168</v>
      </c>
      <c r="E608" s="22" t="n">
        <v>46183</v>
      </c>
      <c r="F608" s="9" t="n">
        <v>1227.77</v>
      </c>
      <c r="G608" s="23" t="n">
        <v>46183</v>
      </c>
      <c r="H608" s="24" t="inlineStr">
        <is>
          <t>Low</t>
        </is>
      </c>
      <c r="I608" s="24" t="inlineStr">
        <is>
          <t>Awaiting project-accountant follow-up</t>
        </is>
      </c>
      <c r="J608" s="8">
        <f>IFERROR(MATCH(G608,'13W Cash Forecast'!$B$4:$N$4,1),1)</f>
        <v/>
      </c>
    </row>
    <row r="609">
      <c r="A609" s="8" t="inlineStr">
        <is>
          <t>AR-0031101</t>
        </is>
      </c>
      <c r="B609" s="8" t="inlineStr">
        <is>
          <t>Service</t>
        </is>
      </c>
      <c r="C609" s="8" t="inlineStr">
        <is>
          <t>Klamath County Facilities - South Holdings, LLC</t>
        </is>
      </c>
      <c r="D609" s="22" t="n">
        <v>46153</v>
      </c>
      <c r="E609" s="22" t="n">
        <v>46183</v>
      </c>
      <c r="F609" s="9" t="n">
        <v>251.01</v>
      </c>
      <c r="G609" s="23" t="n">
        <v>46183</v>
      </c>
      <c r="H609" s="24" t="inlineStr">
        <is>
          <t>Medium</t>
        </is>
      </c>
      <c r="I609" s="24" t="inlineStr">
        <is>
          <t>Contractual due date pending refreshed collection call</t>
        </is>
      </c>
      <c r="J609" s="8">
        <f>IFERROR(MATCH(G609,'13W Cash Forecast'!$B$4:$N$4,1),1)</f>
        <v/>
      </c>
    </row>
    <row r="610">
      <c r="A610" s="8" t="inlineStr">
        <is>
          <t>AR-0031155</t>
        </is>
      </c>
      <c r="B610" s="8" t="inlineStr">
        <is>
          <t>Service</t>
        </is>
      </c>
      <c r="C610" s="8" t="inlineStr">
        <is>
          <t>Central Cascades Foods - Central Holdings, LLC</t>
        </is>
      </c>
      <c r="D610" s="22" t="n">
        <v>46153</v>
      </c>
      <c r="E610" s="22" t="n">
        <v>46183</v>
      </c>
      <c r="F610" s="9" t="n">
        <v>467.14</v>
      </c>
      <c r="G610" s="23" t="n">
        <v>46183</v>
      </c>
      <c r="H610" s="24" t="inlineStr">
        <is>
          <t>Medium</t>
        </is>
      </c>
      <c r="I610" s="24" t="inlineStr">
        <is>
          <t>Contractual due date pending refreshed collection call</t>
        </is>
      </c>
      <c r="J610" s="8">
        <f>IFERROR(MATCH(G610,'13W Cash Forecast'!$B$4:$N$4,1),1)</f>
        <v/>
      </c>
    </row>
    <row r="611">
      <c r="A611" s="8" t="inlineStr">
        <is>
          <t>AR-0031182</t>
        </is>
      </c>
      <c r="B611" s="8" t="inlineStr">
        <is>
          <t>Service</t>
        </is>
      </c>
      <c r="C611" s="8" t="inlineStr">
        <is>
          <t>Juniper Ridge Properties - North Operating Company</t>
        </is>
      </c>
      <c r="D611" s="22" t="n">
        <v>46153</v>
      </c>
      <c r="E611" s="22" t="n">
        <v>46183</v>
      </c>
      <c r="F611" s="9" t="n">
        <v>472.99</v>
      </c>
      <c r="G611" s="23" t="n">
        <v>46183</v>
      </c>
      <c r="H611" s="24" t="inlineStr">
        <is>
          <t>Medium</t>
        </is>
      </c>
      <c r="I611" s="24" t="inlineStr">
        <is>
          <t>Contractual due date pending refreshed collection call</t>
        </is>
      </c>
      <c r="J611" s="8">
        <f>IFERROR(MATCH(G611,'13W Cash Forecast'!$B$4:$N$4,1),1)</f>
        <v/>
      </c>
    </row>
    <row r="612">
      <c r="A612" s="8" t="inlineStr">
        <is>
          <t>AR-0030869</t>
        </is>
      </c>
      <c r="B612" s="8" t="inlineStr">
        <is>
          <t>Service</t>
        </is>
      </c>
      <c r="C612" s="8" t="inlineStr">
        <is>
          <t>Westside Ambulatory - Portfolio Asset Management</t>
        </is>
      </c>
      <c r="D612" s="22" t="n">
        <v>46139</v>
      </c>
      <c r="E612" s="22" t="n">
        <v>46184</v>
      </c>
      <c r="F612" s="9" t="n">
        <v>567.67</v>
      </c>
      <c r="G612" s="23" t="n">
        <v>46184</v>
      </c>
      <c r="H612" s="24" t="inlineStr">
        <is>
          <t>Medium</t>
        </is>
      </c>
      <c r="I612" s="24" t="inlineStr">
        <is>
          <t>Contractual due date pending refreshed collection call</t>
        </is>
      </c>
      <c r="J612" s="8">
        <f>IFERROR(MATCH(G612,'13W Cash Forecast'!$B$4:$N$4,1),1)</f>
        <v/>
      </c>
    </row>
    <row r="613">
      <c r="A613" s="8" t="inlineStr">
        <is>
          <t>AR-0030938</t>
        </is>
      </c>
      <c r="B613" s="8" t="inlineStr">
        <is>
          <t>Service</t>
        </is>
      </c>
      <c r="C613" s="8" t="inlineStr">
        <is>
          <t>Clackamas Health Network - Operations Asset Management</t>
        </is>
      </c>
      <c r="D613" s="22" t="n">
        <v>46169</v>
      </c>
      <c r="E613" s="22" t="n">
        <v>46184</v>
      </c>
      <c r="F613" s="9" t="n">
        <v>947.8099999999999</v>
      </c>
      <c r="G613" s="23" t="n">
        <v>46184</v>
      </c>
      <c r="H613" s="24" t="inlineStr">
        <is>
          <t>Medium</t>
        </is>
      </c>
      <c r="I613" s="24" t="inlineStr">
        <is>
          <t>Contractual due date pending refreshed collection call</t>
        </is>
      </c>
      <c r="J613" s="8">
        <f>IFERROR(MATCH(G613,'13W Cash Forecast'!$B$4:$N$4,1),1)</f>
        <v/>
      </c>
    </row>
    <row r="614">
      <c r="A614" s="8" t="inlineStr">
        <is>
          <t>AR-0030944</t>
        </is>
      </c>
      <c r="B614" s="8" t="inlineStr">
        <is>
          <t>Service</t>
        </is>
      </c>
      <c r="C614" s="8" t="inlineStr">
        <is>
          <t>Mt. Hood Community Health - Operations LLC</t>
        </is>
      </c>
      <c r="D614" s="22" t="n">
        <v>46154</v>
      </c>
      <c r="E614" s="22" t="n">
        <v>46184</v>
      </c>
      <c r="F614" s="9" t="n">
        <v>815.84</v>
      </c>
      <c r="G614" s="23" t="n">
        <v>46184</v>
      </c>
      <c r="H614" s="24" t="inlineStr">
        <is>
          <t>Medium</t>
        </is>
      </c>
      <c r="I614" s="24" t="inlineStr">
        <is>
          <t>Contractual due date pending refreshed collection call</t>
        </is>
      </c>
      <c r="J614" s="8">
        <f>IFERROR(MATCH(G614,'13W Cash Forecast'!$B$4:$N$4,1),1)</f>
        <v/>
      </c>
    </row>
    <row r="615">
      <c r="A615" s="8" t="inlineStr">
        <is>
          <t>AR-0031019</t>
        </is>
      </c>
      <c r="B615" s="8" t="inlineStr">
        <is>
          <t>Service</t>
        </is>
      </c>
      <c r="C615" s="8" t="inlineStr">
        <is>
          <t>Oregon Advanced Materials Operating Company</t>
        </is>
      </c>
      <c r="D615" s="22" t="n">
        <v>46169</v>
      </c>
      <c r="E615" s="22" t="n">
        <v>46184</v>
      </c>
      <c r="F615" s="9" t="n">
        <v>492.91</v>
      </c>
      <c r="G615" s="23" t="n">
        <v>46184</v>
      </c>
      <c r="H615" s="24" t="inlineStr">
        <is>
          <t>Low</t>
        </is>
      </c>
      <c r="I615" s="24" t="inlineStr">
        <is>
          <t>Awaiting project-accountant follow-up</t>
        </is>
      </c>
      <c r="J615" s="8">
        <f>IFERROR(MATCH(G615,'13W Cash Forecast'!$B$4:$N$4,1),1)</f>
        <v/>
      </c>
    </row>
    <row r="616">
      <c r="A616" s="8" t="inlineStr">
        <is>
          <t>AR-0031025</t>
        </is>
      </c>
      <c r="B616" s="8" t="inlineStr">
        <is>
          <t>Service</t>
        </is>
      </c>
      <c r="C616" s="8" t="inlineStr">
        <is>
          <t>Forest Park Hospitality - West Asset Management</t>
        </is>
      </c>
      <c r="D616" s="22" t="n">
        <v>46154</v>
      </c>
      <c r="E616" s="22" t="n">
        <v>46184</v>
      </c>
      <c r="F616" s="9" t="n">
        <v>1997.24</v>
      </c>
      <c r="G616" s="23" t="n">
        <v>46184</v>
      </c>
      <c r="H616" s="24" t="inlineStr">
        <is>
          <t>Medium</t>
        </is>
      </c>
      <c r="I616" s="24" t="inlineStr">
        <is>
          <t>Contractual due date pending refreshed collection call</t>
        </is>
      </c>
      <c r="J616" s="8">
        <f>IFERROR(MATCH(G616,'13W Cash Forecast'!$B$4:$N$4,1),1)</f>
        <v/>
      </c>
    </row>
    <row r="617">
      <c r="A617" s="8" t="inlineStr">
        <is>
          <t>AR-0031073</t>
        </is>
      </c>
      <c r="B617" s="8" t="inlineStr">
        <is>
          <t>Service</t>
        </is>
      </c>
      <c r="C617" s="8" t="inlineStr">
        <is>
          <t>McKenzie River Foods - Central Holdings, LLC</t>
        </is>
      </c>
      <c r="D617" s="22" t="n">
        <v>46169</v>
      </c>
      <c r="E617" s="22" t="n">
        <v>46184</v>
      </c>
      <c r="F617" s="9" t="n">
        <v>1582.43</v>
      </c>
      <c r="G617" s="23" t="n">
        <v>46184</v>
      </c>
      <c r="H617" s="24" t="inlineStr">
        <is>
          <t>Medium</t>
        </is>
      </c>
      <c r="I617" s="24" t="inlineStr">
        <is>
          <t>Contractual due date pending refreshed collection call</t>
        </is>
      </c>
      <c r="J617" s="8">
        <f>IFERROR(MATCH(G617,'13W Cash Forecast'!$B$4:$N$4,1),1)</f>
        <v/>
      </c>
    </row>
    <row r="618">
      <c r="A618" s="8" t="inlineStr">
        <is>
          <t>AR-0031079</t>
        </is>
      </c>
      <c r="B618" s="8" t="inlineStr">
        <is>
          <t>Service</t>
        </is>
      </c>
      <c r="C618" s="8" t="inlineStr">
        <is>
          <t>Valley View Food Systems - Operations LLC</t>
        </is>
      </c>
      <c r="D618" s="22" t="n">
        <v>46154</v>
      </c>
      <c r="E618" s="22" t="n">
        <v>46184</v>
      </c>
      <c r="F618" s="9" t="n">
        <v>418.32</v>
      </c>
      <c r="G618" s="23" t="n">
        <v>46184</v>
      </c>
      <c r="H618" s="24" t="inlineStr">
        <is>
          <t>Medium</t>
        </is>
      </c>
      <c r="I618" s="24" t="inlineStr">
        <is>
          <t>Contractual due date pending refreshed collection call</t>
        </is>
      </c>
      <c r="J618" s="8">
        <f>IFERROR(MATCH(G618,'13W Cash Forecast'!$B$4:$N$4,1),1)</f>
        <v/>
      </c>
    </row>
    <row r="619">
      <c r="A619" s="8" t="inlineStr">
        <is>
          <t>AR-0031133</t>
        </is>
      </c>
      <c r="B619" s="8" t="inlineStr">
        <is>
          <t>Service</t>
        </is>
      </c>
      <c r="C619" s="8" t="inlineStr">
        <is>
          <t>Oak Street Development - North LLC</t>
        </is>
      </c>
      <c r="D619" s="22" t="n">
        <v>46154</v>
      </c>
      <c r="E619" s="22" t="n">
        <v>46184</v>
      </c>
      <c r="F619" s="9" t="n">
        <v>677.35</v>
      </c>
      <c r="G619" s="23" t="n">
        <v>46184</v>
      </c>
      <c r="H619" s="24" t="inlineStr">
        <is>
          <t>Medium</t>
        </is>
      </c>
      <c r="I619" s="24" t="inlineStr">
        <is>
          <t>Contractual due date pending refreshed collection call</t>
        </is>
      </c>
      <c r="J619" s="8">
        <f>IFERROR(MATCH(G619,'13W Cash Forecast'!$B$4:$N$4,1),1)</f>
        <v/>
      </c>
    </row>
    <row r="620">
      <c r="A620" s="8" t="inlineStr">
        <is>
          <t>AR-0031160</t>
        </is>
      </c>
      <c r="B620" s="8" t="inlineStr">
        <is>
          <t>Service</t>
        </is>
      </c>
      <c r="C620" s="8" t="inlineStr">
        <is>
          <t>Union Station Properties - Central Partners, LP</t>
        </is>
      </c>
      <c r="D620" s="22" t="n">
        <v>46154</v>
      </c>
      <c r="E620" s="22" t="n">
        <v>46184</v>
      </c>
      <c r="F620" s="9" t="n">
        <v>2794.58</v>
      </c>
      <c r="G620" s="23" t="n">
        <v>46184</v>
      </c>
      <c r="H620" s="24" t="inlineStr">
        <is>
          <t>Medium</t>
        </is>
      </c>
      <c r="I620" s="24" t="inlineStr">
        <is>
          <t>Contractual due date pending refreshed collection call</t>
        </is>
      </c>
      <c r="J620" s="8">
        <f>IFERROR(MATCH(G620,'13W Cash Forecast'!$B$4:$N$4,1),1)</f>
        <v/>
      </c>
    </row>
    <row r="621">
      <c r="A621" s="8" t="inlineStr">
        <is>
          <t>AR-0030922</t>
        </is>
      </c>
      <c r="B621" s="8" t="inlineStr">
        <is>
          <t>Service</t>
        </is>
      </c>
      <c r="C621" s="8" t="inlineStr">
        <is>
          <t>Beacon Industrial - South LLC</t>
        </is>
      </c>
      <c r="D621" s="22" t="n">
        <v>46155</v>
      </c>
      <c r="E621" s="22" t="n">
        <v>46185</v>
      </c>
      <c r="F621" s="9" t="n">
        <v>2204.91</v>
      </c>
      <c r="G621" s="23" t="n">
        <v>46185</v>
      </c>
      <c r="H621" s="24" t="inlineStr">
        <is>
          <t>Medium</t>
        </is>
      </c>
      <c r="I621" s="24" t="inlineStr">
        <is>
          <t>Contractual due date pending refreshed collection call</t>
        </is>
      </c>
      <c r="J621" s="8">
        <f>IFERROR(MATCH(G621,'13W Cash Forecast'!$B$4:$N$4,1),1)</f>
        <v/>
      </c>
    </row>
    <row r="622">
      <c r="A622" s="8" t="inlineStr">
        <is>
          <t>AR-0030976</t>
        </is>
      </c>
      <c r="B622" s="8" t="inlineStr">
        <is>
          <t>Service</t>
        </is>
      </c>
      <c r="C622" s="8" t="inlineStr">
        <is>
          <t>Columbia Biologics, Inc.</t>
        </is>
      </c>
      <c r="D622" s="22" t="n">
        <v>46155</v>
      </c>
      <c r="E622" s="22" t="n">
        <v>46185</v>
      </c>
      <c r="F622" s="9" t="n">
        <v>987.3200000000001</v>
      </c>
      <c r="G622" s="23" t="n">
        <v>46185</v>
      </c>
      <c r="H622" s="24" t="inlineStr">
        <is>
          <t>Low</t>
        </is>
      </c>
      <c r="I622" s="24" t="inlineStr">
        <is>
          <t>Awaiting project-accountant follow-up</t>
        </is>
      </c>
      <c r="J622" s="8">
        <f>IFERROR(MATCH(G622,'13W Cash Forecast'!$B$4:$N$4,1),1)</f>
        <v/>
      </c>
    </row>
    <row r="623">
      <c r="A623" s="8" t="inlineStr">
        <is>
          <t>AR-0031003</t>
        </is>
      </c>
      <c r="B623" s="8" t="inlineStr">
        <is>
          <t>Service</t>
        </is>
      </c>
      <c r="C623" s="8" t="inlineStr">
        <is>
          <t>Klamath County Facilities Development Company</t>
        </is>
      </c>
      <c r="D623" s="22" t="n">
        <v>46155</v>
      </c>
      <c r="E623" s="22" t="n">
        <v>46185</v>
      </c>
      <c r="F623" s="9" t="n">
        <v>299.13</v>
      </c>
      <c r="G623" s="23" t="n">
        <v>46185</v>
      </c>
      <c r="H623" s="24" t="inlineStr">
        <is>
          <t>Medium</t>
        </is>
      </c>
      <c r="I623" s="24" t="inlineStr">
        <is>
          <t>Contractual due date pending refreshed collection call</t>
        </is>
      </c>
      <c r="J623" s="8">
        <f>IFERROR(MATCH(G623,'13W Cash Forecast'!$B$4:$N$4,1),1)</f>
        <v/>
      </c>
    </row>
    <row r="624">
      <c r="A624" s="8" t="inlineStr">
        <is>
          <t>AR-0031057</t>
        </is>
      </c>
      <c r="B624" s="8" t="inlineStr">
        <is>
          <t>Service</t>
        </is>
      </c>
      <c r="C624" s="8" t="inlineStr">
        <is>
          <t>Klamath County Facilities - South LLC</t>
        </is>
      </c>
      <c r="D624" s="22" t="n">
        <v>46155</v>
      </c>
      <c r="E624" s="22" t="n">
        <v>46185</v>
      </c>
      <c r="F624" s="9" t="n">
        <v>662.16</v>
      </c>
      <c r="G624" s="23" t="n">
        <v>46185</v>
      </c>
      <c r="H624" s="24" t="inlineStr">
        <is>
          <t>Medium</t>
        </is>
      </c>
      <c r="I624" s="24" t="inlineStr">
        <is>
          <t>Contractual due date pending refreshed collection call</t>
        </is>
      </c>
      <c r="J624" s="8">
        <f>IFERROR(MATCH(G624,'13W Cash Forecast'!$B$4:$N$4,1),1)</f>
        <v/>
      </c>
    </row>
    <row r="625">
      <c r="A625" s="8" t="inlineStr">
        <is>
          <t>AR-0031111</t>
        </is>
      </c>
      <c r="B625" s="8" t="inlineStr">
        <is>
          <t>Service</t>
        </is>
      </c>
      <c r="C625" s="8" t="inlineStr">
        <is>
          <t>Central Cascades Foods - Central LLC</t>
        </is>
      </c>
      <c r="D625" s="22" t="n">
        <v>46155</v>
      </c>
      <c r="E625" s="22" t="n">
        <v>46185</v>
      </c>
      <c r="F625" s="9" t="n">
        <v>812.77</v>
      </c>
      <c r="G625" s="23" t="n">
        <v>46185</v>
      </c>
      <c r="H625" s="24" t="inlineStr">
        <is>
          <t>Medium</t>
        </is>
      </c>
      <c r="I625" s="24" t="inlineStr">
        <is>
          <t>Contractual due date pending refreshed collection call</t>
        </is>
      </c>
      <c r="J625" s="8">
        <f>IFERROR(MATCH(G625,'13W Cash Forecast'!$B$4:$N$4,1),1)</f>
        <v/>
      </c>
    </row>
    <row r="626">
      <c r="A626" s="8" t="inlineStr">
        <is>
          <t>AR-0031138</t>
        </is>
      </c>
      <c r="B626" s="8" t="inlineStr">
        <is>
          <t>Service</t>
        </is>
      </c>
      <c r="C626" s="8" t="inlineStr">
        <is>
          <t>Juniper Ridge Properties - North Partners, LP</t>
        </is>
      </c>
      <c r="D626" s="22" t="n">
        <v>46155</v>
      </c>
      <c r="E626" s="22" t="n">
        <v>46185</v>
      </c>
      <c r="F626" s="9" t="n">
        <v>624.5599999999999</v>
      </c>
      <c r="G626" s="23" t="n">
        <v>46185</v>
      </c>
      <c r="H626" s="24" t="inlineStr">
        <is>
          <t>Medium</t>
        </is>
      </c>
      <c r="I626" s="24" t="inlineStr">
        <is>
          <t>Contractual due date pending refreshed collection call</t>
        </is>
      </c>
      <c r="J626" s="8">
        <f>IFERROR(MATCH(G626,'13W Cash Forecast'!$B$4:$N$4,1),1)</f>
        <v/>
      </c>
    </row>
    <row r="627">
      <c r="A627" s="8" t="inlineStr">
        <is>
          <t>AR-0031192</t>
        </is>
      </c>
      <c r="B627" s="8" t="inlineStr">
        <is>
          <t>Service</t>
        </is>
      </c>
      <c r="C627" s="8" t="inlineStr">
        <is>
          <t>Beacon Industrial - South LLC</t>
        </is>
      </c>
      <c r="D627" s="22" t="n">
        <v>46155</v>
      </c>
      <c r="E627" s="22" t="n">
        <v>46185</v>
      </c>
      <c r="F627" s="9" t="n">
        <v>125.5</v>
      </c>
      <c r="G627" s="23" t="n">
        <v>46185</v>
      </c>
      <c r="H627" s="24" t="inlineStr">
        <is>
          <t>Medium</t>
        </is>
      </c>
      <c r="I627" s="24" t="inlineStr">
        <is>
          <t>Contractual due date pending refreshed collection call</t>
        </is>
      </c>
      <c r="J627" s="8">
        <f>IFERROR(MATCH(G627,'13W Cash Forecast'!$B$4:$N$4,1),1)</f>
        <v/>
      </c>
    </row>
    <row r="628">
      <c r="A628" s="8" t="inlineStr">
        <is>
          <t>AR-0030954</t>
        </is>
      </c>
      <c r="B628" s="8" t="inlineStr">
        <is>
          <t>Service</t>
        </is>
      </c>
      <c r="C628" s="8" t="inlineStr">
        <is>
          <t>Copperline Apartments - Campus Property Group</t>
        </is>
      </c>
      <c r="D628" s="22" t="n">
        <v>46156</v>
      </c>
      <c r="E628" s="22" t="n">
        <v>46186</v>
      </c>
      <c r="F628" s="9" t="n">
        <v>1376.54</v>
      </c>
      <c r="G628" s="23" t="n">
        <v>46186</v>
      </c>
      <c r="H628" s="24" t="inlineStr">
        <is>
          <t>Medium</t>
        </is>
      </c>
      <c r="I628" s="24" t="inlineStr">
        <is>
          <t>Contractual due date pending refreshed collection call</t>
        </is>
      </c>
      <c r="J628" s="8">
        <f>IFERROR(MATCH(G628,'13W Cash Forecast'!$B$4:$N$4,1),1)</f>
        <v/>
      </c>
    </row>
    <row r="629">
      <c r="A629" s="8" t="inlineStr">
        <is>
          <t>AR-0031008</t>
        </is>
      </c>
      <c r="B629" s="8" t="inlineStr">
        <is>
          <t>Service</t>
        </is>
      </c>
      <c r="C629" s="8" t="inlineStr">
        <is>
          <t>Beacon Industrial Campus Services</t>
        </is>
      </c>
      <c r="D629" s="22" t="n">
        <v>46156</v>
      </c>
      <c r="E629" s="22" t="n">
        <v>46186</v>
      </c>
      <c r="F629" s="9" t="n">
        <v>278.12</v>
      </c>
      <c r="G629" s="23" t="n">
        <v>46186</v>
      </c>
      <c r="H629" s="24" t="inlineStr">
        <is>
          <t>Low</t>
        </is>
      </c>
      <c r="I629" s="24" t="inlineStr">
        <is>
          <t>Awaiting project-accountant follow-up</t>
        </is>
      </c>
      <c r="J629" s="8">
        <f>IFERROR(MATCH(G629,'13W Cash Forecast'!$B$4:$N$4,1),1)</f>
        <v/>
      </c>
    </row>
    <row r="630">
      <c r="A630" s="8" t="inlineStr">
        <is>
          <t>AR-0031035</t>
        </is>
      </c>
      <c r="B630" s="8" t="inlineStr">
        <is>
          <t>Service</t>
        </is>
      </c>
      <c r="C630" s="8" t="inlineStr">
        <is>
          <t>Salem Surgical Partners Campus Services</t>
        </is>
      </c>
      <c r="D630" s="22" t="n">
        <v>46156</v>
      </c>
      <c r="E630" s="22" t="n">
        <v>46186</v>
      </c>
      <c r="F630" s="9" t="n">
        <v>2985.35</v>
      </c>
      <c r="G630" s="23" t="n">
        <v>46186</v>
      </c>
      <c r="H630" s="24" t="inlineStr">
        <is>
          <t>Medium</t>
        </is>
      </c>
      <c r="I630" s="24" t="inlineStr">
        <is>
          <t>Contractual due date pending refreshed collection call</t>
        </is>
      </c>
      <c r="J630" s="8">
        <f>IFERROR(MATCH(G630,'13W Cash Forecast'!$B$4:$N$4,1),1)</f>
        <v/>
      </c>
    </row>
    <row r="631">
      <c r="A631" s="8" t="inlineStr">
        <is>
          <t>AR-0031089</t>
        </is>
      </c>
      <c r="B631" s="8" t="inlineStr">
        <is>
          <t>Service</t>
        </is>
      </c>
      <c r="C631" s="8" t="inlineStr">
        <is>
          <t>Oak Street Development - North Development Company</t>
        </is>
      </c>
      <c r="D631" s="22" t="n">
        <v>46156</v>
      </c>
      <c r="E631" s="22" t="n">
        <v>46186</v>
      </c>
      <c r="F631" s="9" t="n">
        <v>499.42</v>
      </c>
      <c r="G631" s="23" t="n">
        <v>46186</v>
      </c>
      <c r="H631" s="24" t="inlineStr">
        <is>
          <t>Medium</t>
        </is>
      </c>
      <c r="I631" s="24" t="inlineStr">
        <is>
          <t>Contractual due date pending refreshed collection call</t>
        </is>
      </c>
      <c r="J631" s="8">
        <f>IFERROR(MATCH(G631,'13W Cash Forecast'!$B$4:$N$4,1),1)</f>
        <v/>
      </c>
    </row>
    <row r="632">
      <c r="A632" s="8" t="inlineStr">
        <is>
          <t>AR-0031116</t>
        </is>
      </c>
      <c r="B632" s="8" t="inlineStr">
        <is>
          <t>Service</t>
        </is>
      </c>
      <c r="C632" s="8" t="inlineStr">
        <is>
          <t>Union Station Properties - Central Facilities</t>
        </is>
      </c>
      <c r="D632" s="22" t="n">
        <v>46156</v>
      </c>
      <c r="E632" s="22" t="n">
        <v>46186</v>
      </c>
      <c r="F632" s="9" t="n">
        <v>701.47</v>
      </c>
      <c r="G632" s="23" t="n">
        <v>46186</v>
      </c>
      <c r="H632" s="24" t="inlineStr">
        <is>
          <t>Medium</t>
        </is>
      </c>
      <c r="I632" s="24" t="inlineStr">
        <is>
          <t>Contractual due date pending refreshed collection call</t>
        </is>
      </c>
      <c r="J632" s="8">
        <f>IFERROR(MATCH(G632,'13W Cash Forecast'!$B$4:$N$4,1),1)</f>
        <v/>
      </c>
    </row>
    <row r="633">
      <c r="A633" s="8" t="inlineStr">
        <is>
          <t>AR-0031170</t>
        </is>
      </c>
      <c r="B633" s="8" t="inlineStr">
        <is>
          <t>Service</t>
        </is>
      </c>
      <c r="C633" s="8" t="inlineStr">
        <is>
          <t>Mt. Hood Community Health - Operations Development Company</t>
        </is>
      </c>
      <c r="D633" s="22" t="n">
        <v>46156</v>
      </c>
      <c r="E633" s="22" t="n">
        <v>46186</v>
      </c>
      <c r="F633" s="9" t="n">
        <v>510.3</v>
      </c>
      <c r="G633" s="23" t="n">
        <v>46186</v>
      </c>
      <c r="H633" s="24" t="inlineStr">
        <is>
          <t>Medium</t>
        </is>
      </c>
      <c r="I633" s="24" t="inlineStr">
        <is>
          <t>Contractual due date pending refreshed collection call</t>
        </is>
      </c>
      <c r="J633" s="8">
        <f>IFERROR(MATCH(G633,'13W Cash Forecast'!$B$4:$N$4,1),1)</f>
        <v/>
      </c>
    </row>
    <row r="634">
      <c r="A634" s="8" t="inlineStr">
        <is>
          <t>AR-0030932</t>
        </is>
      </c>
      <c r="B634" s="8" t="inlineStr">
        <is>
          <t>Service</t>
        </is>
      </c>
      <c r="C634" s="8" t="inlineStr">
        <is>
          <t>Pioneer Medical Properties - West Holdings, LLC</t>
        </is>
      </c>
      <c r="D634" s="22" t="n">
        <v>46157</v>
      </c>
      <c r="E634" s="22" t="n">
        <v>46187</v>
      </c>
      <c r="F634" s="9" t="n">
        <v>485.33</v>
      </c>
      <c r="G634" s="23" t="n">
        <v>46187</v>
      </c>
      <c r="H634" s="24" t="inlineStr">
        <is>
          <t>Medium</t>
        </is>
      </c>
      <c r="I634" s="24" t="inlineStr">
        <is>
          <t>Contractual due date pending refreshed collection call</t>
        </is>
      </c>
      <c r="J634" s="8">
        <f>IFERROR(MATCH(G634,'13W Cash Forecast'!$B$4:$N$4,1),1)</f>
        <v/>
      </c>
    </row>
    <row r="635">
      <c r="A635" s="8" t="inlineStr">
        <is>
          <t>AR-0030986</t>
        </is>
      </c>
      <c r="B635" s="8" t="inlineStr">
        <is>
          <t>Service</t>
        </is>
      </c>
      <c r="C635" s="8" t="inlineStr">
        <is>
          <t>High Desert Manufacturing - Portfolio Holdings, LLC</t>
        </is>
      </c>
      <c r="D635" s="22" t="n">
        <v>46157</v>
      </c>
      <c r="E635" s="22" t="n">
        <v>46187</v>
      </c>
      <c r="F635" s="9" t="n">
        <v>1171.58</v>
      </c>
      <c r="G635" s="23" t="n">
        <v>46187</v>
      </c>
      <c r="H635" s="24" t="inlineStr">
        <is>
          <t>Medium</t>
        </is>
      </c>
      <c r="I635" s="24" t="inlineStr">
        <is>
          <t>Contractual due date pending refreshed collection call</t>
        </is>
      </c>
      <c r="J635" s="8">
        <f>IFERROR(MATCH(G635,'13W Cash Forecast'!$B$4:$N$4,1),1)</f>
        <v/>
      </c>
    </row>
    <row r="636">
      <c r="A636" s="8" t="inlineStr">
        <is>
          <t>AR-0031013</t>
        </is>
      </c>
      <c r="B636" s="8" t="inlineStr">
        <is>
          <t>Service</t>
        </is>
      </c>
      <c r="C636" s="8" t="inlineStr">
        <is>
          <t>Northline Cold Storage Holdings</t>
        </is>
      </c>
      <c r="D636" s="22" t="n">
        <v>46157</v>
      </c>
      <c r="E636" s="22" t="n">
        <v>46187</v>
      </c>
      <c r="F636" s="9" t="n">
        <v>174.25</v>
      </c>
      <c r="G636" s="23" t="n">
        <v>46187</v>
      </c>
      <c r="H636" s="24" t="inlineStr">
        <is>
          <t>Low</t>
        </is>
      </c>
      <c r="I636" s="24" t="inlineStr">
        <is>
          <t>Awaiting project-accountant follow-up</t>
        </is>
      </c>
      <c r="J636" s="8">
        <f>IFERROR(MATCH(G636,'13W Cash Forecast'!$B$4:$N$4,1),1)</f>
        <v/>
      </c>
    </row>
    <row r="637">
      <c r="A637" s="8" t="inlineStr">
        <is>
          <t>AR-0031067</t>
        </is>
      </c>
      <c r="B637" s="8" t="inlineStr">
        <is>
          <t>Service</t>
        </is>
      </c>
      <c r="C637" s="8" t="inlineStr">
        <is>
          <t>Central Cascades Foods - Central Development Company</t>
        </is>
      </c>
      <c r="D637" s="22" t="n">
        <v>46157</v>
      </c>
      <c r="E637" s="22" t="n">
        <v>46187</v>
      </c>
      <c r="F637" s="9" t="n">
        <v>1270.47</v>
      </c>
      <c r="G637" s="23" t="n">
        <v>46187</v>
      </c>
      <c r="H637" s="24" t="inlineStr">
        <is>
          <t>Medium</t>
        </is>
      </c>
      <c r="I637" s="24" t="inlineStr">
        <is>
          <t>Contractual due date pending refreshed collection call</t>
        </is>
      </c>
      <c r="J637" s="8">
        <f>IFERROR(MATCH(G637,'13W Cash Forecast'!$B$4:$N$4,1),1)</f>
        <v/>
      </c>
    </row>
    <row r="638">
      <c r="A638" s="8" t="inlineStr">
        <is>
          <t>AR-0031094</t>
        </is>
      </c>
      <c r="B638" s="8" t="inlineStr">
        <is>
          <t>Service</t>
        </is>
      </c>
      <c r="C638" s="8" t="inlineStr">
        <is>
          <t>Juniper Ridge Properties - North Facilities</t>
        </is>
      </c>
      <c r="D638" s="22" t="n">
        <v>46157</v>
      </c>
      <c r="E638" s="22" t="n">
        <v>46187</v>
      </c>
      <c r="F638" s="9" t="n">
        <v>865.47</v>
      </c>
      <c r="G638" s="23" t="n">
        <v>46187</v>
      </c>
      <c r="H638" s="24" t="inlineStr">
        <is>
          <t>Medium</t>
        </is>
      </c>
      <c r="I638" s="24" t="inlineStr">
        <is>
          <t>Contractual due date pending refreshed collection call</t>
        </is>
      </c>
      <c r="J638" s="8">
        <f>IFERROR(MATCH(G638,'13W Cash Forecast'!$B$4:$N$4,1),1)</f>
        <v/>
      </c>
    </row>
    <row r="639">
      <c r="A639" s="8" t="inlineStr">
        <is>
          <t>AR-0031148</t>
        </is>
      </c>
      <c r="B639" s="8" t="inlineStr">
        <is>
          <t>Service</t>
        </is>
      </c>
      <c r="C639" s="8" t="inlineStr">
        <is>
          <t>Beacon Industrial - South Development Company</t>
        </is>
      </c>
      <c r="D639" s="22" t="n">
        <v>46157</v>
      </c>
      <c r="E639" s="22" t="n">
        <v>46187</v>
      </c>
      <c r="F639" s="9" t="n">
        <v>812.08</v>
      </c>
      <c r="G639" s="23" t="n">
        <v>46187</v>
      </c>
      <c r="H639" s="24" t="inlineStr">
        <is>
          <t>Medium</t>
        </is>
      </c>
      <c r="I639" s="24" t="inlineStr">
        <is>
          <t>Contractual due date pending refreshed collection call</t>
        </is>
      </c>
      <c r="J639" s="8">
        <f>IFERROR(MATCH(G639,'13W Cash Forecast'!$B$4:$N$4,1),1)</f>
        <v/>
      </c>
    </row>
    <row r="640">
      <c r="A640" s="8" t="inlineStr">
        <is>
          <t>AR-0031202</t>
        </is>
      </c>
      <c r="B640" s="8" t="inlineStr">
        <is>
          <t>Service</t>
        </is>
      </c>
      <c r="C640" s="8" t="inlineStr">
        <is>
          <t>Pioneer Medical Properties - West Holdings, LLC</t>
        </is>
      </c>
      <c r="D640" s="22" t="n">
        <v>46157</v>
      </c>
      <c r="E640" s="22" t="n">
        <v>46187</v>
      </c>
      <c r="F640" s="9" t="n">
        <v>320.4</v>
      </c>
      <c r="G640" s="23" t="n">
        <v>46187</v>
      </c>
      <c r="H640" s="24" t="inlineStr">
        <is>
          <t>Medium</t>
        </is>
      </c>
      <c r="I640" s="24" t="inlineStr">
        <is>
          <t>Contractual due date pending refreshed collection call</t>
        </is>
      </c>
      <c r="J640" s="8">
        <f>IFERROR(MATCH(G640,'13W Cash Forecast'!$B$4:$N$4,1),1)</f>
        <v/>
      </c>
    </row>
    <row r="641">
      <c r="A641" s="8" t="inlineStr">
        <is>
          <t>PAYAPP-ARM-2403-202604</t>
        </is>
      </c>
      <c r="B641" s="8" t="inlineStr">
        <is>
          <t>ARM-2403</t>
        </is>
      </c>
      <c r="C641" s="8" t="inlineStr">
        <is>
          <t>City of Riverton Facilities Bureau</t>
        </is>
      </c>
      <c r="D641" s="22" t="n">
        <v>46142</v>
      </c>
      <c r="E641" s="22" t="n">
        <v>46187</v>
      </c>
      <c r="F641" s="9" t="n">
        <v>10195.35</v>
      </c>
      <c r="G641" s="23" t="n">
        <v>46187</v>
      </c>
      <c r="H641" s="24" t="inlineStr">
        <is>
          <t>Medium</t>
        </is>
      </c>
      <c r="I641" s="24" t="inlineStr">
        <is>
          <t>Contractual due date pending refreshed collection call</t>
        </is>
      </c>
      <c r="J641" s="8">
        <f>IFERROR(MATCH(G641,'13W Cash Forecast'!$B$4:$N$4,1),1)</f>
        <v/>
      </c>
    </row>
    <row r="642">
      <c r="A642" s="8" t="inlineStr">
        <is>
          <t>PAYAPP-ARM-2412-202604</t>
        </is>
      </c>
      <c r="B642" s="8" t="inlineStr">
        <is>
          <t>ARM-2412</t>
        </is>
      </c>
      <c r="C642" s="8" t="inlineStr">
        <is>
          <t>Oregon State University - Capital Planning</t>
        </is>
      </c>
      <c r="D642" s="22" t="n">
        <v>46142</v>
      </c>
      <c r="E642" s="22" t="n">
        <v>46187</v>
      </c>
      <c r="F642" s="9" t="n">
        <v>9654.209999999999</v>
      </c>
      <c r="G642" s="23" t="n">
        <v>46187</v>
      </c>
      <c r="H642" s="24" t="inlineStr">
        <is>
          <t>Medium</t>
        </is>
      </c>
      <c r="I642" s="24" t="inlineStr">
        <is>
          <t>Contractual due date pending refreshed collection call</t>
        </is>
      </c>
      <c r="J642" s="8">
        <f>IFERROR(MATCH(G642,'13W Cash Forecast'!$B$4:$N$4,1),1)</f>
        <v/>
      </c>
    </row>
    <row r="643">
      <c r="A643" s="8" t="inlineStr">
        <is>
          <t>PAYAPP-ARM-2417-202604</t>
        </is>
      </c>
      <c r="B643" s="8" t="inlineStr">
        <is>
          <t>ARM-2417</t>
        </is>
      </c>
      <c r="C643" s="8" t="inlineStr">
        <is>
          <t>Cascade Health Properties, LLC</t>
        </is>
      </c>
      <c r="D643" s="22" t="n">
        <v>46142</v>
      </c>
      <c r="E643" s="22" t="n">
        <v>46187</v>
      </c>
      <c r="F643" s="9" t="n">
        <v>37383.3</v>
      </c>
      <c r="G643" s="23" t="n">
        <v>46187</v>
      </c>
      <c r="H643" s="24" t="inlineStr">
        <is>
          <t>Low</t>
        </is>
      </c>
      <c r="I643" s="24" t="inlineStr">
        <is>
          <t>Awaiting project-accountant follow-up</t>
        </is>
      </c>
      <c r="J643" s="8">
        <f>IFERROR(MATCH(G643,'13W Cash Forecast'!$B$4:$N$4,1),1)</f>
        <v/>
      </c>
    </row>
    <row r="644">
      <c r="A644" s="8" t="inlineStr">
        <is>
          <t>PAYAPP-ARM-2501-202604</t>
        </is>
      </c>
      <c r="B644" s="8" t="inlineStr">
        <is>
          <t>ARM-2501</t>
        </is>
      </c>
      <c r="C644" s="8" t="inlineStr">
        <is>
          <t>Port of Portland Aviation</t>
        </is>
      </c>
      <c r="D644" s="22" t="n">
        <v>46142</v>
      </c>
      <c r="E644" s="22" t="n">
        <v>46187</v>
      </c>
      <c r="F644" s="9" t="n">
        <v>7885.05</v>
      </c>
      <c r="G644" s="23" t="n">
        <v>46187</v>
      </c>
      <c r="H644" s="24" t="inlineStr">
        <is>
          <t>Medium</t>
        </is>
      </c>
      <c r="I644" s="24" t="inlineStr">
        <is>
          <t>Contractual due date pending refreshed collection call</t>
        </is>
      </c>
      <c r="J644" s="8">
        <f>IFERROR(MATCH(G644,'13W Cash Forecast'!$B$4:$N$4,1),1)</f>
        <v/>
      </c>
    </row>
    <row r="645">
      <c r="A645" s="8" t="inlineStr">
        <is>
          <t>PAYAPP-ARM-2514-202604</t>
        </is>
      </c>
      <c r="B645" s="8" t="inlineStr">
        <is>
          <t>ARM-2514</t>
        </is>
      </c>
      <c r="C645" s="8" t="inlineStr">
        <is>
          <t>Redmond Unified School District</t>
        </is>
      </c>
      <c r="D645" s="22" t="n">
        <v>46142</v>
      </c>
      <c r="E645" s="22" t="n">
        <v>46187</v>
      </c>
      <c r="F645" s="9" t="n">
        <v>25253.83</v>
      </c>
      <c r="G645" s="23" t="n">
        <v>46187</v>
      </c>
      <c r="H645" s="24" t="inlineStr">
        <is>
          <t>Medium</t>
        </is>
      </c>
      <c r="I645" s="24" t="inlineStr">
        <is>
          <t>Contractual due date pending refreshed collection call</t>
        </is>
      </c>
      <c r="J645" s="8">
        <f>IFERROR(MATCH(G645,'13W Cash Forecast'!$B$4:$N$4,1),1)</f>
        <v/>
      </c>
    </row>
    <row r="646">
      <c r="A646" s="8" t="inlineStr">
        <is>
          <t>PAYAPP-ARM-2518-202604</t>
        </is>
      </c>
      <c r="B646" s="8" t="inlineStr">
        <is>
          <t>ARM-2518</t>
        </is>
      </c>
      <c r="C646" s="8" t="inlineStr">
        <is>
          <t>Deschutes County Public Works</t>
        </is>
      </c>
      <c r="D646" s="22" t="n">
        <v>46142</v>
      </c>
      <c r="E646" s="22" t="n">
        <v>46187</v>
      </c>
      <c r="F646" s="9" t="n">
        <v>8376.959999999999</v>
      </c>
      <c r="G646" s="23" t="n">
        <v>46187</v>
      </c>
      <c r="H646" s="24" t="inlineStr">
        <is>
          <t>Medium</t>
        </is>
      </c>
      <c r="I646" s="24" t="inlineStr">
        <is>
          <t>Contractual due date pending refreshed collection call</t>
        </is>
      </c>
      <c r="J646" s="8">
        <f>IFERROR(MATCH(G646,'13W Cash Forecast'!$B$4:$N$4,1),1)</f>
        <v/>
      </c>
    </row>
    <row r="647">
      <c r="A647" s="8" t="inlineStr">
        <is>
          <t>PAYAPP-ARM-2608-202604</t>
        </is>
      </c>
      <c r="B647" s="8" t="inlineStr">
        <is>
          <t>ARM-2608</t>
        </is>
      </c>
      <c r="C647" s="8" t="inlineStr">
        <is>
          <t>Cascade Health Properties, LLC</t>
        </is>
      </c>
      <c r="D647" s="22" t="n">
        <v>46142</v>
      </c>
      <c r="E647" s="22" t="n">
        <v>46187</v>
      </c>
      <c r="F647" s="9" t="n">
        <v>14768.56</v>
      </c>
      <c r="G647" s="23" t="n">
        <v>46187</v>
      </c>
      <c r="H647" s="24" t="inlineStr">
        <is>
          <t>Medium</t>
        </is>
      </c>
      <c r="I647" s="24" t="inlineStr">
        <is>
          <t>Contractual due date pending refreshed collection call</t>
        </is>
      </c>
      <c r="J647" s="8">
        <f>IFERROR(MATCH(G647,'13W Cash Forecast'!$B$4:$N$4,1),1)</f>
        <v/>
      </c>
    </row>
    <row r="648">
      <c r="A648" s="8" t="inlineStr">
        <is>
          <t>AR-0030964</t>
        </is>
      </c>
      <c r="B648" s="8" t="inlineStr">
        <is>
          <t>Service</t>
        </is>
      </c>
      <c r="C648" s="8" t="inlineStr">
        <is>
          <t>Sunrise Hospitality - East LLC</t>
        </is>
      </c>
      <c r="D648" s="22" t="n">
        <v>46158</v>
      </c>
      <c r="E648" s="22" t="n">
        <v>46188</v>
      </c>
      <c r="F648" s="9" t="n">
        <v>865.5700000000001</v>
      </c>
      <c r="G648" s="23" t="n">
        <v>46188</v>
      </c>
      <c r="H648" s="24" t="inlineStr">
        <is>
          <t>Medium</t>
        </is>
      </c>
      <c r="I648" s="24" t="inlineStr">
        <is>
          <t>Contractual due date pending refreshed collection call</t>
        </is>
      </c>
      <c r="J648" s="8">
        <f>IFERROR(MATCH(G648,'13W Cash Forecast'!$B$4:$N$4,1),1)</f>
        <v/>
      </c>
    </row>
    <row r="649">
      <c r="A649" s="8" t="inlineStr">
        <is>
          <t>AR-0030991</t>
        </is>
      </c>
      <c r="B649" s="8" t="inlineStr">
        <is>
          <t>Service</t>
        </is>
      </c>
      <c r="C649" s="8" t="inlineStr">
        <is>
          <t>Columbia River Logistics - Portfolio Operating Company</t>
        </is>
      </c>
      <c r="D649" s="22" t="n">
        <v>46158</v>
      </c>
      <c r="E649" s="22" t="n">
        <v>46188</v>
      </c>
      <c r="F649" s="9" t="n">
        <v>2047.99</v>
      </c>
      <c r="G649" s="23" t="n">
        <v>46188</v>
      </c>
      <c r="H649" s="24" t="inlineStr">
        <is>
          <t>Medium</t>
        </is>
      </c>
      <c r="I649" s="24" t="inlineStr">
        <is>
          <t>Contractual due date pending refreshed collection call</t>
        </is>
      </c>
      <c r="J649" s="8">
        <f>IFERROR(MATCH(G649,'13W Cash Forecast'!$B$4:$N$4,1),1)</f>
        <v/>
      </c>
    </row>
    <row r="650">
      <c r="A650" s="8" t="inlineStr">
        <is>
          <t>AR-0031045</t>
        </is>
      </c>
      <c r="B650" s="8" t="inlineStr">
        <is>
          <t>Service</t>
        </is>
      </c>
      <c r="C650" s="8" t="inlineStr">
        <is>
          <t>Pacific Northwest Distribution REIT</t>
        </is>
      </c>
      <c r="D650" s="22" t="n">
        <v>46158</v>
      </c>
      <c r="E650" s="22" t="n">
        <v>46188</v>
      </c>
      <c r="F650" s="9" t="n">
        <v>1047.13</v>
      </c>
      <c r="G650" s="23" t="n">
        <v>46188</v>
      </c>
      <c r="H650" s="24" t="inlineStr">
        <is>
          <t>Low</t>
        </is>
      </c>
      <c r="I650" s="24" t="inlineStr">
        <is>
          <t>Awaiting project-accountant follow-up</t>
        </is>
      </c>
      <c r="J650" s="8">
        <f>IFERROR(MATCH(G650,'13W Cash Forecast'!$B$4:$N$4,1),1)</f>
        <v/>
      </c>
    </row>
    <row r="651">
      <c r="A651" s="8" t="inlineStr">
        <is>
          <t>AR-0031072</t>
        </is>
      </c>
      <c r="B651" s="8" t="inlineStr">
        <is>
          <t>Service</t>
        </is>
      </c>
      <c r="C651" s="8" t="inlineStr">
        <is>
          <t>Pioneer Medical Properties Development Company</t>
        </is>
      </c>
      <c r="D651" s="22" t="n">
        <v>46158</v>
      </c>
      <c r="E651" s="22" t="n">
        <v>46188</v>
      </c>
      <c r="F651" s="9" t="n">
        <v>222.29</v>
      </c>
      <c r="G651" s="23" t="n">
        <v>46188</v>
      </c>
      <c r="H651" s="24" t="inlineStr">
        <is>
          <t>Medium</t>
        </is>
      </c>
      <c r="I651" s="24" t="inlineStr">
        <is>
          <t>Contractual due date pending refreshed collection call</t>
        </is>
      </c>
      <c r="J651" s="8">
        <f>IFERROR(MATCH(G651,'13W Cash Forecast'!$B$4:$N$4,1),1)</f>
        <v/>
      </c>
    </row>
    <row r="652">
      <c r="A652" s="8" t="inlineStr">
        <is>
          <t>AR-0031126</t>
        </is>
      </c>
      <c r="B652" s="8" t="inlineStr">
        <is>
          <t>Service</t>
        </is>
      </c>
      <c r="C652" s="8" t="inlineStr">
        <is>
          <t>Mt. Hood Community Health - Operations Asset Management</t>
        </is>
      </c>
      <c r="D652" s="22" t="n">
        <v>46158</v>
      </c>
      <c r="E652" s="22" t="n">
        <v>46188</v>
      </c>
      <c r="F652" s="9" t="n">
        <v>470.7</v>
      </c>
      <c r="G652" s="23" t="n">
        <v>46188</v>
      </c>
      <c r="H652" s="24" t="inlineStr">
        <is>
          <t>Medium</t>
        </is>
      </c>
      <c r="I652" s="24" t="inlineStr">
        <is>
          <t>Contractual due date pending refreshed collection call</t>
        </is>
      </c>
      <c r="J652" s="8">
        <f>IFERROR(MATCH(G652,'13W Cash Forecast'!$B$4:$N$4,1),1)</f>
        <v/>
      </c>
    </row>
    <row r="653">
      <c r="A653" s="8" t="inlineStr">
        <is>
          <t>AR-0031132</t>
        </is>
      </c>
      <c r="B653" s="8" t="inlineStr">
        <is>
          <t>Service</t>
        </is>
      </c>
      <c r="C653" s="8" t="inlineStr">
        <is>
          <t>Westside Ambulatory - Portfolio Campus Services</t>
        </is>
      </c>
      <c r="D653" s="22" t="n">
        <v>46143</v>
      </c>
      <c r="E653" s="22" t="n">
        <v>46188</v>
      </c>
      <c r="F653" s="9" t="n">
        <v>883.77</v>
      </c>
      <c r="G653" s="23" t="n">
        <v>46188</v>
      </c>
      <c r="H653" s="24" t="inlineStr">
        <is>
          <t>Medium</t>
        </is>
      </c>
      <c r="I653" s="24" t="inlineStr">
        <is>
          <t>Contractual due date pending refreshed collection call</t>
        </is>
      </c>
      <c r="J653" s="8">
        <f>IFERROR(MATCH(G653,'13W Cash Forecast'!$B$4:$N$4,1),1)</f>
        <v/>
      </c>
    </row>
    <row r="654">
      <c r="A654" s="8" t="inlineStr">
        <is>
          <t>AR-0031180</t>
        </is>
      </c>
      <c r="B654" s="8" t="inlineStr">
        <is>
          <t>Service</t>
        </is>
      </c>
      <c r="C654" s="8" t="inlineStr">
        <is>
          <t>Copperline Apartments - Campus Holdings, LLC</t>
        </is>
      </c>
      <c r="D654" s="22" t="n">
        <v>46158</v>
      </c>
      <c r="E654" s="22" t="n">
        <v>46188</v>
      </c>
      <c r="F654" s="9" t="n">
        <v>488.48</v>
      </c>
      <c r="G654" s="23" t="n">
        <v>46188</v>
      </c>
      <c r="H654" s="24" t="inlineStr">
        <is>
          <t>Medium</t>
        </is>
      </c>
      <c r="I654" s="24" t="inlineStr">
        <is>
          <t>Contractual due date pending refreshed collection call</t>
        </is>
      </c>
      <c r="J654" s="8">
        <f>IFERROR(MATCH(G654,'13W Cash Forecast'!$B$4:$N$4,1),1)</f>
        <v/>
      </c>
    </row>
    <row r="655">
      <c r="A655" s="8" t="inlineStr">
        <is>
          <t>AR-0030942</t>
        </is>
      </c>
      <c r="B655" s="8" t="inlineStr">
        <is>
          <t>Service</t>
        </is>
      </c>
      <c r="C655" s="8" t="inlineStr">
        <is>
          <t>High Desert Manufacturing - Portfolio LLC</t>
        </is>
      </c>
      <c r="D655" s="22" t="n">
        <v>46159</v>
      </c>
      <c r="E655" s="22" t="n">
        <v>46189</v>
      </c>
      <c r="F655" s="9" t="n">
        <v>1668.2</v>
      </c>
      <c r="G655" s="23" t="n">
        <v>46189</v>
      </c>
      <c r="H655" s="24" t="inlineStr">
        <is>
          <t>Medium</t>
        </is>
      </c>
      <c r="I655" s="24" t="inlineStr">
        <is>
          <t>Contractual due date pending refreshed collection call</t>
        </is>
      </c>
      <c r="J655" s="8">
        <f>IFERROR(MATCH(G655,'13W Cash Forecast'!$B$4:$N$4,1),1)</f>
        <v/>
      </c>
    </row>
    <row r="656">
      <c r="A656" s="8" t="inlineStr">
        <is>
          <t>AR-0030969</t>
        </is>
      </c>
      <c r="B656" s="8" t="inlineStr">
        <is>
          <t>Service</t>
        </is>
      </c>
      <c r="C656" s="8" t="inlineStr">
        <is>
          <t>Pacific Crest Biotech - East Partners, LP</t>
        </is>
      </c>
      <c r="D656" s="22" t="n">
        <v>46159</v>
      </c>
      <c r="E656" s="22" t="n">
        <v>46189</v>
      </c>
      <c r="F656" s="9" t="n">
        <v>341.27</v>
      </c>
      <c r="G656" s="23" t="n">
        <v>46189</v>
      </c>
      <c r="H656" s="24" t="inlineStr">
        <is>
          <t>Medium</t>
        </is>
      </c>
      <c r="I656" s="24" t="inlineStr">
        <is>
          <t>Contractual due date pending refreshed collection call</t>
        </is>
      </c>
      <c r="J656" s="8">
        <f>IFERROR(MATCH(G656,'13W Cash Forecast'!$B$4:$N$4,1),1)</f>
        <v/>
      </c>
    </row>
    <row r="657">
      <c r="A657" s="8" t="inlineStr">
        <is>
          <t>AR-0031023</t>
        </is>
      </c>
      <c r="B657" s="8" t="inlineStr">
        <is>
          <t>Service</t>
        </is>
      </c>
      <c r="C657" s="8" t="inlineStr">
        <is>
          <t>Forest Park Hospitality - West LLC</t>
        </is>
      </c>
      <c r="D657" s="22" t="n">
        <v>46159</v>
      </c>
      <c r="E657" s="22" t="n">
        <v>46189</v>
      </c>
      <c r="F657" s="9" t="n">
        <v>592.54</v>
      </c>
      <c r="G657" s="23" t="n">
        <v>46189</v>
      </c>
      <c r="H657" s="24" t="inlineStr">
        <is>
          <t>Low</t>
        </is>
      </c>
      <c r="I657" s="24" t="inlineStr">
        <is>
          <t>Awaiting project-accountant follow-up</t>
        </is>
      </c>
      <c r="J657" s="8">
        <f>IFERROR(MATCH(G657,'13W Cash Forecast'!$B$4:$N$4,1),1)</f>
        <v/>
      </c>
    </row>
    <row r="658">
      <c r="A658" s="8" t="inlineStr">
        <is>
          <t>AR-0031077</t>
        </is>
      </c>
      <c r="B658" s="8" t="inlineStr">
        <is>
          <t>Service</t>
        </is>
      </c>
      <c r="C658" s="8" t="inlineStr">
        <is>
          <t>Forest Park Hospitality Campus Services</t>
        </is>
      </c>
      <c r="D658" s="22" t="n">
        <v>46159</v>
      </c>
      <c r="E658" s="22" t="n">
        <v>46189</v>
      </c>
      <c r="F658" s="9" t="n">
        <v>1698.33</v>
      </c>
      <c r="G658" s="23" t="n">
        <v>46189</v>
      </c>
      <c r="H658" s="24" t="inlineStr">
        <is>
          <t>Medium</t>
        </is>
      </c>
      <c r="I658" s="24" t="inlineStr">
        <is>
          <t>Contractual due date pending refreshed collection call</t>
        </is>
      </c>
      <c r="J658" s="8">
        <f>IFERROR(MATCH(G658,'13W Cash Forecast'!$B$4:$N$4,1),1)</f>
        <v/>
      </c>
    </row>
    <row r="659">
      <c r="A659" s="8" t="inlineStr">
        <is>
          <t>AR-0031104</t>
        </is>
      </c>
      <c r="B659" s="8" t="inlineStr">
        <is>
          <t>Service</t>
        </is>
      </c>
      <c r="C659" s="8" t="inlineStr">
        <is>
          <t>Beacon Industrial - South Asset Management</t>
        </is>
      </c>
      <c r="D659" s="22" t="n">
        <v>46159</v>
      </c>
      <c r="E659" s="22" t="n">
        <v>46189</v>
      </c>
      <c r="F659" s="9" t="n">
        <v>961.21</v>
      </c>
      <c r="G659" s="23" t="n">
        <v>46189</v>
      </c>
      <c r="H659" s="24" t="inlineStr">
        <is>
          <t>Medium</t>
        </is>
      </c>
      <c r="I659" s="24" t="inlineStr">
        <is>
          <t>Contractual due date pending refreshed collection call</t>
        </is>
      </c>
      <c r="J659" s="8">
        <f>IFERROR(MATCH(G659,'13W Cash Forecast'!$B$4:$N$4,1),1)</f>
        <v/>
      </c>
    </row>
    <row r="660">
      <c r="A660" s="8" t="inlineStr">
        <is>
          <t>AR-0031110</t>
        </is>
      </c>
      <c r="B660" s="8" t="inlineStr">
        <is>
          <t>Service</t>
        </is>
      </c>
      <c r="C660" s="8" t="inlineStr">
        <is>
          <t>Lake Oswego Office Partners - East Campus Services</t>
        </is>
      </c>
      <c r="D660" s="22" t="n">
        <v>46144</v>
      </c>
      <c r="E660" s="22" t="n">
        <v>46189</v>
      </c>
      <c r="F660" s="9" t="n">
        <v>605.7</v>
      </c>
      <c r="G660" s="23" t="n">
        <v>46189</v>
      </c>
      <c r="H660" s="24" t="inlineStr">
        <is>
          <t>Medium</t>
        </is>
      </c>
      <c r="I660" s="24" t="inlineStr">
        <is>
          <t>Contractual due date pending refreshed collection call</t>
        </is>
      </c>
      <c r="J660" s="8">
        <f>IFERROR(MATCH(G660,'13W Cash Forecast'!$B$4:$N$4,1),1)</f>
        <v/>
      </c>
    </row>
    <row r="661">
      <c r="A661" s="8" t="inlineStr">
        <is>
          <t>AR-0031158</t>
        </is>
      </c>
      <c r="B661" s="8" t="inlineStr">
        <is>
          <t>Service</t>
        </is>
      </c>
      <c r="C661" s="8" t="inlineStr">
        <is>
          <t>Pioneer Medical Properties - West LLC</t>
        </is>
      </c>
      <c r="D661" s="22" t="n">
        <v>46159</v>
      </c>
      <c r="E661" s="22" t="n">
        <v>46189</v>
      </c>
      <c r="F661" s="9" t="n">
        <v>955.87</v>
      </c>
      <c r="G661" s="23" t="n">
        <v>46189</v>
      </c>
      <c r="H661" s="24" t="inlineStr">
        <is>
          <t>Medium</t>
        </is>
      </c>
      <c r="I661" s="24" t="inlineStr">
        <is>
          <t>Contractual due date pending refreshed collection call</t>
        </is>
      </c>
      <c r="J661" s="8">
        <f>IFERROR(MATCH(G661,'13W Cash Forecast'!$B$4:$N$4,1),1)</f>
        <v/>
      </c>
    </row>
    <row r="662">
      <c r="A662" s="8" t="inlineStr">
        <is>
          <t>AR-0031222</t>
        </is>
      </c>
      <c r="B662" s="8" t="inlineStr">
        <is>
          <t>Service</t>
        </is>
      </c>
      <c r="C662" s="8" t="inlineStr">
        <is>
          <t>Alder Creek Medical - North Property Group</t>
        </is>
      </c>
      <c r="D662" s="22" t="n">
        <v>46174</v>
      </c>
      <c r="E662" s="22" t="n">
        <v>46189</v>
      </c>
      <c r="F662" s="9" t="n">
        <v>653.22</v>
      </c>
      <c r="G662" s="23" t="n">
        <v>46189</v>
      </c>
      <c r="H662" s="24" t="inlineStr">
        <is>
          <t>Medium</t>
        </is>
      </c>
      <c r="I662" s="24" t="inlineStr">
        <is>
          <t>Contractual due date pending refreshed collection call</t>
        </is>
      </c>
      <c r="J662" s="8">
        <f>IFERROR(MATCH(G662,'13W Cash Forecast'!$B$4:$N$4,1),1)</f>
        <v/>
      </c>
    </row>
    <row r="663">
      <c r="A663" s="8" t="inlineStr">
        <is>
          <t>AR-0031438</t>
        </is>
      </c>
      <c r="B663" s="8" t="inlineStr">
        <is>
          <t>Service</t>
        </is>
      </c>
      <c r="C663" s="8" t="inlineStr">
        <is>
          <t>Hillsboro Life Sciences - Campus Real Estate, LLC</t>
        </is>
      </c>
      <c r="D663" s="22" t="n">
        <v>46174</v>
      </c>
      <c r="E663" s="22" t="n">
        <v>46189</v>
      </c>
      <c r="F663" s="9" t="n">
        <v>159.62</v>
      </c>
      <c r="G663" s="23" t="n">
        <v>46189</v>
      </c>
      <c r="H663" s="24" t="inlineStr">
        <is>
          <t>Medium</t>
        </is>
      </c>
      <c r="I663" s="24" t="inlineStr">
        <is>
          <t>Contractual due date pending refreshed collection call</t>
        </is>
      </c>
      <c r="J663" s="8">
        <f>IFERROR(MATCH(G663,'13W Cash Forecast'!$B$4:$N$4,1),1)</f>
        <v/>
      </c>
    </row>
    <row r="664">
      <c r="A664" s="8" t="inlineStr">
        <is>
          <t>AR-0030920</t>
        </is>
      </c>
      <c r="B664" s="8" t="inlineStr">
        <is>
          <t>Service</t>
        </is>
      </c>
      <c r="C664" s="8" t="inlineStr">
        <is>
          <t>Sunrise Hospitality - East Development Company</t>
        </is>
      </c>
      <c r="D664" s="22" t="n">
        <v>46160</v>
      </c>
      <c r="E664" s="22" t="n">
        <v>46190</v>
      </c>
      <c r="F664" s="9" t="n">
        <v>397.46</v>
      </c>
      <c r="G664" s="23" t="n">
        <v>46190</v>
      </c>
      <c r="H664" s="24" t="inlineStr">
        <is>
          <t>Low</t>
        </is>
      </c>
      <c r="I664" s="24" t="inlineStr">
        <is>
          <t>Awaiting project-accountant follow-up</t>
        </is>
      </c>
      <c r="J664" s="8">
        <f>IFERROR(MATCH(G664,'13W Cash Forecast'!$B$4:$N$4,1),1)</f>
        <v/>
      </c>
    </row>
    <row r="665">
      <c r="A665" s="8" t="inlineStr">
        <is>
          <t>AR-0030947</t>
        </is>
      </c>
      <c r="B665" s="8" t="inlineStr">
        <is>
          <t>Service</t>
        </is>
      </c>
      <c r="C665" s="8" t="inlineStr">
        <is>
          <t>Columbia River Logistics - Portfolio Partners, LP</t>
        </is>
      </c>
      <c r="D665" s="22" t="n">
        <v>46160</v>
      </c>
      <c r="E665" s="22" t="n">
        <v>46190</v>
      </c>
      <c r="F665" s="9" t="n">
        <v>1820.4</v>
      </c>
      <c r="G665" s="23" t="n">
        <v>46190</v>
      </c>
      <c r="H665" s="24" t="inlineStr">
        <is>
          <t>Medium</t>
        </is>
      </c>
      <c r="I665" s="24" t="inlineStr">
        <is>
          <t>Contractual due date pending refreshed collection call</t>
        </is>
      </c>
      <c r="J665" s="8">
        <f>IFERROR(MATCH(G665,'13W Cash Forecast'!$B$4:$N$4,1),1)</f>
        <v/>
      </c>
    </row>
    <row r="666">
      <c r="A666" s="8" t="inlineStr">
        <is>
          <t>AR-0031001</t>
        </is>
      </c>
      <c r="B666" s="8" t="inlineStr">
        <is>
          <t>Service</t>
        </is>
      </c>
      <c r="C666" s="8" t="inlineStr">
        <is>
          <t>Salem Surgical Partners - Campus Development Company</t>
        </is>
      </c>
      <c r="D666" s="22" t="n">
        <v>46160</v>
      </c>
      <c r="E666" s="22" t="n">
        <v>46190</v>
      </c>
      <c r="F666" s="9" t="n">
        <v>360.58</v>
      </c>
      <c r="G666" s="23" t="n">
        <v>46190</v>
      </c>
      <c r="H666" s="24" t="inlineStr">
        <is>
          <t>Medium</t>
        </is>
      </c>
      <c r="I666" s="24" t="inlineStr">
        <is>
          <t>Contractual due date pending refreshed collection call</t>
        </is>
      </c>
      <c r="J666" s="8">
        <f>IFERROR(MATCH(G666,'13W Cash Forecast'!$B$4:$N$4,1),1)</f>
        <v/>
      </c>
    </row>
    <row r="667">
      <c r="A667" s="8" t="inlineStr">
        <is>
          <t>AR-0031007</t>
        </is>
      </c>
      <c r="B667" s="8" t="inlineStr">
        <is>
          <t>Service</t>
        </is>
      </c>
      <c r="C667" s="8" t="inlineStr">
        <is>
          <t>Deschutes Medical Group - North Development Company</t>
        </is>
      </c>
      <c r="D667" s="22" t="n">
        <v>46145</v>
      </c>
      <c r="E667" s="22" t="n">
        <v>46190</v>
      </c>
      <c r="F667" s="9" t="n">
        <v>814.9</v>
      </c>
      <c r="G667" s="23" t="n">
        <v>46190</v>
      </c>
      <c r="H667" s="24" t="inlineStr">
        <is>
          <t>Medium</t>
        </is>
      </c>
      <c r="I667" s="24" t="inlineStr">
        <is>
          <t>Contractual due date pending refreshed collection call</t>
        </is>
      </c>
      <c r="J667" s="8">
        <f>IFERROR(MATCH(G667,'13W Cash Forecast'!$B$4:$N$4,1),1)</f>
        <v/>
      </c>
    </row>
    <row r="668">
      <c r="A668" s="8" t="inlineStr">
        <is>
          <t>AR-0031055</t>
        </is>
      </c>
      <c r="B668" s="8" t="inlineStr">
        <is>
          <t>Service</t>
        </is>
      </c>
      <c r="C668" s="8" t="inlineStr">
        <is>
          <t>Klamath County Facilities - South Property Group</t>
        </is>
      </c>
      <c r="D668" s="22" t="n">
        <v>46160</v>
      </c>
      <c r="E668" s="22" t="n">
        <v>46190</v>
      </c>
      <c r="F668" s="9" t="n">
        <v>173.26</v>
      </c>
      <c r="G668" s="23" t="n">
        <v>46190</v>
      </c>
      <c r="H668" s="24" t="inlineStr">
        <is>
          <t>Medium</t>
        </is>
      </c>
      <c r="I668" s="24" t="inlineStr">
        <is>
          <t>Contractual due date pending refreshed collection call</t>
        </is>
      </c>
      <c r="J668" s="8">
        <f>IFERROR(MATCH(G668,'13W Cash Forecast'!$B$4:$N$4,1),1)</f>
        <v/>
      </c>
    </row>
    <row r="669">
      <c r="A669" s="8" t="inlineStr">
        <is>
          <t>AR-0031082</t>
        </is>
      </c>
      <c r="B669" s="8" t="inlineStr">
        <is>
          <t>Service</t>
        </is>
      </c>
      <c r="C669" s="8" t="inlineStr">
        <is>
          <t>Summit Surgical Properties</t>
        </is>
      </c>
      <c r="D669" s="22" t="n">
        <v>46160</v>
      </c>
      <c r="E669" s="22" t="n">
        <v>46190</v>
      </c>
      <c r="F669" s="9" t="n">
        <v>273.61</v>
      </c>
      <c r="G669" s="23" t="n">
        <v>46190</v>
      </c>
      <c r="H669" s="24" t="inlineStr">
        <is>
          <t>Medium</t>
        </is>
      </c>
      <c r="I669" s="24" t="inlineStr">
        <is>
          <t>Contractual due date pending refreshed collection call</t>
        </is>
      </c>
      <c r="J669" s="8">
        <f>IFERROR(MATCH(G669,'13W Cash Forecast'!$B$4:$N$4,1),1)</f>
        <v/>
      </c>
    </row>
    <row r="670">
      <c r="A670" s="8" t="inlineStr">
        <is>
          <t>AR-0031136</t>
        </is>
      </c>
      <c r="B670" s="8" t="inlineStr">
        <is>
          <t>Service</t>
        </is>
      </c>
      <c r="C670" s="8" t="inlineStr">
        <is>
          <t>Copperline Apartments - Campus LLC</t>
        </is>
      </c>
      <c r="D670" s="22" t="n">
        <v>46160</v>
      </c>
      <c r="E670" s="22" t="n">
        <v>46190</v>
      </c>
      <c r="F670" s="9" t="n">
        <v>358.26</v>
      </c>
      <c r="G670" s="23" t="n">
        <v>46190</v>
      </c>
      <c r="H670" s="24" t="inlineStr">
        <is>
          <t>Medium</t>
        </is>
      </c>
      <c r="I670" s="24" t="inlineStr">
        <is>
          <t>Contractual due date pending refreshed collection call</t>
        </is>
      </c>
      <c r="J670" s="8">
        <f>IFERROR(MATCH(G670,'13W Cash Forecast'!$B$4:$N$4,1),1)</f>
        <v/>
      </c>
    </row>
    <row r="671">
      <c r="A671" s="8" t="inlineStr">
        <is>
          <t>AR-0031190</t>
        </is>
      </c>
      <c r="B671" s="8" t="inlineStr">
        <is>
          <t>Service</t>
        </is>
      </c>
      <c r="C671" s="8" t="inlineStr">
        <is>
          <t>Sunrise Hospitality - East Development Company</t>
        </is>
      </c>
      <c r="D671" s="22" t="n">
        <v>46160</v>
      </c>
      <c r="E671" s="22" t="n">
        <v>46190</v>
      </c>
      <c r="F671" s="9" t="n">
        <v>1540.23</v>
      </c>
      <c r="G671" s="23" t="n">
        <v>46190</v>
      </c>
      <c r="H671" s="24" t="inlineStr">
        <is>
          <t>Low</t>
        </is>
      </c>
      <c r="I671" s="24" t="inlineStr">
        <is>
          <t>Awaiting project-accountant follow-up</t>
        </is>
      </c>
      <c r="J671" s="8">
        <f>IFERROR(MATCH(G671,'13W Cash Forecast'!$B$4:$N$4,1),1)</f>
        <v/>
      </c>
    </row>
    <row r="672">
      <c r="A672" s="8" t="inlineStr">
        <is>
          <t>AR-0031335</t>
        </is>
      </c>
      <c r="B672" s="8" t="inlineStr">
        <is>
          <t>Service</t>
        </is>
      </c>
      <c r="C672" s="8" t="inlineStr">
        <is>
          <t>Clackamas Health Network - Operations Asset Management</t>
        </is>
      </c>
      <c r="D672" s="22" t="n">
        <v>46175</v>
      </c>
      <c r="E672" s="22" t="n">
        <v>46190</v>
      </c>
      <c r="F672" s="9" t="n">
        <v>145.27</v>
      </c>
      <c r="G672" s="23" t="n">
        <v>46190</v>
      </c>
      <c r="H672" s="24" t="inlineStr">
        <is>
          <t>Medium</t>
        </is>
      </c>
      <c r="I672" s="24" t="inlineStr">
        <is>
          <t>Contractual due date pending refreshed collection call</t>
        </is>
      </c>
      <c r="J672" s="8">
        <f>IFERROR(MATCH(G672,'13W Cash Forecast'!$B$4:$N$4,1),1)</f>
        <v/>
      </c>
    </row>
    <row r="673">
      <c r="A673" s="8" t="inlineStr">
        <is>
          <t>AR-0031416</t>
        </is>
      </c>
      <c r="B673" s="8" t="inlineStr">
        <is>
          <t>Service</t>
        </is>
      </c>
      <c r="C673" s="8" t="inlineStr">
        <is>
          <t>Oregon Advanced Materials Operating Company</t>
        </is>
      </c>
      <c r="D673" s="22" t="n">
        <v>46175</v>
      </c>
      <c r="E673" s="22" t="n">
        <v>46190</v>
      </c>
      <c r="F673" s="9" t="n">
        <v>970.14</v>
      </c>
      <c r="G673" s="23" t="n">
        <v>46190</v>
      </c>
      <c r="H673" s="24" t="inlineStr">
        <is>
          <t>Medium</t>
        </is>
      </c>
      <c r="I673" s="24" t="inlineStr">
        <is>
          <t>Contractual due date pending refreshed collection call</t>
        </is>
      </c>
      <c r="J673" s="8">
        <f>IFERROR(MATCH(G673,'13W Cash Forecast'!$B$4:$N$4,1),1)</f>
        <v/>
      </c>
    </row>
    <row r="674">
      <c r="A674" s="8" t="inlineStr">
        <is>
          <t>AR-0031470</t>
        </is>
      </c>
      <c r="B674" s="8" t="inlineStr">
        <is>
          <t>Service</t>
        </is>
      </c>
      <c r="C674" s="8" t="inlineStr">
        <is>
          <t>McKenzie River Foods - Central Holdings, LLC</t>
        </is>
      </c>
      <c r="D674" s="22" t="n">
        <v>46175</v>
      </c>
      <c r="E674" s="22" t="n">
        <v>46190</v>
      </c>
      <c r="F674" s="9" t="n">
        <v>116.02</v>
      </c>
      <c r="G674" s="23" t="n">
        <v>46190</v>
      </c>
      <c r="H674" s="24" t="inlineStr">
        <is>
          <t>Medium</t>
        </is>
      </c>
      <c r="I674" s="24" t="inlineStr">
        <is>
          <t>Contractual due date pending refreshed collection call</t>
        </is>
      </c>
      <c r="J674" s="8">
        <f>IFERROR(MATCH(G674,'13W Cash Forecast'!$B$4:$N$4,1),1)</f>
        <v/>
      </c>
    </row>
    <row r="675">
      <c r="A675" s="8" t="inlineStr">
        <is>
          <t>AR-0030925</t>
        </is>
      </c>
      <c r="B675" s="8" t="inlineStr">
        <is>
          <t>Service</t>
        </is>
      </c>
      <c r="C675" s="8" t="inlineStr">
        <is>
          <t>Pacific Crest Biotech - East Facilities</t>
        </is>
      </c>
      <c r="D675" s="22" t="n">
        <v>46161</v>
      </c>
      <c r="E675" s="22" t="n">
        <v>46191</v>
      </c>
      <c r="F675" s="9" t="n">
        <v>561.9</v>
      </c>
      <c r="G675" s="23" t="n">
        <v>46191</v>
      </c>
      <c r="H675" s="24" t="inlineStr">
        <is>
          <t>Medium</t>
        </is>
      </c>
      <c r="I675" s="24" t="inlineStr">
        <is>
          <t>Contractual due date pending refreshed collection call</t>
        </is>
      </c>
      <c r="J675" s="8">
        <f>IFERROR(MATCH(G675,'13W Cash Forecast'!$B$4:$N$4,1),1)</f>
        <v/>
      </c>
    </row>
    <row r="676">
      <c r="A676" s="8" t="inlineStr">
        <is>
          <t>AR-0030979</t>
        </is>
      </c>
      <c r="B676" s="8" t="inlineStr">
        <is>
          <t>Service</t>
        </is>
      </c>
      <c r="C676" s="8" t="inlineStr">
        <is>
          <t>Forest Park Hospitality - West Development Company</t>
        </is>
      </c>
      <c r="D676" s="22" t="n">
        <v>46161</v>
      </c>
      <c r="E676" s="22" t="n">
        <v>46191</v>
      </c>
      <c r="F676" s="9" t="n">
        <v>926.48</v>
      </c>
      <c r="G676" s="23" t="n">
        <v>46191</v>
      </c>
      <c r="H676" s="24" t="inlineStr">
        <is>
          <t>Medium</t>
        </is>
      </c>
      <c r="I676" s="24" t="inlineStr">
        <is>
          <t>Contractual due date pending refreshed collection call</t>
        </is>
      </c>
      <c r="J676" s="8">
        <f>IFERROR(MATCH(G676,'13W Cash Forecast'!$B$4:$N$4,1),1)</f>
        <v/>
      </c>
    </row>
    <row r="677">
      <c r="A677" s="8" t="inlineStr">
        <is>
          <t>AR-0030985</t>
        </is>
      </c>
      <c r="B677" s="8" t="inlineStr">
        <is>
          <t>Service</t>
        </is>
      </c>
      <c r="C677" s="8" t="inlineStr">
        <is>
          <t>Portland Arts and Events - Central Asset Management</t>
        </is>
      </c>
      <c r="D677" s="22" t="n">
        <v>46146</v>
      </c>
      <c r="E677" s="22" t="n">
        <v>46191</v>
      </c>
      <c r="F677" s="9" t="n">
        <v>505.29</v>
      </c>
      <c r="G677" s="23" t="n">
        <v>46191</v>
      </c>
      <c r="H677" s="24" t="inlineStr">
        <is>
          <t>Medium</t>
        </is>
      </c>
      <c r="I677" s="24" t="inlineStr">
        <is>
          <t>Contractual due date pending refreshed collection call</t>
        </is>
      </c>
      <c r="J677" s="8">
        <f>IFERROR(MATCH(G677,'13W Cash Forecast'!$B$4:$N$4,1),1)</f>
        <v/>
      </c>
    </row>
    <row r="678">
      <c r="A678" s="8" t="inlineStr">
        <is>
          <t>AR-0031033</t>
        </is>
      </c>
      <c r="B678" s="8" t="inlineStr">
        <is>
          <t>Service</t>
        </is>
      </c>
      <c r="C678" s="8" t="inlineStr">
        <is>
          <t>Valley View Food Systems - Operations Holdings, LLC</t>
        </is>
      </c>
      <c r="D678" s="22" t="n">
        <v>46161</v>
      </c>
      <c r="E678" s="22" t="n">
        <v>46191</v>
      </c>
      <c r="F678" s="9" t="n">
        <v>1663.97</v>
      </c>
      <c r="G678" s="23" t="n">
        <v>46191</v>
      </c>
      <c r="H678" s="24" t="inlineStr">
        <is>
          <t>Low</t>
        </is>
      </c>
      <c r="I678" s="24" t="inlineStr">
        <is>
          <t>Awaiting project-accountant follow-up</t>
        </is>
      </c>
      <c r="J678" s="8">
        <f>IFERROR(MATCH(G678,'13W Cash Forecast'!$B$4:$N$4,1),1)</f>
        <v/>
      </c>
    </row>
    <row r="679">
      <c r="A679" s="8" t="inlineStr">
        <is>
          <t>AR-0031087</t>
        </is>
      </c>
      <c r="B679" s="8" t="inlineStr">
        <is>
          <t>Service</t>
        </is>
      </c>
      <c r="C679" s="8" t="inlineStr">
        <is>
          <t>Oak Street Development - North Holdings, LLC</t>
        </is>
      </c>
      <c r="D679" s="22" t="n">
        <v>46161</v>
      </c>
      <c r="E679" s="22" t="n">
        <v>46191</v>
      </c>
      <c r="F679" s="9" t="n">
        <v>852.99</v>
      </c>
      <c r="G679" s="23" t="n">
        <v>46191</v>
      </c>
      <c r="H679" s="24" t="inlineStr">
        <is>
          <t>Medium</t>
        </is>
      </c>
      <c r="I679" s="24" t="inlineStr">
        <is>
          <t>Contractual due date pending refreshed collection call</t>
        </is>
      </c>
      <c r="J679" s="8">
        <f>IFERROR(MATCH(G679,'13W Cash Forecast'!$B$4:$N$4,1),1)</f>
        <v/>
      </c>
    </row>
    <row r="680">
      <c r="A680" s="8" t="inlineStr">
        <is>
          <t>AR-0031114</t>
        </is>
      </c>
      <c r="B680" s="8" t="inlineStr">
        <is>
          <t>Service</t>
        </is>
      </c>
      <c r="C680" s="8" t="inlineStr">
        <is>
          <t>Copperline Apartments Development Company</t>
        </is>
      </c>
      <c r="D680" s="22" t="n">
        <v>46161</v>
      </c>
      <c r="E680" s="22" t="n">
        <v>46191</v>
      </c>
      <c r="F680" s="9" t="n">
        <v>407.76</v>
      </c>
      <c r="G680" s="23" t="n">
        <v>46191</v>
      </c>
      <c r="H680" s="24" t="inlineStr">
        <is>
          <t>Medium</t>
        </is>
      </c>
      <c r="I680" s="24" t="inlineStr">
        <is>
          <t>Contractual due date pending refreshed collection call</t>
        </is>
      </c>
      <c r="J680" s="8">
        <f>IFERROR(MATCH(G680,'13W Cash Forecast'!$B$4:$N$4,1),1)</f>
        <v/>
      </c>
    </row>
    <row r="681">
      <c r="A681" s="8" t="inlineStr">
        <is>
          <t>AR-0031141</t>
        </is>
      </c>
      <c r="B681" s="8" t="inlineStr">
        <is>
          <t>Service</t>
        </is>
      </c>
      <c r="C681" s="8" t="inlineStr">
        <is>
          <t>Valley View Food Systems Development Company</t>
        </is>
      </c>
      <c r="D681" s="22" t="n">
        <v>46161</v>
      </c>
      <c r="E681" s="22" t="n">
        <v>46191</v>
      </c>
      <c r="F681" s="9" t="n">
        <v>1692.02</v>
      </c>
      <c r="G681" s="23" t="n">
        <v>46191</v>
      </c>
      <c r="H681" s="24" t="inlineStr">
        <is>
          <t>Medium</t>
        </is>
      </c>
      <c r="I681" s="24" t="inlineStr">
        <is>
          <t>Contractual due date pending refreshed collection call</t>
        </is>
      </c>
      <c r="J681" s="8">
        <f>IFERROR(MATCH(G681,'13W Cash Forecast'!$B$4:$N$4,1),1)</f>
        <v/>
      </c>
    </row>
    <row r="682">
      <c r="A682" s="8" t="inlineStr">
        <is>
          <t>AR-0031168</t>
        </is>
      </c>
      <c r="B682" s="8" t="inlineStr">
        <is>
          <t>Service</t>
        </is>
      </c>
      <c r="C682" s="8" t="inlineStr">
        <is>
          <t>High Desert Manufacturing - Portfolio Development Company</t>
        </is>
      </c>
      <c r="D682" s="22" t="n">
        <v>46161</v>
      </c>
      <c r="E682" s="22" t="n">
        <v>46191</v>
      </c>
      <c r="F682" s="9" t="n">
        <v>1908.69</v>
      </c>
      <c r="G682" s="23" t="n">
        <v>46191</v>
      </c>
      <c r="H682" s="24" t="inlineStr">
        <is>
          <t>Medium</t>
        </is>
      </c>
      <c r="I682" s="24" t="inlineStr">
        <is>
          <t>Contractual due date pending refreshed collection call</t>
        </is>
      </c>
      <c r="J682" s="8">
        <f>IFERROR(MATCH(G682,'13W Cash Forecast'!$B$4:$N$4,1),1)</f>
        <v/>
      </c>
    </row>
    <row r="683">
      <c r="A683" s="8" t="inlineStr">
        <is>
          <t>AR-0031195</t>
        </is>
      </c>
      <c r="B683" s="8" t="inlineStr">
        <is>
          <t>Service</t>
        </is>
      </c>
      <c r="C683" s="8" t="inlineStr">
        <is>
          <t>Pacific Crest Biotech - East Facilities</t>
        </is>
      </c>
      <c r="D683" s="22" t="n">
        <v>46161</v>
      </c>
      <c r="E683" s="22" t="n">
        <v>46191</v>
      </c>
      <c r="F683" s="9" t="n">
        <v>200.89</v>
      </c>
      <c r="G683" s="23" t="n">
        <v>46191</v>
      </c>
      <c r="H683" s="24" t="inlineStr">
        <is>
          <t>Medium</t>
        </is>
      </c>
      <c r="I683" s="24" t="inlineStr">
        <is>
          <t>Contractual due date pending refreshed collection call</t>
        </is>
      </c>
      <c r="J683" s="8">
        <f>IFERROR(MATCH(G683,'13W Cash Forecast'!$B$4:$N$4,1),1)</f>
        <v/>
      </c>
    </row>
    <row r="684">
      <c r="A684" s="8" t="inlineStr">
        <is>
          <t>AR-0031313</t>
        </is>
      </c>
      <c r="B684" s="8" t="inlineStr">
        <is>
          <t>Service</t>
        </is>
      </c>
      <c r="C684" s="8" t="inlineStr">
        <is>
          <t>Oregon Advanced Materials - South Campus Services</t>
        </is>
      </c>
      <c r="D684" s="22" t="n">
        <v>46176</v>
      </c>
      <c r="E684" s="22" t="n">
        <v>46191</v>
      </c>
      <c r="F684" s="9" t="n">
        <v>1306.39</v>
      </c>
      <c r="G684" s="23" t="n">
        <v>46191</v>
      </c>
      <c r="H684" s="24" t="inlineStr">
        <is>
          <t>Medium</t>
        </is>
      </c>
      <c r="I684" s="24" t="inlineStr">
        <is>
          <t>Contractual due date pending refreshed collection call</t>
        </is>
      </c>
      <c r="J684" s="8">
        <f>IFERROR(MATCH(G684,'13W Cash Forecast'!$B$4:$N$4,1),1)</f>
        <v/>
      </c>
    </row>
    <row r="685">
      <c r="A685" s="8" t="inlineStr">
        <is>
          <t>AR-0031367</t>
        </is>
      </c>
      <c r="B685" s="8" t="inlineStr">
        <is>
          <t>Service</t>
        </is>
      </c>
      <c r="C685" s="8" t="inlineStr">
        <is>
          <t>Fairview Property Partners - East Facilities</t>
        </is>
      </c>
      <c r="D685" s="22" t="n">
        <v>46176</v>
      </c>
      <c r="E685" s="22" t="n">
        <v>46191</v>
      </c>
      <c r="F685" s="9" t="n">
        <v>1297.29</v>
      </c>
      <c r="G685" s="23" t="n">
        <v>46191</v>
      </c>
      <c r="H685" s="24" t="inlineStr">
        <is>
          <t>Low</t>
        </is>
      </c>
      <c r="I685" s="24" t="inlineStr">
        <is>
          <t>Awaiting project-accountant follow-up</t>
        </is>
      </c>
      <c r="J685" s="8">
        <f>IFERROR(MATCH(G685,'13W Cash Forecast'!$B$4:$N$4,1),1)</f>
        <v/>
      </c>
    </row>
    <row r="686">
      <c r="A686" s="8" t="inlineStr">
        <is>
          <t>AR-0030957</t>
        </is>
      </c>
      <c r="B686" s="8" t="inlineStr">
        <is>
          <t>Service</t>
        </is>
      </c>
      <c r="C686" s="8" t="inlineStr">
        <is>
          <t>Salem Surgical Partners - Campus Asset Management</t>
        </is>
      </c>
      <c r="D686" s="22" t="n">
        <v>46162</v>
      </c>
      <c r="E686" s="22" t="n">
        <v>46192</v>
      </c>
      <c r="F686" s="9" t="n">
        <v>461.74</v>
      </c>
      <c r="G686" s="23" t="n">
        <v>46192</v>
      </c>
      <c r="H686" s="24" t="inlineStr">
        <is>
          <t>Medium</t>
        </is>
      </c>
      <c r="I686" s="24" t="inlineStr">
        <is>
          <t>Contractual due date pending refreshed collection call</t>
        </is>
      </c>
      <c r="J686" s="8">
        <f>IFERROR(MATCH(G686,'13W Cash Forecast'!$B$4:$N$4,1),1)</f>
        <v/>
      </c>
    </row>
    <row r="687">
      <c r="A687" s="8" t="inlineStr">
        <is>
          <t>AR-0030963</t>
        </is>
      </c>
      <c r="B687" s="8" t="inlineStr">
        <is>
          <t>Service</t>
        </is>
      </c>
      <c r="C687" s="8" t="inlineStr">
        <is>
          <t>Deschutes Medical Group - North Asset Management</t>
        </is>
      </c>
      <c r="D687" s="22" t="n">
        <v>46147</v>
      </c>
      <c r="E687" s="22" t="n">
        <v>46192</v>
      </c>
      <c r="F687" s="9" t="n">
        <v>2383.48</v>
      </c>
      <c r="G687" s="23" t="n">
        <v>46192</v>
      </c>
      <c r="H687" s="24" t="inlineStr">
        <is>
          <t>Medium</t>
        </is>
      </c>
      <c r="I687" s="24" t="inlineStr">
        <is>
          <t>Contractual due date pending refreshed collection call</t>
        </is>
      </c>
      <c r="J687" s="8">
        <f>IFERROR(MATCH(G687,'13W Cash Forecast'!$B$4:$N$4,1),1)</f>
        <v/>
      </c>
    </row>
    <row r="688">
      <c r="A688" s="8" t="inlineStr">
        <is>
          <t>AR-0031011</t>
        </is>
      </c>
      <c r="B688" s="8" t="inlineStr">
        <is>
          <t>Service</t>
        </is>
      </c>
      <c r="C688" s="8" t="inlineStr">
        <is>
          <t>Klamath County Facilities - South Holdings, LLC</t>
        </is>
      </c>
      <c r="D688" s="22" t="n">
        <v>46162</v>
      </c>
      <c r="E688" s="22" t="n">
        <v>46192</v>
      </c>
      <c r="F688" s="9" t="n">
        <v>388.62</v>
      </c>
      <c r="G688" s="23" t="n">
        <v>46192</v>
      </c>
      <c r="H688" s="24" t="inlineStr">
        <is>
          <t>Medium</t>
        </is>
      </c>
      <c r="I688" s="24" t="inlineStr">
        <is>
          <t>Contractual due date pending refreshed collection call</t>
        </is>
      </c>
      <c r="J688" s="8">
        <f>IFERROR(MATCH(G688,'13W Cash Forecast'!$B$4:$N$4,1),1)</f>
        <v/>
      </c>
    </row>
    <row r="689">
      <c r="A689" s="8" t="inlineStr">
        <is>
          <t>AR-0031065</t>
        </is>
      </c>
      <c r="B689" s="8" t="inlineStr">
        <is>
          <t>Service</t>
        </is>
      </c>
      <c r="C689" s="8" t="inlineStr">
        <is>
          <t>Central Cascades Foods - Central Holdings, LLC</t>
        </is>
      </c>
      <c r="D689" s="22" t="n">
        <v>46162</v>
      </c>
      <c r="E689" s="22" t="n">
        <v>46192</v>
      </c>
      <c r="F689" s="9" t="n">
        <v>1333.78</v>
      </c>
      <c r="G689" s="23" t="n">
        <v>46192</v>
      </c>
      <c r="H689" s="24" t="inlineStr">
        <is>
          <t>Medium</t>
        </is>
      </c>
      <c r="I689" s="24" t="inlineStr">
        <is>
          <t>Contractual due date pending refreshed collection call</t>
        </is>
      </c>
      <c r="J689" s="8">
        <f>IFERROR(MATCH(G689,'13W Cash Forecast'!$B$4:$N$4,1),1)</f>
        <v/>
      </c>
    </row>
    <row r="690">
      <c r="A690" s="8" t="inlineStr">
        <is>
          <t>AR-0031092</t>
        </is>
      </c>
      <c r="B690" s="8" t="inlineStr">
        <is>
          <t>Service</t>
        </is>
      </c>
      <c r="C690" s="8" t="inlineStr">
        <is>
          <t>Juniper Ridge Properties - North Operating Company</t>
        </is>
      </c>
      <c r="D690" s="22" t="n">
        <v>46162</v>
      </c>
      <c r="E690" s="22" t="n">
        <v>46192</v>
      </c>
      <c r="F690" s="9" t="n">
        <v>275.53</v>
      </c>
      <c r="G690" s="23" t="n">
        <v>46192</v>
      </c>
      <c r="H690" s="24" t="inlineStr">
        <is>
          <t>Medium</t>
        </is>
      </c>
      <c r="I690" s="24" t="inlineStr">
        <is>
          <t>Contractual due date pending refreshed collection call</t>
        </is>
      </c>
      <c r="J690" s="8">
        <f>IFERROR(MATCH(G690,'13W Cash Forecast'!$B$4:$N$4,1),1)</f>
        <v/>
      </c>
    </row>
    <row r="691">
      <c r="A691" s="8" t="inlineStr">
        <is>
          <t>AR-0031119</t>
        </is>
      </c>
      <c r="B691" s="8" t="inlineStr">
        <is>
          <t>Service</t>
        </is>
      </c>
      <c r="C691" s="8" t="inlineStr">
        <is>
          <t>Willamette Food Cooperative</t>
        </is>
      </c>
      <c r="D691" s="22" t="n">
        <v>46162</v>
      </c>
      <c r="E691" s="22" t="n">
        <v>46192</v>
      </c>
      <c r="F691" s="9" t="n">
        <v>858.4</v>
      </c>
      <c r="G691" s="23" t="n">
        <v>46192</v>
      </c>
      <c r="H691" s="24" t="inlineStr">
        <is>
          <t>Medium</t>
        </is>
      </c>
      <c r="I691" s="24" t="inlineStr">
        <is>
          <t>Contractual due date pending refreshed collection call</t>
        </is>
      </c>
      <c r="J691" s="8">
        <f>IFERROR(MATCH(G691,'13W Cash Forecast'!$B$4:$N$4,1),1)</f>
        <v/>
      </c>
    </row>
    <row r="692">
      <c r="A692" s="8" t="inlineStr">
        <is>
          <t>AR-0031146</t>
        </is>
      </c>
      <c r="B692" s="8" t="inlineStr">
        <is>
          <t>Service</t>
        </is>
      </c>
      <c r="C692" s="8" t="inlineStr">
        <is>
          <t>Mt. Hood Community Health Campus Services</t>
        </is>
      </c>
      <c r="D692" s="22" t="n">
        <v>46162</v>
      </c>
      <c r="E692" s="22" t="n">
        <v>46192</v>
      </c>
      <c r="F692" s="9" t="n">
        <v>1970.91</v>
      </c>
      <c r="G692" s="23" t="n">
        <v>46192</v>
      </c>
      <c r="H692" s="24" t="inlineStr">
        <is>
          <t>Low</t>
        </is>
      </c>
      <c r="I692" s="24" t="inlineStr">
        <is>
          <t>Awaiting project-accountant follow-up</t>
        </is>
      </c>
      <c r="J692" s="8">
        <f>IFERROR(MATCH(G692,'13W Cash Forecast'!$B$4:$N$4,1),1)</f>
        <v/>
      </c>
    </row>
    <row r="693">
      <c r="A693" s="8" t="inlineStr">
        <is>
          <t>AR-0031173</t>
        </is>
      </c>
      <c r="B693" s="8" t="inlineStr">
        <is>
          <t>Service</t>
        </is>
      </c>
      <c r="C693" s="8" t="inlineStr">
        <is>
          <t>Columbia River Logistics - Portfolio Facilities</t>
        </is>
      </c>
      <c r="D693" s="22" t="n">
        <v>46162</v>
      </c>
      <c r="E693" s="22" t="n">
        <v>46192</v>
      </c>
      <c r="F693" s="9" t="n">
        <v>290.5</v>
      </c>
      <c r="G693" s="23" t="n">
        <v>46192</v>
      </c>
      <c r="H693" s="24" t="inlineStr">
        <is>
          <t>Medium</t>
        </is>
      </c>
      <c r="I693" s="24" t="inlineStr">
        <is>
          <t>Contractual due date pending refreshed collection call</t>
        </is>
      </c>
      <c r="J693" s="8">
        <f>IFERROR(MATCH(G693,'13W Cash Forecast'!$B$4:$N$4,1),1)</f>
        <v/>
      </c>
    </row>
    <row r="694">
      <c r="A694" s="8" t="inlineStr">
        <is>
          <t>AR-0031291</t>
        </is>
      </c>
      <c r="B694" s="8" t="inlineStr">
        <is>
          <t>Service</t>
        </is>
      </c>
      <c r="C694" s="8" t="inlineStr">
        <is>
          <t>Clackamas Health Network - Operations Campus Services</t>
        </is>
      </c>
      <c r="D694" s="22" t="n">
        <v>46177</v>
      </c>
      <c r="E694" s="22" t="n">
        <v>46192</v>
      </c>
      <c r="F694" s="9" t="n">
        <v>714.5599999999999</v>
      </c>
      <c r="G694" s="23" t="n">
        <v>46192</v>
      </c>
      <c r="H694" s="24" t="inlineStr">
        <is>
          <t>Medium</t>
        </is>
      </c>
      <c r="I694" s="24" t="inlineStr">
        <is>
          <t>Contractual due date pending refreshed collection call</t>
        </is>
      </c>
      <c r="J694" s="8">
        <f>IFERROR(MATCH(G694,'13W Cash Forecast'!$B$4:$N$4,1),1)</f>
        <v/>
      </c>
    </row>
    <row r="695">
      <c r="A695" s="8" t="inlineStr">
        <is>
          <t>AR-0031345</t>
        </is>
      </c>
      <c r="B695" s="8" t="inlineStr">
        <is>
          <t>Service</t>
        </is>
      </c>
      <c r="C695" s="8" t="inlineStr">
        <is>
          <t>Rogue Valley Beverage - Portfolio Property Group</t>
        </is>
      </c>
      <c r="D695" s="22" t="n">
        <v>46177</v>
      </c>
      <c r="E695" s="22" t="n">
        <v>46192</v>
      </c>
      <c r="F695" s="9" t="n">
        <v>1917</v>
      </c>
      <c r="G695" s="23" t="n">
        <v>46192</v>
      </c>
      <c r="H695" s="24" t="inlineStr">
        <is>
          <t>Medium</t>
        </is>
      </c>
      <c r="I695" s="24" t="inlineStr">
        <is>
          <t>Contractual due date pending refreshed collection call</t>
        </is>
      </c>
      <c r="J695" s="8">
        <f>IFERROR(MATCH(G695,'13W Cash Forecast'!$B$4:$N$4,1),1)</f>
        <v/>
      </c>
    </row>
    <row r="696">
      <c r="A696" s="8" t="inlineStr">
        <is>
          <t>AR-0030935</t>
        </is>
      </c>
      <c r="B696" s="8" t="inlineStr">
        <is>
          <t>Service</t>
        </is>
      </c>
      <c r="C696" s="8" t="inlineStr">
        <is>
          <t>Forest Park Hospitality - West Asset Management</t>
        </is>
      </c>
      <c r="D696" s="22" t="n">
        <v>46163</v>
      </c>
      <c r="E696" s="22" t="n">
        <v>46193</v>
      </c>
      <c r="F696" s="9" t="n">
        <v>355.57</v>
      </c>
      <c r="G696" s="23" t="n">
        <v>46193</v>
      </c>
      <c r="H696" s="24" t="inlineStr">
        <is>
          <t>Medium</t>
        </is>
      </c>
      <c r="I696" s="24" t="inlineStr">
        <is>
          <t>Contractual due date pending refreshed collection call</t>
        </is>
      </c>
      <c r="J696" s="8">
        <f>IFERROR(MATCH(G696,'13W Cash Forecast'!$B$4:$N$4,1),1)</f>
        <v/>
      </c>
    </row>
    <row r="697">
      <c r="A697" s="8" t="inlineStr">
        <is>
          <t>AR-0030941</t>
        </is>
      </c>
      <c r="B697" s="8" t="inlineStr">
        <is>
          <t>Service</t>
        </is>
      </c>
      <c r="C697" s="8" t="inlineStr">
        <is>
          <t>Portland Arts and Events - Central Campus Services</t>
        </is>
      </c>
      <c r="D697" s="22" t="n">
        <v>46148</v>
      </c>
      <c r="E697" s="22" t="n">
        <v>46193</v>
      </c>
      <c r="F697" s="9" t="n">
        <v>760.84</v>
      </c>
      <c r="G697" s="23" t="n">
        <v>46193</v>
      </c>
      <c r="H697" s="24" t="inlineStr">
        <is>
          <t>Medium</t>
        </is>
      </c>
      <c r="I697" s="24" t="inlineStr">
        <is>
          <t>Contractual due date pending refreshed collection call</t>
        </is>
      </c>
      <c r="J697" s="8">
        <f>IFERROR(MATCH(G697,'13W Cash Forecast'!$B$4:$N$4,1),1)</f>
        <v/>
      </c>
    </row>
    <row r="698">
      <c r="A698" s="8" t="inlineStr">
        <is>
          <t>AR-0030989</t>
        </is>
      </c>
      <c r="B698" s="8" t="inlineStr">
        <is>
          <t>Service</t>
        </is>
      </c>
      <c r="C698" s="8" t="inlineStr">
        <is>
          <t>Valley View Food Systems - Operations LLC</t>
        </is>
      </c>
      <c r="D698" s="22" t="n">
        <v>46163</v>
      </c>
      <c r="E698" s="22" t="n">
        <v>46193</v>
      </c>
      <c r="F698" s="9" t="n">
        <v>1239.77</v>
      </c>
      <c r="G698" s="23" t="n">
        <v>46193</v>
      </c>
      <c r="H698" s="24" t="inlineStr">
        <is>
          <t>Medium</t>
        </is>
      </c>
      <c r="I698" s="24" t="inlineStr">
        <is>
          <t>Contractual due date pending refreshed collection call</t>
        </is>
      </c>
      <c r="J698" s="8">
        <f>IFERROR(MATCH(G698,'13W Cash Forecast'!$B$4:$N$4,1),1)</f>
        <v/>
      </c>
    </row>
    <row r="699">
      <c r="A699" s="8" t="inlineStr">
        <is>
          <t>AR-0031043</t>
        </is>
      </c>
      <c r="B699" s="8" t="inlineStr">
        <is>
          <t>Service</t>
        </is>
      </c>
      <c r="C699" s="8" t="inlineStr">
        <is>
          <t>Oak Street Development - North LLC</t>
        </is>
      </c>
      <c r="D699" s="22" t="n">
        <v>46163</v>
      </c>
      <c r="E699" s="22" t="n">
        <v>46193</v>
      </c>
      <c r="F699" s="9" t="n">
        <v>219.36</v>
      </c>
      <c r="G699" s="23" t="n">
        <v>46193</v>
      </c>
      <c r="H699" s="24" t="inlineStr">
        <is>
          <t>Low</t>
        </is>
      </c>
      <c r="I699" s="24" t="inlineStr">
        <is>
          <t>Awaiting project-accountant follow-up</t>
        </is>
      </c>
      <c r="J699" s="8">
        <f>IFERROR(MATCH(G699,'13W Cash Forecast'!$B$4:$N$4,1),1)</f>
        <v/>
      </c>
    </row>
    <row r="700">
      <c r="A700" s="8" t="inlineStr">
        <is>
          <t>AR-0031070</t>
        </is>
      </c>
      <c r="B700" s="8" t="inlineStr">
        <is>
          <t>Service</t>
        </is>
      </c>
      <c r="C700" s="8" t="inlineStr">
        <is>
          <t>Union Station Properties - Central Partners, LP</t>
        </is>
      </c>
      <c r="D700" s="22" t="n">
        <v>46163</v>
      </c>
      <c r="E700" s="22" t="n">
        <v>46193</v>
      </c>
      <c r="F700" s="9" t="n">
        <v>1077.74</v>
      </c>
      <c r="G700" s="23" t="n">
        <v>46193</v>
      </c>
      <c r="H700" s="24" t="inlineStr">
        <is>
          <t>Medium</t>
        </is>
      </c>
      <c r="I700" s="24" t="inlineStr">
        <is>
          <t>Contractual due date pending refreshed collection call</t>
        </is>
      </c>
      <c r="J700" s="8">
        <f>IFERROR(MATCH(G700,'13W Cash Forecast'!$B$4:$N$4,1),1)</f>
        <v/>
      </c>
    </row>
    <row r="701">
      <c r="A701" s="8" t="inlineStr">
        <is>
          <t>AR-0031124</t>
        </is>
      </c>
      <c r="B701" s="8" t="inlineStr">
        <is>
          <t>Service</t>
        </is>
      </c>
      <c r="C701" s="8" t="inlineStr">
        <is>
          <t>Mt. Hood Community Health - Operations LLC</t>
        </is>
      </c>
      <c r="D701" s="22" t="n">
        <v>46163</v>
      </c>
      <c r="E701" s="22" t="n">
        <v>46193</v>
      </c>
      <c r="F701" s="9" t="n">
        <v>361.49</v>
      </c>
      <c r="G701" s="23" t="n">
        <v>46193</v>
      </c>
      <c r="H701" s="24" t="inlineStr">
        <is>
          <t>Medium</t>
        </is>
      </c>
      <c r="I701" s="24" t="inlineStr">
        <is>
          <t>Contractual due date pending refreshed collection call</t>
        </is>
      </c>
      <c r="J701" s="8">
        <f>IFERROR(MATCH(G701,'13W Cash Forecast'!$B$4:$N$4,1),1)</f>
        <v/>
      </c>
    </row>
    <row r="702">
      <c r="A702" s="8" t="inlineStr">
        <is>
          <t>AR-0031215</t>
        </is>
      </c>
      <c r="B702" s="8" t="inlineStr">
        <is>
          <t>Service</t>
        </is>
      </c>
      <c r="C702" s="8" t="inlineStr">
        <is>
          <t>Tualatin Commerce Center Operating Company</t>
        </is>
      </c>
      <c r="D702" s="22" t="n">
        <v>46178</v>
      </c>
      <c r="E702" s="22" t="n">
        <v>46193</v>
      </c>
      <c r="F702" s="9" t="n">
        <v>374.28</v>
      </c>
      <c r="G702" s="23" t="n">
        <v>46193</v>
      </c>
      <c r="H702" s="24" t="inlineStr">
        <is>
          <t>Medium</t>
        </is>
      </c>
      <c r="I702" s="24" t="inlineStr">
        <is>
          <t>Contractual due date pending refreshed collection call</t>
        </is>
      </c>
      <c r="J702" s="8">
        <f>IFERROR(MATCH(G702,'13W Cash Forecast'!$B$4:$N$4,1),1)</f>
        <v/>
      </c>
    </row>
    <row r="703">
      <c r="A703" s="8" t="inlineStr">
        <is>
          <t>AR-0031269</t>
        </is>
      </c>
      <c r="B703" s="8" t="inlineStr">
        <is>
          <t>Service</t>
        </is>
      </c>
      <c r="C703" s="8" t="inlineStr">
        <is>
          <t>Oregon Advanced Materials - South Real Estate, LLC</t>
        </is>
      </c>
      <c r="D703" s="22" t="n">
        <v>46178</v>
      </c>
      <c r="E703" s="22" t="n">
        <v>46193</v>
      </c>
      <c r="F703" s="9" t="n">
        <v>1210.69</v>
      </c>
      <c r="G703" s="23" t="n">
        <v>46193</v>
      </c>
      <c r="H703" s="24" t="inlineStr">
        <is>
          <t>Medium</t>
        </is>
      </c>
      <c r="I703" s="24" t="inlineStr">
        <is>
          <t>Contractual due date pending refreshed collection call</t>
        </is>
      </c>
      <c r="J703" s="8">
        <f>IFERROR(MATCH(G703,'13W Cash Forecast'!$B$4:$N$4,1),1)</f>
        <v/>
      </c>
    </row>
    <row r="704">
      <c r="A704" s="8" t="inlineStr">
        <is>
          <t>AR-0031323</t>
        </is>
      </c>
      <c r="B704" s="8" t="inlineStr">
        <is>
          <t>Service</t>
        </is>
      </c>
      <c r="C704" s="8" t="inlineStr">
        <is>
          <t>Fairview Property Partners - East Property Group</t>
        </is>
      </c>
      <c r="D704" s="22" t="n">
        <v>46178</v>
      </c>
      <c r="E704" s="22" t="n">
        <v>46193</v>
      </c>
      <c r="F704" s="9" t="n">
        <v>361.6</v>
      </c>
      <c r="G704" s="23" t="n">
        <v>46193</v>
      </c>
      <c r="H704" s="24" t="inlineStr">
        <is>
          <t>Medium</t>
        </is>
      </c>
      <c r="I704" s="24" t="inlineStr">
        <is>
          <t>Contractual due date pending refreshed collection call</t>
        </is>
      </c>
      <c r="J704" s="8">
        <f>IFERROR(MATCH(G704,'13W Cash Forecast'!$B$4:$N$4,1),1)</f>
        <v/>
      </c>
    </row>
    <row r="705">
      <c r="A705" s="8" t="inlineStr">
        <is>
          <t>AR-0031458</t>
        </is>
      </c>
      <c r="B705" s="8" t="inlineStr">
        <is>
          <t>Service</t>
        </is>
      </c>
      <c r="C705" s="8" t="inlineStr">
        <is>
          <t>Clackamas Health Network Operating Company</t>
        </is>
      </c>
      <c r="D705" s="22" t="n">
        <v>46178</v>
      </c>
      <c r="E705" s="22" t="n">
        <v>46193</v>
      </c>
      <c r="F705" s="9" t="n">
        <v>1140.22</v>
      </c>
      <c r="G705" s="23" t="n">
        <v>46193</v>
      </c>
      <c r="H705" s="24" t="inlineStr">
        <is>
          <t>Medium</t>
        </is>
      </c>
      <c r="I705" s="24" t="inlineStr">
        <is>
          <t>Contractual due date pending refreshed collection call</t>
        </is>
      </c>
      <c r="J705" s="8">
        <f>IFERROR(MATCH(G705,'13W Cash Forecast'!$B$4:$N$4,1),1)</f>
        <v/>
      </c>
    </row>
    <row r="706">
      <c r="A706" s="8" t="inlineStr">
        <is>
          <t>AR-0030919</t>
        </is>
      </c>
      <c r="B706" s="8" t="inlineStr">
        <is>
          <t>Service</t>
        </is>
      </c>
      <c r="C706" s="8" t="inlineStr">
        <is>
          <t>Deschutes Medical Group - North Campus Services</t>
        </is>
      </c>
      <c r="D706" s="22" t="n">
        <v>46149</v>
      </c>
      <c r="E706" s="22" t="n">
        <v>46194</v>
      </c>
      <c r="F706" s="9" t="n">
        <v>331.24</v>
      </c>
      <c r="G706" s="23" t="n">
        <v>46194</v>
      </c>
      <c r="H706" s="24" t="inlineStr">
        <is>
          <t>Low</t>
        </is>
      </c>
      <c r="I706" s="24" t="inlineStr">
        <is>
          <t>Awaiting project-accountant follow-up</t>
        </is>
      </c>
      <c r="J706" s="8">
        <f>IFERROR(MATCH(G706,'13W Cash Forecast'!$B$4:$N$4,1),1)</f>
        <v/>
      </c>
    </row>
    <row r="707">
      <c r="A707" s="8" t="inlineStr">
        <is>
          <t>AR-0030967</t>
        </is>
      </c>
      <c r="B707" s="8" t="inlineStr">
        <is>
          <t>Service</t>
        </is>
      </c>
      <c r="C707" s="8" t="inlineStr">
        <is>
          <t>Klamath County Facilities - South LLC</t>
        </is>
      </c>
      <c r="D707" s="22" t="n">
        <v>46164</v>
      </c>
      <c r="E707" s="22" t="n">
        <v>46194</v>
      </c>
      <c r="F707" s="9" t="n">
        <v>495.2</v>
      </c>
      <c r="G707" s="23" t="n">
        <v>46194</v>
      </c>
      <c r="H707" s="24" t="inlineStr">
        <is>
          <t>Medium</t>
        </is>
      </c>
      <c r="I707" s="24" t="inlineStr">
        <is>
          <t>Contractual due date pending refreshed collection call</t>
        </is>
      </c>
      <c r="J707" s="8">
        <f>IFERROR(MATCH(G707,'13W Cash Forecast'!$B$4:$N$4,1),1)</f>
        <v/>
      </c>
    </row>
    <row r="708">
      <c r="A708" s="8" t="inlineStr">
        <is>
          <t>AR-0031021</t>
        </is>
      </c>
      <c r="B708" s="8" t="inlineStr">
        <is>
          <t>Service</t>
        </is>
      </c>
      <c r="C708" s="8" t="inlineStr">
        <is>
          <t>Central Cascades Foods - Central LLC</t>
        </is>
      </c>
      <c r="D708" s="22" t="n">
        <v>46164</v>
      </c>
      <c r="E708" s="22" t="n">
        <v>46194</v>
      </c>
      <c r="F708" s="9" t="n">
        <v>855.3</v>
      </c>
      <c r="G708" s="23" t="n">
        <v>46194</v>
      </c>
      <c r="H708" s="24" t="inlineStr">
        <is>
          <t>Medium</t>
        </is>
      </c>
      <c r="I708" s="24" t="inlineStr">
        <is>
          <t>Contractual due date pending refreshed collection call</t>
        </is>
      </c>
      <c r="J708" s="8">
        <f>IFERROR(MATCH(G708,'13W Cash Forecast'!$B$4:$N$4,1),1)</f>
        <v/>
      </c>
    </row>
    <row r="709">
      <c r="A709" s="8" t="inlineStr">
        <is>
          <t>AR-0031048</t>
        </is>
      </c>
      <c r="B709" s="8" t="inlineStr">
        <is>
          <t>Service</t>
        </is>
      </c>
      <c r="C709" s="8" t="inlineStr">
        <is>
          <t>Juniper Ridge Properties - North Partners, LP</t>
        </is>
      </c>
      <c r="D709" s="22" t="n">
        <v>46164</v>
      </c>
      <c r="E709" s="22" t="n">
        <v>46194</v>
      </c>
      <c r="F709" s="9" t="n">
        <v>368.45</v>
      </c>
      <c r="G709" s="23" t="n">
        <v>46194</v>
      </c>
      <c r="H709" s="24" t="inlineStr">
        <is>
          <t>Medium</t>
        </is>
      </c>
      <c r="I709" s="24" t="inlineStr">
        <is>
          <t>Contractual due date pending refreshed collection call</t>
        </is>
      </c>
      <c r="J709" s="8">
        <f>IFERROR(MATCH(G709,'13W Cash Forecast'!$B$4:$N$4,1),1)</f>
        <v/>
      </c>
    </row>
    <row r="710">
      <c r="A710" s="8" t="inlineStr">
        <is>
          <t>AR-0031102</t>
        </is>
      </c>
      <c r="B710" s="8" t="inlineStr">
        <is>
          <t>Service</t>
        </is>
      </c>
      <c r="C710" s="8" t="inlineStr">
        <is>
          <t>Beacon Industrial - South LLC</t>
        </is>
      </c>
      <c r="D710" s="22" t="n">
        <v>46164</v>
      </c>
      <c r="E710" s="22" t="n">
        <v>46194</v>
      </c>
      <c r="F710" s="9" t="n">
        <v>544.22</v>
      </c>
      <c r="G710" s="23" t="n">
        <v>46194</v>
      </c>
      <c r="H710" s="24" t="inlineStr">
        <is>
          <t>Medium</t>
        </is>
      </c>
      <c r="I710" s="24" t="inlineStr">
        <is>
          <t>Contractual due date pending refreshed collection call</t>
        </is>
      </c>
      <c r="J710" s="8">
        <f>IFERROR(MATCH(G710,'13W Cash Forecast'!$B$4:$N$4,1),1)</f>
        <v/>
      </c>
    </row>
    <row r="711">
      <c r="A711" s="8" t="inlineStr">
        <is>
          <t>AR-0031108</t>
        </is>
      </c>
      <c r="B711" s="8" t="inlineStr">
        <is>
          <t>Service</t>
        </is>
      </c>
      <c r="C711" s="8" t="inlineStr">
        <is>
          <t>Lake Oswego Office Partners - East Development Company</t>
        </is>
      </c>
      <c r="D711" s="22" t="n">
        <v>46149</v>
      </c>
      <c r="E711" s="22" t="n">
        <v>46194</v>
      </c>
      <c r="F711" s="9" t="n">
        <v>223.92</v>
      </c>
      <c r="G711" s="23" t="n">
        <v>46194</v>
      </c>
      <c r="H711" s="24" t="inlineStr">
        <is>
          <t>Medium</t>
        </is>
      </c>
      <c r="I711" s="24" t="inlineStr">
        <is>
          <t>Contractual due date pending refreshed collection call</t>
        </is>
      </c>
      <c r="J711" s="8">
        <f>IFERROR(MATCH(G711,'13W Cash Forecast'!$B$4:$N$4,1),1)</f>
        <v/>
      </c>
    </row>
    <row r="712">
      <c r="A712" s="8" t="inlineStr">
        <is>
          <t>AR-0031156</t>
        </is>
      </c>
      <c r="B712" s="8" t="inlineStr">
        <is>
          <t>Service</t>
        </is>
      </c>
      <c r="C712" s="8" t="inlineStr">
        <is>
          <t>Columbia Biologics, Inc.</t>
        </is>
      </c>
      <c r="D712" s="22" t="n">
        <v>46164</v>
      </c>
      <c r="E712" s="22" t="n">
        <v>46194</v>
      </c>
      <c r="F712" s="9" t="n">
        <v>291.8</v>
      </c>
      <c r="G712" s="23" t="n">
        <v>46194</v>
      </c>
      <c r="H712" s="24" t="inlineStr">
        <is>
          <t>Medium</t>
        </is>
      </c>
      <c r="I712" s="24" t="inlineStr">
        <is>
          <t>Contractual due date pending refreshed collection call</t>
        </is>
      </c>
      <c r="J712" s="8">
        <f>IFERROR(MATCH(G712,'13W Cash Forecast'!$B$4:$N$4,1),1)</f>
        <v/>
      </c>
    </row>
    <row r="713">
      <c r="A713" s="8" t="inlineStr">
        <is>
          <t>AR-0031183</t>
        </is>
      </c>
      <c r="B713" s="8" t="inlineStr">
        <is>
          <t>Service</t>
        </is>
      </c>
      <c r="C713" s="8" t="inlineStr">
        <is>
          <t>Klamath County Facilities Development Company</t>
        </is>
      </c>
      <c r="D713" s="22" t="n">
        <v>46164</v>
      </c>
      <c r="E713" s="22" t="n">
        <v>46194</v>
      </c>
      <c r="F713" s="9" t="n">
        <v>512.3099999999999</v>
      </c>
      <c r="G713" s="23" t="n">
        <v>46194</v>
      </c>
      <c r="H713" s="24" t="inlineStr">
        <is>
          <t>Low</t>
        </is>
      </c>
      <c r="I713" s="24" t="inlineStr">
        <is>
          <t>Awaiting project-accountant follow-up</t>
        </is>
      </c>
      <c r="J713" s="8">
        <f>IFERROR(MATCH(G713,'13W Cash Forecast'!$B$4:$N$4,1),1)</f>
        <v/>
      </c>
    </row>
    <row r="714">
      <c r="A714" s="8" t="inlineStr">
        <is>
          <t>AR-0031189</t>
        </is>
      </c>
      <c r="B714" s="8" t="inlineStr">
        <is>
          <t>Service</t>
        </is>
      </c>
      <c r="C714" s="8" t="inlineStr">
        <is>
          <t>Deschutes Medical Group - North Campus Services</t>
        </is>
      </c>
      <c r="D714" s="22" t="n">
        <v>46149</v>
      </c>
      <c r="E714" s="22" t="n">
        <v>46194</v>
      </c>
      <c r="F714" s="9" t="n">
        <v>1699.76</v>
      </c>
      <c r="G714" s="23" t="n">
        <v>46194</v>
      </c>
      <c r="H714" s="24" t="inlineStr">
        <is>
          <t>Medium</t>
        </is>
      </c>
      <c r="I714" s="24" t="inlineStr">
        <is>
          <t>Contractual due date pending refreshed collection call</t>
        </is>
      </c>
      <c r="J714" s="8">
        <f>IFERROR(MATCH(G714,'13W Cash Forecast'!$B$4:$N$4,1),1)</f>
        <v/>
      </c>
    </row>
    <row r="715">
      <c r="A715" s="8" t="inlineStr">
        <is>
          <t>AR-0031247</t>
        </is>
      </c>
      <c r="B715" s="8" t="inlineStr">
        <is>
          <t>Service</t>
        </is>
      </c>
      <c r="C715" s="8" t="inlineStr">
        <is>
          <t>Clackamas Health Network - Operations Real Estate, LLC</t>
        </is>
      </c>
      <c r="D715" s="22" t="n">
        <v>46179</v>
      </c>
      <c r="E715" s="22" t="n">
        <v>46194</v>
      </c>
      <c r="F715" s="9" t="n">
        <v>843.97</v>
      </c>
      <c r="G715" s="23" t="n">
        <v>46194</v>
      </c>
      <c r="H715" s="24" t="inlineStr">
        <is>
          <t>Medium</t>
        </is>
      </c>
      <c r="I715" s="24" t="inlineStr">
        <is>
          <t>Contractual due date pending refreshed collection call</t>
        </is>
      </c>
      <c r="J715" s="8">
        <f>IFERROR(MATCH(G715,'13W Cash Forecast'!$B$4:$N$4,1),1)</f>
        <v/>
      </c>
    </row>
    <row r="716">
      <c r="A716" s="8" t="inlineStr">
        <is>
          <t>AR-0031301</t>
        </is>
      </c>
      <c r="B716" s="8" t="inlineStr">
        <is>
          <t>Service</t>
        </is>
      </c>
      <c r="C716" s="8" t="inlineStr">
        <is>
          <t>Rogue Valley Beverage - Portfolio Holdings, LLC</t>
        </is>
      </c>
      <c r="D716" s="22" t="n">
        <v>46179</v>
      </c>
      <c r="E716" s="22" t="n">
        <v>46194</v>
      </c>
      <c r="F716" s="9" t="n">
        <v>868.86</v>
      </c>
      <c r="G716" s="23" t="n">
        <v>46194</v>
      </c>
      <c r="H716" s="24" t="inlineStr">
        <is>
          <t>Medium</t>
        </is>
      </c>
      <c r="I716" s="24" t="inlineStr">
        <is>
          <t>Contractual due date pending refreshed collection call</t>
        </is>
      </c>
      <c r="J716" s="8">
        <f>IFERROR(MATCH(G716,'13W Cash Forecast'!$B$4:$N$4,1),1)</f>
        <v/>
      </c>
    </row>
    <row r="717">
      <c r="A717" s="8" t="inlineStr">
        <is>
          <t>AR-0031436</t>
        </is>
      </c>
      <c r="B717" s="8" t="inlineStr">
        <is>
          <t>Service</t>
        </is>
      </c>
      <c r="C717" s="8" t="inlineStr">
        <is>
          <t>Hillsboro Life Sciences - Campus Asset Management</t>
        </is>
      </c>
      <c r="D717" s="22" t="n">
        <v>46179</v>
      </c>
      <c r="E717" s="22" t="n">
        <v>46194</v>
      </c>
      <c r="F717" s="9" t="n">
        <v>482.02</v>
      </c>
      <c r="G717" s="23" t="n">
        <v>46194</v>
      </c>
      <c r="H717" s="24" t="inlineStr">
        <is>
          <t>Medium</t>
        </is>
      </c>
      <c r="I717" s="24" t="inlineStr">
        <is>
          <t>Contractual due date pending refreshed collection call</t>
        </is>
      </c>
      <c r="J717" s="8">
        <f>IFERROR(MATCH(G717,'13W Cash Forecast'!$B$4:$N$4,1),1)</f>
        <v/>
      </c>
    </row>
    <row r="718">
      <c r="A718" s="8" t="inlineStr">
        <is>
          <t>AR-0030945</t>
        </is>
      </c>
      <c r="B718" s="8" t="inlineStr">
        <is>
          <t>Service</t>
        </is>
      </c>
      <c r="C718" s="8" t="inlineStr">
        <is>
          <t>Salem Surgical Partners Campus Services</t>
        </is>
      </c>
      <c r="D718" s="22" t="n">
        <v>46165</v>
      </c>
      <c r="E718" s="22" t="n">
        <v>46195</v>
      </c>
      <c r="F718" s="9" t="n">
        <v>731.28</v>
      </c>
      <c r="G718" s="23" t="n">
        <v>46195</v>
      </c>
      <c r="H718" s="24" t="inlineStr">
        <is>
          <t>Medium</t>
        </is>
      </c>
      <c r="I718" s="24" t="inlineStr">
        <is>
          <t>Contractual due date pending refreshed collection call</t>
        </is>
      </c>
      <c r="J718" s="8">
        <f>IFERROR(MATCH(G718,'13W Cash Forecast'!$B$4:$N$4,1),1)</f>
        <v/>
      </c>
    </row>
    <row r="719">
      <c r="A719" s="8" t="inlineStr">
        <is>
          <t>AR-0030999</t>
        </is>
      </c>
      <c r="B719" s="8" t="inlineStr">
        <is>
          <t>Service</t>
        </is>
      </c>
      <c r="C719" s="8" t="inlineStr">
        <is>
          <t>Oak Street Development - North Development Company</t>
        </is>
      </c>
      <c r="D719" s="22" t="n">
        <v>46165</v>
      </c>
      <c r="E719" s="22" t="n">
        <v>46195</v>
      </c>
      <c r="F719" s="9" t="n">
        <v>637.92</v>
      </c>
      <c r="G719" s="23" t="n">
        <v>46195</v>
      </c>
      <c r="H719" s="24" t="inlineStr">
        <is>
          <t>Medium</t>
        </is>
      </c>
      <c r="I719" s="24" t="inlineStr">
        <is>
          <t>Contractual due date pending refreshed collection call</t>
        </is>
      </c>
      <c r="J719" s="8">
        <f>IFERROR(MATCH(G719,'13W Cash Forecast'!$B$4:$N$4,1),1)</f>
        <v/>
      </c>
    </row>
    <row r="720">
      <c r="A720" s="8" t="inlineStr">
        <is>
          <t>AR-0031026</t>
        </is>
      </c>
      <c r="B720" s="8" t="inlineStr">
        <is>
          <t>Service</t>
        </is>
      </c>
      <c r="C720" s="8" t="inlineStr">
        <is>
          <t>Union Station Properties - Central Facilities</t>
        </is>
      </c>
      <c r="D720" s="22" t="n">
        <v>46165</v>
      </c>
      <c r="E720" s="22" t="n">
        <v>46195</v>
      </c>
      <c r="F720" s="9" t="n">
        <v>1289.91</v>
      </c>
      <c r="G720" s="23" t="n">
        <v>46195</v>
      </c>
      <c r="H720" s="24" t="inlineStr">
        <is>
          <t>Low</t>
        </is>
      </c>
      <c r="I720" s="24" t="inlineStr">
        <is>
          <t>Awaiting project-accountant follow-up</t>
        </is>
      </c>
      <c r="J720" s="8">
        <f>IFERROR(MATCH(G720,'13W Cash Forecast'!$B$4:$N$4,1),1)</f>
        <v/>
      </c>
    </row>
    <row r="721">
      <c r="A721" s="8" t="inlineStr">
        <is>
          <t>AR-0031080</t>
        </is>
      </c>
      <c r="B721" s="8" t="inlineStr">
        <is>
          <t>Service</t>
        </is>
      </c>
      <c r="C721" s="8" t="inlineStr">
        <is>
          <t>Mt. Hood Community Health - Operations Development Company</t>
        </is>
      </c>
      <c r="D721" s="22" t="n">
        <v>46165</v>
      </c>
      <c r="E721" s="22" t="n">
        <v>46195</v>
      </c>
      <c r="F721" s="9" t="n">
        <v>1057.32</v>
      </c>
      <c r="G721" s="23" t="n">
        <v>46195</v>
      </c>
      <c r="H721" s="24" t="inlineStr">
        <is>
          <t>Medium</t>
        </is>
      </c>
      <c r="I721" s="24" t="inlineStr">
        <is>
          <t>Contractual due date pending refreshed collection call</t>
        </is>
      </c>
      <c r="J721" s="8">
        <f>IFERROR(MATCH(G721,'13W Cash Forecast'!$B$4:$N$4,1),1)</f>
        <v/>
      </c>
    </row>
    <row r="722">
      <c r="A722" s="8" t="inlineStr">
        <is>
          <t>AR-0031086</t>
        </is>
      </c>
      <c r="B722" s="8" t="inlineStr">
        <is>
          <t>Service</t>
        </is>
      </c>
      <c r="C722" s="8" t="inlineStr">
        <is>
          <t>Westside Ambulatory - Portfolio Asset Management</t>
        </is>
      </c>
      <c r="D722" s="22" t="n">
        <v>46150</v>
      </c>
      <c r="E722" s="22" t="n">
        <v>46195</v>
      </c>
      <c r="F722" s="9" t="n">
        <v>296.9</v>
      </c>
      <c r="G722" s="23" t="n">
        <v>46195</v>
      </c>
      <c r="H722" s="24" t="inlineStr">
        <is>
          <t>Medium</t>
        </is>
      </c>
      <c r="I722" s="24" t="inlineStr">
        <is>
          <t>Contractual due date pending refreshed collection call</t>
        </is>
      </c>
      <c r="J722" s="8">
        <f>IFERROR(MATCH(G722,'13W Cash Forecast'!$B$4:$N$4,1),1)</f>
        <v/>
      </c>
    </row>
    <row r="723">
      <c r="A723" s="8" t="inlineStr">
        <is>
          <t>AR-0031134</t>
        </is>
      </c>
      <c r="B723" s="8" t="inlineStr">
        <is>
          <t>Service</t>
        </is>
      </c>
      <c r="C723" s="8" t="inlineStr">
        <is>
          <t>Copperline Apartments - Campus Property Group</t>
        </is>
      </c>
      <c r="D723" s="22" t="n">
        <v>46165</v>
      </c>
      <c r="E723" s="22" t="n">
        <v>46195</v>
      </c>
      <c r="F723" s="9" t="n">
        <v>1259.32</v>
      </c>
      <c r="G723" s="23" t="n">
        <v>46195</v>
      </c>
      <c r="H723" s="24" t="inlineStr">
        <is>
          <t>Medium</t>
        </is>
      </c>
      <c r="I723" s="24" t="inlineStr">
        <is>
          <t>Contractual due date pending refreshed collection call</t>
        </is>
      </c>
      <c r="J723" s="8">
        <f>IFERROR(MATCH(G723,'13W Cash Forecast'!$B$4:$N$4,1),1)</f>
        <v/>
      </c>
    </row>
    <row r="724">
      <c r="A724" s="8" t="inlineStr">
        <is>
          <t>AR-0031140</t>
        </is>
      </c>
      <c r="B724" s="8" t="inlineStr">
        <is>
          <t>Service</t>
        </is>
      </c>
      <c r="C724" s="8" t="inlineStr">
        <is>
          <t>Cascade Health Properties, LLC</t>
        </is>
      </c>
      <c r="D724" s="22" t="n">
        <v>46150</v>
      </c>
      <c r="E724" s="22" t="n">
        <v>46195</v>
      </c>
      <c r="F724" s="9" t="n">
        <v>325.91</v>
      </c>
      <c r="G724" s="23" t="n">
        <v>46195</v>
      </c>
      <c r="H724" s="24" t="inlineStr">
        <is>
          <t>Medium</t>
        </is>
      </c>
      <c r="I724" s="24" t="inlineStr">
        <is>
          <t>Contractual due date pending refreshed collection call</t>
        </is>
      </c>
      <c r="J724" s="8">
        <f>IFERROR(MATCH(G724,'13W Cash Forecast'!$B$4:$N$4,1),1)</f>
        <v/>
      </c>
    </row>
    <row r="725">
      <c r="A725" s="8" t="inlineStr">
        <is>
          <t>AR-0031188</t>
        </is>
      </c>
      <c r="B725" s="8" t="inlineStr">
        <is>
          <t>Service</t>
        </is>
      </c>
      <c r="C725" s="8" t="inlineStr">
        <is>
          <t>Beacon Industrial Campus Services</t>
        </is>
      </c>
      <c r="D725" s="22" t="n">
        <v>46165</v>
      </c>
      <c r="E725" s="22" t="n">
        <v>46195</v>
      </c>
      <c r="F725" s="9" t="n">
        <v>4463.49</v>
      </c>
      <c r="G725" s="23" t="n">
        <v>46195</v>
      </c>
      <c r="H725" s="24" t="inlineStr">
        <is>
          <t>Medium</t>
        </is>
      </c>
      <c r="I725" s="24" t="inlineStr">
        <is>
          <t>Contractual due date pending refreshed collection call</t>
        </is>
      </c>
      <c r="J725" s="8">
        <f>IFERROR(MATCH(G725,'13W Cash Forecast'!$B$4:$N$4,1),1)</f>
        <v/>
      </c>
    </row>
    <row r="726">
      <c r="A726" s="8" t="inlineStr">
        <is>
          <t>AR-0031279</t>
        </is>
      </c>
      <c r="B726" s="8" t="inlineStr">
        <is>
          <t>Service</t>
        </is>
      </c>
      <c r="C726" s="8" t="inlineStr">
        <is>
          <t>Fairview Property Partners - East Holdings, LLC</t>
        </is>
      </c>
      <c r="D726" s="22" t="n">
        <v>46180</v>
      </c>
      <c r="E726" s="22" t="n">
        <v>46195</v>
      </c>
      <c r="F726" s="9" t="n">
        <v>496.96</v>
      </c>
      <c r="G726" s="23" t="n">
        <v>46195</v>
      </c>
      <c r="H726" s="24" t="inlineStr">
        <is>
          <t>Medium</t>
        </is>
      </c>
      <c r="I726" s="24" t="inlineStr">
        <is>
          <t>Contractual due date pending refreshed collection call</t>
        </is>
      </c>
      <c r="J726" s="8">
        <f>IFERROR(MATCH(G726,'13W Cash Forecast'!$B$4:$N$4,1),1)</f>
        <v/>
      </c>
    </row>
    <row r="727">
      <c r="A727" s="8" t="inlineStr">
        <is>
          <t>AR-0031414</t>
        </is>
      </c>
      <c r="B727" s="8" t="inlineStr">
        <is>
          <t>Service</t>
        </is>
      </c>
      <c r="C727" s="8" t="inlineStr">
        <is>
          <t>Tualatin Commerce Center - West Campus Services</t>
        </is>
      </c>
      <c r="D727" s="22" t="n">
        <v>46180</v>
      </c>
      <c r="E727" s="22" t="n">
        <v>46195</v>
      </c>
      <c r="F727" s="9" t="n">
        <v>804.59</v>
      </c>
      <c r="G727" s="23" t="n">
        <v>46195</v>
      </c>
      <c r="H727" s="24" t="inlineStr">
        <is>
          <t>Low</t>
        </is>
      </c>
      <c r="I727" s="24" t="inlineStr">
        <is>
          <t>Awaiting project-accountant follow-up</t>
        </is>
      </c>
      <c r="J727" s="8">
        <f>IFERROR(MATCH(G727,'13W Cash Forecast'!$B$4:$N$4,1),1)</f>
        <v/>
      </c>
    </row>
    <row r="728">
      <c r="A728" s="8" t="inlineStr">
        <is>
          <t>AR-0031468</t>
        </is>
      </c>
      <c r="B728" s="8" t="inlineStr">
        <is>
          <t>Service</t>
        </is>
      </c>
      <c r="C728" s="8" t="inlineStr">
        <is>
          <t>McKenzie River Foods - Central Facilities</t>
        </is>
      </c>
      <c r="D728" s="22" t="n">
        <v>46180</v>
      </c>
      <c r="E728" s="22" t="n">
        <v>46195</v>
      </c>
      <c r="F728" s="9" t="n">
        <v>324.48</v>
      </c>
      <c r="G728" s="23" t="n">
        <v>46195</v>
      </c>
      <c r="H728" s="24" t="inlineStr">
        <is>
          <t>Medium</t>
        </is>
      </c>
      <c r="I728" s="24" t="inlineStr">
        <is>
          <t>Contractual due date pending refreshed collection call</t>
        </is>
      </c>
      <c r="J728" s="8">
        <f>IFERROR(MATCH(G728,'13W Cash Forecast'!$B$4:$N$4,1),1)</f>
        <v/>
      </c>
    </row>
    <row r="729">
      <c r="A729" s="8" t="inlineStr">
        <is>
          <t>AR-0030923</t>
        </is>
      </c>
      <c r="B729" s="8" t="inlineStr">
        <is>
          <t>Service</t>
        </is>
      </c>
      <c r="C729" s="8" t="inlineStr">
        <is>
          <t>Northline Cold Storage Holdings</t>
        </is>
      </c>
      <c r="D729" s="22" t="n">
        <v>46166</v>
      </c>
      <c r="E729" s="22" t="n">
        <v>46196</v>
      </c>
      <c r="F729" s="9" t="n">
        <v>395.41</v>
      </c>
      <c r="G729" s="23" t="n">
        <v>46196</v>
      </c>
      <c r="H729" s="24" t="inlineStr">
        <is>
          <t>Medium</t>
        </is>
      </c>
      <c r="I729" s="24" t="inlineStr">
        <is>
          <t>Contractual due date pending refreshed collection call</t>
        </is>
      </c>
      <c r="J729" s="8">
        <f>IFERROR(MATCH(G729,'13W Cash Forecast'!$B$4:$N$4,1),1)</f>
        <v/>
      </c>
    </row>
    <row r="730">
      <c r="A730" s="8" t="inlineStr">
        <is>
          <t>AR-0030977</t>
        </is>
      </c>
      <c r="B730" s="8" t="inlineStr">
        <is>
          <t>Service</t>
        </is>
      </c>
      <c r="C730" s="8" t="inlineStr">
        <is>
          <t>Central Cascades Foods - Central Development Company</t>
        </is>
      </c>
      <c r="D730" s="22" t="n">
        <v>46166</v>
      </c>
      <c r="E730" s="22" t="n">
        <v>46196</v>
      </c>
      <c r="F730" s="9" t="n">
        <v>259.6</v>
      </c>
      <c r="G730" s="23" t="n">
        <v>46196</v>
      </c>
      <c r="H730" s="24" t="inlineStr">
        <is>
          <t>Medium</t>
        </is>
      </c>
      <c r="I730" s="24" t="inlineStr">
        <is>
          <t>Contractual due date pending refreshed collection call</t>
        </is>
      </c>
      <c r="J730" s="8">
        <f>IFERROR(MATCH(G730,'13W Cash Forecast'!$B$4:$N$4,1),1)</f>
        <v/>
      </c>
    </row>
    <row r="731">
      <c r="A731" s="8" t="inlineStr">
        <is>
          <t>AR-0031004</t>
        </is>
      </c>
      <c r="B731" s="8" t="inlineStr">
        <is>
          <t>Service</t>
        </is>
      </c>
      <c r="C731" s="8" t="inlineStr">
        <is>
          <t>Juniper Ridge Properties - North Facilities</t>
        </is>
      </c>
      <c r="D731" s="22" t="n">
        <v>46166</v>
      </c>
      <c r="E731" s="22" t="n">
        <v>46196</v>
      </c>
      <c r="F731" s="9" t="n">
        <v>293.16</v>
      </c>
      <c r="G731" s="23" t="n">
        <v>46196</v>
      </c>
      <c r="H731" s="24" t="inlineStr">
        <is>
          <t>Medium</t>
        </is>
      </c>
      <c r="I731" s="24" t="inlineStr">
        <is>
          <t>Contractual due date pending refreshed collection call</t>
        </is>
      </c>
      <c r="J731" s="8">
        <f>IFERROR(MATCH(G731,'13W Cash Forecast'!$B$4:$N$4,1),1)</f>
        <v/>
      </c>
    </row>
    <row r="732">
      <c r="A732" s="8" t="inlineStr">
        <is>
          <t>AR-0031058</t>
        </is>
      </c>
      <c r="B732" s="8" t="inlineStr">
        <is>
          <t>Service</t>
        </is>
      </c>
      <c r="C732" s="8" t="inlineStr">
        <is>
          <t>Beacon Industrial - South Development Company</t>
        </is>
      </c>
      <c r="D732" s="22" t="n">
        <v>46166</v>
      </c>
      <c r="E732" s="22" t="n">
        <v>46196</v>
      </c>
      <c r="F732" s="9" t="n">
        <v>215.33</v>
      </c>
      <c r="G732" s="23" t="n">
        <v>46196</v>
      </c>
      <c r="H732" s="24" t="inlineStr">
        <is>
          <t>Medium</t>
        </is>
      </c>
      <c r="I732" s="24" t="inlineStr">
        <is>
          <t>Contractual due date pending refreshed collection call</t>
        </is>
      </c>
      <c r="J732" s="8">
        <f>IFERROR(MATCH(G732,'13W Cash Forecast'!$B$4:$N$4,1),1)</f>
        <v/>
      </c>
    </row>
    <row r="733">
      <c r="A733" s="8" t="inlineStr">
        <is>
          <t>AR-0031064</t>
        </is>
      </c>
      <c r="B733" s="8" t="inlineStr">
        <is>
          <t>Service</t>
        </is>
      </c>
      <c r="C733" s="8" t="inlineStr">
        <is>
          <t>Lake Oswego Office Partners - East Asset Management</t>
        </is>
      </c>
      <c r="D733" s="22" t="n">
        <v>46151</v>
      </c>
      <c r="E733" s="22" t="n">
        <v>46196</v>
      </c>
      <c r="F733" s="9" t="n">
        <v>722.95</v>
      </c>
      <c r="G733" s="23" t="n">
        <v>46196</v>
      </c>
      <c r="H733" s="24" t="inlineStr">
        <is>
          <t>Medium</t>
        </is>
      </c>
      <c r="I733" s="24" t="inlineStr">
        <is>
          <t>Contractual due date pending refreshed collection call</t>
        </is>
      </c>
      <c r="J733" s="8">
        <f>IFERROR(MATCH(G733,'13W Cash Forecast'!$B$4:$N$4,1),1)</f>
        <v/>
      </c>
    </row>
    <row r="734">
      <c r="A734" s="8" t="inlineStr">
        <is>
          <t>AR-0031112</t>
        </is>
      </c>
      <c r="B734" s="8" t="inlineStr">
        <is>
          <t>Service</t>
        </is>
      </c>
      <c r="C734" s="8" t="inlineStr">
        <is>
          <t>Pioneer Medical Properties - West Holdings, LLC</t>
        </is>
      </c>
      <c r="D734" s="22" t="n">
        <v>46166</v>
      </c>
      <c r="E734" s="22" t="n">
        <v>46196</v>
      </c>
      <c r="F734" s="9" t="n">
        <v>373.59</v>
      </c>
      <c r="G734" s="23" t="n">
        <v>46196</v>
      </c>
      <c r="H734" s="24" t="inlineStr">
        <is>
          <t>Low</t>
        </is>
      </c>
      <c r="I734" s="24" t="inlineStr">
        <is>
          <t>Awaiting project-accountant follow-up</t>
        </is>
      </c>
      <c r="J734" s="8">
        <f>IFERROR(MATCH(G734,'13W Cash Forecast'!$B$4:$N$4,1),1)</f>
        <v/>
      </c>
    </row>
    <row r="735">
      <c r="A735" s="8" t="inlineStr">
        <is>
          <t>AR-0031166</t>
        </is>
      </c>
      <c r="B735" s="8" t="inlineStr">
        <is>
          <t>Service</t>
        </is>
      </c>
      <c r="C735" s="8" t="inlineStr">
        <is>
          <t>High Desert Manufacturing - Portfolio Holdings, LLC</t>
        </is>
      </c>
      <c r="D735" s="22" t="n">
        <v>46166</v>
      </c>
      <c r="E735" s="22" t="n">
        <v>46196</v>
      </c>
      <c r="F735" s="9" t="n">
        <v>777.41</v>
      </c>
      <c r="G735" s="23" t="n">
        <v>46196</v>
      </c>
      <c r="H735" s="24" t="inlineStr">
        <is>
          <t>Medium</t>
        </is>
      </c>
      <c r="I735" s="24" t="inlineStr">
        <is>
          <t>Contractual due date pending refreshed collection call</t>
        </is>
      </c>
      <c r="J735" s="8">
        <f>IFERROR(MATCH(G735,'13W Cash Forecast'!$B$4:$N$4,1),1)</f>
        <v/>
      </c>
    </row>
    <row r="736">
      <c r="A736" s="8" t="inlineStr">
        <is>
          <t>AR-0031193</t>
        </is>
      </c>
      <c r="B736" s="8" t="inlineStr">
        <is>
          <t>Service</t>
        </is>
      </c>
      <c r="C736" s="8" t="inlineStr">
        <is>
          <t>Northline Cold Storage Holdings</t>
        </is>
      </c>
      <c r="D736" s="22" t="n">
        <v>46166</v>
      </c>
      <c r="E736" s="22" t="n">
        <v>46196</v>
      </c>
      <c r="F736" s="9" t="n">
        <v>859.88</v>
      </c>
      <c r="G736" s="23" t="n">
        <v>46196</v>
      </c>
      <c r="H736" s="24" t="inlineStr">
        <is>
          <t>Medium</t>
        </is>
      </c>
      <c r="I736" s="24" t="inlineStr">
        <is>
          <t>Contractual due date pending refreshed collection call</t>
        </is>
      </c>
      <c r="J736" s="8">
        <f>IFERROR(MATCH(G736,'13W Cash Forecast'!$B$4:$N$4,1),1)</f>
        <v/>
      </c>
    </row>
    <row r="737">
      <c r="A737" s="8" t="inlineStr">
        <is>
          <t>AR-0031257</t>
        </is>
      </c>
      <c r="B737" s="8" t="inlineStr">
        <is>
          <t>Service</t>
        </is>
      </c>
      <c r="C737" s="8" t="inlineStr">
        <is>
          <t>Hillsboro Life Sciences Operating Company</t>
        </is>
      </c>
      <c r="D737" s="22" t="n">
        <v>46181</v>
      </c>
      <c r="E737" s="22" t="n">
        <v>46196</v>
      </c>
      <c r="F737" s="9" t="n">
        <v>556.08</v>
      </c>
      <c r="G737" s="23" t="n">
        <v>46196</v>
      </c>
      <c r="H737" s="24" t="inlineStr">
        <is>
          <t>Medium</t>
        </is>
      </c>
      <c r="I737" s="24" t="inlineStr">
        <is>
          <t>Contractual due date pending refreshed collection call</t>
        </is>
      </c>
      <c r="J737" s="8">
        <f>IFERROR(MATCH(G737,'13W Cash Forecast'!$B$4:$N$4,1),1)</f>
        <v/>
      </c>
    </row>
    <row r="738">
      <c r="A738" s="8" t="inlineStr">
        <is>
          <t>AR-0031392</t>
        </is>
      </c>
      <c r="B738" s="8" t="inlineStr">
        <is>
          <t>Service</t>
        </is>
      </c>
      <c r="C738" s="8" t="inlineStr">
        <is>
          <t>Hillsboro Life Sciences - Campus Campus Services</t>
        </is>
      </c>
      <c r="D738" s="22" t="n">
        <v>46181</v>
      </c>
      <c r="E738" s="22" t="n">
        <v>46196</v>
      </c>
      <c r="F738" s="9" t="n">
        <v>303.48</v>
      </c>
      <c r="G738" s="23" t="n">
        <v>46196</v>
      </c>
      <c r="H738" s="24" t="inlineStr">
        <is>
          <t>Medium</t>
        </is>
      </c>
      <c r="I738" s="24" t="inlineStr">
        <is>
          <t>Contractual due date pending refreshed collection call</t>
        </is>
      </c>
      <c r="J738" s="8">
        <f>IFERROR(MATCH(G738,'13W Cash Forecast'!$B$4:$N$4,1),1)</f>
        <v/>
      </c>
    </row>
    <row r="739">
      <c r="A739" s="8" t="inlineStr">
        <is>
          <t>AR-0031446</t>
        </is>
      </c>
      <c r="B739" s="8" t="inlineStr">
        <is>
          <t>Service</t>
        </is>
      </c>
      <c r="C739" s="8" t="inlineStr">
        <is>
          <t>Alder Creek Medical - North Facilities</t>
        </is>
      </c>
      <c r="D739" s="22" t="n">
        <v>46181</v>
      </c>
      <c r="E739" s="22" t="n">
        <v>46196</v>
      </c>
      <c r="F739" s="9" t="n">
        <v>218.95</v>
      </c>
      <c r="G739" s="23" t="n">
        <v>46196</v>
      </c>
      <c r="H739" s="24" t="inlineStr">
        <is>
          <t>Medium</t>
        </is>
      </c>
      <c r="I739" s="24" t="inlineStr">
        <is>
          <t>Contractual due date pending refreshed collection call</t>
        </is>
      </c>
      <c r="J739" s="8">
        <f>IFERROR(MATCH(G739,'13W Cash Forecast'!$B$4:$N$4,1),1)</f>
        <v/>
      </c>
    </row>
    <row r="740">
      <c r="A740" s="8" t="inlineStr">
        <is>
          <t>AR-0030955</t>
        </is>
      </c>
      <c r="B740" s="8" t="inlineStr">
        <is>
          <t>Service</t>
        </is>
      </c>
      <c r="C740" s="8" t="inlineStr">
        <is>
          <t>Pacific Northwest Distribution REIT</t>
        </is>
      </c>
      <c r="D740" s="22" t="n">
        <v>46167</v>
      </c>
      <c r="E740" s="22" t="n">
        <v>46197</v>
      </c>
      <c r="F740" s="9" t="n">
        <v>904.11</v>
      </c>
      <c r="G740" s="23" t="n">
        <v>46197</v>
      </c>
      <c r="H740" s="24" t="inlineStr">
        <is>
          <t>Medium</t>
        </is>
      </c>
      <c r="I740" s="24" t="inlineStr">
        <is>
          <t>Contractual due date pending refreshed collection call</t>
        </is>
      </c>
      <c r="J740" s="8">
        <f>IFERROR(MATCH(G740,'13W Cash Forecast'!$B$4:$N$4,1),1)</f>
        <v/>
      </c>
    </row>
    <row r="741">
      <c r="A741" s="8" t="inlineStr">
        <is>
          <t>AR-0030982</t>
        </is>
      </c>
      <c r="B741" s="8" t="inlineStr">
        <is>
          <t>Service</t>
        </is>
      </c>
      <c r="C741" s="8" t="inlineStr">
        <is>
          <t>Pioneer Medical Properties Development Company</t>
        </is>
      </c>
      <c r="D741" s="22" t="n">
        <v>46167</v>
      </c>
      <c r="E741" s="22" t="n">
        <v>46197</v>
      </c>
      <c r="F741" s="9" t="n">
        <v>509.03</v>
      </c>
      <c r="G741" s="23" t="n">
        <v>46197</v>
      </c>
      <c r="H741" s="24" t="inlineStr">
        <is>
          <t>Low</t>
        </is>
      </c>
      <c r="I741" s="24" t="inlineStr">
        <is>
          <t>Awaiting project-accountant follow-up</t>
        </is>
      </c>
      <c r="J741" s="8">
        <f>IFERROR(MATCH(G741,'13W Cash Forecast'!$B$4:$N$4,1),1)</f>
        <v/>
      </c>
    </row>
    <row r="742">
      <c r="A742" s="8" t="inlineStr">
        <is>
          <t>AR-0031036</t>
        </is>
      </c>
      <c r="B742" s="8" t="inlineStr">
        <is>
          <t>Service</t>
        </is>
      </c>
      <c r="C742" s="8" t="inlineStr">
        <is>
          <t>Mt. Hood Community Health - Operations Asset Management</t>
        </is>
      </c>
      <c r="D742" s="22" t="n">
        <v>46167</v>
      </c>
      <c r="E742" s="22" t="n">
        <v>46197</v>
      </c>
      <c r="F742" s="9" t="n">
        <v>433.6</v>
      </c>
      <c r="G742" s="23" t="n">
        <v>46197</v>
      </c>
      <c r="H742" s="24" t="inlineStr">
        <is>
          <t>Medium</t>
        </is>
      </c>
      <c r="I742" s="24" t="inlineStr">
        <is>
          <t>Contractual due date pending refreshed collection call</t>
        </is>
      </c>
      <c r="J742" s="8">
        <f>IFERROR(MATCH(G742,'13W Cash Forecast'!$B$4:$N$4,1),1)</f>
        <v/>
      </c>
    </row>
    <row r="743">
      <c r="A743" s="8" t="inlineStr">
        <is>
          <t>AR-0031042</t>
        </is>
      </c>
      <c r="B743" s="8" t="inlineStr">
        <is>
          <t>Service</t>
        </is>
      </c>
      <c r="C743" s="8" t="inlineStr">
        <is>
          <t>Westside Ambulatory - Portfolio Campus Services</t>
        </is>
      </c>
      <c r="D743" s="22" t="n">
        <v>46152</v>
      </c>
      <c r="E743" s="22" t="n">
        <v>46197</v>
      </c>
      <c r="F743" s="9" t="n">
        <v>646.04</v>
      </c>
      <c r="G743" s="23" t="n">
        <v>46197</v>
      </c>
      <c r="H743" s="24" t="inlineStr">
        <is>
          <t>Medium</t>
        </is>
      </c>
      <c r="I743" s="24" t="inlineStr">
        <is>
          <t>Contractual due date pending refreshed collection call</t>
        </is>
      </c>
      <c r="J743" s="8">
        <f>IFERROR(MATCH(G743,'13W Cash Forecast'!$B$4:$N$4,1),1)</f>
        <v/>
      </c>
    </row>
    <row r="744">
      <c r="A744" s="8" t="inlineStr">
        <is>
          <t>AR-0031090</t>
        </is>
      </c>
      <c r="B744" s="8" t="inlineStr">
        <is>
          <t>Service</t>
        </is>
      </c>
      <c r="C744" s="8" t="inlineStr">
        <is>
          <t>Copperline Apartments - Campus Holdings, LLC</t>
        </is>
      </c>
      <c r="D744" s="22" t="n">
        <v>46167</v>
      </c>
      <c r="E744" s="22" t="n">
        <v>46197</v>
      </c>
      <c r="F744" s="9" t="n">
        <v>1644.6</v>
      </c>
      <c r="G744" s="23" t="n">
        <v>46197</v>
      </c>
      <c r="H744" s="24" t="inlineStr">
        <is>
          <t>Medium</t>
        </is>
      </c>
      <c r="I744" s="24" t="inlineStr">
        <is>
          <t>Contractual due date pending refreshed collection call</t>
        </is>
      </c>
      <c r="J744" s="8">
        <f>IFERROR(MATCH(G744,'13W Cash Forecast'!$B$4:$N$4,1),1)</f>
        <v/>
      </c>
    </row>
    <row r="745">
      <c r="A745" s="8" t="inlineStr">
        <is>
          <t>AR-0031144</t>
        </is>
      </c>
      <c r="B745" s="8" t="inlineStr">
        <is>
          <t>Service</t>
        </is>
      </c>
      <c r="C745" s="8" t="inlineStr">
        <is>
          <t>Sunrise Hospitality - East LLC</t>
        </is>
      </c>
      <c r="D745" s="22" t="n">
        <v>46167</v>
      </c>
      <c r="E745" s="22" t="n">
        <v>46197</v>
      </c>
      <c r="F745" s="9" t="n">
        <v>323.29</v>
      </c>
      <c r="G745" s="23" t="n">
        <v>46197</v>
      </c>
      <c r="H745" s="24" t="inlineStr">
        <is>
          <t>Medium</t>
        </is>
      </c>
      <c r="I745" s="24" t="inlineStr">
        <is>
          <t>Contractual due date pending refreshed collection call</t>
        </is>
      </c>
      <c r="J745" s="8">
        <f>IFERROR(MATCH(G745,'13W Cash Forecast'!$B$4:$N$4,1),1)</f>
        <v/>
      </c>
    </row>
    <row r="746">
      <c r="A746" s="8" t="inlineStr">
        <is>
          <t>AR-0031171</t>
        </is>
      </c>
      <c r="B746" s="8" t="inlineStr">
        <is>
          <t>Service</t>
        </is>
      </c>
      <c r="C746" s="8" t="inlineStr">
        <is>
          <t>Columbia River Logistics - Portfolio Operating Company</t>
        </is>
      </c>
      <c r="D746" s="22" t="n">
        <v>46167</v>
      </c>
      <c r="E746" s="22" t="n">
        <v>46197</v>
      </c>
      <c r="F746" s="9" t="n">
        <v>495.61</v>
      </c>
      <c r="G746" s="23" t="n">
        <v>46197</v>
      </c>
      <c r="H746" s="24" t="inlineStr">
        <is>
          <t>Medium</t>
        </is>
      </c>
      <c r="I746" s="24" t="inlineStr">
        <is>
          <t>Contractual due date pending refreshed collection call</t>
        </is>
      </c>
      <c r="J746" s="8">
        <f>IFERROR(MATCH(G746,'13W Cash Forecast'!$B$4:$N$4,1),1)</f>
        <v/>
      </c>
    </row>
    <row r="747">
      <c r="A747" s="8" t="inlineStr">
        <is>
          <t>AR-0031370</t>
        </is>
      </c>
      <c r="B747" s="8" t="inlineStr">
        <is>
          <t>Service</t>
        </is>
      </c>
      <c r="C747" s="8" t="inlineStr">
        <is>
          <t>Tualatin Commerce Center - West Real Estate, LLC</t>
        </is>
      </c>
      <c r="D747" s="22" t="n">
        <v>46182</v>
      </c>
      <c r="E747" s="22" t="n">
        <v>46197</v>
      </c>
      <c r="F747" s="9" t="n">
        <v>1368.24</v>
      </c>
      <c r="G747" s="23" t="n">
        <v>46197</v>
      </c>
      <c r="H747" s="24" t="inlineStr">
        <is>
          <t>Medium</t>
        </is>
      </c>
      <c r="I747" s="24" t="inlineStr">
        <is>
          <t>Contractual due date pending refreshed collection call</t>
        </is>
      </c>
      <c r="J747" s="8">
        <f>IFERROR(MATCH(G747,'13W Cash Forecast'!$B$4:$N$4,1),1)</f>
        <v/>
      </c>
    </row>
    <row r="748">
      <c r="A748" s="8" t="inlineStr">
        <is>
          <t>AR-0031424</t>
        </is>
      </c>
      <c r="B748" s="8" t="inlineStr">
        <is>
          <t>Service</t>
        </is>
      </c>
      <c r="C748" s="8" t="inlineStr">
        <is>
          <t>McKenzie River Foods - Central Property Group</t>
        </is>
      </c>
      <c r="D748" s="22" t="n">
        <v>46182</v>
      </c>
      <c r="E748" s="22" t="n">
        <v>46197</v>
      </c>
      <c r="F748" s="9" t="n">
        <v>694.51</v>
      </c>
      <c r="G748" s="23" t="n">
        <v>46197</v>
      </c>
      <c r="H748" s="24" t="inlineStr">
        <is>
          <t>Low</t>
        </is>
      </c>
      <c r="I748" s="24" t="inlineStr">
        <is>
          <t>Awaiting project-accountant follow-up</t>
        </is>
      </c>
      <c r="J748" s="8">
        <f>IFERROR(MATCH(G748,'13W Cash Forecast'!$B$4:$N$4,1),1)</f>
        <v/>
      </c>
    </row>
    <row r="749">
      <c r="A749" s="8" t="inlineStr">
        <is>
          <t>AR-0030933</t>
        </is>
      </c>
      <c r="B749" s="8" t="inlineStr">
        <is>
          <t>Service</t>
        </is>
      </c>
      <c r="C749" s="8" t="inlineStr">
        <is>
          <t>Forest Park Hospitality - West LLC</t>
        </is>
      </c>
      <c r="D749" s="22" t="n">
        <v>46168</v>
      </c>
      <c r="E749" s="22" t="n">
        <v>46198</v>
      </c>
      <c r="F749" s="9" t="n">
        <v>536.25</v>
      </c>
      <c r="G749" s="23" t="n">
        <v>46198</v>
      </c>
      <c r="H749" s="24" t="inlineStr">
        <is>
          <t>Medium</t>
        </is>
      </c>
      <c r="I749" s="24" t="inlineStr">
        <is>
          <t>Contractual due date pending refreshed collection call</t>
        </is>
      </c>
      <c r="J749" s="8">
        <f>IFERROR(MATCH(G749,'13W Cash Forecast'!$B$4:$N$4,1),1)</f>
        <v/>
      </c>
    </row>
    <row r="750">
      <c r="A750" s="8" t="inlineStr">
        <is>
          <t>AR-0030987</t>
        </is>
      </c>
      <c r="B750" s="8" t="inlineStr">
        <is>
          <t>Service</t>
        </is>
      </c>
      <c r="C750" s="8" t="inlineStr">
        <is>
          <t>Forest Park Hospitality Campus Services</t>
        </is>
      </c>
      <c r="D750" s="22" t="n">
        <v>46168</v>
      </c>
      <c r="E750" s="22" t="n">
        <v>46198</v>
      </c>
      <c r="F750" s="9" t="n">
        <v>508.37</v>
      </c>
      <c r="G750" s="23" t="n">
        <v>46198</v>
      </c>
      <c r="H750" s="24" t="inlineStr">
        <is>
          <t>Medium</t>
        </is>
      </c>
      <c r="I750" s="24" t="inlineStr">
        <is>
          <t>Contractual due date pending refreshed collection call</t>
        </is>
      </c>
      <c r="J750" s="8">
        <f>IFERROR(MATCH(G750,'13W Cash Forecast'!$B$4:$N$4,1),1)</f>
        <v/>
      </c>
    </row>
    <row r="751">
      <c r="A751" s="8" t="inlineStr">
        <is>
          <t>AR-0031014</t>
        </is>
      </c>
      <c r="B751" s="8" t="inlineStr">
        <is>
          <t>Service</t>
        </is>
      </c>
      <c r="C751" s="8" t="inlineStr">
        <is>
          <t>Beacon Industrial - South Asset Management</t>
        </is>
      </c>
      <c r="D751" s="22" t="n">
        <v>46168</v>
      </c>
      <c r="E751" s="22" t="n">
        <v>46198</v>
      </c>
      <c r="F751" s="9" t="n">
        <v>1499.23</v>
      </c>
      <c r="G751" s="23" t="n">
        <v>46198</v>
      </c>
      <c r="H751" s="24" t="inlineStr">
        <is>
          <t>Medium</t>
        </is>
      </c>
      <c r="I751" s="24" t="inlineStr">
        <is>
          <t>Contractual due date pending refreshed collection call</t>
        </is>
      </c>
      <c r="J751" s="8">
        <f>IFERROR(MATCH(G751,'13W Cash Forecast'!$B$4:$N$4,1),1)</f>
        <v/>
      </c>
    </row>
    <row r="752">
      <c r="A752" s="8" t="inlineStr">
        <is>
          <t>AR-0031020</t>
        </is>
      </c>
      <c r="B752" s="8" t="inlineStr">
        <is>
          <t>Service</t>
        </is>
      </c>
      <c r="C752" s="8" t="inlineStr">
        <is>
          <t>Lake Oswego Office Partners - East Campus Services</t>
        </is>
      </c>
      <c r="D752" s="22" t="n">
        <v>46153</v>
      </c>
      <c r="E752" s="22" t="n">
        <v>46198</v>
      </c>
      <c r="F752" s="9" t="n">
        <v>438.68</v>
      </c>
      <c r="G752" s="23" t="n">
        <v>46198</v>
      </c>
      <c r="H752" s="24" t="inlineStr">
        <is>
          <t>Medium</t>
        </is>
      </c>
      <c r="I752" s="24" t="inlineStr">
        <is>
          <t>Contractual due date pending refreshed collection call</t>
        </is>
      </c>
      <c r="J752" s="8">
        <f>IFERROR(MATCH(G752,'13W Cash Forecast'!$B$4:$N$4,1),1)</f>
        <v/>
      </c>
    </row>
    <row r="753">
      <c r="A753" s="8" t="inlineStr">
        <is>
          <t>AR-0031068</t>
        </is>
      </c>
      <c r="B753" s="8" t="inlineStr">
        <is>
          <t>Service</t>
        </is>
      </c>
      <c r="C753" s="8" t="inlineStr">
        <is>
          <t>Pioneer Medical Properties - West LLC</t>
        </is>
      </c>
      <c r="D753" s="22" t="n">
        <v>46168</v>
      </c>
      <c r="E753" s="22" t="n">
        <v>46198</v>
      </c>
      <c r="F753" s="9" t="n">
        <v>469.8</v>
      </c>
      <c r="G753" s="23" t="n">
        <v>46198</v>
      </c>
      <c r="H753" s="24" t="inlineStr">
        <is>
          <t>Medium</t>
        </is>
      </c>
      <c r="I753" s="24" t="inlineStr">
        <is>
          <t>Contractual due date pending refreshed collection call</t>
        </is>
      </c>
      <c r="J753" s="8">
        <f>IFERROR(MATCH(G753,'13W Cash Forecast'!$B$4:$N$4,1),1)</f>
        <v/>
      </c>
    </row>
    <row r="754">
      <c r="A754" s="8" t="inlineStr">
        <is>
          <t>AR-0031122</t>
        </is>
      </c>
      <c r="B754" s="8" t="inlineStr">
        <is>
          <t>Service</t>
        </is>
      </c>
      <c r="C754" s="8" t="inlineStr">
        <is>
          <t>High Desert Manufacturing - Portfolio LLC</t>
        </is>
      </c>
      <c r="D754" s="22" t="n">
        <v>46168</v>
      </c>
      <c r="E754" s="22" t="n">
        <v>46198</v>
      </c>
      <c r="F754" s="9" t="n">
        <v>459.38</v>
      </c>
      <c r="G754" s="23" t="n">
        <v>46198</v>
      </c>
      <c r="H754" s="24" t="inlineStr">
        <is>
          <t>Medium</t>
        </is>
      </c>
      <c r="I754" s="24" t="inlineStr">
        <is>
          <t>Contractual due date pending refreshed collection call</t>
        </is>
      </c>
      <c r="J754" s="8">
        <f>IFERROR(MATCH(G754,'13W Cash Forecast'!$B$4:$N$4,1),1)</f>
        <v/>
      </c>
    </row>
    <row r="755">
      <c r="A755" s="8" t="inlineStr">
        <is>
          <t>AR-0031149</t>
        </is>
      </c>
      <c r="B755" s="8" t="inlineStr">
        <is>
          <t>Service</t>
        </is>
      </c>
      <c r="C755" s="8" t="inlineStr">
        <is>
          <t>Pacific Crest Biotech - East Partners, LP</t>
        </is>
      </c>
      <c r="D755" s="22" t="n">
        <v>46168</v>
      </c>
      <c r="E755" s="22" t="n">
        <v>46198</v>
      </c>
      <c r="F755" s="9" t="n">
        <v>136.14</v>
      </c>
      <c r="G755" s="23" t="n">
        <v>46198</v>
      </c>
      <c r="H755" s="24" t="inlineStr">
        <is>
          <t>Low</t>
        </is>
      </c>
      <c r="I755" s="24" t="inlineStr">
        <is>
          <t>Awaiting project-accountant follow-up</t>
        </is>
      </c>
      <c r="J755" s="8">
        <f>IFERROR(MATCH(G755,'13W Cash Forecast'!$B$4:$N$4,1),1)</f>
        <v/>
      </c>
    </row>
    <row r="756">
      <c r="A756" s="8" t="inlineStr">
        <is>
          <t>AR-0031348</t>
        </is>
      </c>
      <c r="B756" s="8" t="inlineStr">
        <is>
          <t>Service</t>
        </is>
      </c>
      <c r="C756" s="8" t="inlineStr">
        <is>
          <t>Hillsboro Life Sciences - Campus Real Estate, LLC</t>
        </is>
      </c>
      <c r="D756" s="22" t="n">
        <v>46183</v>
      </c>
      <c r="E756" s="22" t="n">
        <v>46198</v>
      </c>
      <c r="F756" s="9" t="n">
        <v>447.38</v>
      </c>
      <c r="G756" s="23" t="n">
        <v>46198</v>
      </c>
      <c r="H756" s="24" t="inlineStr">
        <is>
          <t>Medium</t>
        </is>
      </c>
      <c r="I756" s="24" t="inlineStr">
        <is>
          <t>Contractual due date pending refreshed collection call</t>
        </is>
      </c>
      <c r="J756" s="8">
        <f>IFERROR(MATCH(G756,'13W Cash Forecast'!$B$4:$N$4,1),1)</f>
        <v/>
      </c>
    </row>
    <row r="757">
      <c r="A757" s="8" t="inlineStr">
        <is>
          <t>AR-0031402</t>
        </is>
      </c>
      <c r="B757" s="8" t="inlineStr">
        <is>
          <t>Service</t>
        </is>
      </c>
      <c r="C757" s="8" t="inlineStr">
        <is>
          <t>Alder Creek Medical - North Property Group</t>
        </is>
      </c>
      <c r="D757" s="22" t="n">
        <v>46183</v>
      </c>
      <c r="E757" s="22" t="n">
        <v>46198</v>
      </c>
      <c r="F757" s="9" t="n">
        <v>895.1900000000001</v>
      </c>
      <c r="G757" s="23" t="n">
        <v>46198</v>
      </c>
      <c r="H757" s="24" t="inlineStr">
        <is>
          <t>Medium</t>
        </is>
      </c>
      <c r="I757" s="24" t="inlineStr">
        <is>
          <t>Contractual due date pending refreshed collection call</t>
        </is>
      </c>
      <c r="J757" s="8">
        <f>IFERROR(MATCH(G757,'13W Cash Forecast'!$B$4:$N$4,1),1)</f>
        <v/>
      </c>
    </row>
    <row r="758">
      <c r="A758" s="8" t="inlineStr">
        <is>
          <t>AR-0030965</t>
        </is>
      </c>
      <c r="B758" s="8" t="inlineStr">
        <is>
          <t>Service</t>
        </is>
      </c>
      <c r="C758" s="8" t="inlineStr">
        <is>
          <t>Klamath County Facilities - South Property Group</t>
        </is>
      </c>
      <c r="D758" s="22" t="n">
        <v>46169</v>
      </c>
      <c r="E758" s="22" t="n">
        <v>46199</v>
      </c>
      <c r="F758" s="9" t="n">
        <v>279.9</v>
      </c>
      <c r="G758" s="23" t="n">
        <v>46199</v>
      </c>
      <c r="H758" s="24" t="inlineStr">
        <is>
          <t>Medium</t>
        </is>
      </c>
      <c r="I758" s="24" t="inlineStr">
        <is>
          <t>Contractual due date pending refreshed collection call</t>
        </is>
      </c>
      <c r="J758" s="8">
        <f>IFERROR(MATCH(G758,'13W Cash Forecast'!$B$4:$N$4,1),1)</f>
        <v/>
      </c>
    </row>
    <row r="759">
      <c r="A759" s="8" t="inlineStr">
        <is>
          <t>AR-0030992</t>
        </is>
      </c>
      <c r="B759" s="8" t="inlineStr">
        <is>
          <t>Service</t>
        </is>
      </c>
      <c r="C759" s="8" t="inlineStr">
        <is>
          <t>Summit Surgical Properties</t>
        </is>
      </c>
      <c r="D759" s="22" t="n">
        <v>46169</v>
      </c>
      <c r="E759" s="22" t="n">
        <v>46199</v>
      </c>
      <c r="F759" s="9" t="n">
        <v>351.22</v>
      </c>
      <c r="G759" s="23" t="n">
        <v>46199</v>
      </c>
      <c r="H759" s="24" t="inlineStr">
        <is>
          <t>Medium</t>
        </is>
      </c>
      <c r="I759" s="24" t="inlineStr">
        <is>
          <t>Contractual due date pending refreshed collection call</t>
        </is>
      </c>
      <c r="J759" s="8">
        <f>IFERROR(MATCH(G759,'13W Cash Forecast'!$B$4:$N$4,1),1)</f>
        <v/>
      </c>
    </row>
    <row r="760">
      <c r="A760" s="8" t="inlineStr">
        <is>
          <t>AR-0031046</t>
        </is>
      </c>
      <c r="B760" s="8" t="inlineStr">
        <is>
          <t>Service</t>
        </is>
      </c>
      <c r="C760" s="8" t="inlineStr">
        <is>
          <t>Copperline Apartments - Campus LLC</t>
        </is>
      </c>
      <c r="D760" s="22" t="n">
        <v>46169</v>
      </c>
      <c r="E760" s="22" t="n">
        <v>46199</v>
      </c>
      <c r="F760" s="9" t="n">
        <v>830.22</v>
      </c>
      <c r="G760" s="23" t="n">
        <v>46199</v>
      </c>
      <c r="H760" s="24" t="inlineStr">
        <is>
          <t>Medium</t>
        </is>
      </c>
      <c r="I760" s="24" t="inlineStr">
        <is>
          <t>Contractual due date pending refreshed collection call</t>
        </is>
      </c>
      <c r="J760" s="8">
        <f>IFERROR(MATCH(G760,'13W Cash Forecast'!$B$4:$N$4,1),1)</f>
        <v/>
      </c>
    </row>
    <row r="761">
      <c r="A761" s="8" t="inlineStr">
        <is>
          <t>AR-0031100</t>
        </is>
      </c>
      <c r="B761" s="8" t="inlineStr">
        <is>
          <t>Service</t>
        </is>
      </c>
      <c r="C761" s="8" t="inlineStr">
        <is>
          <t>Sunrise Hospitality - East Development Company</t>
        </is>
      </c>
      <c r="D761" s="22" t="n">
        <v>46169</v>
      </c>
      <c r="E761" s="22" t="n">
        <v>46199</v>
      </c>
      <c r="F761" s="9" t="n">
        <v>1295.4</v>
      </c>
      <c r="G761" s="23" t="n">
        <v>46199</v>
      </c>
      <c r="H761" s="24" t="inlineStr">
        <is>
          <t>Medium</t>
        </is>
      </c>
      <c r="I761" s="24" t="inlineStr">
        <is>
          <t>Contractual due date pending refreshed collection call</t>
        </is>
      </c>
      <c r="J761" s="8">
        <f>IFERROR(MATCH(G761,'13W Cash Forecast'!$B$4:$N$4,1),1)</f>
        <v/>
      </c>
    </row>
    <row r="762">
      <c r="A762" s="8" t="inlineStr">
        <is>
          <t>AR-0031127</t>
        </is>
      </c>
      <c r="B762" s="8" t="inlineStr">
        <is>
          <t>Service</t>
        </is>
      </c>
      <c r="C762" s="8" t="inlineStr">
        <is>
          <t>Columbia River Logistics - Portfolio Partners, LP</t>
        </is>
      </c>
      <c r="D762" s="22" t="n">
        <v>46169</v>
      </c>
      <c r="E762" s="22" t="n">
        <v>46199</v>
      </c>
      <c r="F762" s="9" t="n">
        <v>545.42</v>
      </c>
      <c r="G762" s="23" t="n">
        <v>46199</v>
      </c>
      <c r="H762" s="24" t="inlineStr">
        <is>
          <t>Low</t>
        </is>
      </c>
      <c r="I762" s="24" t="inlineStr">
        <is>
          <t>Awaiting project-accountant follow-up</t>
        </is>
      </c>
      <c r="J762" s="8">
        <f>IFERROR(MATCH(G762,'13W Cash Forecast'!$B$4:$N$4,1),1)</f>
        <v/>
      </c>
    </row>
    <row r="763">
      <c r="A763" s="8" t="inlineStr">
        <is>
          <t>AR-0031181</t>
        </is>
      </c>
      <c r="B763" s="8" t="inlineStr">
        <is>
          <t>Service</t>
        </is>
      </c>
      <c r="C763" s="8" t="inlineStr">
        <is>
          <t>Salem Surgical Partners - Campus Development Company</t>
        </is>
      </c>
      <c r="D763" s="22" t="n">
        <v>46169</v>
      </c>
      <c r="E763" s="22" t="n">
        <v>46199</v>
      </c>
      <c r="F763" s="9" t="n">
        <v>401.89</v>
      </c>
      <c r="G763" s="23" t="n">
        <v>46199</v>
      </c>
      <c r="H763" s="24" t="inlineStr">
        <is>
          <t>Medium</t>
        </is>
      </c>
      <c r="I763" s="24" t="inlineStr">
        <is>
          <t>Contractual due date pending refreshed collection call</t>
        </is>
      </c>
      <c r="J763" s="8">
        <f>IFERROR(MATCH(G763,'13W Cash Forecast'!$B$4:$N$4,1),1)</f>
        <v/>
      </c>
    </row>
    <row r="764">
      <c r="A764" s="8" t="inlineStr">
        <is>
          <t>AR-0031187</t>
        </is>
      </c>
      <c r="B764" s="8" t="inlineStr">
        <is>
          <t>Service</t>
        </is>
      </c>
      <c r="C764" s="8" t="inlineStr">
        <is>
          <t>Deschutes Medical Group - North Development Company</t>
        </is>
      </c>
      <c r="D764" s="22" t="n">
        <v>46154</v>
      </c>
      <c r="E764" s="22" t="n">
        <v>46199</v>
      </c>
      <c r="F764" s="9" t="n">
        <v>791.24</v>
      </c>
      <c r="G764" s="23" t="n">
        <v>46199</v>
      </c>
      <c r="H764" s="24" t="inlineStr">
        <is>
          <t>Medium</t>
        </is>
      </c>
      <c r="I764" s="24" t="inlineStr">
        <is>
          <t>Contractual due date pending refreshed collection call</t>
        </is>
      </c>
      <c r="J764" s="8">
        <f>IFERROR(MATCH(G764,'13W Cash Forecast'!$B$4:$N$4,1),1)</f>
        <v/>
      </c>
    </row>
    <row r="765">
      <c r="A765" s="8" t="inlineStr">
        <is>
          <t>AR-0031245</t>
        </is>
      </c>
      <c r="B765" s="8" t="inlineStr">
        <is>
          <t>Service</t>
        </is>
      </c>
      <c r="C765" s="8" t="inlineStr">
        <is>
          <t>Clackamas Health Network - Operations Asset Management</t>
        </is>
      </c>
      <c r="D765" s="22" t="n">
        <v>46184</v>
      </c>
      <c r="E765" s="22" t="n">
        <v>46199</v>
      </c>
      <c r="F765" s="9" t="n">
        <v>4973.05</v>
      </c>
      <c r="G765" s="23" t="n">
        <v>46199</v>
      </c>
      <c r="H765" s="24" t="inlineStr">
        <is>
          <t>Medium</t>
        </is>
      </c>
      <c r="I765" s="24" t="inlineStr">
        <is>
          <t>Contractual due date pending refreshed collection call</t>
        </is>
      </c>
      <c r="J765" s="8">
        <f>IFERROR(MATCH(G765,'13W Cash Forecast'!$B$4:$N$4,1),1)</f>
        <v/>
      </c>
    </row>
    <row r="766">
      <c r="A766" s="8" t="inlineStr">
        <is>
          <t>AR-0031326</t>
        </is>
      </c>
      <c r="B766" s="8" t="inlineStr">
        <is>
          <t>Service</t>
        </is>
      </c>
      <c r="C766" s="8" t="inlineStr">
        <is>
          <t>Oregon Advanced Materials Operating Company</t>
        </is>
      </c>
      <c r="D766" s="22" t="n">
        <v>46184</v>
      </c>
      <c r="E766" s="22" t="n">
        <v>46199</v>
      </c>
      <c r="F766" s="9" t="n">
        <v>698.67</v>
      </c>
      <c r="G766" s="23" t="n">
        <v>46199</v>
      </c>
      <c r="H766" s="24" t="inlineStr">
        <is>
          <t>Medium</t>
        </is>
      </c>
      <c r="I766" s="24" t="inlineStr">
        <is>
          <t>Contractual due date pending refreshed collection call</t>
        </is>
      </c>
      <c r="J766" s="8">
        <f>IFERROR(MATCH(G766,'13W Cash Forecast'!$B$4:$N$4,1),1)</f>
        <v/>
      </c>
    </row>
    <row r="767">
      <c r="A767" s="8" t="inlineStr">
        <is>
          <t>AR-0031380</t>
        </is>
      </c>
      <c r="B767" s="8" t="inlineStr">
        <is>
          <t>Service</t>
        </is>
      </c>
      <c r="C767" s="8" t="inlineStr">
        <is>
          <t>McKenzie River Foods - Central Holdings, LLC</t>
        </is>
      </c>
      <c r="D767" s="22" t="n">
        <v>46184</v>
      </c>
      <c r="E767" s="22" t="n">
        <v>46199</v>
      </c>
      <c r="F767" s="9" t="n">
        <v>196.73</v>
      </c>
      <c r="G767" s="23" t="n">
        <v>46199</v>
      </c>
      <c r="H767" s="24" t="inlineStr">
        <is>
          <t>Medium</t>
        </is>
      </c>
      <c r="I767" s="24" t="inlineStr">
        <is>
          <t>Contractual due date pending refreshed collection call</t>
        </is>
      </c>
      <c r="J767" s="8">
        <f>IFERROR(MATCH(G767,'13W Cash Forecast'!$B$4:$N$4,1),1)</f>
        <v/>
      </c>
    </row>
    <row r="768">
      <c r="A768" s="8" t="inlineStr">
        <is>
          <t>AR-0031165</t>
        </is>
      </c>
      <c r="B768" s="8" t="inlineStr">
        <is>
          <t>Service</t>
        </is>
      </c>
      <c r="C768" s="8" t="inlineStr">
        <is>
          <t>Portland Arts and Events - Central Asset Management</t>
        </is>
      </c>
      <c r="D768" s="22" t="n">
        <v>46155</v>
      </c>
      <c r="E768" s="22" t="n">
        <v>46200</v>
      </c>
      <c r="F768" s="9" t="n">
        <v>315.5</v>
      </c>
      <c r="G768" s="23" t="n">
        <v>46200</v>
      </c>
      <c r="H768" s="24" t="inlineStr">
        <is>
          <t>Medium</t>
        </is>
      </c>
      <c r="I768" s="24" t="inlineStr">
        <is>
          <t>Contractual due date pending refreshed collection call</t>
        </is>
      </c>
      <c r="J768" s="8">
        <f>IFERROR(MATCH(G768,'13W Cash Forecast'!$B$4:$N$4,1),1)</f>
        <v/>
      </c>
    </row>
    <row r="769">
      <c r="A769" s="8" t="inlineStr">
        <is>
          <t>AR-0031223</t>
        </is>
      </c>
      <c r="B769" s="8" t="inlineStr">
        <is>
          <t>Service</t>
        </is>
      </c>
      <c r="C769" s="8" t="inlineStr">
        <is>
          <t>Oregon Advanced Materials - South Campus Services</t>
        </is>
      </c>
      <c r="D769" s="22" t="n">
        <v>46185</v>
      </c>
      <c r="E769" s="22" t="n">
        <v>46200</v>
      </c>
      <c r="F769" s="9" t="n">
        <v>450</v>
      </c>
      <c r="G769" s="23" t="n">
        <v>46200</v>
      </c>
      <c r="H769" s="24" t="inlineStr">
        <is>
          <t>Low</t>
        </is>
      </c>
      <c r="I769" s="24" t="inlineStr">
        <is>
          <t>Awaiting project-accountant follow-up</t>
        </is>
      </c>
      <c r="J769" s="8">
        <f>IFERROR(MATCH(G769,'13W Cash Forecast'!$B$4:$N$4,1),1)</f>
        <v/>
      </c>
    </row>
    <row r="770">
      <c r="A770" s="8" t="inlineStr">
        <is>
          <t>AR-0031277</t>
        </is>
      </c>
      <c r="B770" s="8" t="inlineStr">
        <is>
          <t>Service</t>
        </is>
      </c>
      <c r="C770" s="8" t="inlineStr">
        <is>
          <t>Fairview Property Partners - East Facilities</t>
        </is>
      </c>
      <c r="D770" s="22" t="n">
        <v>46185</v>
      </c>
      <c r="E770" s="22" t="n">
        <v>46200</v>
      </c>
      <c r="F770" s="9" t="n">
        <v>242.7</v>
      </c>
      <c r="G770" s="23" t="n">
        <v>46200</v>
      </c>
      <c r="H770" s="24" t="inlineStr">
        <is>
          <t>Medium</t>
        </is>
      </c>
      <c r="I770" s="24" t="inlineStr">
        <is>
          <t>Contractual due date pending refreshed collection call</t>
        </is>
      </c>
      <c r="J770" s="8">
        <f>IFERROR(MATCH(G770,'13W Cash Forecast'!$B$4:$N$4,1),1)</f>
        <v/>
      </c>
    </row>
    <row r="771">
      <c r="A771" s="8" t="inlineStr">
        <is>
          <t>AR-0031143</t>
        </is>
      </c>
      <c r="B771" s="8" t="inlineStr">
        <is>
          <t>Service</t>
        </is>
      </c>
      <c r="C771" s="8" t="inlineStr">
        <is>
          <t>Deschutes Medical Group - North Asset Management</t>
        </is>
      </c>
      <c r="D771" s="22" t="n">
        <v>46156</v>
      </c>
      <c r="E771" s="22" t="n">
        <v>46201</v>
      </c>
      <c r="F771" s="9" t="n">
        <v>439.2</v>
      </c>
      <c r="G771" s="23" t="n">
        <v>46201</v>
      </c>
      <c r="H771" s="24" t="inlineStr">
        <is>
          <t>Medium</t>
        </is>
      </c>
      <c r="I771" s="24" t="inlineStr">
        <is>
          <t>Contractual due date pending refreshed collection call</t>
        </is>
      </c>
      <c r="J771" s="8">
        <f>IFERROR(MATCH(G771,'13W Cash Forecast'!$B$4:$N$4,1),1)</f>
        <v/>
      </c>
    </row>
    <row r="772">
      <c r="A772" s="8" t="inlineStr">
        <is>
          <t>AR-0031255</t>
        </is>
      </c>
      <c r="B772" s="8" t="inlineStr">
        <is>
          <t>Service</t>
        </is>
      </c>
      <c r="C772" s="8" t="inlineStr">
        <is>
          <t>Rogue Valley Beverage - Portfolio Property Group</t>
        </is>
      </c>
      <c r="D772" s="22" t="n">
        <v>46186</v>
      </c>
      <c r="E772" s="22" t="n">
        <v>46201</v>
      </c>
      <c r="F772" s="9" t="n">
        <v>2100.4</v>
      </c>
      <c r="G772" s="23" t="n">
        <v>46201</v>
      </c>
      <c r="H772" s="24" t="inlineStr">
        <is>
          <t>Medium</t>
        </is>
      </c>
      <c r="I772" s="24" t="inlineStr">
        <is>
          <t>Contractual due date pending refreshed collection call</t>
        </is>
      </c>
      <c r="J772" s="8">
        <f>IFERROR(MATCH(G772,'13W Cash Forecast'!$B$4:$N$4,1),1)</f>
        <v/>
      </c>
    </row>
    <row r="773">
      <c r="A773" s="8" t="inlineStr">
        <is>
          <t>AR-0031471</t>
        </is>
      </c>
      <c r="B773" s="8" t="inlineStr">
        <is>
          <t>Service</t>
        </is>
      </c>
      <c r="C773" s="8" t="inlineStr">
        <is>
          <t>Clackamas Health Network - Operations Campus Services</t>
        </is>
      </c>
      <c r="D773" s="22" t="n">
        <v>46186</v>
      </c>
      <c r="E773" s="22" t="n">
        <v>46201</v>
      </c>
      <c r="F773" s="9" t="n">
        <v>1117.73</v>
      </c>
      <c r="G773" s="23" t="n">
        <v>46201</v>
      </c>
      <c r="H773" s="24" t="inlineStr">
        <is>
          <t>Medium</t>
        </is>
      </c>
      <c r="I773" s="24" t="inlineStr">
        <is>
          <t>Contractual due date pending refreshed collection call</t>
        </is>
      </c>
      <c r="J773" s="8">
        <f>IFERROR(MATCH(G773,'13W Cash Forecast'!$B$4:$N$4,1),1)</f>
        <v/>
      </c>
    </row>
    <row r="774">
      <c r="A774" s="8" t="inlineStr">
        <is>
          <t>AR-0031121</t>
        </is>
      </c>
      <c r="B774" s="8" t="inlineStr">
        <is>
          <t>Service</t>
        </is>
      </c>
      <c r="C774" s="8" t="inlineStr">
        <is>
          <t>Portland Arts and Events - Central Campus Services</t>
        </is>
      </c>
      <c r="D774" s="22" t="n">
        <v>46157</v>
      </c>
      <c r="E774" s="22" t="n">
        <v>46202</v>
      </c>
      <c r="F774" s="9" t="n">
        <v>940.75</v>
      </c>
      <c r="G774" s="23" t="n">
        <v>46202</v>
      </c>
      <c r="H774" s="24" t="inlineStr">
        <is>
          <t>Medium</t>
        </is>
      </c>
      <c r="I774" s="24" t="inlineStr">
        <is>
          <t>Contractual due date pending refreshed collection call</t>
        </is>
      </c>
      <c r="J774" s="8">
        <f>IFERROR(MATCH(G774,'13W Cash Forecast'!$B$4:$N$4,1),1)</f>
        <v/>
      </c>
    </row>
    <row r="775">
      <c r="A775" s="8" t="inlineStr">
        <is>
          <t>AR-0031233</t>
        </is>
      </c>
      <c r="B775" s="8" t="inlineStr">
        <is>
          <t>Service</t>
        </is>
      </c>
      <c r="C775" s="8" t="inlineStr">
        <is>
          <t>Fairview Property Partners - East Property Group</t>
        </is>
      </c>
      <c r="D775" s="22" t="n">
        <v>46187</v>
      </c>
      <c r="E775" s="22" t="n">
        <v>46202</v>
      </c>
      <c r="F775" s="9" t="n">
        <v>640.2</v>
      </c>
      <c r="G775" s="23" t="n">
        <v>46202</v>
      </c>
      <c r="H775" s="24" t="inlineStr">
        <is>
          <t>Medium</t>
        </is>
      </c>
      <c r="I775" s="24" t="inlineStr">
        <is>
          <t>Contractual due date pending refreshed collection call</t>
        </is>
      </c>
      <c r="J775" s="8">
        <f>IFERROR(MATCH(G775,'13W Cash Forecast'!$B$4:$N$4,1),1)</f>
        <v/>
      </c>
    </row>
    <row r="776">
      <c r="A776" s="8" t="inlineStr">
        <is>
          <t>AR-0031368</t>
        </is>
      </c>
      <c r="B776" s="8" t="inlineStr">
        <is>
          <t>Service</t>
        </is>
      </c>
      <c r="C776" s="8" t="inlineStr">
        <is>
          <t>Clackamas Health Network Operating Company</t>
        </is>
      </c>
      <c r="D776" s="22" t="n">
        <v>46187</v>
      </c>
      <c r="E776" s="22" t="n">
        <v>46202</v>
      </c>
      <c r="F776" s="9" t="n">
        <v>311.89</v>
      </c>
      <c r="G776" s="23" t="n">
        <v>46202</v>
      </c>
      <c r="H776" s="24" t="inlineStr">
        <is>
          <t>Low</t>
        </is>
      </c>
      <c r="I776" s="24" t="inlineStr">
        <is>
          <t>Awaiting project-accountant follow-up</t>
        </is>
      </c>
      <c r="J776" s="8">
        <f>IFERROR(MATCH(G776,'13W Cash Forecast'!$B$4:$N$4,1),1)</f>
        <v/>
      </c>
    </row>
    <row r="777">
      <c r="A777" s="8" t="inlineStr">
        <is>
          <t>AR-0031395</t>
        </is>
      </c>
      <c r="B777" s="8" t="inlineStr">
        <is>
          <t>Service</t>
        </is>
      </c>
      <c r="C777" s="8" t="inlineStr">
        <is>
          <t>Tualatin Commerce Center Operating Company</t>
        </is>
      </c>
      <c r="D777" s="22" t="n">
        <v>46187</v>
      </c>
      <c r="E777" s="22" t="n">
        <v>46202</v>
      </c>
      <c r="F777" s="9" t="n">
        <v>801.4299999999999</v>
      </c>
      <c r="G777" s="23" t="n">
        <v>46202</v>
      </c>
      <c r="H777" s="24" t="inlineStr">
        <is>
          <t>Medium</t>
        </is>
      </c>
      <c r="I777" s="24" t="inlineStr">
        <is>
          <t>Contractual due date pending refreshed collection call</t>
        </is>
      </c>
      <c r="J777" s="8">
        <f>IFERROR(MATCH(G777,'13W Cash Forecast'!$B$4:$N$4,1),1)</f>
        <v/>
      </c>
    </row>
    <row r="778">
      <c r="A778" s="8" t="inlineStr">
        <is>
          <t>AR-0031449</t>
        </is>
      </c>
      <c r="B778" s="8" t="inlineStr">
        <is>
          <t>Service</t>
        </is>
      </c>
      <c r="C778" s="8" t="inlineStr">
        <is>
          <t>Oregon Advanced Materials - South Real Estate, LLC</t>
        </is>
      </c>
      <c r="D778" s="22" t="n">
        <v>46187</v>
      </c>
      <c r="E778" s="22" t="n">
        <v>46202</v>
      </c>
      <c r="F778" s="9" t="n">
        <v>1063.23</v>
      </c>
      <c r="G778" s="23" t="n">
        <v>46202</v>
      </c>
      <c r="H778" s="24" t="inlineStr">
        <is>
          <t>Medium</t>
        </is>
      </c>
      <c r="I778" s="24" t="inlineStr">
        <is>
          <t>Contractual due date pending refreshed collection call</t>
        </is>
      </c>
      <c r="J778" s="8">
        <f>IFERROR(MATCH(G778,'13W Cash Forecast'!$B$4:$N$4,1),1)</f>
        <v/>
      </c>
    </row>
    <row r="779">
      <c r="A779" s="8" t="inlineStr">
        <is>
          <t>AR-0031018</t>
        </is>
      </c>
      <c r="B779" s="8" t="inlineStr">
        <is>
          <t>Service</t>
        </is>
      </c>
      <c r="C779" s="8" t="inlineStr">
        <is>
          <t>Lake Oswego Office Partners - East Development Company</t>
        </is>
      </c>
      <c r="D779" s="22" t="n">
        <v>46158</v>
      </c>
      <c r="E779" s="22" t="n">
        <v>46203</v>
      </c>
      <c r="F779" s="9" t="n">
        <v>1168.45</v>
      </c>
      <c r="G779" s="23" t="n">
        <v>46203</v>
      </c>
      <c r="H779" s="24" t="inlineStr">
        <is>
          <t>Medium</t>
        </is>
      </c>
      <c r="I779" s="24" t="inlineStr">
        <is>
          <t>Contractual due date pending refreshed collection call</t>
        </is>
      </c>
      <c r="J779" s="8">
        <f>IFERROR(MATCH(G779,'13W Cash Forecast'!$B$4:$N$4,1),1)</f>
        <v/>
      </c>
    </row>
    <row r="780">
      <c r="A780" s="8" t="inlineStr">
        <is>
          <t>AR-0031099</t>
        </is>
      </c>
      <c r="B780" s="8" t="inlineStr">
        <is>
          <t>Service</t>
        </is>
      </c>
      <c r="C780" s="8" t="inlineStr">
        <is>
          <t>Deschutes Medical Group - North Campus Services</t>
        </is>
      </c>
      <c r="D780" s="22" t="n">
        <v>46158</v>
      </c>
      <c r="E780" s="22" t="n">
        <v>46203</v>
      </c>
      <c r="F780" s="9" t="n">
        <v>520.25</v>
      </c>
      <c r="G780" s="23" t="n">
        <v>46203</v>
      </c>
      <c r="H780" s="24" t="inlineStr">
        <is>
          <t>Medium</t>
        </is>
      </c>
      <c r="I780" s="24" t="inlineStr">
        <is>
          <t>Contractual due date pending refreshed collection call</t>
        </is>
      </c>
      <c r="J780" s="8">
        <f>IFERROR(MATCH(G780,'13W Cash Forecast'!$B$4:$N$4,1),1)</f>
        <v/>
      </c>
    </row>
    <row r="781">
      <c r="A781" s="8" t="inlineStr">
        <is>
          <t>AR-0031211</t>
        </is>
      </c>
      <c r="B781" s="8" t="inlineStr">
        <is>
          <t>Service</t>
        </is>
      </c>
      <c r="C781" s="8" t="inlineStr">
        <is>
          <t>Rogue Valley Beverage - Portfolio Holdings, LLC</t>
        </is>
      </c>
      <c r="D781" s="22" t="n">
        <v>46188</v>
      </c>
      <c r="E781" s="22" t="n">
        <v>46203</v>
      </c>
      <c r="F781" s="9" t="n">
        <v>558.3099999999999</v>
      </c>
      <c r="G781" s="23" t="n">
        <v>46203</v>
      </c>
      <c r="H781" s="24" t="inlineStr">
        <is>
          <t>Medium</t>
        </is>
      </c>
      <c r="I781" s="24" t="inlineStr">
        <is>
          <t>Contractual due date pending refreshed collection call</t>
        </is>
      </c>
      <c r="J781" s="8">
        <f>IFERROR(MATCH(G781,'13W Cash Forecast'!$B$4:$N$4,1),1)</f>
        <v/>
      </c>
    </row>
    <row r="782">
      <c r="A782" s="8" t="inlineStr">
        <is>
          <t>AR-0031346</t>
        </is>
      </c>
      <c r="B782" s="8" t="inlineStr">
        <is>
          <t>Service</t>
        </is>
      </c>
      <c r="C782" s="8" t="inlineStr">
        <is>
          <t>Hillsboro Life Sciences - Campus Asset Management</t>
        </is>
      </c>
      <c r="D782" s="22" t="n">
        <v>46188</v>
      </c>
      <c r="E782" s="22" t="n">
        <v>46203</v>
      </c>
      <c r="F782" s="9" t="n">
        <v>724.12</v>
      </c>
      <c r="G782" s="23" t="n">
        <v>46203</v>
      </c>
      <c r="H782" s="24" t="inlineStr">
        <is>
          <t>Medium</t>
        </is>
      </c>
      <c r="I782" s="24" t="inlineStr">
        <is>
          <t>Contractual due date pending refreshed collection call</t>
        </is>
      </c>
      <c r="J782" s="8">
        <f>IFERROR(MATCH(G782,'13W Cash Forecast'!$B$4:$N$4,1),1)</f>
        <v/>
      </c>
    </row>
    <row r="783">
      <c r="A783" s="8" t="inlineStr">
        <is>
          <t>AR-0031427</t>
        </is>
      </c>
      <c r="B783" s="8" t="inlineStr">
        <is>
          <t>Service</t>
        </is>
      </c>
      <c r="C783" s="8" t="inlineStr">
        <is>
          <t>Clackamas Health Network - Operations Real Estate, LLC</t>
        </is>
      </c>
      <c r="D783" s="22" t="n">
        <v>46188</v>
      </c>
      <c r="E783" s="22" t="n">
        <v>46203</v>
      </c>
      <c r="F783" s="9" t="n">
        <v>1039.91</v>
      </c>
      <c r="G783" s="23" t="n">
        <v>46203</v>
      </c>
      <c r="H783" s="24" t="inlineStr">
        <is>
          <t>Low</t>
        </is>
      </c>
      <c r="I783" s="24" t="inlineStr">
        <is>
          <t>Awaiting project-accountant follow-up</t>
        </is>
      </c>
      <c r="J783" s="8">
        <f>IFERROR(MATCH(G783,'13W Cash Forecast'!$B$4:$N$4,1),1)</f>
        <v/>
      </c>
    </row>
    <row r="784">
      <c r="A784" s="8" t="inlineStr">
        <is>
          <t>PAYAPP-ARM-2318-202605</t>
        </is>
      </c>
      <c r="B784" s="8" t="inlineStr">
        <is>
          <t>ARM-2318</t>
        </is>
      </c>
      <c r="C784" s="8" t="inlineStr">
        <is>
          <t>Columbia Biologics, Inc.</t>
        </is>
      </c>
      <c r="D784" s="22" t="n">
        <v>46173</v>
      </c>
      <c r="E784" s="22" t="n">
        <v>46203</v>
      </c>
      <c r="F784" s="9" t="n">
        <v>155955.47</v>
      </c>
      <c r="G784" s="23" t="n">
        <v>46203</v>
      </c>
      <c r="H784" s="24" t="inlineStr">
        <is>
          <t>Medium</t>
        </is>
      </c>
      <c r="I784" s="24" t="inlineStr">
        <is>
          <t>Contractual due date pending refreshed collection call</t>
        </is>
      </c>
      <c r="J784" s="8">
        <f>IFERROR(MATCH(G784,'13W Cash Forecast'!$B$4:$N$4,1),1)</f>
        <v/>
      </c>
    </row>
    <row r="785">
      <c r="A785" s="8" t="inlineStr">
        <is>
          <t>PAYAPP-ARM-2409-202605</t>
        </is>
      </c>
      <c r="B785" s="8" t="inlineStr">
        <is>
          <t>ARM-2409</t>
        </is>
      </c>
      <c r="C785" s="8" t="inlineStr">
        <is>
          <t>Northline Cold Storage Holdings</t>
        </is>
      </c>
      <c r="D785" s="22" t="n">
        <v>46173</v>
      </c>
      <c r="E785" s="22" t="n">
        <v>46203</v>
      </c>
      <c r="F785" s="9" t="n">
        <v>71306.78999999999</v>
      </c>
      <c r="G785" s="23" t="n">
        <v>46203</v>
      </c>
      <c r="H785" s="24" t="inlineStr">
        <is>
          <t>Medium</t>
        </is>
      </c>
      <c r="I785" s="24" t="inlineStr">
        <is>
          <t>Contractual due date pending refreshed collection call</t>
        </is>
      </c>
      <c r="J785" s="8">
        <f>IFERROR(MATCH(G785,'13W Cash Forecast'!$B$4:$N$4,1),1)</f>
        <v/>
      </c>
    </row>
    <row r="786">
      <c r="A786" s="8" t="inlineStr">
        <is>
          <t>PAYAPP-ARM-2506-202605</t>
        </is>
      </c>
      <c r="B786" s="8" t="inlineStr">
        <is>
          <t>ARM-2506</t>
        </is>
      </c>
      <c r="C786" s="8" t="inlineStr">
        <is>
          <t>Eastbank Data Infrastructure, LP</t>
        </is>
      </c>
      <c r="D786" s="22" t="n">
        <v>46173</v>
      </c>
      <c r="E786" s="22" t="n">
        <v>46203</v>
      </c>
      <c r="F786" s="9" t="n">
        <v>95822.75999999999</v>
      </c>
      <c r="G786" s="23" t="n">
        <v>46203</v>
      </c>
      <c r="H786" s="24" t="inlineStr">
        <is>
          <t>Medium</t>
        </is>
      </c>
      <c r="I786" s="24" t="inlineStr">
        <is>
          <t>Contractual due date pending refreshed collection call</t>
        </is>
      </c>
      <c r="J786" s="8">
        <f>IFERROR(MATCH(G786,'13W Cash Forecast'!$B$4:$N$4,1),1)</f>
        <v/>
      </c>
    </row>
    <row r="787">
      <c r="A787" s="8" t="inlineStr">
        <is>
          <t>PAYAPP-ARM-2510-202605</t>
        </is>
      </c>
      <c r="B787" s="8" t="inlineStr">
        <is>
          <t>ARM-2510</t>
        </is>
      </c>
      <c r="C787" s="8" t="inlineStr">
        <is>
          <t>Hawthorne Urban Development, LLC</t>
        </is>
      </c>
      <c r="D787" s="22" t="n">
        <v>46173</v>
      </c>
      <c r="E787" s="22" t="n">
        <v>46203</v>
      </c>
      <c r="F787" s="9" t="n">
        <v>89175.02</v>
      </c>
      <c r="G787" s="23" t="n">
        <v>46203</v>
      </c>
      <c r="H787" s="24" t="inlineStr">
        <is>
          <t>Medium</t>
        </is>
      </c>
      <c r="I787" s="24" t="inlineStr">
        <is>
          <t>Contractual due date pending refreshed collection call</t>
        </is>
      </c>
      <c r="J787" s="8">
        <f>IFERROR(MATCH(G787,'13W Cash Forecast'!$B$4:$N$4,1),1)</f>
        <v/>
      </c>
    </row>
    <row r="788">
      <c r="A788" s="8" t="inlineStr">
        <is>
          <t>PAYAPP-ARM-2522-202605</t>
        </is>
      </c>
      <c r="B788" s="8" t="inlineStr">
        <is>
          <t>ARM-2522</t>
        </is>
      </c>
      <c r="C788" s="8" t="inlineStr">
        <is>
          <t>Summit Surgical Properties</t>
        </is>
      </c>
      <c r="D788" s="22" t="n">
        <v>46173</v>
      </c>
      <c r="E788" s="22" t="n">
        <v>46203</v>
      </c>
      <c r="F788" s="9" t="n">
        <v>55816.63</v>
      </c>
      <c r="G788" s="23" t="n">
        <v>46203</v>
      </c>
      <c r="H788" s="24" t="inlineStr">
        <is>
          <t>Medium</t>
        </is>
      </c>
      <c r="I788" s="24" t="inlineStr">
        <is>
          <t>Contractual due date pending refreshed collection call</t>
        </is>
      </c>
      <c r="J788" s="8">
        <f>IFERROR(MATCH(G788,'13W Cash Forecast'!$B$4:$N$4,1),1)</f>
        <v/>
      </c>
    </row>
    <row r="789">
      <c r="A789" s="8" t="inlineStr">
        <is>
          <t>PAYAPP-ARM-2526-202605</t>
        </is>
      </c>
      <c r="B789" s="8" t="inlineStr">
        <is>
          <t>ARM-2526</t>
        </is>
      </c>
      <c r="C789" s="8" t="inlineStr">
        <is>
          <t>Willamette Food Cooperative</t>
        </is>
      </c>
      <c r="D789" s="22" t="n">
        <v>46173</v>
      </c>
      <c r="E789" s="22" t="n">
        <v>46203</v>
      </c>
      <c r="F789" s="9" t="n">
        <v>53165.48</v>
      </c>
      <c r="G789" s="23" t="n">
        <v>46203</v>
      </c>
      <c r="H789" s="24" t="inlineStr">
        <is>
          <t>Medium</t>
        </is>
      </c>
      <c r="I789" s="24" t="inlineStr">
        <is>
          <t>Contractual due date pending refreshed collection call</t>
        </is>
      </c>
      <c r="J789" s="8">
        <f>IFERROR(MATCH(G789,'13W Cash Forecast'!$B$4:$N$4,1),1)</f>
        <v/>
      </c>
    </row>
    <row r="790">
      <c r="A790" s="8" t="inlineStr">
        <is>
          <t>PAYAPP-ARM-2602-202605</t>
        </is>
      </c>
      <c r="B790" s="8" t="inlineStr">
        <is>
          <t>ARM-2602</t>
        </is>
      </c>
      <c r="C790" s="8" t="inlineStr">
        <is>
          <t>Pacific Northwest Distribution REIT</t>
        </is>
      </c>
      <c r="D790" s="22" t="n">
        <v>46173</v>
      </c>
      <c r="E790" s="22" t="n">
        <v>46203</v>
      </c>
      <c r="F790" s="9" t="n">
        <v>61287.4</v>
      </c>
      <c r="G790" s="23" t="n">
        <v>46203</v>
      </c>
      <c r="H790" s="24" t="inlineStr">
        <is>
          <t>Low</t>
        </is>
      </c>
      <c r="I790" s="24" t="inlineStr">
        <is>
          <t>Awaiting project-accountant follow-up</t>
        </is>
      </c>
      <c r="J790" s="8">
        <f>IFERROR(MATCH(G790,'13W Cash Forecast'!$B$4:$N$4,1),1)</f>
        <v/>
      </c>
    </row>
    <row r="791">
      <c r="A791" s="8" t="inlineStr">
        <is>
          <t>PAYAPP-ARM-2605-202605</t>
        </is>
      </c>
      <c r="B791" s="8" t="inlineStr">
        <is>
          <t>ARM-2605</t>
        </is>
      </c>
      <c r="C791" s="8" t="inlineStr">
        <is>
          <t>Rose Quarter Entertainment Holdings</t>
        </is>
      </c>
      <c r="D791" s="22" t="n">
        <v>46173</v>
      </c>
      <c r="E791" s="22" t="n">
        <v>46203</v>
      </c>
      <c r="F791" s="9" t="n">
        <v>70343.67</v>
      </c>
      <c r="G791" s="23" t="n">
        <v>46203</v>
      </c>
      <c r="H791" s="24" t="inlineStr">
        <is>
          <t>Medium</t>
        </is>
      </c>
      <c r="I791" s="24" t="inlineStr">
        <is>
          <t>Contractual due date pending refreshed collection call</t>
        </is>
      </c>
      <c r="J791" s="8">
        <f>IFERROR(MATCH(G791,'13W Cash Forecast'!$B$4:$N$4,1),1)</f>
        <v/>
      </c>
    </row>
    <row r="792">
      <c r="A792" s="8" t="inlineStr">
        <is>
          <t>AR-0030996</t>
        </is>
      </c>
      <c r="B792" s="8" t="inlineStr">
        <is>
          <t>Service</t>
        </is>
      </c>
      <c r="C792" s="8" t="inlineStr">
        <is>
          <t>Westside Ambulatory - Portfolio Asset Management</t>
        </is>
      </c>
      <c r="D792" s="22" t="n">
        <v>46159</v>
      </c>
      <c r="E792" s="22" t="n">
        <v>46204</v>
      </c>
      <c r="F792" s="9" t="n">
        <v>967.71</v>
      </c>
      <c r="G792" s="23" t="n">
        <v>46204</v>
      </c>
      <c r="H792" s="24" t="inlineStr">
        <is>
          <t>Medium</t>
        </is>
      </c>
      <c r="I792" s="24" t="inlineStr">
        <is>
          <t>Contractual due date pending refreshed collection call</t>
        </is>
      </c>
      <c r="J792" s="8">
        <f>IFERROR(MATCH(G792,'13W Cash Forecast'!$B$4:$N$4,1),1)</f>
        <v/>
      </c>
    </row>
    <row r="793">
      <c r="A793" s="8" t="inlineStr">
        <is>
          <t>AR-0031050</t>
        </is>
      </c>
      <c r="B793" s="8" t="inlineStr">
        <is>
          <t>Service</t>
        </is>
      </c>
      <c r="C793" s="8" t="inlineStr">
        <is>
          <t>Cascade Health Properties, LLC</t>
        </is>
      </c>
      <c r="D793" s="22" t="n">
        <v>46159</v>
      </c>
      <c r="E793" s="22" t="n">
        <v>46204</v>
      </c>
      <c r="F793" s="9" t="n">
        <v>2352.18</v>
      </c>
      <c r="G793" s="23" t="n">
        <v>46204</v>
      </c>
      <c r="H793" s="24" t="inlineStr">
        <is>
          <t>Medium</t>
        </is>
      </c>
      <c r="I793" s="24" t="inlineStr">
        <is>
          <t>Contractual due date pending refreshed collection call</t>
        </is>
      </c>
      <c r="J793" s="8">
        <f>IFERROR(MATCH(G793,'13W Cash Forecast'!$B$4:$N$4,1),1)</f>
        <v/>
      </c>
    </row>
    <row r="794">
      <c r="A794" s="8" t="inlineStr">
        <is>
          <t>AR-0031249</t>
        </is>
      </c>
      <c r="B794" s="8" t="inlineStr">
        <is>
          <t>Service</t>
        </is>
      </c>
      <c r="C794" s="8" t="inlineStr">
        <is>
          <t>High Desert Manufacturing - Portfolio LLC</t>
        </is>
      </c>
      <c r="D794" s="22" t="n">
        <v>46174</v>
      </c>
      <c r="E794" s="22" t="n">
        <v>46204</v>
      </c>
      <c r="F794" s="9" t="n">
        <v>5864.61</v>
      </c>
      <c r="G794" s="23" t="n">
        <v>46204</v>
      </c>
      <c r="H794" s="24" t="inlineStr">
        <is>
          <t>Medium</t>
        </is>
      </c>
      <c r="I794" s="24" t="inlineStr">
        <is>
          <t>Contractual due date pending refreshed collection call</t>
        </is>
      </c>
      <c r="J794" s="8">
        <f>IFERROR(MATCH(G794,'13W Cash Forecast'!$B$4:$N$4,1),1)</f>
        <v/>
      </c>
    </row>
    <row r="795">
      <c r="A795" s="8" t="inlineStr">
        <is>
          <t>AR-0031276</t>
        </is>
      </c>
      <c r="B795" s="8" t="inlineStr">
        <is>
          <t>Service</t>
        </is>
      </c>
      <c r="C795" s="8" t="inlineStr">
        <is>
          <t>Pacific Crest Biotech - East Partners, LP</t>
        </is>
      </c>
      <c r="D795" s="22" t="n">
        <v>46174</v>
      </c>
      <c r="E795" s="22" t="n">
        <v>46204</v>
      </c>
      <c r="F795" s="9" t="n">
        <v>1778.56</v>
      </c>
      <c r="G795" s="23" t="n">
        <v>46204</v>
      </c>
      <c r="H795" s="24" t="inlineStr">
        <is>
          <t>Medium</t>
        </is>
      </c>
      <c r="I795" s="24" t="inlineStr">
        <is>
          <t>Contractual due date pending refreshed collection call</t>
        </is>
      </c>
      <c r="J795" s="8">
        <f>IFERROR(MATCH(G795,'13W Cash Forecast'!$B$4:$N$4,1),1)</f>
        <v/>
      </c>
    </row>
    <row r="796">
      <c r="A796" s="8" t="inlineStr">
        <is>
          <t>AR-0031324</t>
        </is>
      </c>
      <c r="B796" s="8" t="inlineStr">
        <is>
          <t>Service</t>
        </is>
      </c>
      <c r="C796" s="8" t="inlineStr">
        <is>
          <t>Tualatin Commerce Center - West Campus Services</t>
        </is>
      </c>
      <c r="D796" s="22" t="n">
        <v>46189</v>
      </c>
      <c r="E796" s="22" t="n">
        <v>46204</v>
      </c>
      <c r="F796" s="9" t="n">
        <v>3468.19</v>
      </c>
      <c r="G796" s="23" t="n">
        <v>46204</v>
      </c>
      <c r="H796" s="24" t="inlineStr">
        <is>
          <t>Medium</t>
        </is>
      </c>
      <c r="I796" s="24" t="inlineStr">
        <is>
          <t>Contractual due date pending refreshed collection call</t>
        </is>
      </c>
      <c r="J796" s="8">
        <f>IFERROR(MATCH(G796,'13W Cash Forecast'!$B$4:$N$4,1),1)</f>
        <v/>
      </c>
    </row>
    <row r="797">
      <c r="A797" s="8" t="inlineStr">
        <is>
          <t>AR-0031330</t>
        </is>
      </c>
      <c r="B797" s="8" t="inlineStr">
        <is>
          <t>Service</t>
        </is>
      </c>
      <c r="C797" s="8" t="inlineStr">
        <is>
          <t>Forest Park Hospitality - West LLC</t>
        </is>
      </c>
      <c r="D797" s="22" t="n">
        <v>46174</v>
      </c>
      <c r="E797" s="22" t="n">
        <v>46204</v>
      </c>
      <c r="F797" s="9" t="n">
        <v>8420.870000000001</v>
      </c>
      <c r="G797" s="23" t="n">
        <v>46204</v>
      </c>
      <c r="H797" s="24" t="inlineStr">
        <is>
          <t>Low</t>
        </is>
      </c>
      <c r="I797" s="24" t="inlineStr">
        <is>
          <t>Awaiting project-accountant follow-up</t>
        </is>
      </c>
      <c r="J797" s="8">
        <f>IFERROR(MATCH(G797,'13W Cash Forecast'!$B$4:$N$4,1),1)</f>
        <v/>
      </c>
    </row>
    <row r="798">
      <c r="A798" s="8" t="inlineStr">
        <is>
          <t>AR-0031378</t>
        </is>
      </c>
      <c r="B798" s="8" t="inlineStr">
        <is>
          <t>Service</t>
        </is>
      </c>
      <c r="C798" s="8" t="inlineStr">
        <is>
          <t>McKenzie River Foods - Central Facilities</t>
        </is>
      </c>
      <c r="D798" s="22" t="n">
        <v>46189</v>
      </c>
      <c r="E798" s="22" t="n">
        <v>46204</v>
      </c>
      <c r="F798" s="9" t="n">
        <v>1761.26</v>
      </c>
      <c r="G798" s="23" t="n">
        <v>46204</v>
      </c>
      <c r="H798" s="24" t="inlineStr">
        <is>
          <t>Medium</t>
        </is>
      </c>
      <c r="I798" s="24" t="inlineStr">
        <is>
          <t>Contractual due date pending refreshed collection call</t>
        </is>
      </c>
      <c r="J798" s="8">
        <f>IFERROR(MATCH(G798,'13W Cash Forecast'!$B$4:$N$4,1),1)</f>
        <v/>
      </c>
    </row>
    <row r="799">
      <c r="A799" s="8" t="inlineStr">
        <is>
          <t>AR-0031384</t>
        </is>
      </c>
      <c r="B799" s="8" t="inlineStr">
        <is>
          <t>Service</t>
        </is>
      </c>
      <c r="C799" s="8" t="inlineStr">
        <is>
          <t>Forest Park Hospitality Campus Services</t>
        </is>
      </c>
      <c r="D799" s="22" t="n">
        <v>46174</v>
      </c>
      <c r="E799" s="22" t="n">
        <v>46204</v>
      </c>
      <c r="F799" s="9" t="n">
        <v>1820.73</v>
      </c>
      <c r="G799" s="23" t="n">
        <v>46204</v>
      </c>
      <c r="H799" s="24" t="inlineStr">
        <is>
          <t>Medium</t>
        </is>
      </c>
      <c r="I799" s="24" t="inlineStr">
        <is>
          <t>Contractual due date pending refreshed collection call</t>
        </is>
      </c>
      <c r="J799" s="8">
        <f>IFERROR(MATCH(G799,'13W Cash Forecast'!$B$4:$N$4,1),1)</f>
        <v/>
      </c>
    </row>
    <row r="800">
      <c r="A800" s="8" t="inlineStr">
        <is>
          <t>AR-0031411</t>
        </is>
      </c>
      <c r="B800" s="8" t="inlineStr">
        <is>
          <t>Service</t>
        </is>
      </c>
      <c r="C800" s="8" t="inlineStr">
        <is>
          <t>Beacon Industrial - South Asset Management</t>
        </is>
      </c>
      <c r="D800" s="22" t="n">
        <v>46174</v>
      </c>
      <c r="E800" s="22" t="n">
        <v>46204</v>
      </c>
      <c r="F800" s="9" t="n">
        <v>2624.99</v>
      </c>
      <c r="G800" s="23" t="n">
        <v>46204</v>
      </c>
      <c r="H800" s="24" t="inlineStr">
        <is>
          <t>Medium</t>
        </is>
      </c>
      <c r="I800" s="24" t="inlineStr">
        <is>
          <t>Contractual due date pending refreshed collection call</t>
        </is>
      </c>
      <c r="J800" s="8">
        <f>IFERROR(MATCH(G800,'13W Cash Forecast'!$B$4:$N$4,1),1)</f>
        <v/>
      </c>
    </row>
    <row r="801">
      <c r="A801" s="8" t="inlineStr">
        <is>
          <t>AR-0031459</t>
        </is>
      </c>
      <c r="B801" s="8" t="inlineStr">
        <is>
          <t>Service</t>
        </is>
      </c>
      <c r="C801" s="8" t="inlineStr">
        <is>
          <t>Fairview Property Partners - East Holdings, LLC</t>
        </is>
      </c>
      <c r="D801" s="22" t="n">
        <v>46189</v>
      </c>
      <c r="E801" s="22" t="n">
        <v>46204</v>
      </c>
      <c r="F801" s="9" t="n">
        <v>1442.89</v>
      </c>
      <c r="G801" s="23" t="n">
        <v>46204</v>
      </c>
      <c r="H801" s="24" t="inlineStr">
        <is>
          <t>Medium</t>
        </is>
      </c>
      <c r="I801" s="24" t="inlineStr">
        <is>
          <t>Contractual due date pending refreshed collection call</t>
        </is>
      </c>
      <c r="J801" s="8">
        <f>IFERROR(MATCH(G801,'13W Cash Forecast'!$B$4:$N$4,1),1)</f>
        <v/>
      </c>
    </row>
    <row r="802">
      <c r="A802" s="8" t="inlineStr">
        <is>
          <t>AR-0031465</t>
        </is>
      </c>
      <c r="B802" s="8" t="inlineStr">
        <is>
          <t>Service</t>
        </is>
      </c>
      <c r="C802" s="8" t="inlineStr">
        <is>
          <t>Pioneer Medical Properties - West LLC</t>
        </is>
      </c>
      <c r="D802" s="22" t="n">
        <v>46174</v>
      </c>
      <c r="E802" s="22" t="n">
        <v>46204</v>
      </c>
      <c r="F802" s="9" t="n">
        <v>5616.64</v>
      </c>
      <c r="G802" s="23" t="n">
        <v>46204</v>
      </c>
      <c r="H802" s="24" t="inlineStr">
        <is>
          <t>Medium</t>
        </is>
      </c>
      <c r="I802" s="24" t="inlineStr">
        <is>
          <t>Contractual due date pending refreshed collection call</t>
        </is>
      </c>
      <c r="J802" s="8">
        <f>IFERROR(MATCH(G802,'13W Cash Forecast'!$B$4:$N$4,1),1)</f>
        <v/>
      </c>
    </row>
    <row r="803">
      <c r="A803" s="8" t="inlineStr">
        <is>
          <t>AR-0030974</t>
        </is>
      </c>
      <c r="B803" s="8" t="inlineStr">
        <is>
          <t>Service</t>
        </is>
      </c>
      <c r="C803" s="8" t="inlineStr">
        <is>
          <t>Lake Oswego Office Partners - East Asset Management</t>
        </is>
      </c>
      <c r="D803" s="22" t="n">
        <v>46160</v>
      </c>
      <c r="E803" s="22" t="n">
        <v>46205</v>
      </c>
      <c r="F803" s="9" t="n">
        <v>2511.38</v>
      </c>
      <c r="G803" s="23" t="n">
        <v>46205</v>
      </c>
      <c r="H803" s="24" t="inlineStr">
        <is>
          <t>Medium</t>
        </is>
      </c>
      <c r="I803" s="24" t="inlineStr">
        <is>
          <t>Contractual due date pending refreshed collection call</t>
        </is>
      </c>
      <c r="J803" s="8">
        <f>IFERROR(MATCH(G803,'13W Cash Forecast'!$B$4:$N$4,1),1)</f>
        <v/>
      </c>
    </row>
    <row r="804">
      <c r="A804" s="8" t="inlineStr">
        <is>
          <t>AR-0031227</t>
        </is>
      </c>
      <c r="B804" s="8" t="inlineStr">
        <is>
          <t>Service</t>
        </is>
      </c>
      <c r="C804" s="8" t="inlineStr">
        <is>
          <t>Sunrise Hospitality - East Development Company</t>
        </is>
      </c>
      <c r="D804" s="22" t="n">
        <v>46175</v>
      </c>
      <c r="E804" s="22" t="n">
        <v>46205</v>
      </c>
      <c r="F804" s="9" t="n">
        <v>1672.04</v>
      </c>
      <c r="G804" s="23" t="n">
        <v>46205</v>
      </c>
      <c r="H804" s="24" t="inlineStr">
        <is>
          <t>Low</t>
        </is>
      </c>
      <c r="I804" s="24" t="inlineStr">
        <is>
          <t>Awaiting project-accountant follow-up</t>
        </is>
      </c>
      <c r="J804" s="8">
        <f>IFERROR(MATCH(G804,'13W Cash Forecast'!$B$4:$N$4,1),1)</f>
        <v/>
      </c>
    </row>
    <row r="805">
      <c r="A805" s="8" t="inlineStr">
        <is>
          <t>AR-0031254</t>
        </is>
      </c>
      <c r="B805" s="8" t="inlineStr">
        <is>
          <t>Service</t>
        </is>
      </c>
      <c r="C805" s="8" t="inlineStr">
        <is>
          <t>Columbia River Logistics - Portfolio Partners, LP</t>
        </is>
      </c>
      <c r="D805" s="22" t="n">
        <v>46175</v>
      </c>
      <c r="E805" s="22" t="n">
        <v>46205</v>
      </c>
      <c r="F805" s="9" t="n">
        <v>2963.25</v>
      </c>
      <c r="G805" s="23" t="n">
        <v>46205</v>
      </c>
      <c r="H805" s="24" t="inlineStr">
        <is>
          <t>Medium</t>
        </is>
      </c>
      <c r="I805" s="24" t="inlineStr">
        <is>
          <t>Contractual due date pending refreshed collection call</t>
        </is>
      </c>
      <c r="J805" s="8">
        <f>IFERROR(MATCH(G805,'13W Cash Forecast'!$B$4:$N$4,1),1)</f>
        <v/>
      </c>
    </row>
    <row r="806">
      <c r="A806" s="8" t="inlineStr">
        <is>
          <t>AR-0031302</t>
        </is>
      </c>
      <c r="B806" s="8" t="inlineStr">
        <is>
          <t>Service</t>
        </is>
      </c>
      <c r="C806" s="8" t="inlineStr">
        <is>
          <t>Hillsboro Life Sciences - Campus Campus Services</t>
        </is>
      </c>
      <c r="D806" s="22" t="n">
        <v>46190</v>
      </c>
      <c r="E806" s="22" t="n">
        <v>46205</v>
      </c>
      <c r="F806" s="9" t="n">
        <v>4469.92</v>
      </c>
      <c r="G806" s="23" t="n">
        <v>46205</v>
      </c>
      <c r="H806" s="24" t="inlineStr">
        <is>
          <t>Medium</t>
        </is>
      </c>
      <c r="I806" s="24" t="inlineStr">
        <is>
          <t>Contractual due date pending refreshed collection call</t>
        </is>
      </c>
      <c r="J806" s="8">
        <f>IFERROR(MATCH(G806,'13W Cash Forecast'!$B$4:$N$4,1),1)</f>
        <v/>
      </c>
    </row>
    <row r="807">
      <c r="A807" s="8" t="inlineStr">
        <is>
          <t>AR-0031308</t>
        </is>
      </c>
      <c r="B807" s="8" t="inlineStr">
        <is>
          <t>Service</t>
        </is>
      </c>
      <c r="C807" s="8" t="inlineStr">
        <is>
          <t>Salem Surgical Partners - Campus Development Company</t>
        </is>
      </c>
      <c r="D807" s="22" t="n">
        <v>46175</v>
      </c>
      <c r="E807" s="22" t="n">
        <v>46205</v>
      </c>
      <c r="F807" s="9" t="n">
        <v>2718.87</v>
      </c>
      <c r="G807" s="23" t="n">
        <v>46205</v>
      </c>
      <c r="H807" s="24" t="inlineStr">
        <is>
          <t>Medium</t>
        </is>
      </c>
      <c r="I807" s="24" t="inlineStr">
        <is>
          <t>Contractual due date pending refreshed collection call</t>
        </is>
      </c>
      <c r="J807" s="8">
        <f>IFERROR(MATCH(G807,'13W Cash Forecast'!$B$4:$N$4,1),1)</f>
        <v/>
      </c>
    </row>
    <row r="808">
      <c r="A808" s="8" t="inlineStr">
        <is>
          <t>AR-0031356</t>
        </is>
      </c>
      <c r="B808" s="8" t="inlineStr">
        <is>
          <t>Service</t>
        </is>
      </c>
      <c r="C808" s="8" t="inlineStr">
        <is>
          <t>Alder Creek Medical - North Facilities</t>
        </is>
      </c>
      <c r="D808" s="22" t="n">
        <v>46190</v>
      </c>
      <c r="E808" s="22" t="n">
        <v>46205</v>
      </c>
      <c r="F808" s="9" t="n">
        <v>3860.24</v>
      </c>
      <c r="G808" s="23" t="n">
        <v>46205</v>
      </c>
      <c r="H808" s="24" t="inlineStr">
        <is>
          <t>Medium</t>
        </is>
      </c>
      <c r="I808" s="24" t="inlineStr">
        <is>
          <t>Contractual due date pending refreshed collection call</t>
        </is>
      </c>
      <c r="J808" s="8">
        <f>IFERROR(MATCH(G808,'13W Cash Forecast'!$B$4:$N$4,1),1)</f>
        <v/>
      </c>
    </row>
    <row r="809">
      <c r="A809" s="8" t="inlineStr">
        <is>
          <t>AR-0031362</t>
        </is>
      </c>
      <c r="B809" s="8" t="inlineStr">
        <is>
          <t>Service</t>
        </is>
      </c>
      <c r="C809" s="8" t="inlineStr">
        <is>
          <t>Klamath County Facilities - South Property Group</t>
        </is>
      </c>
      <c r="D809" s="22" t="n">
        <v>46175</v>
      </c>
      <c r="E809" s="22" t="n">
        <v>46205</v>
      </c>
      <c r="F809" s="9" t="n">
        <v>3981.43</v>
      </c>
      <c r="G809" s="23" t="n">
        <v>46205</v>
      </c>
      <c r="H809" s="24" t="inlineStr">
        <is>
          <t>Medium</t>
        </is>
      </c>
      <c r="I809" s="24" t="inlineStr">
        <is>
          <t>Contractual due date pending refreshed collection call</t>
        </is>
      </c>
      <c r="J809" s="8">
        <f>IFERROR(MATCH(G809,'13W Cash Forecast'!$B$4:$N$4,1),1)</f>
        <v/>
      </c>
    </row>
    <row r="810">
      <c r="A810" s="8" t="inlineStr">
        <is>
          <t>AR-0031389</t>
        </is>
      </c>
      <c r="B810" s="8" t="inlineStr">
        <is>
          <t>Service</t>
        </is>
      </c>
      <c r="C810" s="8" t="inlineStr">
        <is>
          <t>Summit Surgical Properties</t>
        </is>
      </c>
      <c r="D810" s="22" t="n">
        <v>46175</v>
      </c>
      <c r="E810" s="22" t="n">
        <v>46205</v>
      </c>
      <c r="F810" s="9" t="n">
        <v>3516.76</v>
      </c>
      <c r="G810" s="23" t="n">
        <v>46205</v>
      </c>
      <c r="H810" s="24" t="inlineStr">
        <is>
          <t>Medium</t>
        </is>
      </c>
      <c r="I810" s="24" t="inlineStr">
        <is>
          <t>Contractual due date pending refreshed collection call</t>
        </is>
      </c>
      <c r="J810" s="8">
        <f>IFERROR(MATCH(G810,'13W Cash Forecast'!$B$4:$N$4,1),1)</f>
        <v/>
      </c>
    </row>
    <row r="811">
      <c r="A811" s="8" t="inlineStr">
        <is>
          <t>AR-0031437</t>
        </is>
      </c>
      <c r="B811" s="8" t="inlineStr">
        <is>
          <t>Service</t>
        </is>
      </c>
      <c r="C811" s="8" t="inlineStr">
        <is>
          <t>Hillsboro Life Sciences Operating Company</t>
        </is>
      </c>
      <c r="D811" s="22" t="n">
        <v>46190</v>
      </c>
      <c r="E811" s="22" t="n">
        <v>46205</v>
      </c>
      <c r="F811" s="9" t="n">
        <v>3072.6</v>
      </c>
      <c r="G811" s="23" t="n">
        <v>46205</v>
      </c>
      <c r="H811" s="24" t="inlineStr">
        <is>
          <t>Low</t>
        </is>
      </c>
      <c r="I811" s="24" t="inlineStr">
        <is>
          <t>Awaiting project-accountant follow-up</t>
        </is>
      </c>
      <c r="J811" s="8">
        <f>IFERROR(MATCH(G811,'13W Cash Forecast'!$B$4:$N$4,1),1)</f>
        <v/>
      </c>
    </row>
    <row r="812">
      <c r="A812" s="8" t="inlineStr">
        <is>
          <t>AR-0031443</t>
        </is>
      </c>
      <c r="B812" s="8" t="inlineStr">
        <is>
          <t>Service</t>
        </is>
      </c>
      <c r="C812" s="8" t="inlineStr">
        <is>
          <t>Copperline Apartments - Campus LLC</t>
        </is>
      </c>
      <c r="D812" s="22" t="n">
        <v>46175</v>
      </c>
      <c r="E812" s="22" t="n">
        <v>46205</v>
      </c>
      <c r="F812" s="9" t="n">
        <v>2690.29</v>
      </c>
      <c r="G812" s="23" t="n">
        <v>46205</v>
      </c>
      <c r="H812" s="24" t="inlineStr">
        <is>
          <t>Medium</t>
        </is>
      </c>
      <c r="I812" s="24" t="inlineStr">
        <is>
          <t>Contractual due date pending refreshed collection call</t>
        </is>
      </c>
      <c r="J812" s="8">
        <f>IFERROR(MATCH(G812,'13W Cash Forecast'!$B$4:$N$4,1),1)</f>
        <v/>
      </c>
    </row>
    <row r="813">
      <c r="A813" s="8" t="inlineStr">
        <is>
          <t>AR-0030952</t>
        </is>
      </c>
      <c r="B813" s="8" t="inlineStr">
        <is>
          <t>Service</t>
        </is>
      </c>
      <c r="C813" s="8" t="inlineStr">
        <is>
          <t>Westside Ambulatory - Portfolio Campus Services</t>
        </is>
      </c>
      <c r="D813" s="22" t="n">
        <v>46161</v>
      </c>
      <c r="E813" s="22" t="n">
        <v>46206</v>
      </c>
      <c r="F813" s="9" t="n">
        <v>4212.6</v>
      </c>
      <c r="G813" s="23" t="n">
        <v>46206</v>
      </c>
      <c r="H813" s="24" t="inlineStr">
        <is>
          <t>Medium</t>
        </is>
      </c>
      <c r="I813" s="24" t="inlineStr">
        <is>
          <t>Contractual due date pending refreshed collection call</t>
        </is>
      </c>
      <c r="J813" s="8">
        <f>IFERROR(MATCH(G813,'13W Cash Forecast'!$B$4:$N$4,1),1)</f>
        <v/>
      </c>
    </row>
    <row r="814">
      <c r="A814" s="8" t="inlineStr">
        <is>
          <t>AR-0031205</t>
        </is>
      </c>
      <c r="B814" s="8" t="inlineStr">
        <is>
          <t>Service</t>
        </is>
      </c>
      <c r="C814" s="8" t="inlineStr">
        <is>
          <t>High Desert Manufacturing - Portfolio Development Company</t>
        </is>
      </c>
      <c r="D814" s="22" t="n">
        <v>46176</v>
      </c>
      <c r="E814" s="22" t="n">
        <v>46206</v>
      </c>
      <c r="F814" s="9" t="n">
        <v>7317.18</v>
      </c>
      <c r="G814" s="23" t="n">
        <v>46206</v>
      </c>
      <c r="H814" s="24" t="inlineStr">
        <is>
          <t>Medium</t>
        </is>
      </c>
      <c r="I814" s="24" t="inlineStr">
        <is>
          <t>Contractual due date pending refreshed collection call</t>
        </is>
      </c>
      <c r="J814" s="8">
        <f>IFERROR(MATCH(G814,'13W Cash Forecast'!$B$4:$N$4,1),1)</f>
        <v/>
      </c>
    </row>
    <row r="815">
      <c r="A815" s="8" t="inlineStr">
        <is>
          <t>AR-0031232</t>
        </is>
      </c>
      <c r="B815" s="8" t="inlineStr">
        <is>
          <t>Service</t>
        </is>
      </c>
      <c r="C815" s="8" t="inlineStr">
        <is>
          <t>Pacific Crest Biotech - East Facilities</t>
        </is>
      </c>
      <c r="D815" s="22" t="n">
        <v>46176</v>
      </c>
      <c r="E815" s="22" t="n">
        <v>46206</v>
      </c>
      <c r="F815" s="9" t="n">
        <v>1242.62</v>
      </c>
      <c r="G815" s="23" t="n">
        <v>46206</v>
      </c>
      <c r="H815" s="24" t="inlineStr">
        <is>
          <t>Medium</t>
        </is>
      </c>
      <c r="I815" s="24" t="inlineStr">
        <is>
          <t>Contractual due date pending refreshed collection call</t>
        </is>
      </c>
      <c r="J815" s="8">
        <f>IFERROR(MATCH(G815,'13W Cash Forecast'!$B$4:$N$4,1),1)</f>
        <v/>
      </c>
    </row>
    <row r="816">
      <c r="A816" s="8" t="inlineStr">
        <is>
          <t>AR-0031280</t>
        </is>
      </c>
      <c r="B816" s="8" t="inlineStr">
        <is>
          <t>Service</t>
        </is>
      </c>
      <c r="C816" s="8" t="inlineStr">
        <is>
          <t>Tualatin Commerce Center - West Real Estate, LLC</t>
        </is>
      </c>
      <c r="D816" s="22" t="n">
        <v>46191</v>
      </c>
      <c r="E816" s="22" t="n">
        <v>46206</v>
      </c>
      <c r="F816" s="9" t="n">
        <v>1603.58</v>
      </c>
      <c r="G816" s="23" t="n">
        <v>46206</v>
      </c>
      <c r="H816" s="24" t="inlineStr">
        <is>
          <t>Medium</t>
        </is>
      </c>
      <c r="I816" s="24" t="inlineStr">
        <is>
          <t>Contractual due date pending refreshed collection call</t>
        </is>
      </c>
      <c r="J816" s="8">
        <f>IFERROR(MATCH(G816,'13W Cash Forecast'!$B$4:$N$4,1),1)</f>
        <v/>
      </c>
    </row>
    <row r="817">
      <c r="A817" s="8" t="inlineStr">
        <is>
          <t>AR-0031286</t>
        </is>
      </c>
      <c r="B817" s="8" t="inlineStr">
        <is>
          <t>Service</t>
        </is>
      </c>
      <c r="C817" s="8" t="inlineStr">
        <is>
          <t>Forest Park Hospitality - West Development Company</t>
        </is>
      </c>
      <c r="D817" s="22" t="n">
        <v>46176</v>
      </c>
      <c r="E817" s="22" t="n">
        <v>46206</v>
      </c>
      <c r="F817" s="9" t="n">
        <v>1403.7</v>
      </c>
      <c r="G817" s="23" t="n">
        <v>46206</v>
      </c>
      <c r="H817" s="24" t="inlineStr">
        <is>
          <t>Medium</t>
        </is>
      </c>
      <c r="I817" s="24" t="inlineStr">
        <is>
          <t>Contractual due date pending refreshed collection call</t>
        </is>
      </c>
      <c r="J817" s="8">
        <f>IFERROR(MATCH(G817,'13W Cash Forecast'!$B$4:$N$4,1),1)</f>
        <v/>
      </c>
    </row>
    <row r="818">
      <c r="A818" s="8" t="inlineStr">
        <is>
          <t>AR-0031334</t>
        </is>
      </c>
      <c r="B818" s="8" t="inlineStr">
        <is>
          <t>Service</t>
        </is>
      </c>
      <c r="C818" s="8" t="inlineStr">
        <is>
          <t>McKenzie River Foods - Central Property Group</t>
        </is>
      </c>
      <c r="D818" s="22" t="n">
        <v>46191</v>
      </c>
      <c r="E818" s="22" t="n">
        <v>46206</v>
      </c>
      <c r="F818" s="9" t="n">
        <v>2961.85</v>
      </c>
      <c r="G818" s="23" t="n">
        <v>46206</v>
      </c>
      <c r="H818" s="24" t="inlineStr">
        <is>
          <t>Low</t>
        </is>
      </c>
      <c r="I818" s="24" t="inlineStr">
        <is>
          <t>Awaiting project-accountant follow-up</t>
        </is>
      </c>
      <c r="J818" s="8">
        <f>IFERROR(MATCH(G818,'13W Cash Forecast'!$B$4:$N$4,1),1)</f>
        <v/>
      </c>
    </row>
    <row r="819">
      <c r="A819" s="8" t="inlineStr">
        <is>
          <t>AR-0031340</t>
        </is>
      </c>
      <c r="B819" s="8" t="inlineStr">
        <is>
          <t>Service</t>
        </is>
      </c>
      <c r="C819" s="8" t="inlineStr">
        <is>
          <t>Valley View Food Systems - Operations Holdings, LLC</t>
        </is>
      </c>
      <c r="D819" s="22" t="n">
        <v>46176</v>
      </c>
      <c r="E819" s="22" t="n">
        <v>46206</v>
      </c>
      <c r="F819" s="9" t="n">
        <v>1942.88</v>
      </c>
      <c r="G819" s="23" t="n">
        <v>46206</v>
      </c>
      <c r="H819" s="24" t="inlineStr">
        <is>
          <t>Medium</t>
        </is>
      </c>
      <c r="I819" s="24" t="inlineStr">
        <is>
          <t>Contractual due date pending refreshed collection call</t>
        </is>
      </c>
      <c r="J819" s="8">
        <f>IFERROR(MATCH(G819,'13W Cash Forecast'!$B$4:$N$4,1),1)</f>
        <v/>
      </c>
    </row>
    <row r="820">
      <c r="A820" s="8" t="inlineStr">
        <is>
          <t>AR-0031394</t>
        </is>
      </c>
      <c r="B820" s="8" t="inlineStr">
        <is>
          <t>Service</t>
        </is>
      </c>
      <c r="C820" s="8" t="inlineStr">
        <is>
          <t>Oak Street Development - North Holdings, LLC</t>
        </is>
      </c>
      <c r="D820" s="22" t="n">
        <v>46176</v>
      </c>
      <c r="E820" s="22" t="n">
        <v>46206</v>
      </c>
      <c r="F820" s="9" t="n">
        <v>3769.78</v>
      </c>
      <c r="G820" s="23" t="n">
        <v>46206</v>
      </c>
      <c r="H820" s="24" t="inlineStr">
        <is>
          <t>Medium</t>
        </is>
      </c>
      <c r="I820" s="24" t="inlineStr">
        <is>
          <t>Contractual due date pending refreshed collection call</t>
        </is>
      </c>
      <c r="J820" s="8">
        <f>IFERROR(MATCH(G820,'13W Cash Forecast'!$B$4:$N$4,1),1)</f>
        <v/>
      </c>
    </row>
    <row r="821">
      <c r="A821" s="8" t="inlineStr">
        <is>
          <t>AR-0031421</t>
        </is>
      </c>
      <c r="B821" s="8" t="inlineStr">
        <is>
          <t>Service</t>
        </is>
      </c>
      <c r="C821" s="8" t="inlineStr">
        <is>
          <t>Copperline Apartments Development Company</t>
        </is>
      </c>
      <c r="D821" s="22" t="n">
        <v>46176</v>
      </c>
      <c r="E821" s="22" t="n">
        <v>46206</v>
      </c>
      <c r="F821" s="9" t="n">
        <v>3949.82</v>
      </c>
      <c r="G821" s="23" t="n">
        <v>46206</v>
      </c>
      <c r="H821" s="24" t="inlineStr">
        <is>
          <t>Medium</t>
        </is>
      </c>
      <c r="I821" s="24" t="inlineStr">
        <is>
          <t>Contractual due date pending refreshed collection call</t>
        </is>
      </c>
      <c r="J821" s="8">
        <f>IFERROR(MATCH(G821,'13W Cash Forecast'!$B$4:$N$4,1),1)</f>
        <v/>
      </c>
    </row>
    <row r="822">
      <c r="A822" s="8" t="inlineStr">
        <is>
          <t>AR-0031448</t>
        </is>
      </c>
      <c r="B822" s="8" t="inlineStr">
        <is>
          <t>Service</t>
        </is>
      </c>
      <c r="C822" s="8" t="inlineStr">
        <is>
          <t>Valley View Food Systems Development Company</t>
        </is>
      </c>
      <c r="D822" s="22" t="n">
        <v>46176</v>
      </c>
      <c r="E822" s="22" t="n">
        <v>46206</v>
      </c>
      <c r="F822" s="9" t="n">
        <v>11835.82</v>
      </c>
      <c r="G822" s="23" t="n">
        <v>46206</v>
      </c>
      <c r="H822" s="24" t="inlineStr">
        <is>
          <t>Medium</t>
        </is>
      </c>
      <c r="I822" s="24" t="inlineStr">
        <is>
          <t>Contractual due date pending refreshed collection call</t>
        </is>
      </c>
      <c r="J822" s="8">
        <f>IFERROR(MATCH(G822,'13W Cash Forecast'!$B$4:$N$4,1),1)</f>
        <v/>
      </c>
    </row>
    <row r="823">
      <c r="A823" s="8" t="inlineStr">
        <is>
          <t>AR-0031475</t>
        </is>
      </c>
      <c r="B823" s="8" t="inlineStr">
        <is>
          <t>Service</t>
        </is>
      </c>
      <c r="C823" s="8" t="inlineStr">
        <is>
          <t>High Desert Manufacturing - Portfolio Development Company</t>
        </is>
      </c>
      <c r="D823" s="22" t="n">
        <v>46176</v>
      </c>
      <c r="E823" s="22" t="n">
        <v>46206</v>
      </c>
      <c r="F823" s="9" t="n">
        <v>1261.32</v>
      </c>
      <c r="G823" s="23" t="n">
        <v>46206</v>
      </c>
      <c r="H823" s="24" t="inlineStr">
        <is>
          <t>Medium</t>
        </is>
      </c>
      <c r="I823" s="24" t="inlineStr">
        <is>
          <t>Contractual due date pending refreshed collection call</t>
        </is>
      </c>
      <c r="J823" s="8">
        <f>IFERROR(MATCH(G823,'13W Cash Forecast'!$B$4:$N$4,1),1)</f>
        <v/>
      </c>
    </row>
    <row r="824">
      <c r="A824" s="8" t="inlineStr">
        <is>
          <t>AR-0030930</t>
        </is>
      </c>
      <c r="B824" s="8" t="inlineStr">
        <is>
          <t>Service</t>
        </is>
      </c>
      <c r="C824" s="8" t="inlineStr">
        <is>
          <t>Lake Oswego Office Partners - East Campus Services</t>
        </is>
      </c>
      <c r="D824" s="22" t="n">
        <v>46162</v>
      </c>
      <c r="E824" s="22" t="n">
        <v>46207</v>
      </c>
      <c r="F824" s="9" t="n">
        <v>2917.13</v>
      </c>
      <c r="G824" s="23" t="n">
        <v>46207</v>
      </c>
      <c r="H824" s="24" t="inlineStr">
        <is>
          <t>Medium</t>
        </is>
      </c>
      <c r="I824" s="24" t="inlineStr">
        <is>
          <t>Contractual due date pending refreshed collection call</t>
        </is>
      </c>
      <c r="J824" s="8">
        <f>IFERROR(MATCH(G824,'13W Cash Forecast'!$B$4:$N$4,1),1)</f>
        <v/>
      </c>
    </row>
    <row r="825">
      <c r="A825" s="8" t="inlineStr">
        <is>
          <t>AR-0031200</t>
        </is>
      </c>
      <c r="B825" s="8" t="inlineStr">
        <is>
          <t>Service</t>
        </is>
      </c>
      <c r="C825" s="8" t="inlineStr">
        <is>
          <t>Lake Oswego Office Partners - East Campus Services</t>
        </is>
      </c>
      <c r="D825" s="22" t="n">
        <v>46162</v>
      </c>
      <c r="E825" s="22" t="n">
        <v>46207</v>
      </c>
      <c r="F825" s="9" t="n">
        <v>1572.4</v>
      </c>
      <c r="G825" s="23" t="n">
        <v>46207</v>
      </c>
      <c r="H825" s="24" t="inlineStr">
        <is>
          <t>Low</t>
        </is>
      </c>
      <c r="I825" s="24" t="inlineStr">
        <is>
          <t>Awaiting project-accountant follow-up</t>
        </is>
      </c>
      <c r="J825" s="8">
        <f>IFERROR(MATCH(G825,'13W Cash Forecast'!$B$4:$N$4,1),1)</f>
        <v/>
      </c>
    </row>
    <row r="826">
      <c r="A826" s="8" t="inlineStr">
        <is>
          <t>AR-0031210</t>
        </is>
      </c>
      <c r="B826" s="8" t="inlineStr">
        <is>
          <t>Service</t>
        </is>
      </c>
      <c r="C826" s="8" t="inlineStr">
        <is>
          <t>Columbia River Logistics - Portfolio Facilities</t>
        </is>
      </c>
      <c r="D826" s="22" t="n">
        <v>46177</v>
      </c>
      <c r="E826" s="22" t="n">
        <v>46207</v>
      </c>
      <c r="F826" s="9" t="n">
        <v>2326.18</v>
      </c>
      <c r="G826" s="23" t="n">
        <v>46207</v>
      </c>
      <c r="H826" s="24" t="inlineStr">
        <is>
          <t>Medium</t>
        </is>
      </c>
      <c r="I826" s="24" t="inlineStr">
        <is>
          <t>Contractual due date pending refreshed collection call</t>
        </is>
      </c>
      <c r="J826" s="8">
        <f>IFERROR(MATCH(G826,'13W Cash Forecast'!$B$4:$N$4,1),1)</f>
        <v/>
      </c>
    </row>
    <row r="827">
      <c r="A827" s="8" t="inlineStr">
        <is>
          <t>AR-0031258</t>
        </is>
      </c>
      <c r="B827" s="8" t="inlineStr">
        <is>
          <t>Service</t>
        </is>
      </c>
      <c r="C827" s="8" t="inlineStr">
        <is>
          <t>Hillsboro Life Sciences - Campus Real Estate, LLC</t>
        </is>
      </c>
      <c r="D827" s="22" t="n">
        <v>46192</v>
      </c>
      <c r="E827" s="22" t="n">
        <v>46207</v>
      </c>
      <c r="F827" s="9" t="n">
        <v>3746.7</v>
      </c>
      <c r="G827" s="23" t="n">
        <v>46207</v>
      </c>
      <c r="H827" s="24" t="inlineStr">
        <is>
          <t>Medium</t>
        </is>
      </c>
      <c r="I827" s="24" t="inlineStr">
        <is>
          <t>Contractual due date pending refreshed collection call</t>
        </is>
      </c>
      <c r="J827" s="8">
        <f>IFERROR(MATCH(G827,'13W Cash Forecast'!$B$4:$N$4,1),1)</f>
        <v/>
      </c>
    </row>
    <row r="828">
      <c r="A828" s="8" t="inlineStr">
        <is>
          <t>AR-0031264</t>
        </is>
      </c>
      <c r="B828" s="8" t="inlineStr">
        <is>
          <t>Service</t>
        </is>
      </c>
      <c r="C828" s="8" t="inlineStr">
        <is>
          <t>Salem Surgical Partners - Campus Asset Management</t>
        </is>
      </c>
      <c r="D828" s="22" t="n">
        <v>46177</v>
      </c>
      <c r="E828" s="22" t="n">
        <v>46207</v>
      </c>
      <c r="F828" s="9" t="n">
        <v>4616.28</v>
      </c>
      <c r="G828" s="23" t="n">
        <v>46207</v>
      </c>
      <c r="H828" s="24" t="inlineStr">
        <is>
          <t>Medium</t>
        </is>
      </c>
      <c r="I828" s="24" t="inlineStr">
        <is>
          <t>Contractual due date pending refreshed collection call</t>
        </is>
      </c>
      <c r="J828" s="8">
        <f>IFERROR(MATCH(G828,'13W Cash Forecast'!$B$4:$N$4,1),1)</f>
        <v/>
      </c>
    </row>
    <row r="829">
      <c r="A829" s="8" t="inlineStr">
        <is>
          <t>AR-0031312</t>
        </is>
      </c>
      <c r="B829" s="8" t="inlineStr">
        <is>
          <t>Service</t>
        </is>
      </c>
      <c r="C829" s="8" t="inlineStr">
        <is>
          <t>Alder Creek Medical - North Property Group</t>
        </is>
      </c>
      <c r="D829" s="22" t="n">
        <v>46192</v>
      </c>
      <c r="E829" s="22" t="n">
        <v>46207</v>
      </c>
      <c r="F829" s="9" t="n">
        <v>1536.09</v>
      </c>
      <c r="G829" s="23" t="n">
        <v>46207</v>
      </c>
      <c r="H829" s="24" t="inlineStr">
        <is>
          <t>Medium</t>
        </is>
      </c>
      <c r="I829" s="24" t="inlineStr">
        <is>
          <t>Contractual due date pending refreshed collection call</t>
        </is>
      </c>
      <c r="J829" s="8">
        <f>IFERROR(MATCH(G829,'13W Cash Forecast'!$B$4:$N$4,1),1)</f>
        <v/>
      </c>
    </row>
    <row r="830">
      <c r="A830" s="8" t="inlineStr">
        <is>
          <t>AR-0031318</t>
        </is>
      </c>
      <c r="B830" s="8" t="inlineStr">
        <is>
          <t>Service</t>
        </is>
      </c>
      <c r="C830" s="8" t="inlineStr">
        <is>
          <t>Klamath County Facilities - South Holdings, LLC</t>
        </is>
      </c>
      <c r="D830" s="22" t="n">
        <v>46177</v>
      </c>
      <c r="E830" s="22" t="n">
        <v>46207</v>
      </c>
      <c r="F830" s="9" t="n">
        <v>19466.81</v>
      </c>
      <c r="G830" s="23" t="n">
        <v>46207</v>
      </c>
      <c r="H830" s="24" t="inlineStr">
        <is>
          <t>Medium</t>
        </is>
      </c>
      <c r="I830" s="24" t="inlineStr">
        <is>
          <t>Contractual due date pending refreshed collection call</t>
        </is>
      </c>
      <c r="J830" s="8">
        <f>IFERROR(MATCH(G830,'13W Cash Forecast'!$B$4:$N$4,1),1)</f>
        <v/>
      </c>
    </row>
    <row r="831">
      <c r="A831" s="8" t="inlineStr">
        <is>
          <t>AR-0031372</t>
        </is>
      </c>
      <c r="B831" s="8" t="inlineStr">
        <is>
          <t>Service</t>
        </is>
      </c>
      <c r="C831" s="8" t="inlineStr">
        <is>
          <t>Central Cascades Foods - Central Holdings, LLC</t>
        </is>
      </c>
      <c r="D831" s="22" t="n">
        <v>46177</v>
      </c>
      <c r="E831" s="22" t="n">
        <v>46207</v>
      </c>
      <c r="F831" s="9" t="n">
        <v>3343.38</v>
      </c>
      <c r="G831" s="23" t="n">
        <v>46207</v>
      </c>
      <c r="H831" s="24" t="inlineStr">
        <is>
          <t>Medium</t>
        </is>
      </c>
      <c r="I831" s="24" t="inlineStr">
        <is>
          <t>Contractual due date pending refreshed collection call</t>
        </is>
      </c>
      <c r="J831" s="8">
        <f>IFERROR(MATCH(G831,'13W Cash Forecast'!$B$4:$N$4,1),1)</f>
        <v/>
      </c>
    </row>
    <row r="832">
      <c r="A832" s="8" t="inlineStr">
        <is>
          <t>AR-0031399</t>
        </is>
      </c>
      <c r="B832" s="8" t="inlineStr">
        <is>
          <t>Service</t>
        </is>
      </c>
      <c r="C832" s="8" t="inlineStr">
        <is>
          <t>Juniper Ridge Properties - North Operating Company</t>
        </is>
      </c>
      <c r="D832" s="22" t="n">
        <v>46177</v>
      </c>
      <c r="E832" s="22" t="n">
        <v>46207</v>
      </c>
      <c r="F832" s="9" t="n">
        <v>5074.05</v>
      </c>
      <c r="G832" s="23" t="n">
        <v>46207</v>
      </c>
      <c r="H832" s="24" t="inlineStr">
        <is>
          <t>Low</t>
        </is>
      </c>
      <c r="I832" s="24" t="inlineStr">
        <is>
          <t>Awaiting project-accountant follow-up</t>
        </is>
      </c>
      <c r="J832" s="8">
        <f>IFERROR(MATCH(G832,'13W Cash Forecast'!$B$4:$N$4,1),1)</f>
        <v/>
      </c>
    </row>
    <row r="833">
      <c r="A833" s="8" t="inlineStr">
        <is>
          <t>AR-0031426</t>
        </is>
      </c>
      <c r="B833" s="8" t="inlineStr">
        <is>
          <t>Service</t>
        </is>
      </c>
      <c r="C833" s="8" t="inlineStr">
        <is>
          <t>Willamette Food Cooperative</t>
        </is>
      </c>
      <c r="D833" s="22" t="n">
        <v>46177</v>
      </c>
      <c r="E833" s="22" t="n">
        <v>46207</v>
      </c>
      <c r="F833" s="9" t="n">
        <v>8678.25</v>
      </c>
      <c r="G833" s="23" t="n">
        <v>46207</v>
      </c>
      <c r="H833" s="24" t="inlineStr">
        <is>
          <t>Medium</t>
        </is>
      </c>
      <c r="I833" s="24" t="inlineStr">
        <is>
          <t>Contractual due date pending refreshed collection call</t>
        </is>
      </c>
      <c r="J833" s="8">
        <f>IFERROR(MATCH(G833,'13W Cash Forecast'!$B$4:$N$4,1),1)</f>
        <v/>
      </c>
    </row>
    <row r="834">
      <c r="A834" s="8" t="inlineStr">
        <is>
          <t>AR-0031453</t>
        </is>
      </c>
      <c r="B834" s="8" t="inlineStr">
        <is>
          <t>Service</t>
        </is>
      </c>
      <c r="C834" s="8" t="inlineStr">
        <is>
          <t>Mt. Hood Community Health Campus Services</t>
        </is>
      </c>
      <c r="D834" s="22" t="n">
        <v>46177</v>
      </c>
      <c r="E834" s="22" t="n">
        <v>46207</v>
      </c>
      <c r="F834" s="9" t="n">
        <v>2350.39</v>
      </c>
      <c r="G834" s="23" t="n">
        <v>46207</v>
      </c>
      <c r="H834" s="24" t="inlineStr">
        <is>
          <t>Medium</t>
        </is>
      </c>
      <c r="I834" s="24" t="inlineStr">
        <is>
          <t>Contractual due date pending refreshed collection call</t>
        </is>
      </c>
      <c r="J834" s="8">
        <f>IFERROR(MATCH(G834,'13W Cash Forecast'!$B$4:$N$4,1),1)</f>
        <v/>
      </c>
    </row>
    <row r="835">
      <c r="A835" s="8" t="inlineStr">
        <is>
          <t>AR-0031097</t>
        </is>
      </c>
      <c r="B835" s="8" t="inlineStr">
        <is>
          <t>Service</t>
        </is>
      </c>
      <c r="C835" s="8" t="inlineStr">
        <is>
          <t>Deschutes Medical Group - North Development Company</t>
        </is>
      </c>
      <c r="D835" s="22" t="n">
        <v>46163</v>
      </c>
      <c r="E835" s="22" t="n">
        <v>46208</v>
      </c>
      <c r="F835" s="9" t="n">
        <v>4820.96</v>
      </c>
      <c r="G835" s="23" t="n">
        <v>46208</v>
      </c>
      <c r="H835" s="24" t="inlineStr">
        <is>
          <t>Medium</t>
        </is>
      </c>
      <c r="I835" s="24" t="inlineStr">
        <is>
          <t>Contractual due date pending refreshed collection call</t>
        </is>
      </c>
      <c r="J835" s="8">
        <f>IFERROR(MATCH(G835,'13W Cash Forecast'!$B$4:$N$4,1),1)</f>
        <v/>
      </c>
    </row>
    <row r="836">
      <c r="A836" s="8" t="inlineStr">
        <is>
          <t>AR-0031236</t>
        </is>
      </c>
      <c r="B836" s="8" t="inlineStr">
        <is>
          <t>Service</t>
        </is>
      </c>
      <c r="C836" s="8" t="inlineStr">
        <is>
          <t>Oregon Advanced Materials Operating Company</t>
        </is>
      </c>
      <c r="D836" s="22" t="n">
        <v>46193</v>
      </c>
      <c r="E836" s="22" t="n">
        <v>46208</v>
      </c>
      <c r="F836" s="9" t="n">
        <v>933.4299999999999</v>
      </c>
      <c r="G836" s="23" t="n">
        <v>46208</v>
      </c>
      <c r="H836" s="24" t="inlineStr">
        <is>
          <t>Medium</t>
        </is>
      </c>
      <c r="I836" s="24" t="inlineStr">
        <is>
          <t>Contractual due date pending refreshed collection call</t>
        </is>
      </c>
      <c r="J836" s="8">
        <f>IFERROR(MATCH(G836,'13W Cash Forecast'!$B$4:$N$4,1),1)</f>
        <v/>
      </c>
    </row>
    <row r="837">
      <c r="A837" s="8" t="inlineStr">
        <is>
          <t>AR-0031242</t>
        </is>
      </c>
      <c r="B837" s="8" t="inlineStr">
        <is>
          <t>Service</t>
        </is>
      </c>
      <c r="C837" s="8" t="inlineStr">
        <is>
          <t>Forest Park Hospitality - West Asset Management</t>
        </is>
      </c>
      <c r="D837" s="22" t="n">
        <v>46178</v>
      </c>
      <c r="E837" s="22" t="n">
        <v>46208</v>
      </c>
      <c r="F837" s="9" t="n">
        <v>2392.66</v>
      </c>
      <c r="G837" s="23" t="n">
        <v>46208</v>
      </c>
      <c r="H837" s="24" t="inlineStr">
        <is>
          <t>Medium</t>
        </is>
      </c>
      <c r="I837" s="24" t="inlineStr">
        <is>
          <t>Contractual due date pending refreshed collection call</t>
        </is>
      </c>
      <c r="J837" s="8">
        <f>IFERROR(MATCH(G837,'13W Cash Forecast'!$B$4:$N$4,1),1)</f>
        <v/>
      </c>
    </row>
    <row r="838">
      <c r="A838" s="8" t="inlineStr">
        <is>
          <t>AR-0031290</t>
        </is>
      </c>
      <c r="B838" s="8" t="inlineStr">
        <is>
          <t>Service</t>
        </is>
      </c>
      <c r="C838" s="8" t="inlineStr">
        <is>
          <t>McKenzie River Foods - Central Holdings, LLC</t>
        </is>
      </c>
      <c r="D838" s="22" t="n">
        <v>46193</v>
      </c>
      <c r="E838" s="22" t="n">
        <v>46208</v>
      </c>
      <c r="F838" s="9" t="n">
        <v>842.4299999999999</v>
      </c>
      <c r="G838" s="23" t="n">
        <v>46208</v>
      </c>
      <c r="H838" s="24" t="inlineStr">
        <is>
          <t>Medium</t>
        </is>
      </c>
      <c r="I838" s="24" t="inlineStr">
        <is>
          <t>Contractual due date pending refreshed collection call</t>
        </is>
      </c>
      <c r="J838" s="8">
        <f>IFERROR(MATCH(G838,'13W Cash Forecast'!$B$4:$N$4,1),1)</f>
        <v/>
      </c>
    </row>
    <row r="839">
      <c r="A839" s="8" t="inlineStr">
        <is>
          <t>AR-0031296</t>
        </is>
      </c>
      <c r="B839" s="8" t="inlineStr">
        <is>
          <t>Service</t>
        </is>
      </c>
      <c r="C839" s="8" t="inlineStr">
        <is>
          <t>Valley View Food Systems - Operations LLC</t>
        </is>
      </c>
      <c r="D839" s="22" t="n">
        <v>46178</v>
      </c>
      <c r="E839" s="22" t="n">
        <v>46208</v>
      </c>
      <c r="F839" s="9" t="n">
        <v>1118.52</v>
      </c>
      <c r="G839" s="23" t="n">
        <v>46208</v>
      </c>
      <c r="H839" s="24" t="inlineStr">
        <is>
          <t>Low</t>
        </is>
      </c>
      <c r="I839" s="24" t="inlineStr">
        <is>
          <t>Awaiting project-accountant follow-up</t>
        </is>
      </c>
      <c r="J839" s="8">
        <f>IFERROR(MATCH(G839,'13W Cash Forecast'!$B$4:$N$4,1),1)</f>
        <v/>
      </c>
    </row>
    <row r="840">
      <c r="A840" s="8" t="inlineStr">
        <is>
          <t>AR-0031350</t>
        </is>
      </c>
      <c r="B840" s="8" t="inlineStr">
        <is>
          <t>Service</t>
        </is>
      </c>
      <c r="C840" s="8" t="inlineStr">
        <is>
          <t>Oak Street Development - North LLC</t>
        </is>
      </c>
      <c r="D840" s="22" t="n">
        <v>46178</v>
      </c>
      <c r="E840" s="22" t="n">
        <v>46208</v>
      </c>
      <c r="F840" s="9" t="n">
        <v>4182.32</v>
      </c>
      <c r="G840" s="23" t="n">
        <v>46208</v>
      </c>
      <c r="H840" s="24" t="inlineStr">
        <is>
          <t>Medium</t>
        </is>
      </c>
      <c r="I840" s="24" t="inlineStr">
        <is>
          <t>Contractual due date pending refreshed collection call</t>
        </is>
      </c>
      <c r="J840" s="8">
        <f>IFERROR(MATCH(G840,'13W Cash Forecast'!$B$4:$N$4,1),1)</f>
        <v/>
      </c>
    </row>
    <row r="841">
      <c r="A841" s="8" t="inlineStr">
        <is>
          <t>AR-0031377</t>
        </is>
      </c>
      <c r="B841" s="8" t="inlineStr">
        <is>
          <t>Service</t>
        </is>
      </c>
      <c r="C841" s="8" t="inlineStr">
        <is>
          <t>Union Station Properties - Central Partners, LP</t>
        </is>
      </c>
      <c r="D841" s="22" t="n">
        <v>46178</v>
      </c>
      <c r="E841" s="22" t="n">
        <v>46208</v>
      </c>
      <c r="F841" s="9" t="n">
        <v>832.58</v>
      </c>
      <c r="G841" s="23" t="n">
        <v>46208</v>
      </c>
      <c r="H841" s="24" t="inlineStr">
        <is>
          <t>Medium</t>
        </is>
      </c>
      <c r="I841" s="24" t="inlineStr">
        <is>
          <t>Contractual due date pending refreshed collection call</t>
        </is>
      </c>
      <c r="J841" s="8">
        <f>IFERROR(MATCH(G841,'13W Cash Forecast'!$B$4:$N$4,1),1)</f>
        <v/>
      </c>
    </row>
    <row r="842">
      <c r="A842" s="8" t="inlineStr">
        <is>
          <t>AR-0031425</t>
        </is>
      </c>
      <c r="B842" s="8" t="inlineStr">
        <is>
          <t>Service</t>
        </is>
      </c>
      <c r="C842" s="8" t="inlineStr">
        <is>
          <t>Clackamas Health Network - Operations Asset Management</t>
        </is>
      </c>
      <c r="D842" s="22" t="n">
        <v>46193</v>
      </c>
      <c r="E842" s="22" t="n">
        <v>46208</v>
      </c>
      <c r="F842" s="9" t="n">
        <v>2403.99</v>
      </c>
      <c r="G842" s="23" t="n">
        <v>46208</v>
      </c>
      <c r="H842" s="24" t="inlineStr">
        <is>
          <t>Medium</t>
        </is>
      </c>
      <c r="I842" s="24" t="inlineStr">
        <is>
          <t>Contractual due date pending refreshed collection call</t>
        </is>
      </c>
      <c r="J842" s="8">
        <f>IFERROR(MATCH(G842,'13W Cash Forecast'!$B$4:$N$4,1),1)</f>
        <v/>
      </c>
    </row>
    <row r="843">
      <c r="A843" s="8" t="inlineStr">
        <is>
          <t>AR-0031431</t>
        </is>
      </c>
      <c r="B843" s="8" t="inlineStr">
        <is>
          <t>Service</t>
        </is>
      </c>
      <c r="C843" s="8" t="inlineStr">
        <is>
          <t>Mt. Hood Community Health - Operations LLC</t>
        </is>
      </c>
      <c r="D843" s="22" t="n">
        <v>46178</v>
      </c>
      <c r="E843" s="22" t="n">
        <v>46208</v>
      </c>
      <c r="F843" s="9" t="n">
        <v>1371.16</v>
      </c>
      <c r="G843" s="23" t="n">
        <v>46208</v>
      </c>
      <c r="H843" s="24" t="inlineStr">
        <is>
          <t>Medium</t>
        </is>
      </c>
      <c r="I843" s="24" t="inlineStr">
        <is>
          <t>Contractual due date pending refreshed collection call</t>
        </is>
      </c>
      <c r="J843" s="8">
        <f>IFERROR(MATCH(G843,'13W Cash Forecast'!$B$4:$N$4,1),1)</f>
        <v/>
      </c>
    </row>
    <row r="844">
      <c r="A844" s="8" t="inlineStr">
        <is>
          <t>AR-0031075</t>
        </is>
      </c>
      <c r="B844" s="8" t="inlineStr">
        <is>
          <t>Service</t>
        </is>
      </c>
      <c r="C844" s="8" t="inlineStr">
        <is>
          <t>Portland Arts and Events - Central Asset Management</t>
        </is>
      </c>
      <c r="D844" s="22" t="n">
        <v>46164</v>
      </c>
      <c r="E844" s="22" t="n">
        <v>46209</v>
      </c>
      <c r="F844" s="9" t="n">
        <v>4754.6</v>
      </c>
      <c r="G844" s="23" t="n">
        <v>46209</v>
      </c>
      <c r="H844" s="24" t="inlineStr">
        <is>
          <t>Medium</t>
        </is>
      </c>
      <c r="I844" s="24" t="inlineStr">
        <is>
          <t>Contractual due date pending refreshed collection call</t>
        </is>
      </c>
      <c r="J844" s="8">
        <f>IFERROR(MATCH(G844,'13W Cash Forecast'!$B$4:$N$4,1),1)</f>
        <v/>
      </c>
    </row>
    <row r="845">
      <c r="A845" s="8" t="inlineStr">
        <is>
          <t>AR-0031220</t>
        </is>
      </c>
      <c r="B845" s="8" t="inlineStr">
        <is>
          <t>Service</t>
        </is>
      </c>
      <c r="C845" s="8" t="inlineStr">
        <is>
          <t>Klamath County Facilities Development Company</t>
        </is>
      </c>
      <c r="D845" s="22" t="n">
        <v>46179</v>
      </c>
      <c r="E845" s="22" t="n">
        <v>46209</v>
      </c>
      <c r="F845" s="9" t="n">
        <v>970.66</v>
      </c>
      <c r="G845" s="23" t="n">
        <v>46209</v>
      </c>
      <c r="H845" s="24" t="inlineStr">
        <is>
          <t>Medium</t>
        </is>
      </c>
      <c r="I845" s="24" t="inlineStr">
        <is>
          <t>Contractual due date pending refreshed collection call</t>
        </is>
      </c>
      <c r="J845" s="8">
        <f>IFERROR(MATCH(G845,'13W Cash Forecast'!$B$4:$N$4,1),1)</f>
        <v/>
      </c>
    </row>
    <row r="846">
      <c r="A846" s="8" t="inlineStr">
        <is>
          <t>AR-0031274</t>
        </is>
      </c>
      <c r="B846" s="8" t="inlineStr">
        <is>
          <t>Service</t>
        </is>
      </c>
      <c r="C846" s="8" t="inlineStr">
        <is>
          <t>Klamath County Facilities - South LLC</t>
        </is>
      </c>
      <c r="D846" s="22" t="n">
        <v>46179</v>
      </c>
      <c r="E846" s="22" t="n">
        <v>46209</v>
      </c>
      <c r="F846" s="9" t="n">
        <v>1746.17</v>
      </c>
      <c r="G846" s="23" t="n">
        <v>46209</v>
      </c>
      <c r="H846" s="24" t="inlineStr">
        <is>
          <t>Low</t>
        </is>
      </c>
      <c r="I846" s="24" t="inlineStr">
        <is>
          <t>Awaiting project-accountant follow-up</t>
        </is>
      </c>
      <c r="J846" s="8">
        <f>IFERROR(MATCH(G846,'13W Cash Forecast'!$B$4:$N$4,1),1)</f>
        <v/>
      </c>
    </row>
    <row r="847">
      <c r="A847" s="8" t="inlineStr">
        <is>
          <t>AR-0031328</t>
        </is>
      </c>
      <c r="B847" s="8" t="inlineStr">
        <is>
          <t>Service</t>
        </is>
      </c>
      <c r="C847" s="8" t="inlineStr">
        <is>
          <t>Central Cascades Foods - Central LLC</t>
        </is>
      </c>
      <c r="D847" s="22" t="n">
        <v>46179</v>
      </c>
      <c r="E847" s="22" t="n">
        <v>46209</v>
      </c>
      <c r="F847" s="9" t="n">
        <v>2154.15</v>
      </c>
      <c r="G847" s="23" t="n">
        <v>46209</v>
      </c>
      <c r="H847" s="24" t="inlineStr">
        <is>
          <t>Medium</t>
        </is>
      </c>
      <c r="I847" s="24" t="inlineStr">
        <is>
          <t>Contractual due date pending refreshed collection call</t>
        </is>
      </c>
      <c r="J847" s="8">
        <f>IFERROR(MATCH(G847,'13W Cash Forecast'!$B$4:$N$4,1),1)</f>
        <v/>
      </c>
    </row>
    <row r="848">
      <c r="A848" s="8" t="inlineStr">
        <is>
          <t>AR-0031355</t>
        </is>
      </c>
      <c r="B848" s="8" t="inlineStr">
        <is>
          <t>Service</t>
        </is>
      </c>
      <c r="C848" s="8" t="inlineStr">
        <is>
          <t>Juniper Ridge Properties - North Partners, LP</t>
        </is>
      </c>
      <c r="D848" s="22" t="n">
        <v>46179</v>
      </c>
      <c r="E848" s="22" t="n">
        <v>46209</v>
      </c>
      <c r="F848" s="9" t="n">
        <v>1968.11</v>
      </c>
      <c r="G848" s="23" t="n">
        <v>46209</v>
      </c>
      <c r="H848" s="24" t="inlineStr">
        <is>
          <t>Medium</t>
        </is>
      </c>
      <c r="I848" s="24" t="inlineStr">
        <is>
          <t>Contractual due date pending refreshed collection call</t>
        </is>
      </c>
      <c r="J848" s="8">
        <f>IFERROR(MATCH(G848,'13W Cash Forecast'!$B$4:$N$4,1),1)</f>
        <v/>
      </c>
    </row>
    <row r="849">
      <c r="A849" s="8" t="inlineStr">
        <is>
          <t>AR-0031403</t>
        </is>
      </c>
      <c r="B849" s="8" t="inlineStr">
        <is>
          <t>Service</t>
        </is>
      </c>
      <c r="C849" s="8" t="inlineStr">
        <is>
          <t>Oregon Advanced Materials - South Campus Services</t>
        </is>
      </c>
      <c r="D849" s="22" t="n">
        <v>46194</v>
      </c>
      <c r="E849" s="22" t="n">
        <v>46209</v>
      </c>
      <c r="F849" s="9" t="n">
        <v>3007.99</v>
      </c>
      <c r="G849" s="23" t="n">
        <v>46209</v>
      </c>
      <c r="H849" s="24" t="inlineStr">
        <is>
          <t>Medium</t>
        </is>
      </c>
      <c r="I849" s="24" t="inlineStr">
        <is>
          <t>Contractual due date pending refreshed collection call</t>
        </is>
      </c>
      <c r="J849" s="8">
        <f>IFERROR(MATCH(G849,'13W Cash Forecast'!$B$4:$N$4,1),1)</f>
        <v/>
      </c>
    </row>
    <row r="850">
      <c r="A850" s="8" t="inlineStr">
        <is>
          <t>AR-0031409</t>
        </is>
      </c>
      <c r="B850" s="8" t="inlineStr">
        <is>
          <t>Service</t>
        </is>
      </c>
      <c r="C850" s="8" t="inlineStr">
        <is>
          <t>Beacon Industrial - South LLC</t>
        </is>
      </c>
      <c r="D850" s="22" t="n">
        <v>46179</v>
      </c>
      <c r="E850" s="22" t="n">
        <v>46209</v>
      </c>
      <c r="F850" s="9" t="n">
        <v>4178.68</v>
      </c>
      <c r="G850" s="23" t="n">
        <v>46209</v>
      </c>
      <c r="H850" s="24" t="inlineStr">
        <is>
          <t>Medium</t>
        </is>
      </c>
      <c r="I850" s="24" t="inlineStr">
        <is>
          <t>Contractual due date pending refreshed collection call</t>
        </is>
      </c>
      <c r="J850" s="8">
        <f>IFERROR(MATCH(G850,'13W Cash Forecast'!$B$4:$N$4,1),1)</f>
        <v/>
      </c>
    </row>
    <row r="851">
      <c r="A851" s="8" t="inlineStr">
        <is>
          <t>AR-0031457</t>
        </is>
      </c>
      <c r="B851" s="8" t="inlineStr">
        <is>
          <t>Service</t>
        </is>
      </c>
      <c r="C851" s="8" t="inlineStr">
        <is>
          <t>Fairview Property Partners - East Facilities</t>
        </is>
      </c>
      <c r="D851" s="22" t="n">
        <v>46194</v>
      </c>
      <c r="E851" s="22" t="n">
        <v>46209</v>
      </c>
      <c r="F851" s="9" t="n">
        <v>2002.76</v>
      </c>
      <c r="G851" s="23" t="n">
        <v>46209</v>
      </c>
      <c r="H851" s="24" t="inlineStr">
        <is>
          <t>Medium</t>
        </is>
      </c>
      <c r="I851" s="24" t="inlineStr">
        <is>
          <t>Contractual due date pending refreshed collection call</t>
        </is>
      </c>
      <c r="J851" s="8">
        <f>IFERROR(MATCH(G851,'13W Cash Forecast'!$B$4:$N$4,1),1)</f>
        <v/>
      </c>
    </row>
    <row r="852">
      <c r="A852" s="8" t="inlineStr">
        <is>
          <t>AR-0031463</t>
        </is>
      </c>
      <c r="B852" s="8" t="inlineStr">
        <is>
          <t>Service</t>
        </is>
      </c>
      <c r="C852" s="8" t="inlineStr">
        <is>
          <t>Columbia Biologics, Inc.</t>
        </is>
      </c>
      <c r="D852" s="22" t="n">
        <v>46179</v>
      </c>
      <c r="E852" s="22" t="n">
        <v>46209</v>
      </c>
      <c r="F852" s="9" t="n">
        <v>7332.31</v>
      </c>
      <c r="G852" s="23" t="n">
        <v>46209</v>
      </c>
      <c r="H852" s="24" t="inlineStr">
        <is>
          <t>Medium</t>
        </is>
      </c>
      <c r="I852" s="24" t="inlineStr">
        <is>
          <t>Contractual due date pending refreshed collection call</t>
        </is>
      </c>
      <c r="J852" s="8">
        <f>IFERROR(MATCH(G852,'13W Cash Forecast'!$B$4:$N$4,1),1)</f>
        <v/>
      </c>
    </row>
    <row r="853">
      <c r="A853" s="8" t="inlineStr">
        <is>
          <t>AR-0031053</t>
        </is>
      </c>
      <c r="B853" s="8" t="inlineStr">
        <is>
          <t>Service</t>
        </is>
      </c>
      <c r="C853" s="8" t="inlineStr">
        <is>
          <t>Deschutes Medical Group - North Asset Management</t>
        </is>
      </c>
      <c r="D853" s="22" t="n">
        <v>46165</v>
      </c>
      <c r="E853" s="22" t="n">
        <v>46210</v>
      </c>
      <c r="F853" s="9" t="n">
        <v>3950.37</v>
      </c>
      <c r="G853" s="23" t="n">
        <v>46210</v>
      </c>
      <c r="H853" s="24" t="inlineStr">
        <is>
          <t>Low</t>
        </is>
      </c>
      <c r="I853" s="24" t="inlineStr">
        <is>
          <t>Awaiting project-accountant follow-up</t>
        </is>
      </c>
      <c r="J853" s="8">
        <f>IFERROR(MATCH(G853,'13W Cash Forecast'!$B$4:$N$4,1),1)</f>
        <v/>
      </c>
    </row>
    <row r="854">
      <c r="A854" s="8" t="inlineStr">
        <is>
          <t>AR-0031225</t>
        </is>
      </c>
      <c r="B854" s="8" t="inlineStr">
        <is>
          <t>Service</t>
        </is>
      </c>
      <c r="C854" s="8" t="inlineStr">
        <is>
          <t>Beacon Industrial Campus Services</t>
        </is>
      </c>
      <c r="D854" s="22" t="n">
        <v>46180</v>
      </c>
      <c r="E854" s="22" t="n">
        <v>46210</v>
      </c>
      <c r="F854" s="9" t="n">
        <v>2677.43</v>
      </c>
      <c r="G854" s="23" t="n">
        <v>46210</v>
      </c>
      <c r="H854" s="24" t="inlineStr">
        <is>
          <t>Medium</t>
        </is>
      </c>
      <c r="I854" s="24" t="inlineStr">
        <is>
          <t>Contractual due date pending refreshed collection call</t>
        </is>
      </c>
      <c r="J854" s="8">
        <f>IFERROR(MATCH(G854,'13W Cash Forecast'!$B$4:$N$4,1),1)</f>
        <v/>
      </c>
    </row>
    <row r="855">
      <c r="A855" s="8" t="inlineStr">
        <is>
          <t>AR-0031252</t>
        </is>
      </c>
      <c r="B855" s="8" t="inlineStr">
        <is>
          <t>Service</t>
        </is>
      </c>
      <c r="C855" s="8" t="inlineStr">
        <is>
          <t>Salem Surgical Partners Campus Services</t>
        </is>
      </c>
      <c r="D855" s="22" t="n">
        <v>46180</v>
      </c>
      <c r="E855" s="22" t="n">
        <v>46210</v>
      </c>
      <c r="F855" s="9" t="n">
        <v>1766.2</v>
      </c>
      <c r="G855" s="23" t="n">
        <v>46210</v>
      </c>
      <c r="H855" s="24" t="inlineStr">
        <is>
          <t>Medium</t>
        </is>
      </c>
      <c r="I855" s="24" t="inlineStr">
        <is>
          <t>Contractual due date pending refreshed collection call</t>
        </is>
      </c>
      <c r="J855" s="8">
        <f>IFERROR(MATCH(G855,'13W Cash Forecast'!$B$4:$N$4,1),1)</f>
        <v/>
      </c>
    </row>
    <row r="856">
      <c r="A856" s="8" t="inlineStr">
        <is>
          <t>AR-0031306</t>
        </is>
      </c>
      <c r="B856" s="8" t="inlineStr">
        <is>
          <t>Service</t>
        </is>
      </c>
      <c r="C856" s="8" t="inlineStr">
        <is>
          <t>Oak Street Development - North Development Company</t>
        </is>
      </c>
      <c r="D856" s="22" t="n">
        <v>46180</v>
      </c>
      <c r="E856" s="22" t="n">
        <v>46210</v>
      </c>
      <c r="F856" s="9" t="n">
        <v>1448.86</v>
      </c>
      <c r="G856" s="23" t="n">
        <v>46210</v>
      </c>
      <c r="H856" s="24" t="inlineStr">
        <is>
          <t>Medium</t>
        </is>
      </c>
      <c r="I856" s="24" t="inlineStr">
        <is>
          <t>Contractual due date pending refreshed collection call</t>
        </is>
      </c>
      <c r="J856" s="8">
        <f>IFERROR(MATCH(G856,'13W Cash Forecast'!$B$4:$N$4,1),1)</f>
        <v/>
      </c>
    </row>
    <row r="857">
      <c r="A857" s="8" t="inlineStr">
        <is>
          <t>AR-0031333</t>
        </is>
      </c>
      <c r="B857" s="8" t="inlineStr">
        <is>
          <t>Service</t>
        </is>
      </c>
      <c r="C857" s="8" t="inlineStr">
        <is>
          <t>Union Station Properties - Central Facilities</t>
        </is>
      </c>
      <c r="D857" s="22" t="n">
        <v>46180</v>
      </c>
      <c r="E857" s="22" t="n">
        <v>46210</v>
      </c>
      <c r="F857" s="9" t="n">
        <v>9457.98</v>
      </c>
      <c r="G857" s="23" t="n">
        <v>46210</v>
      </c>
      <c r="H857" s="24" t="inlineStr">
        <is>
          <t>Medium</t>
        </is>
      </c>
      <c r="I857" s="24" t="inlineStr">
        <is>
          <t>Contractual due date pending refreshed collection call</t>
        </is>
      </c>
      <c r="J857" s="8">
        <f>IFERROR(MATCH(G857,'13W Cash Forecast'!$B$4:$N$4,1),1)</f>
        <v/>
      </c>
    </row>
    <row r="858">
      <c r="A858" s="8" t="inlineStr">
        <is>
          <t>AR-0031381</t>
        </is>
      </c>
      <c r="B858" s="8" t="inlineStr">
        <is>
          <t>Service</t>
        </is>
      </c>
      <c r="C858" s="8" t="inlineStr">
        <is>
          <t>Clackamas Health Network - Operations Campus Services</t>
        </is>
      </c>
      <c r="D858" s="22" t="n">
        <v>46195</v>
      </c>
      <c r="E858" s="22" t="n">
        <v>46210</v>
      </c>
      <c r="F858" s="9" t="n">
        <v>1385.82</v>
      </c>
      <c r="G858" s="23" t="n">
        <v>46210</v>
      </c>
      <c r="H858" s="24" t="inlineStr">
        <is>
          <t>Medium</t>
        </is>
      </c>
      <c r="I858" s="24" t="inlineStr">
        <is>
          <t>Contractual due date pending refreshed collection call</t>
        </is>
      </c>
      <c r="J858" s="8">
        <f>IFERROR(MATCH(G858,'13W Cash Forecast'!$B$4:$N$4,1),1)</f>
        <v/>
      </c>
    </row>
    <row r="859">
      <c r="A859" s="8" t="inlineStr">
        <is>
          <t>AR-0031387</t>
        </is>
      </c>
      <c r="B859" s="8" t="inlineStr">
        <is>
          <t>Service</t>
        </is>
      </c>
      <c r="C859" s="8" t="inlineStr">
        <is>
          <t>Mt. Hood Community Health - Operations Development Company</t>
        </is>
      </c>
      <c r="D859" s="22" t="n">
        <v>46180</v>
      </c>
      <c r="E859" s="22" t="n">
        <v>46210</v>
      </c>
      <c r="F859" s="9" t="n">
        <v>1606.13</v>
      </c>
      <c r="G859" s="23" t="n">
        <v>46210</v>
      </c>
      <c r="H859" s="24" t="inlineStr">
        <is>
          <t>Medium</t>
        </is>
      </c>
      <c r="I859" s="24" t="inlineStr">
        <is>
          <t>Contractual due date pending refreshed collection call</t>
        </is>
      </c>
      <c r="J859" s="8">
        <f>IFERROR(MATCH(G859,'13W Cash Forecast'!$B$4:$N$4,1),1)</f>
        <v/>
      </c>
    </row>
    <row r="860">
      <c r="A860" s="8" t="inlineStr">
        <is>
          <t>AR-0031435</t>
        </is>
      </c>
      <c r="B860" s="8" t="inlineStr">
        <is>
          <t>Service</t>
        </is>
      </c>
      <c r="C860" s="8" t="inlineStr">
        <is>
          <t>Rogue Valley Beverage - Portfolio Property Group</t>
        </is>
      </c>
      <c r="D860" s="22" t="n">
        <v>46195</v>
      </c>
      <c r="E860" s="22" t="n">
        <v>46210</v>
      </c>
      <c r="F860" s="9" t="n">
        <v>2477.48</v>
      </c>
      <c r="G860" s="23" t="n">
        <v>46210</v>
      </c>
      <c r="H860" s="24" t="inlineStr">
        <is>
          <t>Low</t>
        </is>
      </c>
      <c r="I860" s="24" t="inlineStr">
        <is>
          <t>Awaiting project-accountant follow-up</t>
        </is>
      </c>
      <c r="J860" s="8">
        <f>IFERROR(MATCH(G860,'13W Cash Forecast'!$B$4:$N$4,1),1)</f>
        <v/>
      </c>
    </row>
    <row r="861">
      <c r="A861" s="8" t="inlineStr">
        <is>
          <t>AR-0031441</t>
        </is>
      </c>
      <c r="B861" s="8" t="inlineStr">
        <is>
          <t>Service</t>
        </is>
      </c>
      <c r="C861" s="8" t="inlineStr">
        <is>
          <t>Copperline Apartments - Campus Property Group</t>
        </is>
      </c>
      <c r="D861" s="22" t="n">
        <v>46180</v>
      </c>
      <c r="E861" s="22" t="n">
        <v>46210</v>
      </c>
      <c r="F861" s="9" t="n">
        <v>6265.71</v>
      </c>
      <c r="G861" s="23" t="n">
        <v>46210</v>
      </c>
      <c r="H861" s="24" t="inlineStr">
        <is>
          <t>Medium</t>
        </is>
      </c>
      <c r="I861" s="24" t="inlineStr">
        <is>
          <t>Contractual due date pending refreshed collection call</t>
        </is>
      </c>
      <c r="J861" s="8">
        <f>IFERROR(MATCH(G861,'13W Cash Forecast'!$B$4:$N$4,1),1)</f>
        <v/>
      </c>
    </row>
    <row r="862">
      <c r="A862" s="8" t="inlineStr">
        <is>
          <t>AR-0031031</t>
        </is>
      </c>
      <c r="B862" s="8" t="inlineStr">
        <is>
          <t>Service</t>
        </is>
      </c>
      <c r="C862" s="8" t="inlineStr">
        <is>
          <t>Portland Arts and Events - Central Campus Services</t>
        </is>
      </c>
      <c r="D862" s="22" t="n">
        <v>46166</v>
      </c>
      <c r="E862" s="22" t="n">
        <v>46211</v>
      </c>
      <c r="F862" s="9" t="n">
        <v>5931.49</v>
      </c>
      <c r="G862" s="23" t="n">
        <v>46211</v>
      </c>
      <c r="H862" s="24" t="inlineStr">
        <is>
          <t>Medium</t>
        </is>
      </c>
      <c r="I862" s="24" t="inlineStr">
        <is>
          <t>Contractual due date pending refreshed collection call</t>
        </is>
      </c>
      <c r="J862" s="8">
        <f>IFERROR(MATCH(G862,'13W Cash Forecast'!$B$4:$N$4,1),1)</f>
        <v/>
      </c>
    </row>
    <row r="863">
      <c r="A863" s="8" t="inlineStr">
        <is>
          <t>AR-0031203</t>
        </is>
      </c>
      <c r="B863" s="8" t="inlineStr">
        <is>
          <t>Service</t>
        </is>
      </c>
      <c r="C863" s="8" t="inlineStr">
        <is>
          <t>High Desert Manufacturing - Portfolio Holdings, LLC</t>
        </is>
      </c>
      <c r="D863" s="22" t="n">
        <v>46181</v>
      </c>
      <c r="E863" s="22" t="n">
        <v>46211</v>
      </c>
      <c r="F863" s="9" t="n">
        <v>2205.64</v>
      </c>
      <c r="G863" s="23" t="n">
        <v>46211</v>
      </c>
      <c r="H863" s="24" t="inlineStr">
        <is>
          <t>Medium</t>
        </is>
      </c>
      <c r="I863" s="24" t="inlineStr">
        <is>
          <t>Contractual due date pending refreshed collection call</t>
        </is>
      </c>
      <c r="J863" s="8">
        <f>IFERROR(MATCH(G863,'13W Cash Forecast'!$B$4:$N$4,1),1)</f>
        <v/>
      </c>
    </row>
    <row r="864">
      <c r="A864" s="8" t="inlineStr">
        <is>
          <t>AR-0031230</t>
        </is>
      </c>
      <c r="B864" s="8" t="inlineStr">
        <is>
          <t>Service</t>
        </is>
      </c>
      <c r="C864" s="8" t="inlineStr">
        <is>
          <t>Northline Cold Storage Holdings</t>
        </is>
      </c>
      <c r="D864" s="22" t="n">
        <v>46181</v>
      </c>
      <c r="E864" s="22" t="n">
        <v>46211</v>
      </c>
      <c r="F864" s="9" t="n">
        <v>5570.29</v>
      </c>
      <c r="G864" s="23" t="n">
        <v>46211</v>
      </c>
      <c r="H864" s="24" t="inlineStr">
        <is>
          <t>Medium</t>
        </is>
      </c>
      <c r="I864" s="24" t="inlineStr">
        <is>
          <t>Contractual due date pending refreshed collection call</t>
        </is>
      </c>
      <c r="J864" s="8">
        <f>IFERROR(MATCH(G864,'13W Cash Forecast'!$B$4:$N$4,1),1)</f>
        <v/>
      </c>
    </row>
    <row r="865">
      <c r="A865" s="8" t="inlineStr">
        <is>
          <t>AR-0031278</t>
        </is>
      </c>
      <c r="B865" s="8" t="inlineStr">
        <is>
          <t>Service</t>
        </is>
      </c>
      <c r="C865" s="8" t="inlineStr">
        <is>
          <t>Clackamas Health Network Operating Company</t>
        </is>
      </c>
      <c r="D865" s="22" t="n">
        <v>46196</v>
      </c>
      <c r="E865" s="22" t="n">
        <v>46211</v>
      </c>
      <c r="F865" s="9" t="n">
        <v>3670.75</v>
      </c>
      <c r="G865" s="23" t="n">
        <v>46211</v>
      </c>
      <c r="H865" s="24" t="inlineStr">
        <is>
          <t>Medium</t>
        </is>
      </c>
      <c r="I865" s="24" t="inlineStr">
        <is>
          <t>Contractual due date pending refreshed collection call</t>
        </is>
      </c>
      <c r="J865" s="8">
        <f>IFERROR(MATCH(G865,'13W Cash Forecast'!$B$4:$N$4,1),1)</f>
        <v/>
      </c>
    </row>
    <row r="866">
      <c r="A866" s="8" t="inlineStr">
        <is>
          <t>AR-0031284</t>
        </is>
      </c>
      <c r="B866" s="8" t="inlineStr">
        <is>
          <t>Service</t>
        </is>
      </c>
      <c r="C866" s="8" t="inlineStr">
        <is>
          <t>Central Cascades Foods - Central Development Company</t>
        </is>
      </c>
      <c r="D866" s="22" t="n">
        <v>46181</v>
      </c>
      <c r="E866" s="22" t="n">
        <v>46211</v>
      </c>
      <c r="F866" s="9" t="n">
        <v>2051.08</v>
      </c>
      <c r="G866" s="23" t="n">
        <v>46211</v>
      </c>
      <c r="H866" s="24" t="inlineStr">
        <is>
          <t>Medium</t>
        </is>
      </c>
      <c r="I866" s="24" t="inlineStr">
        <is>
          <t>Contractual due date pending refreshed collection call</t>
        </is>
      </c>
      <c r="J866" s="8">
        <f>IFERROR(MATCH(G866,'13W Cash Forecast'!$B$4:$N$4,1),1)</f>
        <v/>
      </c>
    </row>
    <row r="867">
      <c r="A867" s="8" t="inlineStr">
        <is>
          <t>AR-0031305</t>
        </is>
      </c>
      <c r="B867" s="8" t="inlineStr">
        <is>
          <t>Service</t>
        </is>
      </c>
      <c r="C867" s="8" t="inlineStr">
        <is>
          <t>Tualatin Commerce Center Operating Company</t>
        </is>
      </c>
      <c r="D867" s="22" t="n">
        <v>46196</v>
      </c>
      <c r="E867" s="22" t="n">
        <v>46211</v>
      </c>
      <c r="F867" s="9" t="n">
        <v>1684.02</v>
      </c>
      <c r="G867" s="23" t="n">
        <v>46211</v>
      </c>
      <c r="H867" s="24" t="inlineStr">
        <is>
          <t>Low</t>
        </is>
      </c>
      <c r="I867" s="24" t="inlineStr">
        <is>
          <t>Awaiting project-accountant follow-up</t>
        </is>
      </c>
      <c r="J867" s="8">
        <f>IFERROR(MATCH(G867,'13W Cash Forecast'!$B$4:$N$4,1),1)</f>
        <v/>
      </c>
    </row>
    <row r="868">
      <c r="A868" s="8" t="inlineStr">
        <is>
          <t>AR-0031311</t>
        </is>
      </c>
      <c r="B868" s="8" t="inlineStr">
        <is>
          <t>Service</t>
        </is>
      </c>
      <c r="C868" s="8" t="inlineStr">
        <is>
          <t>Juniper Ridge Properties - North Facilities</t>
        </is>
      </c>
      <c r="D868" s="22" t="n">
        <v>46181</v>
      </c>
      <c r="E868" s="22" t="n">
        <v>46211</v>
      </c>
      <c r="F868" s="9" t="n">
        <v>2067.72</v>
      </c>
      <c r="G868" s="23" t="n">
        <v>46211</v>
      </c>
      <c r="H868" s="24" t="inlineStr">
        <is>
          <t>Medium</t>
        </is>
      </c>
      <c r="I868" s="24" t="inlineStr">
        <is>
          <t>Contractual due date pending refreshed collection call</t>
        </is>
      </c>
      <c r="J868" s="8">
        <f>IFERROR(MATCH(G868,'13W Cash Forecast'!$B$4:$N$4,1),1)</f>
        <v/>
      </c>
    </row>
    <row r="869">
      <c r="A869" s="8" t="inlineStr">
        <is>
          <t>AR-0031359</t>
        </is>
      </c>
      <c r="B869" s="8" t="inlineStr">
        <is>
          <t>Service</t>
        </is>
      </c>
      <c r="C869" s="8" t="inlineStr">
        <is>
          <t>Oregon Advanced Materials - South Real Estate, LLC</t>
        </is>
      </c>
      <c r="D869" s="22" t="n">
        <v>46196</v>
      </c>
      <c r="E869" s="22" t="n">
        <v>46211</v>
      </c>
      <c r="F869" s="9" t="n">
        <v>1634.55</v>
      </c>
      <c r="G869" s="23" t="n">
        <v>46211</v>
      </c>
      <c r="H869" s="24" t="inlineStr">
        <is>
          <t>Medium</t>
        </is>
      </c>
      <c r="I869" s="24" t="inlineStr">
        <is>
          <t>Contractual due date pending refreshed collection call</t>
        </is>
      </c>
      <c r="J869" s="8">
        <f>IFERROR(MATCH(G869,'13W Cash Forecast'!$B$4:$N$4,1),1)</f>
        <v/>
      </c>
    </row>
    <row r="870">
      <c r="A870" s="8" t="inlineStr">
        <is>
          <t>AR-0031365</t>
        </is>
      </c>
      <c r="B870" s="8" t="inlineStr">
        <is>
          <t>Service</t>
        </is>
      </c>
      <c r="C870" s="8" t="inlineStr">
        <is>
          <t>Beacon Industrial - South Development Company</t>
        </is>
      </c>
      <c r="D870" s="22" t="n">
        <v>46181</v>
      </c>
      <c r="E870" s="22" t="n">
        <v>46211</v>
      </c>
      <c r="F870" s="9" t="n">
        <v>3719.24</v>
      </c>
      <c r="G870" s="23" t="n">
        <v>46211</v>
      </c>
      <c r="H870" s="24" t="inlineStr">
        <is>
          <t>Medium</t>
        </is>
      </c>
      <c r="I870" s="24" t="inlineStr">
        <is>
          <t>Contractual due date pending refreshed collection call</t>
        </is>
      </c>
      <c r="J870" s="8">
        <f>IFERROR(MATCH(G870,'13W Cash Forecast'!$B$4:$N$4,1),1)</f>
        <v/>
      </c>
    </row>
    <row r="871">
      <c r="A871" s="8" t="inlineStr">
        <is>
          <t>AR-0031413</t>
        </is>
      </c>
      <c r="B871" s="8" t="inlineStr">
        <is>
          <t>Service</t>
        </is>
      </c>
      <c r="C871" s="8" t="inlineStr">
        <is>
          <t>Fairview Property Partners - East Property Group</t>
        </is>
      </c>
      <c r="D871" s="22" t="n">
        <v>46196</v>
      </c>
      <c r="E871" s="22" t="n">
        <v>46211</v>
      </c>
      <c r="F871" s="9" t="n">
        <v>653.38</v>
      </c>
      <c r="G871" s="23" t="n">
        <v>46211</v>
      </c>
      <c r="H871" s="24" t="inlineStr">
        <is>
          <t>Medium</t>
        </is>
      </c>
      <c r="I871" s="24" t="inlineStr">
        <is>
          <t>Contractual due date pending refreshed collection call</t>
        </is>
      </c>
      <c r="J871" s="8">
        <f>IFERROR(MATCH(G871,'13W Cash Forecast'!$B$4:$N$4,1),1)</f>
        <v/>
      </c>
    </row>
    <row r="872">
      <c r="A872" s="8" t="inlineStr">
        <is>
          <t>AR-0031419</t>
        </is>
      </c>
      <c r="B872" s="8" t="inlineStr">
        <is>
          <t>Service</t>
        </is>
      </c>
      <c r="C872" s="8" t="inlineStr">
        <is>
          <t>Pioneer Medical Properties - West Holdings, LLC</t>
        </is>
      </c>
      <c r="D872" s="22" t="n">
        <v>46181</v>
      </c>
      <c r="E872" s="22" t="n">
        <v>46211</v>
      </c>
      <c r="F872" s="9" t="n">
        <v>1878</v>
      </c>
      <c r="G872" s="23" t="n">
        <v>46211</v>
      </c>
      <c r="H872" s="24" t="inlineStr">
        <is>
          <t>Medium</t>
        </is>
      </c>
      <c r="I872" s="24" t="inlineStr">
        <is>
          <t>Contractual due date pending refreshed collection call</t>
        </is>
      </c>
      <c r="J872" s="8">
        <f>IFERROR(MATCH(G872,'13W Cash Forecast'!$B$4:$N$4,1),1)</f>
        <v/>
      </c>
    </row>
    <row r="873">
      <c r="A873" s="8" t="inlineStr">
        <is>
          <t>AR-0031473</t>
        </is>
      </c>
      <c r="B873" s="8" t="inlineStr">
        <is>
          <t>Service</t>
        </is>
      </c>
      <c r="C873" s="8" t="inlineStr">
        <is>
          <t>High Desert Manufacturing - Portfolio Holdings, LLC</t>
        </is>
      </c>
      <c r="D873" s="22" t="n">
        <v>46181</v>
      </c>
      <c r="E873" s="22" t="n">
        <v>46211</v>
      </c>
      <c r="F873" s="9" t="n">
        <v>3386.48</v>
      </c>
      <c r="G873" s="23" t="n">
        <v>46211</v>
      </c>
      <c r="H873" s="24" t="inlineStr">
        <is>
          <t>Medium</t>
        </is>
      </c>
      <c r="I873" s="24" t="inlineStr">
        <is>
          <t>Contractual due date pending refreshed collection call</t>
        </is>
      </c>
      <c r="J873" s="8">
        <f>IFERROR(MATCH(G873,'13W Cash Forecast'!$B$4:$N$4,1),1)</f>
        <v/>
      </c>
    </row>
    <row r="874">
      <c r="A874" s="8" t="inlineStr">
        <is>
          <t>AR-0030928</t>
        </is>
      </c>
      <c r="B874" s="8" t="inlineStr">
        <is>
          <t>Service</t>
        </is>
      </c>
      <c r="C874" s="8" t="inlineStr">
        <is>
          <t>Lake Oswego Office Partners - East Development Company</t>
        </is>
      </c>
      <c r="D874" s="22" t="n">
        <v>46167</v>
      </c>
      <c r="E874" s="22" t="n">
        <v>46212</v>
      </c>
      <c r="F874" s="9" t="n">
        <v>6288.03</v>
      </c>
      <c r="G874" s="23" t="n">
        <v>46212</v>
      </c>
      <c r="H874" s="24" t="inlineStr">
        <is>
          <t>Low</t>
        </is>
      </c>
      <c r="I874" s="24" t="inlineStr">
        <is>
          <t>Awaiting project-accountant follow-up</t>
        </is>
      </c>
      <c r="J874" s="8">
        <f>IFERROR(MATCH(G874,'13W Cash Forecast'!$B$4:$N$4,1),1)</f>
        <v/>
      </c>
    </row>
    <row r="875">
      <c r="A875" s="8" t="inlineStr">
        <is>
          <t>AR-0031009</t>
        </is>
      </c>
      <c r="B875" s="8" t="inlineStr">
        <is>
          <t>Service</t>
        </is>
      </c>
      <c r="C875" s="8" t="inlineStr">
        <is>
          <t>Deschutes Medical Group - North Campus Services</t>
        </is>
      </c>
      <c r="D875" s="22" t="n">
        <v>46167</v>
      </c>
      <c r="E875" s="22" t="n">
        <v>46212</v>
      </c>
      <c r="F875" s="9" t="n">
        <v>4893.08</v>
      </c>
      <c r="G875" s="23" t="n">
        <v>46212</v>
      </c>
      <c r="H875" s="24" t="inlineStr">
        <is>
          <t>Medium</t>
        </is>
      </c>
      <c r="I875" s="24" t="inlineStr">
        <is>
          <t>Contractual due date pending refreshed collection call</t>
        </is>
      </c>
      <c r="J875" s="8">
        <f>IFERROR(MATCH(G875,'13W Cash Forecast'!$B$4:$N$4,1),1)</f>
        <v/>
      </c>
    </row>
    <row r="876">
      <c r="A876" s="8" t="inlineStr">
        <is>
          <t>AR-0031198</t>
        </is>
      </c>
      <c r="B876" s="8" t="inlineStr">
        <is>
          <t>Service</t>
        </is>
      </c>
      <c r="C876" s="8" t="inlineStr">
        <is>
          <t>Lake Oswego Office Partners - East Development Company</t>
        </is>
      </c>
      <c r="D876" s="22" t="n">
        <v>46167</v>
      </c>
      <c r="E876" s="22" t="n">
        <v>46212</v>
      </c>
      <c r="F876" s="9" t="n">
        <v>7851.24</v>
      </c>
      <c r="G876" s="23" t="n">
        <v>46212</v>
      </c>
      <c r="H876" s="24" t="inlineStr">
        <is>
          <t>Medium</t>
        </is>
      </c>
      <c r="I876" s="24" t="inlineStr">
        <is>
          <t>Contractual due date pending refreshed collection call</t>
        </is>
      </c>
      <c r="J876" s="8">
        <f>IFERROR(MATCH(G876,'13W Cash Forecast'!$B$4:$N$4,1),1)</f>
        <v/>
      </c>
    </row>
    <row r="877">
      <c r="A877" s="8" t="inlineStr">
        <is>
          <t>AR-0031208</t>
        </is>
      </c>
      <c r="B877" s="8" t="inlineStr">
        <is>
          <t>Service</t>
        </is>
      </c>
      <c r="C877" s="8" t="inlineStr">
        <is>
          <t>Columbia River Logistics - Portfolio Operating Company</t>
        </is>
      </c>
      <c r="D877" s="22" t="n">
        <v>46182</v>
      </c>
      <c r="E877" s="22" t="n">
        <v>46212</v>
      </c>
      <c r="F877" s="9" t="n">
        <v>1771.68</v>
      </c>
      <c r="G877" s="23" t="n">
        <v>46212</v>
      </c>
      <c r="H877" s="24" t="inlineStr">
        <is>
          <t>Medium</t>
        </is>
      </c>
      <c r="I877" s="24" t="inlineStr">
        <is>
          <t>Contractual due date pending refreshed collection call</t>
        </is>
      </c>
      <c r="J877" s="8">
        <f>IFERROR(MATCH(G877,'13W Cash Forecast'!$B$4:$N$4,1),1)</f>
        <v/>
      </c>
    </row>
    <row r="878">
      <c r="A878" s="8" t="inlineStr">
        <is>
          <t>AR-0031256</t>
        </is>
      </c>
      <c r="B878" s="8" t="inlineStr">
        <is>
          <t>Service</t>
        </is>
      </c>
      <c r="C878" s="8" t="inlineStr">
        <is>
          <t>Hillsboro Life Sciences - Campus Asset Management</t>
        </is>
      </c>
      <c r="D878" s="22" t="n">
        <v>46197</v>
      </c>
      <c r="E878" s="22" t="n">
        <v>46212</v>
      </c>
      <c r="F878" s="9" t="n">
        <v>2403.32</v>
      </c>
      <c r="G878" s="23" t="n">
        <v>46212</v>
      </c>
      <c r="H878" s="24" t="inlineStr">
        <is>
          <t>Medium</t>
        </is>
      </c>
      <c r="I878" s="24" t="inlineStr">
        <is>
          <t>Contractual due date pending refreshed collection call</t>
        </is>
      </c>
      <c r="J878" s="8">
        <f>IFERROR(MATCH(G878,'13W Cash Forecast'!$B$4:$N$4,1),1)</f>
        <v/>
      </c>
    </row>
    <row r="879">
      <c r="A879" s="8" t="inlineStr">
        <is>
          <t>AR-0031262</t>
        </is>
      </c>
      <c r="B879" s="8" t="inlineStr">
        <is>
          <t>Service</t>
        </is>
      </c>
      <c r="C879" s="8" t="inlineStr">
        <is>
          <t>Pacific Northwest Distribution REIT</t>
        </is>
      </c>
      <c r="D879" s="22" t="n">
        <v>46182</v>
      </c>
      <c r="E879" s="22" t="n">
        <v>46212</v>
      </c>
      <c r="F879" s="9" t="n">
        <v>550.59</v>
      </c>
      <c r="G879" s="23" t="n">
        <v>46212</v>
      </c>
      <c r="H879" s="24" t="inlineStr">
        <is>
          <t>Medium</t>
        </is>
      </c>
      <c r="I879" s="24" t="inlineStr">
        <is>
          <t>Contractual due date pending refreshed collection call</t>
        </is>
      </c>
      <c r="J879" s="8">
        <f>IFERROR(MATCH(G879,'13W Cash Forecast'!$B$4:$N$4,1),1)</f>
        <v/>
      </c>
    </row>
    <row r="880">
      <c r="A880" s="8" t="inlineStr">
        <is>
          <t>AR-0031289</t>
        </is>
      </c>
      <c r="B880" s="8" t="inlineStr">
        <is>
          <t>Service</t>
        </is>
      </c>
      <c r="C880" s="8" t="inlineStr">
        <is>
          <t>Pioneer Medical Properties Development Company</t>
        </is>
      </c>
      <c r="D880" s="22" t="n">
        <v>46182</v>
      </c>
      <c r="E880" s="22" t="n">
        <v>46212</v>
      </c>
      <c r="F880" s="9" t="n">
        <v>842.27</v>
      </c>
      <c r="G880" s="23" t="n">
        <v>46212</v>
      </c>
      <c r="H880" s="24" t="inlineStr">
        <is>
          <t>Medium</t>
        </is>
      </c>
      <c r="I880" s="24" t="inlineStr">
        <is>
          <t>Contractual due date pending refreshed collection call</t>
        </is>
      </c>
      <c r="J880" s="8">
        <f>IFERROR(MATCH(G880,'13W Cash Forecast'!$B$4:$N$4,1),1)</f>
        <v/>
      </c>
    </row>
    <row r="881">
      <c r="A881" s="8" t="inlineStr">
        <is>
          <t>AR-0031337</t>
        </is>
      </c>
      <c r="B881" s="8" t="inlineStr">
        <is>
          <t>Service</t>
        </is>
      </c>
      <c r="C881" s="8" t="inlineStr">
        <is>
          <t>Clackamas Health Network - Operations Real Estate, LLC</t>
        </is>
      </c>
      <c r="D881" s="22" t="n">
        <v>46197</v>
      </c>
      <c r="E881" s="22" t="n">
        <v>46212</v>
      </c>
      <c r="F881" s="9" t="n">
        <v>3654.17</v>
      </c>
      <c r="G881" s="23" t="n">
        <v>46212</v>
      </c>
      <c r="H881" s="24" t="inlineStr">
        <is>
          <t>Low</t>
        </is>
      </c>
      <c r="I881" s="24" t="inlineStr">
        <is>
          <t>Awaiting project-accountant follow-up</t>
        </is>
      </c>
      <c r="J881" s="8">
        <f>IFERROR(MATCH(G881,'13W Cash Forecast'!$B$4:$N$4,1),1)</f>
        <v/>
      </c>
    </row>
    <row r="882">
      <c r="A882" s="8" t="inlineStr">
        <is>
          <t>AR-0031343</t>
        </is>
      </c>
      <c r="B882" s="8" t="inlineStr">
        <is>
          <t>Service</t>
        </is>
      </c>
      <c r="C882" s="8" t="inlineStr">
        <is>
          <t>Mt. Hood Community Health - Operations Asset Management</t>
        </is>
      </c>
      <c r="D882" s="22" t="n">
        <v>46182</v>
      </c>
      <c r="E882" s="22" t="n">
        <v>46212</v>
      </c>
      <c r="F882" s="9" t="n">
        <v>4649.53</v>
      </c>
      <c r="G882" s="23" t="n">
        <v>46212</v>
      </c>
      <c r="H882" s="24" t="inlineStr">
        <is>
          <t>Medium</t>
        </is>
      </c>
      <c r="I882" s="24" t="inlineStr">
        <is>
          <t>Contractual due date pending refreshed collection call</t>
        </is>
      </c>
      <c r="J882" s="8">
        <f>IFERROR(MATCH(G882,'13W Cash Forecast'!$B$4:$N$4,1),1)</f>
        <v/>
      </c>
    </row>
    <row r="883">
      <c r="A883" s="8" t="inlineStr">
        <is>
          <t>AR-0031391</t>
        </is>
      </c>
      <c r="B883" s="8" t="inlineStr">
        <is>
          <t>Service</t>
        </is>
      </c>
      <c r="C883" s="8" t="inlineStr">
        <is>
          <t>Rogue Valley Beverage - Portfolio Holdings, LLC</t>
        </is>
      </c>
      <c r="D883" s="22" t="n">
        <v>46197</v>
      </c>
      <c r="E883" s="22" t="n">
        <v>46212</v>
      </c>
      <c r="F883" s="9" t="n">
        <v>2236</v>
      </c>
      <c r="G883" s="23" t="n">
        <v>46212</v>
      </c>
      <c r="H883" s="24" t="inlineStr">
        <is>
          <t>Medium</t>
        </is>
      </c>
      <c r="I883" s="24" t="inlineStr">
        <is>
          <t>Contractual due date pending refreshed collection call</t>
        </is>
      </c>
      <c r="J883" s="8">
        <f>IFERROR(MATCH(G883,'13W Cash Forecast'!$B$4:$N$4,1),1)</f>
        <v/>
      </c>
    </row>
    <row r="884">
      <c r="A884" s="8" t="inlineStr">
        <is>
          <t>AR-0031397</t>
        </is>
      </c>
      <c r="B884" s="8" t="inlineStr">
        <is>
          <t>Service</t>
        </is>
      </c>
      <c r="C884" s="8" t="inlineStr">
        <is>
          <t>Copperline Apartments - Campus Holdings, LLC</t>
        </is>
      </c>
      <c r="D884" s="22" t="n">
        <v>46182</v>
      </c>
      <c r="E884" s="22" t="n">
        <v>46212</v>
      </c>
      <c r="F884" s="9" t="n">
        <v>2233.75</v>
      </c>
      <c r="G884" s="23" t="n">
        <v>46212</v>
      </c>
      <c r="H884" s="24" t="inlineStr">
        <is>
          <t>Medium</t>
        </is>
      </c>
      <c r="I884" s="24" t="inlineStr">
        <is>
          <t>Contractual due date pending refreshed collection call</t>
        </is>
      </c>
      <c r="J884" s="8">
        <f>IFERROR(MATCH(G884,'13W Cash Forecast'!$B$4:$N$4,1),1)</f>
        <v/>
      </c>
    </row>
    <row r="885">
      <c r="A885" s="8" t="inlineStr">
        <is>
          <t>AR-0031451</t>
        </is>
      </c>
      <c r="B885" s="8" t="inlineStr">
        <is>
          <t>Service</t>
        </is>
      </c>
      <c r="C885" s="8" t="inlineStr">
        <is>
          <t>Sunrise Hospitality - East LLC</t>
        </is>
      </c>
      <c r="D885" s="22" t="n">
        <v>46182</v>
      </c>
      <c r="E885" s="22" t="n">
        <v>46212</v>
      </c>
      <c r="F885" s="9" t="n">
        <v>1488.62</v>
      </c>
      <c r="G885" s="23" t="n">
        <v>46212</v>
      </c>
      <c r="H885" s="24" t="inlineStr">
        <is>
          <t>Medium</t>
        </is>
      </c>
      <c r="I885" s="24" t="inlineStr">
        <is>
          <t>Contractual due date pending refreshed collection call</t>
        </is>
      </c>
      <c r="J885" s="8">
        <f>IFERROR(MATCH(G885,'13W Cash Forecast'!$B$4:$N$4,1),1)</f>
        <v/>
      </c>
    </row>
    <row r="886">
      <c r="A886" s="8" t="inlineStr">
        <is>
          <t>AR-0031478</t>
        </is>
      </c>
      <c r="B886" s="8" t="inlineStr">
        <is>
          <t>Service</t>
        </is>
      </c>
      <c r="C886" s="8" t="inlineStr">
        <is>
          <t>Columbia River Logistics - Portfolio Operating Company</t>
        </is>
      </c>
      <c r="D886" s="22" t="n">
        <v>46182</v>
      </c>
      <c r="E886" s="22" t="n">
        <v>46212</v>
      </c>
      <c r="F886" s="9" t="n">
        <v>1391.21</v>
      </c>
      <c r="G886" s="23" t="n">
        <v>46212</v>
      </c>
      <c r="H886" s="24" t="inlineStr">
        <is>
          <t>Medium</t>
        </is>
      </c>
      <c r="I886" s="24" t="inlineStr">
        <is>
          <t>Contractual due date pending refreshed collection call</t>
        </is>
      </c>
      <c r="J886" s="8">
        <f>IFERROR(MATCH(G886,'13W Cash Forecast'!$B$4:$N$4,1),1)</f>
        <v/>
      </c>
    </row>
    <row r="887">
      <c r="A887" s="8" t="inlineStr">
        <is>
          <t>AR-0030960</t>
        </is>
      </c>
      <c r="B887" s="8" t="inlineStr">
        <is>
          <t>Service</t>
        </is>
      </c>
      <c r="C887" s="8" t="inlineStr">
        <is>
          <t>Cascade Health Properties, LLC</t>
        </is>
      </c>
      <c r="D887" s="22" t="n">
        <v>46168</v>
      </c>
      <c r="E887" s="22" t="n">
        <v>46213</v>
      </c>
      <c r="F887" s="9" t="n">
        <v>6025.95</v>
      </c>
      <c r="G887" s="23" t="n">
        <v>46213</v>
      </c>
      <c r="H887" s="24" t="inlineStr">
        <is>
          <t>Medium</t>
        </is>
      </c>
      <c r="I887" s="24" t="inlineStr">
        <is>
          <t>Contractual due date pending refreshed collection call</t>
        </is>
      </c>
      <c r="J887" s="8">
        <f>IFERROR(MATCH(G887,'13W Cash Forecast'!$B$4:$N$4,1),1)</f>
        <v/>
      </c>
    </row>
    <row r="888">
      <c r="A888" s="8" t="inlineStr">
        <is>
          <t>AR-0031176</t>
        </is>
      </c>
      <c r="B888" s="8" t="inlineStr">
        <is>
          <t>Service</t>
        </is>
      </c>
      <c r="C888" s="8" t="inlineStr">
        <is>
          <t>Westside Ambulatory - Portfolio Asset Management</t>
        </is>
      </c>
      <c r="D888" s="22" t="n">
        <v>46168</v>
      </c>
      <c r="E888" s="22" t="n">
        <v>46213</v>
      </c>
      <c r="F888" s="9" t="n">
        <v>3311.32</v>
      </c>
      <c r="G888" s="23" t="n">
        <v>46213</v>
      </c>
      <c r="H888" s="24" t="inlineStr">
        <is>
          <t>Low</t>
        </is>
      </c>
      <c r="I888" s="24" t="inlineStr">
        <is>
          <t>Awaiting project-accountant follow-up</t>
        </is>
      </c>
      <c r="J888" s="8">
        <f>IFERROR(MATCH(G888,'13W Cash Forecast'!$B$4:$N$4,1),1)</f>
        <v/>
      </c>
    </row>
    <row r="889">
      <c r="A889" s="8" t="inlineStr">
        <is>
          <t>AR-0031234</t>
        </is>
      </c>
      <c r="B889" s="8" t="inlineStr">
        <is>
          <t>Service</t>
        </is>
      </c>
      <c r="C889" s="8" t="inlineStr">
        <is>
          <t>Tualatin Commerce Center - West Campus Services</t>
        </is>
      </c>
      <c r="D889" s="22" t="n">
        <v>46198</v>
      </c>
      <c r="E889" s="22" t="n">
        <v>46213</v>
      </c>
      <c r="F889" s="9" t="n">
        <v>5017.91</v>
      </c>
      <c r="G889" s="23" t="n">
        <v>46213</v>
      </c>
      <c r="H889" s="24" t="inlineStr">
        <is>
          <t>Medium</t>
        </is>
      </c>
      <c r="I889" s="24" t="inlineStr">
        <is>
          <t>Contractual due date pending refreshed collection call</t>
        </is>
      </c>
      <c r="J889" s="8">
        <f>IFERROR(MATCH(G889,'13W Cash Forecast'!$B$4:$N$4,1),1)</f>
        <v/>
      </c>
    </row>
    <row r="890">
      <c r="A890" s="8" t="inlineStr">
        <is>
          <t>AR-0031240</t>
        </is>
      </c>
      <c r="B890" s="8" t="inlineStr">
        <is>
          <t>Service</t>
        </is>
      </c>
      <c r="C890" s="8" t="inlineStr">
        <is>
          <t>Forest Park Hospitality - West LLC</t>
        </is>
      </c>
      <c r="D890" s="22" t="n">
        <v>46183</v>
      </c>
      <c r="E890" s="22" t="n">
        <v>46213</v>
      </c>
      <c r="F890" s="9" t="n">
        <v>2095.05</v>
      </c>
      <c r="G890" s="23" t="n">
        <v>46213</v>
      </c>
      <c r="H890" s="24" t="inlineStr">
        <is>
          <t>Medium</t>
        </is>
      </c>
      <c r="I890" s="24" t="inlineStr">
        <is>
          <t>Contractual due date pending refreshed collection call</t>
        </is>
      </c>
      <c r="J890" s="8">
        <f>IFERROR(MATCH(G890,'13W Cash Forecast'!$B$4:$N$4,1),1)</f>
        <v/>
      </c>
    </row>
    <row r="891">
      <c r="A891" s="8" t="inlineStr">
        <is>
          <t>AR-0031288</t>
        </is>
      </c>
      <c r="B891" s="8" t="inlineStr">
        <is>
          <t>Service</t>
        </is>
      </c>
      <c r="C891" s="8" t="inlineStr">
        <is>
          <t>McKenzie River Foods - Central Facilities</t>
        </is>
      </c>
      <c r="D891" s="22" t="n">
        <v>46198</v>
      </c>
      <c r="E891" s="22" t="n">
        <v>46213</v>
      </c>
      <c r="F891" s="9" t="n">
        <v>5543.89</v>
      </c>
      <c r="G891" s="23" t="n">
        <v>46213</v>
      </c>
      <c r="H891" s="24" t="inlineStr">
        <is>
          <t>Medium</t>
        </is>
      </c>
      <c r="I891" s="24" t="inlineStr">
        <is>
          <t>Contractual due date pending refreshed collection call</t>
        </is>
      </c>
      <c r="J891" s="8">
        <f>IFERROR(MATCH(G891,'13W Cash Forecast'!$B$4:$N$4,1),1)</f>
        <v/>
      </c>
    </row>
    <row r="892">
      <c r="A892" s="8" t="inlineStr">
        <is>
          <t>AR-0031294</t>
        </is>
      </c>
      <c r="B892" s="8" t="inlineStr">
        <is>
          <t>Service</t>
        </is>
      </c>
      <c r="C892" s="8" t="inlineStr">
        <is>
          <t>Forest Park Hospitality Campus Services</t>
        </is>
      </c>
      <c r="D892" s="22" t="n">
        <v>46183</v>
      </c>
      <c r="E892" s="22" t="n">
        <v>46213</v>
      </c>
      <c r="F892" s="9" t="n">
        <v>1320.62</v>
      </c>
      <c r="G892" s="23" t="n">
        <v>46213</v>
      </c>
      <c r="H892" s="24" t="inlineStr">
        <is>
          <t>Medium</t>
        </is>
      </c>
      <c r="I892" s="24" t="inlineStr">
        <is>
          <t>Contractual due date pending refreshed collection call</t>
        </is>
      </c>
      <c r="J892" s="8">
        <f>IFERROR(MATCH(G892,'13W Cash Forecast'!$B$4:$N$4,1),1)</f>
        <v/>
      </c>
    </row>
    <row r="893">
      <c r="A893" s="8" t="inlineStr">
        <is>
          <t>AR-0031321</t>
        </is>
      </c>
      <c r="B893" s="8" t="inlineStr">
        <is>
          <t>Service</t>
        </is>
      </c>
      <c r="C893" s="8" t="inlineStr">
        <is>
          <t>Beacon Industrial - South Asset Management</t>
        </is>
      </c>
      <c r="D893" s="22" t="n">
        <v>46183</v>
      </c>
      <c r="E893" s="22" t="n">
        <v>46213</v>
      </c>
      <c r="F893" s="9" t="n">
        <v>4827.57</v>
      </c>
      <c r="G893" s="23" t="n">
        <v>46213</v>
      </c>
      <c r="H893" s="24" t="inlineStr">
        <is>
          <t>Medium</t>
        </is>
      </c>
      <c r="I893" s="24" t="inlineStr">
        <is>
          <t>Contractual due date pending refreshed collection call</t>
        </is>
      </c>
      <c r="J893" s="8">
        <f>IFERROR(MATCH(G893,'13W Cash Forecast'!$B$4:$N$4,1),1)</f>
        <v/>
      </c>
    </row>
    <row r="894">
      <c r="A894" s="8" t="inlineStr">
        <is>
          <t>AR-0031369</t>
        </is>
      </c>
      <c r="B894" s="8" t="inlineStr">
        <is>
          <t>Service</t>
        </is>
      </c>
      <c r="C894" s="8" t="inlineStr">
        <is>
          <t>Fairview Property Partners - East Holdings, LLC</t>
        </is>
      </c>
      <c r="D894" s="22" t="n">
        <v>46198</v>
      </c>
      <c r="E894" s="22" t="n">
        <v>46213</v>
      </c>
      <c r="F894" s="9" t="n">
        <v>864.4</v>
      </c>
      <c r="G894" s="23" t="n">
        <v>46213</v>
      </c>
      <c r="H894" s="24" t="inlineStr">
        <is>
          <t>Medium</t>
        </is>
      </c>
      <c r="I894" s="24" t="inlineStr">
        <is>
          <t>Contractual due date pending refreshed collection call</t>
        </is>
      </c>
      <c r="J894" s="8">
        <f>IFERROR(MATCH(G894,'13W Cash Forecast'!$B$4:$N$4,1),1)</f>
        <v/>
      </c>
    </row>
    <row r="895">
      <c r="A895" s="8" t="inlineStr">
        <is>
          <t>AR-0031375</t>
        </is>
      </c>
      <c r="B895" s="8" t="inlineStr">
        <is>
          <t>Service</t>
        </is>
      </c>
      <c r="C895" s="8" t="inlineStr">
        <is>
          <t>Pioneer Medical Properties - West LLC</t>
        </is>
      </c>
      <c r="D895" s="22" t="n">
        <v>46183</v>
      </c>
      <c r="E895" s="22" t="n">
        <v>46213</v>
      </c>
      <c r="F895" s="9" t="n">
        <v>2525.47</v>
      </c>
      <c r="G895" s="23" t="n">
        <v>46213</v>
      </c>
      <c r="H895" s="24" t="inlineStr">
        <is>
          <t>Low</t>
        </is>
      </c>
      <c r="I895" s="24" t="inlineStr">
        <is>
          <t>Awaiting project-accountant follow-up</t>
        </is>
      </c>
      <c r="J895" s="8">
        <f>IFERROR(MATCH(G895,'13W Cash Forecast'!$B$4:$N$4,1),1)</f>
        <v/>
      </c>
    </row>
    <row r="896">
      <c r="A896" s="8" t="inlineStr">
        <is>
          <t>AR-0031429</t>
        </is>
      </c>
      <c r="B896" s="8" t="inlineStr">
        <is>
          <t>Service</t>
        </is>
      </c>
      <c r="C896" s="8" t="inlineStr">
        <is>
          <t>High Desert Manufacturing - Portfolio LLC</t>
        </is>
      </c>
      <c r="D896" s="22" t="n">
        <v>46183</v>
      </c>
      <c r="E896" s="22" t="n">
        <v>46213</v>
      </c>
      <c r="F896" s="9" t="n">
        <v>2004.87</v>
      </c>
      <c r="G896" s="23" t="n">
        <v>46213</v>
      </c>
      <c r="H896" s="24" t="inlineStr">
        <is>
          <t>Medium</t>
        </is>
      </c>
      <c r="I896" s="24" t="inlineStr">
        <is>
          <t>Contractual due date pending refreshed collection call</t>
        </is>
      </c>
      <c r="J896" s="8">
        <f>IFERROR(MATCH(G896,'13W Cash Forecast'!$B$4:$N$4,1),1)</f>
        <v/>
      </c>
    </row>
    <row r="897">
      <c r="A897" s="8" t="inlineStr">
        <is>
          <t>AR-0031456</t>
        </is>
      </c>
      <c r="B897" s="8" t="inlineStr">
        <is>
          <t>Service</t>
        </is>
      </c>
      <c r="C897" s="8" t="inlineStr">
        <is>
          <t>Pacific Crest Biotech - East Partners, LP</t>
        </is>
      </c>
      <c r="D897" s="22" t="n">
        <v>46183</v>
      </c>
      <c r="E897" s="22" t="n">
        <v>46213</v>
      </c>
      <c r="F897" s="9" t="n">
        <v>1226.84</v>
      </c>
      <c r="G897" s="23" t="n">
        <v>46213</v>
      </c>
      <c r="H897" s="24" t="inlineStr">
        <is>
          <t>Medium</t>
        </is>
      </c>
      <c r="I897" s="24" t="inlineStr">
        <is>
          <t>Contractual due date pending refreshed collection call</t>
        </is>
      </c>
      <c r="J897" s="8">
        <f>IFERROR(MATCH(G897,'13W Cash Forecast'!$B$4:$N$4,1),1)</f>
        <v/>
      </c>
    </row>
    <row r="898">
      <c r="A898" s="8" t="inlineStr">
        <is>
          <t>AR-0031154</t>
        </is>
      </c>
      <c r="B898" s="8" t="inlineStr">
        <is>
          <t>Service</t>
        </is>
      </c>
      <c r="C898" s="8" t="inlineStr">
        <is>
          <t>Lake Oswego Office Partners - East Asset Management</t>
        </is>
      </c>
      <c r="D898" s="22" t="n">
        <v>46169</v>
      </c>
      <c r="E898" s="22" t="n">
        <v>46214</v>
      </c>
      <c r="F898" s="9" t="n">
        <v>2858.48</v>
      </c>
      <c r="G898" s="23" t="n">
        <v>46214</v>
      </c>
      <c r="H898" s="24" t="inlineStr">
        <is>
          <t>Medium</t>
        </is>
      </c>
      <c r="I898" s="24" t="inlineStr">
        <is>
          <t>Contractual due date pending refreshed collection call</t>
        </is>
      </c>
      <c r="J898" s="8">
        <f>IFERROR(MATCH(G898,'13W Cash Forecast'!$B$4:$N$4,1),1)</f>
        <v/>
      </c>
    </row>
    <row r="899">
      <c r="A899" s="8" t="inlineStr">
        <is>
          <t>AR-0031212</t>
        </is>
      </c>
      <c r="B899" s="8" t="inlineStr">
        <is>
          <t>Service</t>
        </is>
      </c>
      <c r="C899" s="8" t="inlineStr">
        <is>
          <t>Hillsboro Life Sciences - Campus Campus Services</t>
        </is>
      </c>
      <c r="D899" s="22" t="n">
        <v>46199</v>
      </c>
      <c r="E899" s="22" t="n">
        <v>46214</v>
      </c>
      <c r="F899" s="9" t="n">
        <v>5984.49</v>
      </c>
      <c r="G899" s="23" t="n">
        <v>46214</v>
      </c>
      <c r="H899" s="24" t="inlineStr">
        <is>
          <t>Medium</t>
        </is>
      </c>
      <c r="I899" s="24" t="inlineStr">
        <is>
          <t>Contractual due date pending refreshed collection call</t>
        </is>
      </c>
      <c r="J899" s="8">
        <f>IFERROR(MATCH(G899,'13W Cash Forecast'!$B$4:$N$4,1),1)</f>
        <v/>
      </c>
    </row>
    <row r="900">
      <c r="A900" s="8" t="inlineStr">
        <is>
          <t>AR-0031218</t>
        </is>
      </c>
      <c r="B900" s="8" t="inlineStr">
        <is>
          <t>Service</t>
        </is>
      </c>
      <c r="C900" s="8" t="inlineStr">
        <is>
          <t>Salem Surgical Partners - Campus Development Company</t>
        </is>
      </c>
      <c r="D900" s="22" t="n">
        <v>46184</v>
      </c>
      <c r="E900" s="22" t="n">
        <v>46214</v>
      </c>
      <c r="F900" s="9" t="n">
        <v>1000.64</v>
      </c>
      <c r="G900" s="23" t="n">
        <v>46214</v>
      </c>
      <c r="H900" s="24" t="inlineStr">
        <is>
          <t>Medium</t>
        </is>
      </c>
      <c r="I900" s="24" t="inlineStr">
        <is>
          <t>Contractual due date pending refreshed collection call</t>
        </is>
      </c>
      <c r="J900" s="8">
        <f>IFERROR(MATCH(G900,'13W Cash Forecast'!$B$4:$N$4,1),1)</f>
        <v/>
      </c>
    </row>
    <row r="901">
      <c r="A901" s="8" t="inlineStr">
        <is>
          <t>AR-0031266</t>
        </is>
      </c>
      <c r="B901" s="8" t="inlineStr">
        <is>
          <t>Service</t>
        </is>
      </c>
      <c r="C901" s="8" t="inlineStr">
        <is>
          <t>Alder Creek Medical - North Facilities</t>
        </is>
      </c>
      <c r="D901" s="22" t="n">
        <v>46199</v>
      </c>
      <c r="E901" s="22" t="n">
        <v>46214</v>
      </c>
      <c r="F901" s="9" t="n">
        <v>1718.22</v>
      </c>
      <c r="G901" s="23" t="n">
        <v>46214</v>
      </c>
      <c r="H901" s="24" t="inlineStr">
        <is>
          <t>Medium</t>
        </is>
      </c>
      <c r="I901" s="24" t="inlineStr">
        <is>
          <t>Contractual due date pending refreshed collection call</t>
        </is>
      </c>
      <c r="J901" s="8">
        <f>IFERROR(MATCH(G901,'13W Cash Forecast'!$B$4:$N$4,1),1)</f>
        <v/>
      </c>
    </row>
    <row r="902">
      <c r="A902" s="8" t="inlineStr">
        <is>
          <t>AR-0031272</t>
        </is>
      </c>
      <c r="B902" s="8" t="inlineStr">
        <is>
          <t>Service</t>
        </is>
      </c>
      <c r="C902" s="8" t="inlineStr">
        <is>
          <t>Klamath County Facilities - South Property Group</t>
        </is>
      </c>
      <c r="D902" s="22" t="n">
        <v>46184</v>
      </c>
      <c r="E902" s="22" t="n">
        <v>46214</v>
      </c>
      <c r="F902" s="9" t="n">
        <v>6449.94</v>
      </c>
      <c r="G902" s="23" t="n">
        <v>46214</v>
      </c>
      <c r="H902" s="24" t="inlineStr">
        <is>
          <t>Low</t>
        </is>
      </c>
      <c r="I902" s="24" t="inlineStr">
        <is>
          <t>Awaiting project-accountant follow-up</t>
        </is>
      </c>
      <c r="J902" s="8">
        <f>IFERROR(MATCH(G902,'13W Cash Forecast'!$B$4:$N$4,1),1)</f>
        <v/>
      </c>
    </row>
    <row r="903">
      <c r="A903" s="8" t="inlineStr">
        <is>
          <t>AR-0031299</t>
        </is>
      </c>
      <c r="B903" s="8" t="inlineStr">
        <is>
          <t>Service</t>
        </is>
      </c>
      <c r="C903" s="8" t="inlineStr">
        <is>
          <t>Summit Surgical Properties</t>
        </is>
      </c>
      <c r="D903" s="22" t="n">
        <v>46184</v>
      </c>
      <c r="E903" s="22" t="n">
        <v>46214</v>
      </c>
      <c r="F903" s="9" t="n">
        <v>5171.82</v>
      </c>
      <c r="G903" s="23" t="n">
        <v>46214</v>
      </c>
      <c r="H903" s="24" t="inlineStr">
        <is>
          <t>Medium</t>
        </is>
      </c>
      <c r="I903" s="24" t="inlineStr">
        <is>
          <t>Contractual due date pending refreshed collection call</t>
        </is>
      </c>
      <c r="J903" s="8">
        <f>IFERROR(MATCH(G903,'13W Cash Forecast'!$B$4:$N$4,1),1)</f>
        <v/>
      </c>
    </row>
    <row r="904">
      <c r="A904" s="8" t="inlineStr">
        <is>
          <t>AR-0031347</t>
        </is>
      </c>
      <c r="B904" s="8" t="inlineStr">
        <is>
          <t>Service</t>
        </is>
      </c>
      <c r="C904" s="8" t="inlineStr">
        <is>
          <t>Hillsboro Life Sciences Operating Company</t>
        </is>
      </c>
      <c r="D904" s="22" t="n">
        <v>46199</v>
      </c>
      <c r="E904" s="22" t="n">
        <v>46214</v>
      </c>
      <c r="F904" s="9" t="n">
        <v>1975.13</v>
      </c>
      <c r="G904" s="23" t="n">
        <v>46214</v>
      </c>
      <c r="H904" s="24" t="inlineStr">
        <is>
          <t>Medium</t>
        </is>
      </c>
      <c r="I904" s="24" t="inlineStr">
        <is>
          <t>Contractual due date pending refreshed collection call</t>
        </is>
      </c>
      <c r="J904" s="8">
        <f>IFERROR(MATCH(G904,'13W Cash Forecast'!$B$4:$N$4,1),1)</f>
        <v/>
      </c>
    </row>
    <row r="905">
      <c r="A905" s="8" t="inlineStr">
        <is>
          <t>AR-0031353</t>
        </is>
      </c>
      <c r="B905" s="8" t="inlineStr">
        <is>
          <t>Service</t>
        </is>
      </c>
      <c r="C905" s="8" t="inlineStr">
        <is>
          <t>Copperline Apartments - Campus LLC</t>
        </is>
      </c>
      <c r="D905" s="22" t="n">
        <v>46184</v>
      </c>
      <c r="E905" s="22" t="n">
        <v>46214</v>
      </c>
      <c r="F905" s="9" t="n">
        <v>4065.46</v>
      </c>
      <c r="G905" s="23" t="n">
        <v>46214</v>
      </c>
      <c r="H905" s="24" t="inlineStr">
        <is>
          <t>Medium</t>
        </is>
      </c>
      <c r="I905" s="24" t="inlineStr">
        <is>
          <t>Contractual due date pending refreshed collection call</t>
        </is>
      </c>
      <c r="J905" s="8">
        <f>IFERROR(MATCH(G905,'13W Cash Forecast'!$B$4:$N$4,1),1)</f>
        <v/>
      </c>
    </row>
    <row r="906">
      <c r="A906" s="8" t="inlineStr">
        <is>
          <t>AR-0031407</t>
        </is>
      </c>
      <c r="B906" s="8" t="inlineStr">
        <is>
          <t>Service</t>
        </is>
      </c>
      <c r="C906" s="8" t="inlineStr">
        <is>
          <t>Sunrise Hospitality - East Development Company</t>
        </is>
      </c>
      <c r="D906" s="22" t="n">
        <v>46184</v>
      </c>
      <c r="E906" s="22" t="n">
        <v>46214</v>
      </c>
      <c r="F906" s="9" t="n">
        <v>4582.24</v>
      </c>
      <c r="G906" s="23" t="n">
        <v>46214</v>
      </c>
      <c r="H906" s="24" t="inlineStr">
        <is>
          <t>Medium</t>
        </is>
      </c>
      <c r="I906" s="24" t="inlineStr">
        <is>
          <t>Contractual due date pending refreshed collection call</t>
        </is>
      </c>
      <c r="J906" s="8">
        <f>IFERROR(MATCH(G906,'13W Cash Forecast'!$B$4:$N$4,1),1)</f>
        <v/>
      </c>
    </row>
    <row r="907">
      <c r="A907" s="8" t="inlineStr">
        <is>
          <t>AR-0031434</t>
        </is>
      </c>
      <c r="B907" s="8" t="inlineStr">
        <is>
          <t>Service</t>
        </is>
      </c>
      <c r="C907" s="8" t="inlineStr">
        <is>
          <t>Columbia River Logistics - Portfolio Partners, LP</t>
        </is>
      </c>
      <c r="D907" s="22" t="n">
        <v>46184</v>
      </c>
      <c r="E907" s="22" t="n">
        <v>46214</v>
      </c>
      <c r="F907" s="9" t="n">
        <v>3190.16</v>
      </c>
      <c r="G907" s="23" t="n">
        <v>46214</v>
      </c>
      <c r="H907" s="24" t="inlineStr">
        <is>
          <t>Medium</t>
        </is>
      </c>
      <c r="I907" s="24" t="inlineStr">
        <is>
          <t>Contractual due date pending refreshed collection call</t>
        </is>
      </c>
      <c r="J907" s="8">
        <f>IFERROR(MATCH(G907,'13W Cash Forecast'!$B$4:$N$4,1),1)</f>
        <v/>
      </c>
    </row>
    <row r="908">
      <c r="A908" s="8" t="inlineStr">
        <is>
          <t>AR-0031250</t>
        </is>
      </c>
      <c r="B908" s="8" t="inlineStr">
        <is>
          <t>Service</t>
        </is>
      </c>
      <c r="C908" s="8" t="inlineStr">
        <is>
          <t>Valley View Food Systems - Operations Holdings, LLC</t>
        </is>
      </c>
      <c r="D908" s="22" t="n">
        <v>46185</v>
      </c>
      <c r="E908" s="22" t="n">
        <v>46215</v>
      </c>
      <c r="F908" s="9" t="n">
        <v>1514.4</v>
      </c>
      <c r="G908" s="23" t="n">
        <v>46215</v>
      </c>
      <c r="H908" s="24" t="inlineStr">
        <is>
          <t>Medium</t>
        </is>
      </c>
      <c r="I908" s="24" t="inlineStr">
        <is>
          <t>Contractual due date pending refreshed collection call</t>
        </is>
      </c>
      <c r="J908" s="8">
        <f>IFERROR(MATCH(G908,'13W Cash Forecast'!$B$4:$N$4,1),1)</f>
        <v/>
      </c>
    </row>
    <row r="909">
      <c r="A909" s="8" t="inlineStr">
        <is>
          <t>AR-0031304</t>
        </is>
      </c>
      <c r="B909" s="8" t="inlineStr">
        <is>
          <t>Service</t>
        </is>
      </c>
      <c r="C909" s="8" t="inlineStr">
        <is>
          <t>Oak Street Development - North Holdings, LLC</t>
        </is>
      </c>
      <c r="D909" s="22" t="n">
        <v>46185</v>
      </c>
      <c r="E909" s="22" t="n">
        <v>46215</v>
      </c>
      <c r="F909" s="9" t="n">
        <v>2637.18</v>
      </c>
      <c r="G909" s="23" t="n">
        <v>46215</v>
      </c>
      <c r="H909" s="24" t="inlineStr">
        <is>
          <t>Low</t>
        </is>
      </c>
      <c r="I909" s="24" t="inlineStr">
        <is>
          <t>Awaiting project-accountant follow-up</t>
        </is>
      </c>
      <c r="J909" s="8">
        <f>IFERROR(MATCH(G909,'13W Cash Forecast'!$B$4:$N$4,1),1)</f>
        <v/>
      </c>
    </row>
    <row r="910">
      <c r="A910" s="8" t="inlineStr">
        <is>
          <t>AR-0031331</t>
        </is>
      </c>
      <c r="B910" s="8" t="inlineStr">
        <is>
          <t>Service</t>
        </is>
      </c>
      <c r="C910" s="8" t="inlineStr">
        <is>
          <t>Copperline Apartments Development Company</t>
        </is>
      </c>
      <c r="D910" s="22" t="n">
        <v>46185</v>
      </c>
      <c r="E910" s="22" t="n">
        <v>46215</v>
      </c>
      <c r="F910" s="9" t="n">
        <v>2707.58</v>
      </c>
      <c r="G910" s="23" t="n">
        <v>46215</v>
      </c>
      <c r="H910" s="24" t="inlineStr">
        <is>
          <t>Medium</t>
        </is>
      </c>
      <c r="I910" s="24" t="inlineStr">
        <is>
          <t>Contractual due date pending refreshed collection call</t>
        </is>
      </c>
      <c r="J910" s="8">
        <f>IFERROR(MATCH(G910,'13W Cash Forecast'!$B$4:$N$4,1),1)</f>
        <v/>
      </c>
    </row>
    <row r="911">
      <c r="A911" s="8" t="inlineStr">
        <is>
          <t>AR-0031358</t>
        </is>
      </c>
      <c r="B911" s="8" t="inlineStr">
        <is>
          <t>Service</t>
        </is>
      </c>
      <c r="C911" s="8" t="inlineStr">
        <is>
          <t>Valley View Food Systems Development Company</t>
        </is>
      </c>
      <c r="D911" s="22" t="n">
        <v>46185</v>
      </c>
      <c r="E911" s="22" t="n">
        <v>46215</v>
      </c>
      <c r="F911" s="9" t="n">
        <v>6040.11</v>
      </c>
      <c r="G911" s="23" t="n">
        <v>46215</v>
      </c>
      <c r="H911" s="24" t="inlineStr">
        <is>
          <t>Medium</t>
        </is>
      </c>
      <c r="I911" s="24" t="inlineStr">
        <is>
          <t>Contractual due date pending refreshed collection call</t>
        </is>
      </c>
      <c r="J911" s="8">
        <f>IFERROR(MATCH(G911,'13W Cash Forecast'!$B$4:$N$4,1),1)</f>
        <v/>
      </c>
    </row>
    <row r="912">
      <c r="A912" s="8" t="inlineStr">
        <is>
          <t>AR-0031385</t>
        </is>
      </c>
      <c r="B912" s="8" t="inlineStr">
        <is>
          <t>Service</t>
        </is>
      </c>
      <c r="C912" s="8" t="inlineStr">
        <is>
          <t>High Desert Manufacturing - Portfolio Development Company</t>
        </is>
      </c>
      <c r="D912" s="22" t="n">
        <v>46185</v>
      </c>
      <c r="E912" s="22" t="n">
        <v>46215</v>
      </c>
      <c r="F912" s="9" t="n">
        <v>3893.48</v>
      </c>
      <c r="G912" s="23" t="n">
        <v>46215</v>
      </c>
      <c r="H912" s="24" t="inlineStr">
        <is>
          <t>Medium</t>
        </is>
      </c>
      <c r="I912" s="24" t="inlineStr">
        <is>
          <t>Contractual due date pending refreshed collection call</t>
        </is>
      </c>
      <c r="J912" s="8">
        <f>IFERROR(MATCH(G912,'13W Cash Forecast'!$B$4:$N$4,1),1)</f>
        <v/>
      </c>
    </row>
    <row r="913">
      <c r="A913" s="8" t="inlineStr">
        <is>
          <t>AR-0031412</t>
        </is>
      </c>
      <c r="B913" s="8" t="inlineStr">
        <is>
          <t>Service</t>
        </is>
      </c>
      <c r="C913" s="8" t="inlineStr">
        <is>
          <t>Pacific Crest Biotech - East Facilities</t>
        </is>
      </c>
      <c r="D913" s="22" t="n">
        <v>46185</v>
      </c>
      <c r="E913" s="22" t="n">
        <v>46215</v>
      </c>
      <c r="F913" s="9" t="n">
        <v>2815.87</v>
      </c>
      <c r="G913" s="23" t="n">
        <v>46215</v>
      </c>
      <c r="H913" s="24" t="inlineStr">
        <is>
          <t>Medium</t>
        </is>
      </c>
      <c r="I913" s="24" t="inlineStr">
        <is>
          <t>Contractual due date pending refreshed collection call</t>
        </is>
      </c>
      <c r="J913" s="8">
        <f>IFERROR(MATCH(G913,'13W Cash Forecast'!$B$4:$N$4,1),1)</f>
        <v/>
      </c>
    </row>
    <row r="914">
      <c r="A914" s="8" t="inlineStr">
        <is>
          <t>AR-0031466</t>
        </is>
      </c>
      <c r="B914" s="8" t="inlineStr">
        <is>
          <t>Service</t>
        </is>
      </c>
      <c r="C914" s="8" t="inlineStr">
        <is>
          <t>Forest Park Hospitality - West Development Company</t>
        </is>
      </c>
      <c r="D914" s="22" t="n">
        <v>46185</v>
      </c>
      <c r="E914" s="22" t="n">
        <v>46215</v>
      </c>
      <c r="F914" s="9" t="n">
        <v>2705.63</v>
      </c>
      <c r="G914" s="23" t="n">
        <v>46215</v>
      </c>
      <c r="H914" s="24" t="inlineStr">
        <is>
          <t>Medium</t>
        </is>
      </c>
      <c r="I914" s="24" t="inlineStr">
        <is>
          <t>Contractual due date pending refreshed collection call</t>
        </is>
      </c>
      <c r="J914" s="8">
        <f>IFERROR(MATCH(G914,'13W Cash Forecast'!$B$4:$N$4,1),1)</f>
        <v/>
      </c>
    </row>
    <row r="915">
      <c r="A915" s="8" t="inlineStr">
        <is>
          <t>AR-0031228</t>
        </is>
      </c>
      <c r="B915" s="8" t="inlineStr">
        <is>
          <t>Service</t>
        </is>
      </c>
      <c r="C915" s="8" t="inlineStr">
        <is>
          <t>Klamath County Facilities - South Holdings, LLC</t>
        </is>
      </c>
      <c r="D915" s="22" t="n">
        <v>46186</v>
      </c>
      <c r="E915" s="22" t="n">
        <v>46216</v>
      </c>
      <c r="F915" s="9" t="n">
        <v>2284.67</v>
      </c>
      <c r="G915" s="23" t="n">
        <v>46216</v>
      </c>
      <c r="H915" s="24" t="inlineStr">
        <is>
          <t>Medium</t>
        </is>
      </c>
      <c r="I915" s="24" t="inlineStr">
        <is>
          <t>Contractual due date pending refreshed collection call</t>
        </is>
      </c>
      <c r="J915" s="8">
        <f>IFERROR(MATCH(G915,'13W Cash Forecast'!$B$4:$N$4,1),1)</f>
        <v/>
      </c>
    </row>
    <row r="916">
      <c r="A916" s="8" t="inlineStr">
        <is>
          <t>AR-0031282</t>
        </is>
      </c>
      <c r="B916" s="8" t="inlineStr">
        <is>
          <t>Service</t>
        </is>
      </c>
      <c r="C916" s="8" t="inlineStr">
        <is>
          <t>Central Cascades Foods - Central Holdings, LLC</t>
        </is>
      </c>
      <c r="D916" s="22" t="n">
        <v>46186</v>
      </c>
      <c r="E916" s="22" t="n">
        <v>46216</v>
      </c>
      <c r="F916" s="9" t="n">
        <v>1903.64</v>
      </c>
      <c r="G916" s="23" t="n">
        <v>46216</v>
      </c>
      <c r="H916" s="24" t="inlineStr">
        <is>
          <t>Low</t>
        </is>
      </c>
      <c r="I916" s="24" t="inlineStr">
        <is>
          <t>Awaiting project-accountant follow-up</t>
        </is>
      </c>
      <c r="J916" s="8">
        <f>IFERROR(MATCH(G916,'13W Cash Forecast'!$B$4:$N$4,1),1)</f>
        <v/>
      </c>
    </row>
    <row r="917">
      <c r="A917" s="8" t="inlineStr">
        <is>
          <t>AR-0031309</t>
        </is>
      </c>
      <c r="B917" s="8" t="inlineStr">
        <is>
          <t>Service</t>
        </is>
      </c>
      <c r="C917" s="8" t="inlineStr">
        <is>
          <t>Juniper Ridge Properties - North Operating Company</t>
        </is>
      </c>
      <c r="D917" s="22" t="n">
        <v>46186</v>
      </c>
      <c r="E917" s="22" t="n">
        <v>46216</v>
      </c>
      <c r="F917" s="9" t="n">
        <v>1354.44</v>
      </c>
      <c r="G917" s="23" t="n">
        <v>46216</v>
      </c>
      <c r="H917" s="24" t="inlineStr">
        <is>
          <t>Medium</t>
        </is>
      </c>
      <c r="I917" s="24" t="inlineStr">
        <is>
          <t>Contractual due date pending refreshed collection call</t>
        </is>
      </c>
      <c r="J917" s="8">
        <f>IFERROR(MATCH(G917,'13W Cash Forecast'!$B$4:$N$4,1),1)</f>
        <v/>
      </c>
    </row>
    <row r="918">
      <c r="A918" s="8" t="inlineStr">
        <is>
          <t>AR-0031336</t>
        </is>
      </c>
      <c r="B918" s="8" t="inlineStr">
        <is>
          <t>Service</t>
        </is>
      </c>
      <c r="C918" s="8" t="inlineStr">
        <is>
          <t>Willamette Food Cooperative</t>
        </is>
      </c>
      <c r="D918" s="22" t="n">
        <v>46186</v>
      </c>
      <c r="E918" s="22" t="n">
        <v>46216</v>
      </c>
      <c r="F918" s="9" t="n">
        <v>1032.57</v>
      </c>
      <c r="G918" s="23" t="n">
        <v>46216</v>
      </c>
      <c r="H918" s="24" t="inlineStr">
        <is>
          <t>Medium</t>
        </is>
      </c>
      <c r="I918" s="24" t="inlineStr">
        <is>
          <t>Contractual due date pending refreshed collection call</t>
        </is>
      </c>
      <c r="J918" s="8">
        <f>IFERROR(MATCH(G918,'13W Cash Forecast'!$B$4:$N$4,1),1)</f>
        <v/>
      </c>
    </row>
    <row r="919">
      <c r="A919" s="8" t="inlineStr">
        <is>
          <t>AR-0031363</t>
        </is>
      </c>
      <c r="B919" s="8" t="inlineStr">
        <is>
          <t>Service</t>
        </is>
      </c>
      <c r="C919" s="8" t="inlineStr">
        <is>
          <t>Mt. Hood Community Health Campus Services</t>
        </is>
      </c>
      <c r="D919" s="22" t="n">
        <v>46186</v>
      </c>
      <c r="E919" s="22" t="n">
        <v>46216</v>
      </c>
      <c r="F919" s="9" t="n">
        <v>3202.65</v>
      </c>
      <c r="G919" s="23" t="n">
        <v>46216</v>
      </c>
      <c r="H919" s="24" t="inlineStr">
        <is>
          <t>Medium</t>
        </is>
      </c>
      <c r="I919" s="24" t="inlineStr">
        <is>
          <t>Contractual due date pending refreshed collection call</t>
        </is>
      </c>
      <c r="J919" s="8">
        <f>IFERROR(MATCH(G919,'13W Cash Forecast'!$B$4:$N$4,1),1)</f>
        <v/>
      </c>
    </row>
    <row r="920">
      <c r="A920" s="8" t="inlineStr">
        <is>
          <t>AR-0031390</t>
        </is>
      </c>
      <c r="B920" s="8" t="inlineStr">
        <is>
          <t>Service</t>
        </is>
      </c>
      <c r="C920" s="8" t="inlineStr">
        <is>
          <t>Columbia River Logistics - Portfolio Facilities</t>
        </is>
      </c>
      <c r="D920" s="22" t="n">
        <v>46186</v>
      </c>
      <c r="E920" s="22" t="n">
        <v>46216</v>
      </c>
      <c r="F920" s="9" t="n">
        <v>2664.07</v>
      </c>
      <c r="G920" s="23" t="n">
        <v>46216</v>
      </c>
      <c r="H920" s="24" t="inlineStr">
        <is>
          <t>Medium</t>
        </is>
      </c>
      <c r="I920" s="24" t="inlineStr">
        <is>
          <t>Contractual due date pending refreshed collection call</t>
        </is>
      </c>
      <c r="J920" s="8">
        <f>IFERROR(MATCH(G920,'13W Cash Forecast'!$B$4:$N$4,1),1)</f>
        <v/>
      </c>
    </row>
    <row r="921">
      <c r="A921" s="8" t="inlineStr">
        <is>
          <t>AR-0031444</t>
        </is>
      </c>
      <c r="B921" s="8" t="inlineStr">
        <is>
          <t>Service</t>
        </is>
      </c>
      <c r="C921" s="8" t="inlineStr">
        <is>
          <t>Salem Surgical Partners - Campus Asset Management</t>
        </is>
      </c>
      <c r="D921" s="22" t="n">
        <v>46186</v>
      </c>
      <c r="E921" s="22" t="n">
        <v>46216</v>
      </c>
      <c r="F921" s="9" t="n">
        <v>14225.36</v>
      </c>
      <c r="G921" s="23" t="n">
        <v>46216</v>
      </c>
      <c r="H921" s="24" t="inlineStr">
        <is>
          <t>Medium</t>
        </is>
      </c>
      <c r="I921" s="24" t="inlineStr">
        <is>
          <t>Contractual due date pending refreshed collection call</t>
        </is>
      </c>
      <c r="J921" s="8">
        <f>IFERROR(MATCH(G921,'13W Cash Forecast'!$B$4:$N$4,1),1)</f>
        <v/>
      </c>
    </row>
    <row r="922">
      <c r="A922" s="8" t="inlineStr">
        <is>
          <t>AR-0031206</t>
        </is>
      </c>
      <c r="B922" s="8" t="inlineStr">
        <is>
          <t>Service</t>
        </is>
      </c>
      <c r="C922" s="8" t="inlineStr">
        <is>
          <t>Valley View Food Systems - Operations LLC</t>
        </is>
      </c>
      <c r="D922" s="22" t="n">
        <v>46187</v>
      </c>
      <c r="E922" s="22" t="n">
        <v>46217</v>
      </c>
      <c r="F922" s="9" t="n">
        <v>2068.42</v>
      </c>
      <c r="G922" s="23" t="n">
        <v>46217</v>
      </c>
      <c r="H922" s="24" t="inlineStr">
        <is>
          <t>Medium</t>
        </is>
      </c>
      <c r="I922" s="24" t="inlineStr">
        <is>
          <t>Contractual due date pending refreshed collection call</t>
        </is>
      </c>
      <c r="J922" s="8">
        <f>IFERROR(MATCH(G922,'13W Cash Forecast'!$B$4:$N$4,1),1)</f>
        <v/>
      </c>
    </row>
    <row r="923">
      <c r="A923" s="8" t="inlineStr">
        <is>
          <t>AR-0031260</t>
        </is>
      </c>
      <c r="B923" s="8" t="inlineStr">
        <is>
          <t>Service</t>
        </is>
      </c>
      <c r="C923" s="8" t="inlineStr">
        <is>
          <t>Oak Street Development - North LLC</t>
        </is>
      </c>
      <c r="D923" s="22" t="n">
        <v>46187</v>
      </c>
      <c r="E923" s="22" t="n">
        <v>46217</v>
      </c>
      <c r="F923" s="9" t="n">
        <v>452.86</v>
      </c>
      <c r="G923" s="23" t="n">
        <v>46217</v>
      </c>
      <c r="H923" s="24" t="inlineStr">
        <is>
          <t>Low</t>
        </is>
      </c>
      <c r="I923" s="24" t="inlineStr">
        <is>
          <t>Awaiting project-accountant follow-up</t>
        </is>
      </c>
      <c r="J923" s="8">
        <f>IFERROR(MATCH(G923,'13W Cash Forecast'!$B$4:$N$4,1),1)</f>
        <v/>
      </c>
    </row>
    <row r="924">
      <c r="A924" s="8" t="inlineStr">
        <is>
          <t>AR-0031287</t>
        </is>
      </c>
      <c r="B924" s="8" t="inlineStr">
        <is>
          <t>Service</t>
        </is>
      </c>
      <c r="C924" s="8" t="inlineStr">
        <is>
          <t>Union Station Properties - Central Partners, LP</t>
        </is>
      </c>
      <c r="D924" s="22" t="n">
        <v>46187</v>
      </c>
      <c r="E924" s="22" t="n">
        <v>46217</v>
      </c>
      <c r="F924" s="9" t="n">
        <v>1321.51</v>
      </c>
      <c r="G924" s="23" t="n">
        <v>46217</v>
      </c>
      <c r="H924" s="24" t="inlineStr">
        <is>
          <t>Medium</t>
        </is>
      </c>
      <c r="I924" s="24" t="inlineStr">
        <is>
          <t>Contractual due date pending refreshed collection call</t>
        </is>
      </c>
      <c r="J924" s="8">
        <f>IFERROR(MATCH(G924,'13W Cash Forecast'!$B$4:$N$4,1),1)</f>
        <v/>
      </c>
    </row>
    <row r="925">
      <c r="A925" s="8" t="inlineStr">
        <is>
          <t>AR-0031341</t>
        </is>
      </c>
      <c r="B925" s="8" t="inlineStr">
        <is>
          <t>Service</t>
        </is>
      </c>
      <c r="C925" s="8" t="inlineStr">
        <is>
          <t>Mt. Hood Community Health - Operations LLC</t>
        </is>
      </c>
      <c r="D925" s="22" t="n">
        <v>46187</v>
      </c>
      <c r="E925" s="22" t="n">
        <v>46217</v>
      </c>
      <c r="F925" s="9" t="n">
        <v>3508.16</v>
      </c>
      <c r="G925" s="23" t="n">
        <v>46217</v>
      </c>
      <c r="H925" s="24" t="inlineStr">
        <is>
          <t>Medium</t>
        </is>
      </c>
      <c r="I925" s="24" t="inlineStr">
        <is>
          <t>Contractual due date pending refreshed collection call</t>
        </is>
      </c>
      <c r="J925" s="8">
        <f>IFERROR(MATCH(G925,'13W Cash Forecast'!$B$4:$N$4,1),1)</f>
        <v/>
      </c>
    </row>
    <row r="926">
      <c r="A926" s="8" t="inlineStr">
        <is>
          <t>AR-0031422</t>
        </is>
      </c>
      <c r="B926" s="8" t="inlineStr">
        <is>
          <t>Service</t>
        </is>
      </c>
      <c r="C926" s="8" t="inlineStr">
        <is>
          <t>Forest Park Hospitality - West Asset Management</t>
        </is>
      </c>
      <c r="D926" s="22" t="n">
        <v>46187</v>
      </c>
      <c r="E926" s="22" t="n">
        <v>46217</v>
      </c>
      <c r="F926" s="9" t="n">
        <v>3144.69</v>
      </c>
      <c r="G926" s="23" t="n">
        <v>46217</v>
      </c>
      <c r="H926" s="24" t="inlineStr">
        <is>
          <t>Medium</t>
        </is>
      </c>
      <c r="I926" s="24" t="inlineStr">
        <is>
          <t>Contractual due date pending refreshed collection call</t>
        </is>
      </c>
      <c r="J926" s="8">
        <f>IFERROR(MATCH(G926,'13W Cash Forecast'!$B$4:$N$4,1),1)</f>
        <v/>
      </c>
    </row>
    <row r="927">
      <c r="A927" s="8" t="inlineStr">
        <is>
          <t>AR-0031476</t>
        </is>
      </c>
      <c r="B927" s="8" t="inlineStr">
        <is>
          <t>Service</t>
        </is>
      </c>
      <c r="C927" s="8" t="inlineStr">
        <is>
          <t>Valley View Food Systems - Operations LLC</t>
        </is>
      </c>
      <c r="D927" s="22" t="n">
        <v>46187</v>
      </c>
      <c r="E927" s="22" t="n">
        <v>46217</v>
      </c>
      <c r="F927" s="9" t="n">
        <v>3272.31</v>
      </c>
      <c r="G927" s="23" t="n">
        <v>46217</v>
      </c>
      <c r="H927" s="24" t="inlineStr">
        <is>
          <t>Medium</t>
        </is>
      </c>
      <c r="I927" s="24" t="inlineStr">
        <is>
          <t>Contractual due date pending refreshed collection call</t>
        </is>
      </c>
      <c r="J927" s="8">
        <f>IFERROR(MATCH(G927,'13W Cash Forecast'!$B$4:$N$4,1),1)</f>
        <v/>
      </c>
    </row>
    <row r="928">
      <c r="A928" s="8" t="inlineStr">
        <is>
          <t>AR-0031238</t>
        </is>
      </c>
      <c r="B928" s="8" t="inlineStr">
        <is>
          <t>Service</t>
        </is>
      </c>
      <c r="C928" s="8" t="inlineStr">
        <is>
          <t>Central Cascades Foods - Central LLC</t>
        </is>
      </c>
      <c r="D928" s="22" t="n">
        <v>46188</v>
      </c>
      <c r="E928" s="22" t="n">
        <v>46218</v>
      </c>
      <c r="F928" s="9" t="n">
        <v>2720.09</v>
      </c>
      <c r="G928" s="23" t="n">
        <v>46218</v>
      </c>
      <c r="H928" s="24" t="inlineStr">
        <is>
          <t>Medium</t>
        </is>
      </c>
      <c r="I928" s="24" t="inlineStr">
        <is>
          <t>Contractual due date pending refreshed collection call</t>
        </is>
      </c>
      <c r="J928" s="8">
        <f>IFERROR(MATCH(G928,'13W Cash Forecast'!$B$4:$N$4,1),1)</f>
        <v/>
      </c>
    </row>
    <row r="929">
      <c r="A929" s="8" t="inlineStr">
        <is>
          <t>AR-0031265</t>
        </is>
      </c>
      <c r="B929" s="8" t="inlineStr">
        <is>
          <t>Service</t>
        </is>
      </c>
      <c r="C929" s="8" t="inlineStr">
        <is>
          <t>Juniper Ridge Properties - North Partners, LP</t>
        </is>
      </c>
      <c r="D929" s="22" t="n">
        <v>46188</v>
      </c>
      <c r="E929" s="22" t="n">
        <v>46218</v>
      </c>
      <c r="F929" s="9" t="n">
        <v>4648.2</v>
      </c>
      <c r="G929" s="23" t="n">
        <v>46218</v>
      </c>
      <c r="H929" s="24" t="inlineStr">
        <is>
          <t>Medium</t>
        </is>
      </c>
      <c r="I929" s="24" t="inlineStr">
        <is>
          <t>Contractual due date pending refreshed collection call</t>
        </is>
      </c>
      <c r="J929" s="8">
        <f>IFERROR(MATCH(G929,'13W Cash Forecast'!$B$4:$N$4,1),1)</f>
        <v/>
      </c>
    </row>
    <row r="930">
      <c r="A930" s="8" t="inlineStr">
        <is>
          <t>AR-0031319</t>
        </is>
      </c>
      <c r="B930" s="8" t="inlineStr">
        <is>
          <t>Service</t>
        </is>
      </c>
      <c r="C930" s="8" t="inlineStr">
        <is>
          <t>Beacon Industrial - South LLC</t>
        </is>
      </c>
      <c r="D930" s="22" t="n">
        <v>46188</v>
      </c>
      <c r="E930" s="22" t="n">
        <v>46218</v>
      </c>
      <c r="F930" s="9" t="n">
        <v>8051.98</v>
      </c>
      <c r="G930" s="23" t="n">
        <v>46218</v>
      </c>
      <c r="H930" s="24" t="inlineStr">
        <is>
          <t>Low</t>
        </is>
      </c>
      <c r="I930" s="24" t="inlineStr">
        <is>
          <t>Awaiting project-accountant follow-up</t>
        </is>
      </c>
      <c r="J930" s="8">
        <f>IFERROR(MATCH(G930,'13W Cash Forecast'!$B$4:$N$4,1),1)</f>
        <v/>
      </c>
    </row>
    <row r="931">
      <c r="A931" s="8" t="inlineStr">
        <is>
          <t>AR-0031373</t>
        </is>
      </c>
      <c r="B931" s="8" t="inlineStr">
        <is>
          <t>Service</t>
        </is>
      </c>
      <c r="C931" s="8" t="inlineStr">
        <is>
          <t>Columbia Biologics, Inc.</t>
        </is>
      </c>
      <c r="D931" s="22" t="n">
        <v>46188</v>
      </c>
      <c r="E931" s="22" t="n">
        <v>46218</v>
      </c>
      <c r="F931" s="9" t="n">
        <v>1747.3</v>
      </c>
      <c r="G931" s="23" t="n">
        <v>46218</v>
      </c>
      <c r="H931" s="24" t="inlineStr">
        <is>
          <t>Medium</t>
        </is>
      </c>
      <c r="I931" s="24" t="inlineStr">
        <is>
          <t>Contractual due date pending refreshed collection call</t>
        </is>
      </c>
      <c r="J931" s="8">
        <f>IFERROR(MATCH(G931,'13W Cash Forecast'!$B$4:$N$4,1),1)</f>
        <v/>
      </c>
    </row>
    <row r="932">
      <c r="A932" s="8" t="inlineStr">
        <is>
          <t>AR-0031400</t>
        </is>
      </c>
      <c r="B932" s="8" t="inlineStr">
        <is>
          <t>Service</t>
        </is>
      </c>
      <c r="C932" s="8" t="inlineStr">
        <is>
          <t>Klamath County Facilities Development Company</t>
        </is>
      </c>
      <c r="D932" s="22" t="n">
        <v>46188</v>
      </c>
      <c r="E932" s="22" t="n">
        <v>46218</v>
      </c>
      <c r="F932" s="9" t="n">
        <v>1924.33</v>
      </c>
      <c r="G932" s="23" t="n">
        <v>46218</v>
      </c>
      <c r="H932" s="24" t="inlineStr">
        <is>
          <t>Medium</t>
        </is>
      </c>
      <c r="I932" s="24" t="inlineStr">
        <is>
          <t>Contractual due date pending refreshed collection call</t>
        </is>
      </c>
      <c r="J932" s="8">
        <f>IFERROR(MATCH(G932,'13W Cash Forecast'!$B$4:$N$4,1),1)</f>
        <v/>
      </c>
    </row>
    <row r="933">
      <c r="A933" s="8" t="inlineStr">
        <is>
          <t>AR-0031454</t>
        </is>
      </c>
      <c r="B933" s="8" t="inlineStr">
        <is>
          <t>Service</t>
        </is>
      </c>
      <c r="C933" s="8" t="inlineStr">
        <is>
          <t>Klamath County Facilities - South LLC</t>
        </is>
      </c>
      <c r="D933" s="22" t="n">
        <v>46188</v>
      </c>
      <c r="E933" s="22" t="n">
        <v>46218</v>
      </c>
      <c r="F933" s="9" t="n">
        <v>1978.12</v>
      </c>
      <c r="G933" s="23" t="n">
        <v>46218</v>
      </c>
      <c r="H933" s="24" t="inlineStr">
        <is>
          <t>Medium</t>
        </is>
      </c>
      <c r="I933" s="24" t="inlineStr">
        <is>
          <t>Contractual due date pending refreshed collection call</t>
        </is>
      </c>
      <c r="J933" s="8">
        <f>IFERROR(MATCH(G933,'13W Cash Forecast'!$B$4:$N$4,1),1)</f>
        <v/>
      </c>
    </row>
    <row r="934">
      <c r="A934" s="8" t="inlineStr">
        <is>
          <t>PAYAPP-ARM-2403-202605</t>
        </is>
      </c>
      <c r="B934" s="8" t="inlineStr">
        <is>
          <t>ARM-2403</t>
        </is>
      </c>
      <c r="C934" s="8" t="inlineStr">
        <is>
          <t>City of Riverton Facilities Bureau</t>
        </is>
      </c>
      <c r="D934" s="22" t="n">
        <v>46173</v>
      </c>
      <c r="E934" s="22" t="n">
        <v>46218</v>
      </c>
      <c r="F934" s="9" t="n">
        <v>103189.27</v>
      </c>
      <c r="G934" s="23" t="n">
        <v>46218</v>
      </c>
      <c r="H934" s="24" t="inlineStr">
        <is>
          <t>Medium</t>
        </is>
      </c>
      <c r="I934" s="24" t="inlineStr">
        <is>
          <t>Contractual due date pending refreshed collection call</t>
        </is>
      </c>
      <c r="J934" s="8">
        <f>IFERROR(MATCH(G934,'13W Cash Forecast'!$B$4:$N$4,1),1)</f>
        <v/>
      </c>
    </row>
    <row r="935">
      <c r="A935" s="8" t="inlineStr">
        <is>
          <t>PAYAPP-ARM-2412-202605</t>
        </is>
      </c>
      <c r="B935" s="8" t="inlineStr">
        <is>
          <t>ARM-2412</t>
        </is>
      </c>
      <c r="C935" s="8" t="inlineStr">
        <is>
          <t>Oregon State University - Capital Planning</t>
        </is>
      </c>
      <c r="D935" s="22" t="n">
        <v>46173</v>
      </c>
      <c r="E935" s="22" t="n">
        <v>46218</v>
      </c>
      <c r="F935" s="9" t="n">
        <v>88867.3</v>
      </c>
      <c r="G935" s="23" t="n">
        <v>46218</v>
      </c>
      <c r="H935" s="24" t="inlineStr">
        <is>
          <t>Medium</t>
        </is>
      </c>
      <c r="I935" s="24" t="inlineStr">
        <is>
          <t>Contractual due date pending refreshed collection call</t>
        </is>
      </c>
      <c r="J935" s="8">
        <f>IFERROR(MATCH(G935,'13W Cash Forecast'!$B$4:$N$4,1),1)</f>
        <v/>
      </c>
    </row>
    <row r="936">
      <c r="A936" s="8" t="inlineStr">
        <is>
          <t>PAYAPP-ARM-2417-202605</t>
        </is>
      </c>
      <c r="B936" s="8" t="inlineStr">
        <is>
          <t>ARM-2417</t>
        </is>
      </c>
      <c r="C936" s="8" t="inlineStr">
        <is>
          <t>Cascade Health Properties, LLC</t>
        </is>
      </c>
      <c r="D936" s="22" t="n">
        <v>46173</v>
      </c>
      <c r="E936" s="22" t="n">
        <v>46218</v>
      </c>
      <c r="F936" s="9" t="n">
        <v>89754.12</v>
      </c>
      <c r="G936" s="23" t="n">
        <v>46218</v>
      </c>
      <c r="H936" s="24" t="inlineStr">
        <is>
          <t>Medium</t>
        </is>
      </c>
      <c r="I936" s="24" t="inlineStr">
        <is>
          <t>Contractual due date pending refreshed collection call</t>
        </is>
      </c>
      <c r="J936" s="8">
        <f>IFERROR(MATCH(G936,'13W Cash Forecast'!$B$4:$N$4,1),1)</f>
        <v/>
      </c>
    </row>
    <row r="937">
      <c r="A937" s="8" t="inlineStr">
        <is>
          <t>PAYAPP-ARM-2501-202605</t>
        </is>
      </c>
      <c r="B937" s="8" t="inlineStr">
        <is>
          <t>ARM-2501</t>
        </is>
      </c>
      <c r="C937" s="8" t="inlineStr">
        <is>
          <t>Port of Portland Aviation</t>
        </is>
      </c>
      <c r="D937" s="22" t="n">
        <v>46173</v>
      </c>
      <c r="E937" s="22" t="n">
        <v>46218</v>
      </c>
      <c r="F937" s="9" t="n">
        <v>48273.98</v>
      </c>
      <c r="G937" s="23" t="n">
        <v>46218</v>
      </c>
      <c r="H937" s="24" t="inlineStr">
        <is>
          <t>Low</t>
        </is>
      </c>
      <c r="I937" s="24" t="inlineStr">
        <is>
          <t>Awaiting project-accountant follow-up</t>
        </is>
      </c>
      <c r="J937" s="8">
        <f>IFERROR(MATCH(G937,'13W Cash Forecast'!$B$4:$N$4,1),1)</f>
        <v/>
      </c>
    </row>
    <row r="938">
      <c r="A938" s="8" t="inlineStr">
        <is>
          <t>PAYAPP-ARM-2514-202605</t>
        </is>
      </c>
      <c r="B938" s="8" t="inlineStr">
        <is>
          <t>ARM-2514</t>
        </is>
      </c>
      <c r="C938" s="8" t="inlineStr">
        <is>
          <t>Redmond Unified School District</t>
        </is>
      </c>
      <c r="D938" s="22" t="n">
        <v>46173</v>
      </c>
      <c r="E938" s="22" t="n">
        <v>46218</v>
      </c>
      <c r="F938" s="9" t="n">
        <v>383286.23</v>
      </c>
      <c r="G938" s="23" t="n">
        <v>46218</v>
      </c>
      <c r="H938" s="24" t="inlineStr">
        <is>
          <t>Medium</t>
        </is>
      </c>
      <c r="I938" s="24" t="inlineStr">
        <is>
          <t>Contractual due date pending refreshed collection call</t>
        </is>
      </c>
      <c r="J938" s="8">
        <f>IFERROR(MATCH(G938,'13W Cash Forecast'!$B$4:$N$4,1),1)</f>
        <v/>
      </c>
    </row>
    <row r="939">
      <c r="A939" s="8" t="inlineStr">
        <is>
          <t>PAYAPP-ARM-2518-202605</t>
        </is>
      </c>
      <c r="B939" s="8" t="inlineStr">
        <is>
          <t>ARM-2518</t>
        </is>
      </c>
      <c r="C939" s="8" t="inlineStr">
        <is>
          <t>Deschutes County Public Works</t>
        </is>
      </c>
      <c r="D939" s="22" t="n">
        <v>46173</v>
      </c>
      <c r="E939" s="22" t="n">
        <v>46218</v>
      </c>
      <c r="F939" s="9" t="n">
        <v>34952.43</v>
      </c>
      <c r="G939" s="23" t="n">
        <v>46218</v>
      </c>
      <c r="H939" s="24" t="inlineStr">
        <is>
          <t>Medium</t>
        </is>
      </c>
      <c r="I939" s="24" t="inlineStr">
        <is>
          <t>Contractual due date pending refreshed collection call</t>
        </is>
      </c>
      <c r="J939" s="8">
        <f>IFERROR(MATCH(G939,'13W Cash Forecast'!$B$4:$N$4,1),1)</f>
        <v/>
      </c>
    </row>
    <row r="940">
      <c r="A940" s="8" t="inlineStr">
        <is>
          <t>PAYAPP-ARM-2608-202605</t>
        </is>
      </c>
      <c r="B940" s="8" t="inlineStr">
        <is>
          <t>ARM-2608</t>
        </is>
      </c>
      <c r="C940" s="8" t="inlineStr">
        <is>
          <t>Cascade Health Properties, LLC</t>
        </is>
      </c>
      <c r="D940" s="22" t="n">
        <v>46173</v>
      </c>
      <c r="E940" s="22" t="n">
        <v>46218</v>
      </c>
      <c r="F940" s="9" t="n">
        <v>89783.66</v>
      </c>
      <c r="G940" s="23" t="n">
        <v>46218</v>
      </c>
      <c r="H940" s="24" t="inlineStr">
        <is>
          <t>Medium</t>
        </is>
      </c>
      <c r="I940" s="24" t="inlineStr">
        <is>
          <t>Contractual due date pending refreshed collection call</t>
        </is>
      </c>
      <c r="J940" s="8">
        <f>IFERROR(MATCH(G940,'13W Cash Forecast'!$B$4:$N$4,1),1)</f>
        <v/>
      </c>
    </row>
    <row r="941">
      <c r="A941" s="8" t="inlineStr">
        <is>
          <t>AR-0031216</t>
        </is>
      </c>
      <c r="B941" s="8" t="inlineStr">
        <is>
          <t>Service</t>
        </is>
      </c>
      <c r="C941" s="8" t="inlineStr">
        <is>
          <t>Oak Street Development - North Development Company</t>
        </is>
      </c>
      <c r="D941" s="22" t="n">
        <v>46189</v>
      </c>
      <c r="E941" s="22" t="n">
        <v>46219</v>
      </c>
      <c r="F941" s="9" t="n">
        <v>4074.1</v>
      </c>
      <c r="G941" s="23" t="n">
        <v>46219</v>
      </c>
      <c r="H941" s="24" t="inlineStr">
        <is>
          <t>Medium</t>
        </is>
      </c>
      <c r="I941" s="24" t="inlineStr">
        <is>
          <t>Contractual due date pending refreshed collection call</t>
        </is>
      </c>
      <c r="J941" s="8">
        <f>IFERROR(MATCH(G941,'13W Cash Forecast'!$B$4:$N$4,1),1)</f>
        <v/>
      </c>
    </row>
    <row r="942">
      <c r="A942" s="8" t="inlineStr">
        <is>
          <t>AR-0031243</t>
        </is>
      </c>
      <c r="B942" s="8" t="inlineStr">
        <is>
          <t>Service</t>
        </is>
      </c>
      <c r="C942" s="8" t="inlineStr">
        <is>
          <t>Union Station Properties - Central Facilities</t>
        </is>
      </c>
      <c r="D942" s="22" t="n">
        <v>46189</v>
      </c>
      <c r="E942" s="22" t="n">
        <v>46219</v>
      </c>
      <c r="F942" s="9" t="n">
        <v>7280.37</v>
      </c>
      <c r="G942" s="23" t="n">
        <v>46219</v>
      </c>
      <c r="H942" s="24" t="inlineStr">
        <is>
          <t>Medium</t>
        </is>
      </c>
      <c r="I942" s="24" t="inlineStr">
        <is>
          <t>Contractual due date pending refreshed collection call</t>
        </is>
      </c>
      <c r="J942" s="8">
        <f>IFERROR(MATCH(G942,'13W Cash Forecast'!$B$4:$N$4,1),1)</f>
        <v/>
      </c>
    </row>
    <row r="943">
      <c r="A943" s="8" t="inlineStr">
        <is>
          <t>AR-0031297</t>
        </is>
      </c>
      <c r="B943" s="8" t="inlineStr">
        <is>
          <t>Service</t>
        </is>
      </c>
      <c r="C943" s="8" t="inlineStr">
        <is>
          <t>Mt. Hood Community Health - Operations Development Company</t>
        </is>
      </c>
      <c r="D943" s="22" t="n">
        <v>46189</v>
      </c>
      <c r="E943" s="22" t="n">
        <v>46219</v>
      </c>
      <c r="F943" s="9" t="n">
        <v>1657.05</v>
      </c>
      <c r="G943" s="23" t="n">
        <v>46219</v>
      </c>
      <c r="H943" s="24" t="inlineStr">
        <is>
          <t>Medium</t>
        </is>
      </c>
      <c r="I943" s="24" t="inlineStr">
        <is>
          <t>Contractual due date pending refreshed collection call</t>
        </is>
      </c>
      <c r="J943" s="8">
        <f>IFERROR(MATCH(G943,'13W Cash Forecast'!$B$4:$N$4,1),1)</f>
        <v/>
      </c>
    </row>
    <row r="944">
      <c r="A944" s="8" t="inlineStr">
        <is>
          <t>AR-0031303</t>
        </is>
      </c>
      <c r="B944" s="8" t="inlineStr">
        <is>
          <t>Service</t>
        </is>
      </c>
      <c r="C944" s="8" t="inlineStr">
        <is>
          <t>Westside Ambulatory - Portfolio Asset Management</t>
        </is>
      </c>
      <c r="D944" s="22" t="n">
        <v>46174</v>
      </c>
      <c r="E944" s="22" t="n">
        <v>46219</v>
      </c>
      <c r="F944" s="9" t="n">
        <v>4838.21</v>
      </c>
      <c r="G944" s="23" t="n">
        <v>46219</v>
      </c>
      <c r="H944" s="24" t="inlineStr">
        <is>
          <t>Low</t>
        </is>
      </c>
      <c r="I944" s="24" t="inlineStr">
        <is>
          <t>Awaiting project-accountant follow-up</t>
        </is>
      </c>
      <c r="J944" s="8">
        <f>IFERROR(MATCH(G944,'13W Cash Forecast'!$B$4:$N$4,1),1)</f>
        <v/>
      </c>
    </row>
    <row r="945">
      <c r="A945" s="8" t="inlineStr">
        <is>
          <t>AR-0031351</t>
        </is>
      </c>
      <c r="B945" s="8" t="inlineStr">
        <is>
          <t>Service</t>
        </is>
      </c>
      <c r="C945" s="8" t="inlineStr">
        <is>
          <t>Copperline Apartments - Campus Property Group</t>
        </is>
      </c>
      <c r="D945" s="22" t="n">
        <v>46189</v>
      </c>
      <c r="E945" s="22" t="n">
        <v>46219</v>
      </c>
      <c r="F945" s="9" t="n">
        <v>2545.11</v>
      </c>
      <c r="G945" s="23" t="n">
        <v>46219</v>
      </c>
      <c r="H945" s="24" t="inlineStr">
        <is>
          <t>Medium</t>
        </is>
      </c>
      <c r="I945" s="24" t="inlineStr">
        <is>
          <t>Contractual due date pending refreshed collection call</t>
        </is>
      </c>
      <c r="J945" s="8">
        <f>IFERROR(MATCH(G945,'13W Cash Forecast'!$B$4:$N$4,1),1)</f>
        <v/>
      </c>
    </row>
    <row r="946">
      <c r="A946" s="8" t="inlineStr">
        <is>
          <t>AR-0031357</t>
        </is>
      </c>
      <c r="B946" s="8" t="inlineStr">
        <is>
          <t>Service</t>
        </is>
      </c>
      <c r="C946" s="8" t="inlineStr">
        <is>
          <t>Cascade Health Properties, LLC</t>
        </is>
      </c>
      <c r="D946" s="22" t="n">
        <v>46174</v>
      </c>
      <c r="E946" s="22" t="n">
        <v>46219</v>
      </c>
      <c r="F946" s="9" t="n">
        <v>1290.86</v>
      </c>
      <c r="G946" s="23" t="n">
        <v>46219</v>
      </c>
      <c r="H946" s="24" t="inlineStr">
        <is>
          <t>Medium</t>
        </is>
      </c>
      <c r="I946" s="24" t="inlineStr">
        <is>
          <t>Contractual due date pending refreshed collection call</t>
        </is>
      </c>
      <c r="J946" s="8">
        <f>IFERROR(MATCH(G946,'13W Cash Forecast'!$B$4:$N$4,1),1)</f>
        <v/>
      </c>
    </row>
    <row r="947">
      <c r="A947" s="8" t="inlineStr">
        <is>
          <t>AR-0031405</t>
        </is>
      </c>
      <c r="B947" s="8" t="inlineStr">
        <is>
          <t>Service</t>
        </is>
      </c>
      <c r="C947" s="8" t="inlineStr">
        <is>
          <t>Beacon Industrial Campus Services</t>
        </is>
      </c>
      <c r="D947" s="22" t="n">
        <v>46189</v>
      </c>
      <c r="E947" s="22" t="n">
        <v>46219</v>
      </c>
      <c r="F947" s="9" t="n">
        <v>7853.46</v>
      </c>
      <c r="G947" s="23" t="n">
        <v>46219</v>
      </c>
      <c r="H947" s="24" t="inlineStr">
        <is>
          <t>Medium</t>
        </is>
      </c>
      <c r="I947" s="24" t="inlineStr">
        <is>
          <t>Contractual due date pending refreshed collection call</t>
        </is>
      </c>
      <c r="J947" s="8">
        <f>IFERROR(MATCH(G947,'13W Cash Forecast'!$B$4:$N$4,1),1)</f>
        <v/>
      </c>
    </row>
    <row r="948">
      <c r="A948" s="8" t="inlineStr">
        <is>
          <t>AR-0031432</t>
        </is>
      </c>
      <c r="B948" s="8" t="inlineStr">
        <is>
          <t>Service</t>
        </is>
      </c>
      <c r="C948" s="8" t="inlineStr">
        <is>
          <t>Salem Surgical Partners Campus Services</t>
        </is>
      </c>
      <c r="D948" s="22" t="n">
        <v>46189</v>
      </c>
      <c r="E948" s="22" t="n">
        <v>46219</v>
      </c>
      <c r="F948" s="9" t="n">
        <v>793.84</v>
      </c>
      <c r="G948" s="23" t="n">
        <v>46219</v>
      </c>
      <c r="H948" s="24" t="inlineStr">
        <is>
          <t>Medium</t>
        </is>
      </c>
      <c r="I948" s="24" t="inlineStr">
        <is>
          <t>Contractual due date pending refreshed collection call</t>
        </is>
      </c>
      <c r="J948" s="8">
        <f>IFERROR(MATCH(G948,'13W Cash Forecast'!$B$4:$N$4,1),1)</f>
        <v/>
      </c>
    </row>
    <row r="949">
      <c r="A949" s="8" t="inlineStr">
        <is>
          <t>AR-0031221</t>
        </is>
      </c>
      <c r="B949" s="8" t="inlineStr">
        <is>
          <t>Service</t>
        </is>
      </c>
      <c r="C949" s="8" t="inlineStr">
        <is>
          <t>Juniper Ridge Properties - North Facilities</t>
        </is>
      </c>
      <c r="D949" s="22" t="n">
        <v>46190</v>
      </c>
      <c r="E949" s="22" t="n">
        <v>46220</v>
      </c>
      <c r="F949" s="9" t="n">
        <v>1715.74</v>
      </c>
      <c r="G949" s="23" t="n">
        <v>46220</v>
      </c>
      <c r="H949" s="24" t="inlineStr">
        <is>
          <t>Medium</t>
        </is>
      </c>
      <c r="I949" s="24" t="inlineStr">
        <is>
          <t>Contractual due date pending refreshed collection call</t>
        </is>
      </c>
      <c r="J949" s="8">
        <f>IFERROR(MATCH(G949,'13W Cash Forecast'!$B$4:$N$4,1),1)</f>
        <v/>
      </c>
    </row>
    <row r="950">
      <c r="A950" s="8" t="inlineStr">
        <is>
          <t>AR-0031275</t>
        </is>
      </c>
      <c r="B950" s="8" t="inlineStr">
        <is>
          <t>Service</t>
        </is>
      </c>
      <c r="C950" s="8" t="inlineStr">
        <is>
          <t>Beacon Industrial - South Development Company</t>
        </is>
      </c>
      <c r="D950" s="22" t="n">
        <v>46190</v>
      </c>
      <c r="E950" s="22" t="n">
        <v>46220</v>
      </c>
      <c r="F950" s="9" t="n">
        <v>3715</v>
      </c>
      <c r="G950" s="23" t="n">
        <v>46220</v>
      </c>
      <c r="H950" s="24" t="inlineStr">
        <is>
          <t>Medium</t>
        </is>
      </c>
      <c r="I950" s="24" t="inlineStr">
        <is>
          <t>Contractual due date pending refreshed collection call</t>
        </is>
      </c>
      <c r="J950" s="8">
        <f>IFERROR(MATCH(G950,'13W Cash Forecast'!$B$4:$N$4,1),1)</f>
        <v/>
      </c>
    </row>
    <row r="951">
      <c r="A951" s="8" t="inlineStr">
        <is>
          <t>AR-0031281</t>
        </is>
      </c>
      <c r="B951" s="8" t="inlineStr">
        <is>
          <t>Service</t>
        </is>
      </c>
      <c r="C951" s="8" t="inlineStr">
        <is>
          <t>Lake Oswego Office Partners - East Asset Management</t>
        </is>
      </c>
      <c r="D951" s="22" t="n">
        <v>46175</v>
      </c>
      <c r="E951" s="22" t="n">
        <v>46220</v>
      </c>
      <c r="F951" s="9" t="n">
        <v>2089.69</v>
      </c>
      <c r="G951" s="23" t="n">
        <v>46220</v>
      </c>
      <c r="H951" s="24" t="inlineStr">
        <is>
          <t>Low</t>
        </is>
      </c>
      <c r="I951" s="24" t="inlineStr">
        <is>
          <t>Awaiting project-accountant follow-up</t>
        </is>
      </c>
      <c r="J951" s="8">
        <f>IFERROR(MATCH(G951,'13W Cash Forecast'!$B$4:$N$4,1),1)</f>
        <v/>
      </c>
    </row>
    <row r="952">
      <c r="A952" s="8" t="inlineStr">
        <is>
          <t>AR-0031329</t>
        </is>
      </c>
      <c r="B952" s="8" t="inlineStr">
        <is>
          <t>Service</t>
        </is>
      </c>
      <c r="C952" s="8" t="inlineStr">
        <is>
          <t>Pioneer Medical Properties - West Holdings, LLC</t>
        </is>
      </c>
      <c r="D952" s="22" t="n">
        <v>46190</v>
      </c>
      <c r="E952" s="22" t="n">
        <v>46220</v>
      </c>
      <c r="F952" s="9" t="n">
        <v>1764.12</v>
      </c>
      <c r="G952" s="23" t="n">
        <v>46220</v>
      </c>
      <c r="H952" s="24" t="inlineStr">
        <is>
          <t>Medium</t>
        </is>
      </c>
      <c r="I952" s="24" t="inlineStr">
        <is>
          <t>Contractual due date pending refreshed collection call</t>
        </is>
      </c>
      <c r="J952" s="8">
        <f>IFERROR(MATCH(G952,'13W Cash Forecast'!$B$4:$N$4,1),1)</f>
        <v/>
      </c>
    </row>
    <row r="953">
      <c r="A953" s="8" t="inlineStr">
        <is>
          <t>AR-0031383</t>
        </is>
      </c>
      <c r="B953" s="8" t="inlineStr">
        <is>
          <t>Service</t>
        </is>
      </c>
      <c r="C953" s="8" t="inlineStr">
        <is>
          <t>High Desert Manufacturing - Portfolio Holdings, LLC</t>
        </is>
      </c>
      <c r="D953" s="22" t="n">
        <v>46190</v>
      </c>
      <c r="E953" s="22" t="n">
        <v>46220</v>
      </c>
      <c r="F953" s="9" t="n">
        <v>2023.29</v>
      </c>
      <c r="G953" s="23" t="n">
        <v>46220</v>
      </c>
      <c r="H953" s="24" t="inlineStr">
        <is>
          <t>Medium</t>
        </is>
      </c>
      <c r="I953" s="24" t="inlineStr">
        <is>
          <t>Contractual due date pending refreshed collection call</t>
        </is>
      </c>
      <c r="J953" s="8">
        <f>IFERROR(MATCH(G953,'13W Cash Forecast'!$B$4:$N$4,1),1)</f>
        <v/>
      </c>
    </row>
    <row r="954">
      <c r="A954" s="8" t="inlineStr">
        <is>
          <t>AR-0031410</t>
        </is>
      </c>
      <c r="B954" s="8" t="inlineStr">
        <is>
          <t>Service</t>
        </is>
      </c>
      <c r="C954" s="8" t="inlineStr">
        <is>
          <t>Northline Cold Storage Holdings</t>
        </is>
      </c>
      <c r="D954" s="22" t="n">
        <v>46190</v>
      </c>
      <c r="E954" s="22" t="n">
        <v>46220</v>
      </c>
      <c r="F954" s="9" t="n">
        <v>640.51</v>
      </c>
      <c r="G954" s="23" t="n">
        <v>46220</v>
      </c>
      <c r="H954" s="24" t="inlineStr">
        <is>
          <t>Medium</t>
        </is>
      </c>
      <c r="I954" s="24" t="inlineStr">
        <is>
          <t>Contractual due date pending refreshed collection call</t>
        </is>
      </c>
      <c r="J954" s="8">
        <f>IFERROR(MATCH(G954,'13W Cash Forecast'!$B$4:$N$4,1),1)</f>
        <v/>
      </c>
    </row>
    <row r="955">
      <c r="A955" s="8" t="inlineStr">
        <is>
          <t>AR-0031464</t>
        </is>
      </c>
      <c r="B955" s="8" t="inlineStr">
        <is>
          <t>Service</t>
        </is>
      </c>
      <c r="C955" s="8" t="inlineStr">
        <is>
          <t>Central Cascades Foods - Central Development Company</t>
        </is>
      </c>
      <c r="D955" s="22" t="n">
        <v>46190</v>
      </c>
      <c r="E955" s="22" t="n">
        <v>46220</v>
      </c>
      <c r="F955" s="9" t="n">
        <v>2053.15</v>
      </c>
      <c r="G955" s="23" t="n">
        <v>46220</v>
      </c>
      <c r="H955" s="24" t="inlineStr">
        <is>
          <t>Medium</t>
        </is>
      </c>
      <c r="I955" s="24" t="inlineStr">
        <is>
          <t>Contractual due date pending refreshed collection call</t>
        </is>
      </c>
      <c r="J955" s="8">
        <f>IFERROR(MATCH(G955,'13W Cash Forecast'!$B$4:$N$4,1),1)</f>
        <v/>
      </c>
    </row>
    <row r="956">
      <c r="A956" s="8" t="inlineStr">
        <is>
          <t>AR-0031253</t>
        </is>
      </c>
      <c r="B956" s="8" t="inlineStr">
        <is>
          <t>Service</t>
        </is>
      </c>
      <c r="C956" s="8" t="inlineStr">
        <is>
          <t>Mt. Hood Community Health - Operations Asset Management</t>
        </is>
      </c>
      <c r="D956" s="22" t="n">
        <v>46191</v>
      </c>
      <c r="E956" s="22" t="n">
        <v>46221</v>
      </c>
      <c r="F956" s="9" t="n">
        <v>5038.03</v>
      </c>
      <c r="G956" s="23" t="n">
        <v>46221</v>
      </c>
      <c r="H956" s="24" t="inlineStr">
        <is>
          <t>Medium</t>
        </is>
      </c>
      <c r="I956" s="24" t="inlineStr">
        <is>
          <t>Contractual due date pending refreshed collection call</t>
        </is>
      </c>
      <c r="J956" s="8">
        <f>IFERROR(MATCH(G956,'13W Cash Forecast'!$B$4:$N$4,1),1)</f>
        <v/>
      </c>
    </row>
    <row r="957">
      <c r="A957" s="8" t="inlineStr">
        <is>
          <t>AR-0031259</t>
        </is>
      </c>
      <c r="B957" s="8" t="inlineStr">
        <is>
          <t>Service</t>
        </is>
      </c>
      <c r="C957" s="8" t="inlineStr">
        <is>
          <t>Westside Ambulatory - Portfolio Campus Services</t>
        </is>
      </c>
      <c r="D957" s="22" t="n">
        <v>46176</v>
      </c>
      <c r="E957" s="22" t="n">
        <v>46221</v>
      </c>
      <c r="F957" s="9" t="n">
        <v>1180.71</v>
      </c>
      <c r="G957" s="23" t="n">
        <v>46221</v>
      </c>
      <c r="H957" s="24" t="inlineStr">
        <is>
          <t>Medium</t>
        </is>
      </c>
      <c r="I957" s="24" t="inlineStr">
        <is>
          <t>Contractual due date pending refreshed collection call</t>
        </is>
      </c>
      <c r="J957" s="8">
        <f>IFERROR(MATCH(G957,'13W Cash Forecast'!$B$4:$N$4,1),1)</f>
        <v/>
      </c>
    </row>
    <row r="958">
      <c r="A958" s="8" t="inlineStr">
        <is>
          <t>AR-0031307</t>
        </is>
      </c>
      <c r="B958" s="8" t="inlineStr">
        <is>
          <t>Service</t>
        </is>
      </c>
      <c r="C958" s="8" t="inlineStr">
        <is>
          <t>Copperline Apartments - Campus Holdings, LLC</t>
        </is>
      </c>
      <c r="D958" s="22" t="n">
        <v>46191</v>
      </c>
      <c r="E958" s="22" t="n">
        <v>46221</v>
      </c>
      <c r="F958" s="9" t="n">
        <v>4705.88</v>
      </c>
      <c r="G958" s="23" t="n">
        <v>46221</v>
      </c>
      <c r="H958" s="24" t="inlineStr">
        <is>
          <t>Low</t>
        </is>
      </c>
      <c r="I958" s="24" t="inlineStr">
        <is>
          <t>Awaiting project-accountant follow-up</t>
        </is>
      </c>
      <c r="J958" s="8">
        <f>IFERROR(MATCH(G958,'13W Cash Forecast'!$B$4:$N$4,1),1)</f>
        <v/>
      </c>
    </row>
    <row r="959">
      <c r="A959" s="8" t="inlineStr">
        <is>
          <t>AR-0031361</t>
        </is>
      </c>
      <c r="B959" s="8" t="inlineStr">
        <is>
          <t>Service</t>
        </is>
      </c>
      <c r="C959" s="8" t="inlineStr">
        <is>
          <t>Sunrise Hospitality - East LLC</t>
        </is>
      </c>
      <c r="D959" s="22" t="n">
        <v>46191</v>
      </c>
      <c r="E959" s="22" t="n">
        <v>46221</v>
      </c>
      <c r="F959" s="9" t="n">
        <v>1094.9</v>
      </c>
      <c r="G959" s="23" t="n">
        <v>46221</v>
      </c>
      <c r="H959" s="24" t="inlineStr">
        <is>
          <t>Medium</t>
        </is>
      </c>
      <c r="I959" s="24" t="inlineStr">
        <is>
          <t>Contractual due date pending refreshed collection call</t>
        </is>
      </c>
      <c r="J959" s="8">
        <f>IFERROR(MATCH(G959,'13W Cash Forecast'!$B$4:$N$4,1),1)</f>
        <v/>
      </c>
    </row>
    <row r="960">
      <c r="A960" s="8" t="inlineStr">
        <is>
          <t>AR-0031388</t>
        </is>
      </c>
      <c r="B960" s="8" t="inlineStr">
        <is>
          <t>Service</t>
        </is>
      </c>
      <c r="C960" s="8" t="inlineStr">
        <is>
          <t>Columbia River Logistics - Portfolio Operating Company</t>
        </is>
      </c>
      <c r="D960" s="22" t="n">
        <v>46191</v>
      </c>
      <c r="E960" s="22" t="n">
        <v>46221</v>
      </c>
      <c r="F960" s="9" t="n">
        <v>3908.82</v>
      </c>
      <c r="G960" s="23" t="n">
        <v>46221</v>
      </c>
      <c r="H960" s="24" t="inlineStr">
        <is>
          <t>Medium</t>
        </is>
      </c>
      <c r="I960" s="24" t="inlineStr">
        <is>
          <t>Contractual due date pending refreshed collection call</t>
        </is>
      </c>
      <c r="J960" s="8">
        <f>IFERROR(MATCH(G960,'13W Cash Forecast'!$B$4:$N$4,1),1)</f>
        <v/>
      </c>
    </row>
    <row r="961">
      <c r="A961" s="8" t="inlineStr">
        <is>
          <t>AR-0031442</t>
        </is>
      </c>
      <c r="B961" s="8" t="inlineStr">
        <is>
          <t>Service</t>
        </is>
      </c>
      <c r="C961" s="8" t="inlineStr">
        <is>
          <t>Pacific Northwest Distribution REIT</t>
        </is>
      </c>
      <c r="D961" s="22" t="n">
        <v>46191</v>
      </c>
      <c r="E961" s="22" t="n">
        <v>46221</v>
      </c>
      <c r="F961" s="9" t="n">
        <v>9790.200000000001</v>
      </c>
      <c r="G961" s="23" t="n">
        <v>46221</v>
      </c>
      <c r="H961" s="24" t="inlineStr">
        <is>
          <t>Medium</t>
        </is>
      </c>
      <c r="I961" s="24" t="inlineStr">
        <is>
          <t>Contractual due date pending refreshed collection call</t>
        </is>
      </c>
      <c r="J961" s="8">
        <f>IFERROR(MATCH(G961,'13W Cash Forecast'!$B$4:$N$4,1),1)</f>
        <v/>
      </c>
    </row>
    <row r="962">
      <c r="A962" s="8" t="inlineStr">
        <is>
          <t>AR-0031469</t>
        </is>
      </c>
      <c r="B962" s="8" t="inlineStr">
        <is>
          <t>Service</t>
        </is>
      </c>
      <c r="C962" s="8" t="inlineStr">
        <is>
          <t>Pioneer Medical Properties Development Company</t>
        </is>
      </c>
      <c r="D962" s="22" t="n">
        <v>46191</v>
      </c>
      <c r="E962" s="22" t="n">
        <v>46221</v>
      </c>
      <c r="F962" s="9" t="n">
        <v>3205.09</v>
      </c>
      <c r="G962" s="23" t="n">
        <v>46221</v>
      </c>
      <c r="H962" s="24" t="inlineStr">
        <is>
          <t>Medium</t>
        </is>
      </c>
      <c r="I962" s="24" t="inlineStr">
        <is>
          <t>Contractual due date pending refreshed collection call</t>
        </is>
      </c>
      <c r="J962" s="8">
        <f>IFERROR(MATCH(G962,'13W Cash Forecast'!$B$4:$N$4,1),1)</f>
        <v/>
      </c>
    </row>
    <row r="963">
      <c r="A963" s="8" t="inlineStr">
        <is>
          <t>AR-0031204</t>
        </is>
      </c>
      <c r="B963" s="8" t="inlineStr">
        <is>
          <t>Service</t>
        </is>
      </c>
      <c r="C963" s="8" t="inlineStr">
        <is>
          <t>Forest Park Hospitality Campus Services</t>
        </is>
      </c>
      <c r="D963" s="22" t="n">
        <v>46192</v>
      </c>
      <c r="E963" s="22" t="n">
        <v>46222</v>
      </c>
      <c r="F963" s="9" t="n">
        <v>6469.76</v>
      </c>
      <c r="G963" s="23" t="n">
        <v>46222</v>
      </c>
      <c r="H963" s="24" t="inlineStr">
        <is>
          <t>Medium</t>
        </is>
      </c>
      <c r="I963" s="24" t="inlineStr">
        <is>
          <t>Contractual due date pending refreshed collection call</t>
        </is>
      </c>
      <c r="J963" s="8">
        <f>IFERROR(MATCH(G963,'13W Cash Forecast'!$B$4:$N$4,1),1)</f>
        <v/>
      </c>
    </row>
    <row r="964">
      <c r="A964" s="8" t="inlineStr">
        <is>
          <t>AR-0031231</t>
        </is>
      </c>
      <c r="B964" s="8" t="inlineStr">
        <is>
          <t>Service</t>
        </is>
      </c>
      <c r="C964" s="8" t="inlineStr">
        <is>
          <t>Beacon Industrial - South Asset Management</t>
        </is>
      </c>
      <c r="D964" s="22" t="n">
        <v>46192</v>
      </c>
      <c r="E964" s="22" t="n">
        <v>46222</v>
      </c>
      <c r="F964" s="9" t="n">
        <v>3854.35</v>
      </c>
      <c r="G964" s="23" t="n">
        <v>46222</v>
      </c>
      <c r="H964" s="24" t="inlineStr">
        <is>
          <t>Medium</t>
        </is>
      </c>
      <c r="I964" s="24" t="inlineStr">
        <is>
          <t>Contractual due date pending refreshed collection call</t>
        </is>
      </c>
      <c r="J964" s="8">
        <f>IFERROR(MATCH(G964,'13W Cash Forecast'!$B$4:$N$4,1),1)</f>
        <v/>
      </c>
    </row>
    <row r="965">
      <c r="A965" s="8" t="inlineStr">
        <is>
          <t>AR-0031237</t>
        </is>
      </c>
      <c r="B965" s="8" t="inlineStr">
        <is>
          <t>Service</t>
        </is>
      </c>
      <c r="C965" s="8" t="inlineStr">
        <is>
          <t>Lake Oswego Office Partners - East Campus Services</t>
        </is>
      </c>
      <c r="D965" s="22" t="n">
        <v>46177</v>
      </c>
      <c r="E965" s="22" t="n">
        <v>46222</v>
      </c>
      <c r="F965" s="9" t="n">
        <v>1668.96</v>
      </c>
      <c r="G965" s="23" t="n">
        <v>46222</v>
      </c>
      <c r="H965" s="24" t="inlineStr">
        <is>
          <t>Low</t>
        </is>
      </c>
      <c r="I965" s="24" t="inlineStr">
        <is>
          <t>Awaiting project-accountant follow-up</t>
        </is>
      </c>
      <c r="J965" s="8">
        <f>IFERROR(MATCH(G965,'13W Cash Forecast'!$B$4:$N$4,1),1)</f>
        <v/>
      </c>
    </row>
    <row r="966">
      <c r="A966" s="8" t="inlineStr">
        <is>
          <t>AR-0031285</t>
        </is>
      </c>
      <c r="B966" s="8" t="inlineStr">
        <is>
          <t>Service</t>
        </is>
      </c>
      <c r="C966" s="8" t="inlineStr">
        <is>
          <t>Pioneer Medical Properties - West LLC</t>
        </is>
      </c>
      <c r="D966" s="22" t="n">
        <v>46192</v>
      </c>
      <c r="E966" s="22" t="n">
        <v>46222</v>
      </c>
      <c r="F966" s="9" t="n">
        <v>3755.64</v>
      </c>
      <c r="G966" s="23" t="n">
        <v>46222</v>
      </c>
      <c r="H966" s="24" t="inlineStr">
        <is>
          <t>Medium</t>
        </is>
      </c>
      <c r="I966" s="24" t="inlineStr">
        <is>
          <t>Contractual due date pending refreshed collection call</t>
        </is>
      </c>
      <c r="J966" s="8">
        <f>IFERROR(MATCH(G966,'13W Cash Forecast'!$B$4:$N$4,1),1)</f>
        <v/>
      </c>
    </row>
    <row r="967">
      <c r="A967" s="8" t="inlineStr">
        <is>
          <t>AR-0031339</t>
        </is>
      </c>
      <c r="B967" s="8" t="inlineStr">
        <is>
          <t>Service</t>
        </is>
      </c>
      <c r="C967" s="8" t="inlineStr">
        <is>
          <t>High Desert Manufacturing - Portfolio LLC</t>
        </is>
      </c>
      <c r="D967" s="22" t="n">
        <v>46192</v>
      </c>
      <c r="E967" s="22" t="n">
        <v>46222</v>
      </c>
      <c r="F967" s="9" t="n">
        <v>7355.56</v>
      </c>
      <c r="G967" s="23" t="n">
        <v>46222</v>
      </c>
      <c r="H967" s="24" t="inlineStr">
        <is>
          <t>Medium</t>
        </is>
      </c>
      <c r="I967" s="24" t="inlineStr">
        <is>
          <t>Contractual due date pending refreshed collection call</t>
        </is>
      </c>
      <c r="J967" s="8">
        <f>IFERROR(MATCH(G967,'13W Cash Forecast'!$B$4:$N$4,1),1)</f>
        <v/>
      </c>
    </row>
    <row r="968">
      <c r="A968" s="8" t="inlineStr">
        <is>
          <t>AR-0031366</t>
        </is>
      </c>
      <c r="B968" s="8" t="inlineStr">
        <is>
          <t>Service</t>
        </is>
      </c>
      <c r="C968" s="8" t="inlineStr">
        <is>
          <t>Pacific Crest Biotech - East Partners, LP</t>
        </is>
      </c>
      <c r="D968" s="22" t="n">
        <v>46192</v>
      </c>
      <c r="E968" s="22" t="n">
        <v>46222</v>
      </c>
      <c r="F968" s="9" t="n">
        <v>3178.9</v>
      </c>
      <c r="G968" s="23" t="n">
        <v>46222</v>
      </c>
      <c r="H968" s="24" t="inlineStr">
        <is>
          <t>Medium</t>
        </is>
      </c>
      <c r="I968" s="24" t="inlineStr">
        <is>
          <t>Contractual due date pending refreshed collection call</t>
        </is>
      </c>
      <c r="J968" s="8">
        <f>IFERROR(MATCH(G968,'13W Cash Forecast'!$B$4:$N$4,1),1)</f>
        <v/>
      </c>
    </row>
    <row r="969">
      <c r="A969" s="8" t="inlineStr">
        <is>
          <t>AR-0031420</t>
        </is>
      </c>
      <c r="B969" s="8" t="inlineStr">
        <is>
          <t>Service</t>
        </is>
      </c>
      <c r="C969" s="8" t="inlineStr">
        <is>
          <t>Forest Park Hospitality - West LLC</t>
        </is>
      </c>
      <c r="D969" s="22" t="n">
        <v>46192</v>
      </c>
      <c r="E969" s="22" t="n">
        <v>46222</v>
      </c>
      <c r="F969" s="9" t="n">
        <v>5439.29</v>
      </c>
      <c r="G969" s="23" t="n">
        <v>46222</v>
      </c>
      <c r="H969" s="24" t="inlineStr">
        <is>
          <t>Medium</t>
        </is>
      </c>
      <c r="I969" s="24" t="inlineStr">
        <is>
          <t>Contractual due date pending refreshed collection call</t>
        </is>
      </c>
      <c r="J969" s="8">
        <f>IFERROR(MATCH(G969,'13W Cash Forecast'!$B$4:$N$4,1),1)</f>
        <v/>
      </c>
    </row>
    <row r="970">
      <c r="A970" s="8" t="inlineStr">
        <is>
          <t>AR-0031474</t>
        </is>
      </c>
      <c r="B970" s="8" t="inlineStr">
        <is>
          <t>Service</t>
        </is>
      </c>
      <c r="C970" s="8" t="inlineStr">
        <is>
          <t>Forest Park Hospitality Campus Services</t>
        </is>
      </c>
      <c r="D970" s="22" t="n">
        <v>46192</v>
      </c>
      <c r="E970" s="22" t="n">
        <v>46222</v>
      </c>
      <c r="F970" s="9" t="n">
        <v>3493.68</v>
      </c>
      <c r="G970" s="23" t="n">
        <v>46222</v>
      </c>
      <c r="H970" s="24" t="inlineStr">
        <is>
          <t>Medium</t>
        </is>
      </c>
      <c r="I970" s="24" t="inlineStr">
        <is>
          <t>Contractual due date pending refreshed collection call</t>
        </is>
      </c>
      <c r="J970" s="8">
        <f>IFERROR(MATCH(G970,'13W Cash Forecast'!$B$4:$N$4,1),1)</f>
        <v/>
      </c>
    </row>
    <row r="971">
      <c r="A971" s="8" t="inlineStr">
        <is>
          <t>AR-0031209</t>
        </is>
      </c>
      <c r="B971" s="8" t="inlineStr">
        <is>
          <t>Service</t>
        </is>
      </c>
      <c r="C971" s="8" t="inlineStr">
        <is>
          <t>Summit Surgical Properties</t>
        </is>
      </c>
      <c r="D971" s="22" t="n">
        <v>46193</v>
      </c>
      <c r="E971" s="22" t="n">
        <v>46223</v>
      </c>
      <c r="F971" s="9" t="n">
        <v>2375.61</v>
      </c>
      <c r="G971" s="23" t="n">
        <v>46223</v>
      </c>
      <c r="H971" s="24" t="inlineStr">
        <is>
          <t>Medium</t>
        </is>
      </c>
      <c r="I971" s="24" t="inlineStr">
        <is>
          <t>Contractual due date pending refreshed collection call</t>
        </is>
      </c>
      <c r="J971" s="8">
        <f>IFERROR(MATCH(G971,'13W Cash Forecast'!$B$4:$N$4,1),1)</f>
        <v/>
      </c>
    </row>
    <row r="972">
      <c r="A972" s="8" t="inlineStr">
        <is>
          <t>AR-0031263</t>
        </is>
      </c>
      <c r="B972" s="8" t="inlineStr">
        <is>
          <t>Service</t>
        </is>
      </c>
      <c r="C972" s="8" t="inlineStr">
        <is>
          <t>Copperline Apartments - Campus LLC</t>
        </is>
      </c>
      <c r="D972" s="22" t="n">
        <v>46193</v>
      </c>
      <c r="E972" s="22" t="n">
        <v>46223</v>
      </c>
      <c r="F972" s="9" t="n">
        <v>3882.14</v>
      </c>
      <c r="G972" s="23" t="n">
        <v>46223</v>
      </c>
      <c r="H972" s="24" t="inlineStr">
        <is>
          <t>Low</t>
        </is>
      </c>
      <c r="I972" s="24" t="inlineStr">
        <is>
          <t>Awaiting project-accountant follow-up</t>
        </is>
      </c>
      <c r="J972" s="8">
        <f>IFERROR(MATCH(G972,'13W Cash Forecast'!$B$4:$N$4,1),1)</f>
        <v/>
      </c>
    </row>
    <row r="973">
      <c r="A973" s="8" t="inlineStr">
        <is>
          <t>AR-0031317</t>
        </is>
      </c>
      <c r="B973" s="8" t="inlineStr">
        <is>
          <t>Service</t>
        </is>
      </c>
      <c r="C973" s="8" t="inlineStr">
        <is>
          <t>Sunrise Hospitality - East Development Company</t>
        </is>
      </c>
      <c r="D973" s="22" t="n">
        <v>46193</v>
      </c>
      <c r="E973" s="22" t="n">
        <v>46223</v>
      </c>
      <c r="F973" s="9" t="n">
        <v>1222.74</v>
      </c>
      <c r="G973" s="23" t="n">
        <v>46223</v>
      </c>
      <c r="H973" s="24" t="inlineStr">
        <is>
          <t>Medium</t>
        </is>
      </c>
      <c r="I973" s="24" t="inlineStr">
        <is>
          <t>Contractual due date pending refreshed collection call</t>
        </is>
      </c>
      <c r="J973" s="8">
        <f>IFERROR(MATCH(G973,'13W Cash Forecast'!$B$4:$N$4,1),1)</f>
        <v/>
      </c>
    </row>
    <row r="974">
      <c r="A974" s="8" t="inlineStr">
        <is>
          <t>AR-0031344</t>
        </is>
      </c>
      <c r="B974" s="8" t="inlineStr">
        <is>
          <t>Service</t>
        </is>
      </c>
      <c r="C974" s="8" t="inlineStr">
        <is>
          <t>Columbia River Logistics - Portfolio Partners, LP</t>
        </is>
      </c>
      <c r="D974" s="22" t="n">
        <v>46193</v>
      </c>
      <c r="E974" s="22" t="n">
        <v>46223</v>
      </c>
      <c r="F974" s="9" t="n">
        <v>1672.12</v>
      </c>
      <c r="G974" s="23" t="n">
        <v>46223</v>
      </c>
      <c r="H974" s="24" t="inlineStr">
        <is>
          <t>Medium</t>
        </is>
      </c>
      <c r="I974" s="24" t="inlineStr">
        <is>
          <t>Contractual due date pending refreshed collection call</t>
        </is>
      </c>
      <c r="J974" s="8">
        <f>IFERROR(MATCH(G974,'13W Cash Forecast'!$B$4:$N$4,1),1)</f>
        <v/>
      </c>
    </row>
    <row r="975">
      <c r="A975" s="8" t="inlineStr">
        <is>
          <t>AR-0031398</t>
        </is>
      </c>
      <c r="B975" s="8" t="inlineStr">
        <is>
          <t>Service</t>
        </is>
      </c>
      <c r="C975" s="8" t="inlineStr">
        <is>
          <t>Salem Surgical Partners - Campus Development Company</t>
        </is>
      </c>
      <c r="D975" s="22" t="n">
        <v>46193</v>
      </c>
      <c r="E975" s="22" t="n">
        <v>46223</v>
      </c>
      <c r="F975" s="9" t="n">
        <v>847.17</v>
      </c>
      <c r="G975" s="23" t="n">
        <v>46223</v>
      </c>
      <c r="H975" s="24" t="inlineStr">
        <is>
          <t>Medium</t>
        </is>
      </c>
      <c r="I975" s="24" t="inlineStr">
        <is>
          <t>Contractual due date pending refreshed collection call</t>
        </is>
      </c>
      <c r="J975" s="8">
        <f>IFERROR(MATCH(G975,'13W Cash Forecast'!$B$4:$N$4,1),1)</f>
        <v/>
      </c>
    </row>
    <row r="976">
      <c r="A976" s="8" t="inlineStr">
        <is>
          <t>AR-0031404</t>
        </is>
      </c>
      <c r="B976" s="8" t="inlineStr">
        <is>
          <t>Service</t>
        </is>
      </c>
      <c r="C976" s="8" t="inlineStr">
        <is>
          <t>Deschutes Medical Group - North Development Company</t>
        </is>
      </c>
      <c r="D976" s="22" t="n">
        <v>46178</v>
      </c>
      <c r="E976" s="22" t="n">
        <v>46223</v>
      </c>
      <c r="F976" s="9" t="n">
        <v>1249.43</v>
      </c>
      <c r="G976" s="23" t="n">
        <v>46223</v>
      </c>
      <c r="H976" s="24" t="inlineStr">
        <is>
          <t>Medium</t>
        </is>
      </c>
      <c r="I976" s="24" t="inlineStr">
        <is>
          <t>Contractual due date pending refreshed collection call</t>
        </is>
      </c>
      <c r="J976" s="8">
        <f>IFERROR(MATCH(G976,'13W Cash Forecast'!$B$4:$N$4,1),1)</f>
        <v/>
      </c>
    </row>
    <row r="977">
      <c r="A977" s="8" t="inlineStr">
        <is>
          <t>AR-0031452</t>
        </is>
      </c>
      <c r="B977" s="8" t="inlineStr">
        <is>
          <t>Service</t>
        </is>
      </c>
      <c r="C977" s="8" t="inlineStr">
        <is>
          <t>Klamath County Facilities - South Property Group</t>
        </is>
      </c>
      <c r="D977" s="22" t="n">
        <v>46193</v>
      </c>
      <c r="E977" s="22" t="n">
        <v>46223</v>
      </c>
      <c r="F977" s="9" t="n">
        <v>7741.03</v>
      </c>
      <c r="G977" s="23" t="n">
        <v>46223</v>
      </c>
      <c r="H977" s="24" t="inlineStr">
        <is>
          <t>Medium</t>
        </is>
      </c>
      <c r="I977" s="24" t="inlineStr">
        <is>
          <t>Contractual due date pending refreshed collection call</t>
        </is>
      </c>
      <c r="J977" s="8">
        <f>IFERROR(MATCH(G977,'13W Cash Forecast'!$B$4:$N$4,1),1)</f>
        <v/>
      </c>
    </row>
    <row r="978">
      <c r="A978" s="8" t="inlineStr">
        <is>
          <t>AR-0031479</t>
        </is>
      </c>
      <c r="B978" s="8" t="inlineStr">
        <is>
          <t>Service</t>
        </is>
      </c>
      <c r="C978" s="8" t="inlineStr">
        <is>
          <t>Summit Surgical Properties</t>
        </is>
      </c>
      <c r="D978" s="22" t="n">
        <v>46193</v>
      </c>
      <c r="E978" s="22" t="n">
        <v>46223</v>
      </c>
      <c r="F978" s="9" t="n">
        <v>2340.85</v>
      </c>
      <c r="G978" s="23" t="n">
        <v>46223</v>
      </c>
      <c r="H978" s="24" t="inlineStr">
        <is>
          <t>Medium</t>
        </is>
      </c>
      <c r="I978" s="24" t="inlineStr">
        <is>
          <t>Contractual due date pending refreshed collection call</t>
        </is>
      </c>
      <c r="J978" s="8">
        <f>IFERROR(MATCH(G978,'13W Cash Forecast'!$B$4:$N$4,1),1)</f>
        <v/>
      </c>
    </row>
    <row r="979">
      <c r="A979" s="8" t="inlineStr">
        <is>
          <t>AR-0031214</t>
        </is>
      </c>
      <c r="B979" s="8" t="inlineStr">
        <is>
          <t>Service</t>
        </is>
      </c>
      <c r="C979" s="8" t="inlineStr">
        <is>
          <t>Oak Street Development - North Holdings, LLC</t>
        </is>
      </c>
      <c r="D979" s="22" t="n">
        <v>46194</v>
      </c>
      <c r="E979" s="22" t="n">
        <v>46224</v>
      </c>
      <c r="F979" s="9" t="n">
        <v>3801.52</v>
      </c>
      <c r="G979" s="23" t="n">
        <v>46224</v>
      </c>
      <c r="H979" s="24" t="inlineStr">
        <is>
          <t>Low</t>
        </is>
      </c>
      <c r="I979" s="24" t="inlineStr">
        <is>
          <t>Awaiting project-accountant follow-up</t>
        </is>
      </c>
      <c r="J979" s="8">
        <f>IFERROR(MATCH(G979,'13W Cash Forecast'!$B$4:$N$4,1),1)</f>
        <v/>
      </c>
    </row>
    <row r="980">
      <c r="A980" s="8" t="inlineStr">
        <is>
          <t>AR-0031241</t>
        </is>
      </c>
      <c r="B980" s="8" t="inlineStr">
        <is>
          <t>Service</t>
        </is>
      </c>
      <c r="C980" s="8" t="inlineStr">
        <is>
          <t>Copperline Apartments Development Company</t>
        </is>
      </c>
      <c r="D980" s="22" t="n">
        <v>46194</v>
      </c>
      <c r="E980" s="22" t="n">
        <v>46224</v>
      </c>
      <c r="F980" s="9" t="n">
        <v>2820.32</v>
      </c>
      <c r="G980" s="23" t="n">
        <v>46224</v>
      </c>
      <c r="H980" s="24" t="inlineStr">
        <is>
          <t>Medium</t>
        </is>
      </c>
      <c r="I980" s="24" t="inlineStr">
        <is>
          <t>Contractual due date pending refreshed collection call</t>
        </is>
      </c>
      <c r="J980" s="8">
        <f>IFERROR(MATCH(G980,'13W Cash Forecast'!$B$4:$N$4,1),1)</f>
        <v/>
      </c>
    </row>
    <row r="981">
      <c r="A981" s="8" t="inlineStr">
        <is>
          <t>AR-0031268</t>
        </is>
      </c>
      <c r="B981" s="8" t="inlineStr">
        <is>
          <t>Service</t>
        </is>
      </c>
      <c r="C981" s="8" t="inlineStr">
        <is>
          <t>Valley View Food Systems Development Company</t>
        </is>
      </c>
      <c r="D981" s="22" t="n">
        <v>46194</v>
      </c>
      <c r="E981" s="22" t="n">
        <v>46224</v>
      </c>
      <c r="F981" s="9" t="n">
        <v>4288.7</v>
      </c>
      <c r="G981" s="23" t="n">
        <v>46224</v>
      </c>
      <c r="H981" s="24" t="inlineStr">
        <is>
          <t>Medium</t>
        </is>
      </c>
      <c r="I981" s="24" t="inlineStr">
        <is>
          <t>Contractual due date pending refreshed collection call</t>
        </is>
      </c>
      <c r="J981" s="8">
        <f>IFERROR(MATCH(G981,'13W Cash Forecast'!$B$4:$N$4,1),1)</f>
        <v/>
      </c>
    </row>
    <row r="982">
      <c r="A982" s="8" t="inlineStr">
        <is>
          <t>AR-0031295</t>
        </is>
      </c>
      <c r="B982" s="8" t="inlineStr">
        <is>
          <t>Service</t>
        </is>
      </c>
      <c r="C982" s="8" t="inlineStr">
        <is>
          <t>High Desert Manufacturing - Portfolio Development Company</t>
        </is>
      </c>
      <c r="D982" s="22" t="n">
        <v>46194</v>
      </c>
      <c r="E982" s="22" t="n">
        <v>46224</v>
      </c>
      <c r="F982" s="9" t="n">
        <v>3362.28</v>
      </c>
      <c r="G982" s="23" t="n">
        <v>46224</v>
      </c>
      <c r="H982" s="24" t="inlineStr">
        <is>
          <t>Medium</t>
        </is>
      </c>
      <c r="I982" s="24" t="inlineStr">
        <is>
          <t>Contractual due date pending refreshed collection call</t>
        </is>
      </c>
      <c r="J982" s="8">
        <f>IFERROR(MATCH(G982,'13W Cash Forecast'!$B$4:$N$4,1),1)</f>
        <v/>
      </c>
    </row>
    <row r="983">
      <c r="A983" s="8" t="inlineStr">
        <is>
          <t>AR-0031322</t>
        </is>
      </c>
      <c r="B983" s="8" t="inlineStr">
        <is>
          <t>Service</t>
        </is>
      </c>
      <c r="C983" s="8" t="inlineStr">
        <is>
          <t>Pacific Crest Biotech - East Facilities</t>
        </is>
      </c>
      <c r="D983" s="22" t="n">
        <v>46194</v>
      </c>
      <c r="E983" s="22" t="n">
        <v>46224</v>
      </c>
      <c r="F983" s="9" t="n">
        <v>2802.49</v>
      </c>
      <c r="G983" s="23" t="n">
        <v>46224</v>
      </c>
      <c r="H983" s="24" t="inlineStr">
        <is>
          <t>Medium</t>
        </is>
      </c>
      <c r="I983" s="24" t="inlineStr">
        <is>
          <t>Contractual due date pending refreshed collection call</t>
        </is>
      </c>
      <c r="J983" s="8">
        <f>IFERROR(MATCH(G983,'13W Cash Forecast'!$B$4:$N$4,1),1)</f>
        <v/>
      </c>
    </row>
    <row r="984">
      <c r="A984" s="8" t="inlineStr">
        <is>
          <t>AR-0031376</t>
        </is>
      </c>
      <c r="B984" s="8" t="inlineStr">
        <is>
          <t>Service</t>
        </is>
      </c>
      <c r="C984" s="8" t="inlineStr">
        <is>
          <t>Forest Park Hospitality - West Development Company</t>
        </is>
      </c>
      <c r="D984" s="22" t="n">
        <v>46194</v>
      </c>
      <c r="E984" s="22" t="n">
        <v>46224</v>
      </c>
      <c r="F984" s="9" t="n">
        <v>2354.63</v>
      </c>
      <c r="G984" s="23" t="n">
        <v>46224</v>
      </c>
      <c r="H984" s="24" t="inlineStr">
        <is>
          <t>Medium</t>
        </is>
      </c>
      <c r="I984" s="24" t="inlineStr">
        <is>
          <t>Contractual due date pending refreshed collection call</t>
        </is>
      </c>
      <c r="J984" s="8">
        <f>IFERROR(MATCH(G984,'13W Cash Forecast'!$B$4:$N$4,1),1)</f>
        <v/>
      </c>
    </row>
    <row r="985">
      <c r="A985" s="8" t="inlineStr">
        <is>
          <t>AR-0031382</t>
        </is>
      </c>
      <c r="B985" s="8" t="inlineStr">
        <is>
          <t>Service</t>
        </is>
      </c>
      <c r="C985" s="8" t="inlineStr">
        <is>
          <t>Portland Arts and Events - Central Asset Management</t>
        </is>
      </c>
      <c r="D985" s="22" t="n">
        <v>46179</v>
      </c>
      <c r="E985" s="22" t="n">
        <v>46224</v>
      </c>
      <c r="F985" s="9" t="n">
        <v>1521.55</v>
      </c>
      <c r="G985" s="23" t="n">
        <v>46224</v>
      </c>
      <c r="H985" s="24" t="inlineStr">
        <is>
          <t>Medium</t>
        </is>
      </c>
      <c r="I985" s="24" t="inlineStr">
        <is>
          <t>Contractual due date pending refreshed collection call</t>
        </is>
      </c>
      <c r="J985" s="8">
        <f>IFERROR(MATCH(G985,'13W Cash Forecast'!$B$4:$N$4,1),1)</f>
        <v/>
      </c>
    </row>
    <row r="986">
      <c r="A986" s="8" t="inlineStr">
        <is>
          <t>AR-0031430</t>
        </is>
      </c>
      <c r="B986" s="8" t="inlineStr">
        <is>
          <t>Service</t>
        </is>
      </c>
      <c r="C986" s="8" t="inlineStr">
        <is>
          <t>Valley View Food Systems - Operations Holdings, LLC</t>
        </is>
      </c>
      <c r="D986" s="22" t="n">
        <v>46194</v>
      </c>
      <c r="E986" s="22" t="n">
        <v>46224</v>
      </c>
      <c r="F986" s="9" t="n">
        <v>6899.39</v>
      </c>
      <c r="G986" s="23" t="n">
        <v>46224</v>
      </c>
      <c r="H986" s="24" t="inlineStr">
        <is>
          <t>Low</t>
        </is>
      </c>
      <c r="I986" s="24" t="inlineStr">
        <is>
          <t>Awaiting project-accountant follow-up</t>
        </is>
      </c>
      <c r="J986" s="8">
        <f>IFERROR(MATCH(G986,'13W Cash Forecast'!$B$4:$N$4,1),1)</f>
        <v/>
      </c>
    </row>
    <row r="987">
      <c r="A987" s="8" t="inlineStr">
        <is>
          <t>AR-0031219</t>
        </is>
      </c>
      <c r="B987" s="8" t="inlineStr">
        <is>
          <t>Service</t>
        </is>
      </c>
      <c r="C987" s="8" t="inlineStr">
        <is>
          <t>Juniper Ridge Properties - North Operating Company</t>
        </is>
      </c>
      <c r="D987" s="22" t="n">
        <v>46195</v>
      </c>
      <c r="E987" s="22" t="n">
        <v>46225</v>
      </c>
      <c r="F987" s="9" t="n">
        <v>3014.41</v>
      </c>
      <c r="G987" s="23" t="n">
        <v>46225</v>
      </c>
      <c r="H987" s="24" t="inlineStr">
        <is>
          <t>Medium</t>
        </is>
      </c>
      <c r="I987" s="24" t="inlineStr">
        <is>
          <t>Contractual due date pending refreshed collection call</t>
        </is>
      </c>
      <c r="J987" s="8">
        <f>IFERROR(MATCH(G987,'13W Cash Forecast'!$B$4:$N$4,1),1)</f>
        <v/>
      </c>
    </row>
    <row r="988">
      <c r="A988" s="8" t="inlineStr">
        <is>
          <t>AR-0031246</t>
        </is>
      </c>
      <c r="B988" s="8" t="inlineStr">
        <is>
          <t>Service</t>
        </is>
      </c>
      <c r="C988" s="8" t="inlineStr">
        <is>
          <t>Willamette Food Cooperative</t>
        </is>
      </c>
      <c r="D988" s="22" t="n">
        <v>46195</v>
      </c>
      <c r="E988" s="22" t="n">
        <v>46225</v>
      </c>
      <c r="F988" s="9" t="n">
        <v>2280.3</v>
      </c>
      <c r="G988" s="23" t="n">
        <v>46225</v>
      </c>
      <c r="H988" s="24" t="inlineStr">
        <is>
          <t>Medium</t>
        </is>
      </c>
      <c r="I988" s="24" t="inlineStr">
        <is>
          <t>Contractual due date pending refreshed collection call</t>
        </is>
      </c>
      <c r="J988" s="8">
        <f>IFERROR(MATCH(G988,'13W Cash Forecast'!$B$4:$N$4,1),1)</f>
        <v/>
      </c>
    </row>
    <row r="989">
      <c r="A989" s="8" t="inlineStr">
        <is>
          <t>AR-0031273</t>
        </is>
      </c>
      <c r="B989" s="8" t="inlineStr">
        <is>
          <t>Service</t>
        </is>
      </c>
      <c r="C989" s="8" t="inlineStr">
        <is>
          <t>Mt. Hood Community Health Campus Services</t>
        </is>
      </c>
      <c r="D989" s="22" t="n">
        <v>46195</v>
      </c>
      <c r="E989" s="22" t="n">
        <v>46225</v>
      </c>
      <c r="F989" s="9" t="n">
        <v>1814.71</v>
      </c>
      <c r="G989" s="23" t="n">
        <v>46225</v>
      </c>
      <c r="H989" s="24" t="inlineStr">
        <is>
          <t>Medium</t>
        </is>
      </c>
      <c r="I989" s="24" t="inlineStr">
        <is>
          <t>Contractual due date pending refreshed collection call</t>
        </is>
      </c>
      <c r="J989" s="8">
        <f>IFERROR(MATCH(G989,'13W Cash Forecast'!$B$4:$N$4,1),1)</f>
        <v/>
      </c>
    </row>
    <row r="990">
      <c r="A990" s="8" t="inlineStr">
        <is>
          <t>AR-0031300</t>
        </is>
      </c>
      <c r="B990" s="8" t="inlineStr">
        <is>
          <t>Service</t>
        </is>
      </c>
      <c r="C990" s="8" t="inlineStr">
        <is>
          <t>Columbia River Logistics - Portfolio Facilities</t>
        </is>
      </c>
      <c r="D990" s="22" t="n">
        <v>46195</v>
      </c>
      <c r="E990" s="22" t="n">
        <v>46225</v>
      </c>
      <c r="F990" s="9" t="n">
        <v>1285.48</v>
      </c>
      <c r="G990" s="23" t="n">
        <v>46225</v>
      </c>
      <c r="H990" s="24" t="inlineStr">
        <is>
          <t>Medium</t>
        </is>
      </c>
      <c r="I990" s="24" t="inlineStr">
        <is>
          <t>Contractual due date pending refreshed collection call</t>
        </is>
      </c>
      <c r="J990" s="8">
        <f>IFERROR(MATCH(G990,'13W Cash Forecast'!$B$4:$N$4,1),1)</f>
        <v/>
      </c>
    </row>
    <row r="991">
      <c r="A991" s="8" t="inlineStr">
        <is>
          <t>AR-0031354</t>
        </is>
      </c>
      <c r="B991" s="8" t="inlineStr">
        <is>
          <t>Service</t>
        </is>
      </c>
      <c r="C991" s="8" t="inlineStr">
        <is>
          <t>Salem Surgical Partners - Campus Asset Management</t>
        </is>
      </c>
      <c r="D991" s="22" t="n">
        <v>46195</v>
      </c>
      <c r="E991" s="22" t="n">
        <v>46225</v>
      </c>
      <c r="F991" s="9" t="n">
        <v>5527.52</v>
      </c>
      <c r="G991" s="23" t="n">
        <v>46225</v>
      </c>
      <c r="H991" s="24" t="inlineStr">
        <is>
          <t>Medium</t>
        </is>
      </c>
      <c r="I991" s="24" t="inlineStr">
        <is>
          <t>Contractual due date pending refreshed collection call</t>
        </is>
      </c>
      <c r="J991" s="8">
        <f>IFERROR(MATCH(G991,'13W Cash Forecast'!$B$4:$N$4,1),1)</f>
        <v/>
      </c>
    </row>
    <row r="992">
      <c r="A992" s="8" t="inlineStr">
        <is>
          <t>AR-0031360</t>
        </is>
      </c>
      <c r="B992" s="8" t="inlineStr">
        <is>
          <t>Service</t>
        </is>
      </c>
      <c r="C992" s="8" t="inlineStr">
        <is>
          <t>Deschutes Medical Group - North Asset Management</t>
        </is>
      </c>
      <c r="D992" s="22" t="n">
        <v>46180</v>
      </c>
      <c r="E992" s="22" t="n">
        <v>46225</v>
      </c>
      <c r="F992" s="9" t="n">
        <v>2407.9</v>
      </c>
      <c r="G992" s="23" t="n">
        <v>46225</v>
      </c>
      <c r="H992" s="24" t="inlineStr">
        <is>
          <t>Medium</t>
        </is>
      </c>
      <c r="I992" s="24" t="inlineStr">
        <is>
          <t>Contractual due date pending refreshed collection call</t>
        </is>
      </c>
      <c r="J992" s="8">
        <f>IFERROR(MATCH(G992,'13W Cash Forecast'!$B$4:$N$4,1),1)</f>
        <v/>
      </c>
    </row>
    <row r="993">
      <c r="A993" s="8" t="inlineStr">
        <is>
          <t>AR-0031408</t>
        </is>
      </c>
      <c r="B993" s="8" t="inlineStr">
        <is>
          <t>Service</t>
        </is>
      </c>
      <c r="C993" s="8" t="inlineStr">
        <is>
          <t>Klamath County Facilities - South Holdings, LLC</t>
        </is>
      </c>
      <c r="D993" s="22" t="n">
        <v>46195</v>
      </c>
      <c r="E993" s="22" t="n">
        <v>46225</v>
      </c>
      <c r="F993" s="9" t="n">
        <v>1575.04</v>
      </c>
      <c r="G993" s="23" t="n">
        <v>46225</v>
      </c>
      <c r="H993" s="24" t="inlineStr">
        <is>
          <t>Low</t>
        </is>
      </c>
      <c r="I993" s="24" t="inlineStr">
        <is>
          <t>Awaiting project-accountant follow-up</t>
        </is>
      </c>
      <c r="J993" s="8">
        <f>IFERROR(MATCH(G993,'13W Cash Forecast'!$B$4:$N$4,1),1)</f>
        <v/>
      </c>
    </row>
    <row r="994">
      <c r="A994" s="8" t="inlineStr">
        <is>
          <t>AR-0031462</t>
        </is>
      </c>
      <c r="B994" s="8" t="inlineStr">
        <is>
          <t>Service</t>
        </is>
      </c>
      <c r="C994" s="8" t="inlineStr">
        <is>
          <t>Central Cascades Foods - Central Holdings, LLC</t>
        </is>
      </c>
      <c r="D994" s="22" t="n">
        <v>46195</v>
      </c>
      <c r="E994" s="22" t="n">
        <v>46225</v>
      </c>
      <c r="F994" s="9" t="n">
        <v>967.89</v>
      </c>
      <c r="G994" s="23" t="n">
        <v>46225</v>
      </c>
      <c r="H994" s="24" t="inlineStr">
        <is>
          <t>Medium</t>
        </is>
      </c>
      <c r="I994" s="24" t="inlineStr">
        <is>
          <t>Contractual due date pending refreshed collection call</t>
        </is>
      </c>
      <c r="J994" s="8">
        <f>IFERROR(MATCH(G994,'13W Cash Forecast'!$B$4:$N$4,1),1)</f>
        <v/>
      </c>
    </row>
    <row r="995">
      <c r="A995" s="8" t="inlineStr">
        <is>
          <t>AR-0031251</t>
        </is>
      </c>
      <c r="B995" s="8" t="inlineStr">
        <is>
          <t>Service</t>
        </is>
      </c>
      <c r="C995" s="8" t="inlineStr">
        <is>
          <t>Mt. Hood Community Health - Operations LLC</t>
        </is>
      </c>
      <c r="D995" s="22" t="n">
        <v>46196</v>
      </c>
      <c r="E995" s="22" t="n">
        <v>46226</v>
      </c>
      <c r="F995" s="9" t="n">
        <v>5579.89</v>
      </c>
      <c r="G995" s="23" t="n">
        <v>46226</v>
      </c>
      <c r="H995" s="24" t="inlineStr">
        <is>
          <t>Medium</t>
        </is>
      </c>
      <c r="I995" s="24" t="inlineStr">
        <is>
          <t>Contractual due date pending refreshed collection call</t>
        </is>
      </c>
      <c r="J995" s="8">
        <f>IFERROR(MATCH(G995,'13W Cash Forecast'!$B$4:$N$4,1),1)</f>
        <v/>
      </c>
    </row>
    <row r="996">
      <c r="A996" s="8" t="inlineStr">
        <is>
          <t>AR-0031332</t>
        </is>
      </c>
      <c r="B996" s="8" t="inlineStr">
        <is>
          <t>Service</t>
        </is>
      </c>
      <c r="C996" s="8" t="inlineStr">
        <is>
          <t>Forest Park Hospitality - West Asset Management</t>
        </is>
      </c>
      <c r="D996" s="22" t="n">
        <v>46196</v>
      </c>
      <c r="E996" s="22" t="n">
        <v>46226</v>
      </c>
      <c r="F996" s="9" t="n">
        <v>3775.61</v>
      </c>
      <c r="G996" s="23" t="n">
        <v>46226</v>
      </c>
      <c r="H996" s="24" t="inlineStr">
        <is>
          <t>Medium</t>
        </is>
      </c>
      <c r="I996" s="24" t="inlineStr">
        <is>
          <t>Contractual due date pending refreshed collection call</t>
        </is>
      </c>
      <c r="J996" s="8">
        <f>IFERROR(MATCH(G996,'13W Cash Forecast'!$B$4:$N$4,1),1)</f>
        <v/>
      </c>
    </row>
    <row r="997">
      <c r="A997" s="8" t="inlineStr">
        <is>
          <t>AR-0031338</t>
        </is>
      </c>
      <c r="B997" s="8" t="inlineStr">
        <is>
          <t>Service</t>
        </is>
      </c>
      <c r="C997" s="8" t="inlineStr">
        <is>
          <t>Portland Arts and Events - Central Campus Services</t>
        </is>
      </c>
      <c r="D997" s="22" t="n">
        <v>46181</v>
      </c>
      <c r="E997" s="22" t="n">
        <v>46226</v>
      </c>
      <c r="F997" s="9" t="n">
        <v>1939.29</v>
      </c>
      <c r="G997" s="23" t="n">
        <v>46226</v>
      </c>
      <c r="H997" s="24" t="inlineStr">
        <is>
          <t>Medium</t>
        </is>
      </c>
      <c r="I997" s="24" t="inlineStr">
        <is>
          <t>Contractual due date pending refreshed collection call</t>
        </is>
      </c>
      <c r="J997" s="8">
        <f>IFERROR(MATCH(G997,'13W Cash Forecast'!$B$4:$N$4,1),1)</f>
        <v/>
      </c>
    </row>
    <row r="998">
      <c r="A998" s="8" t="inlineStr">
        <is>
          <t>AR-0031386</t>
        </is>
      </c>
      <c r="B998" s="8" t="inlineStr">
        <is>
          <t>Service</t>
        </is>
      </c>
      <c r="C998" s="8" t="inlineStr">
        <is>
          <t>Valley View Food Systems - Operations LLC</t>
        </is>
      </c>
      <c r="D998" s="22" t="n">
        <v>46196</v>
      </c>
      <c r="E998" s="22" t="n">
        <v>46226</v>
      </c>
      <c r="F998" s="9" t="n">
        <v>1926.04</v>
      </c>
      <c r="G998" s="23" t="n">
        <v>46226</v>
      </c>
      <c r="H998" s="24" t="inlineStr">
        <is>
          <t>Medium</t>
        </is>
      </c>
      <c r="I998" s="24" t="inlineStr">
        <is>
          <t>Contractual due date pending refreshed collection call</t>
        </is>
      </c>
      <c r="J998" s="8">
        <f>IFERROR(MATCH(G998,'13W Cash Forecast'!$B$4:$N$4,1),1)</f>
        <v/>
      </c>
    </row>
    <row r="999">
      <c r="A999" s="8" t="inlineStr">
        <is>
          <t>AR-0031440</t>
        </is>
      </c>
      <c r="B999" s="8" t="inlineStr">
        <is>
          <t>Service</t>
        </is>
      </c>
      <c r="C999" s="8" t="inlineStr">
        <is>
          <t>Oak Street Development - North LLC</t>
        </is>
      </c>
      <c r="D999" s="22" t="n">
        <v>46196</v>
      </c>
      <c r="E999" s="22" t="n">
        <v>46226</v>
      </c>
      <c r="F999" s="9" t="n">
        <v>5941.85</v>
      </c>
      <c r="G999" s="23" t="n">
        <v>46226</v>
      </c>
      <c r="H999" s="24" t="inlineStr">
        <is>
          <t>Medium</t>
        </is>
      </c>
      <c r="I999" s="24" t="inlineStr">
        <is>
          <t>Contractual due date pending refreshed collection call</t>
        </is>
      </c>
      <c r="J999" s="8">
        <f>IFERROR(MATCH(G999,'13W Cash Forecast'!$B$4:$N$4,1),1)</f>
        <v/>
      </c>
    </row>
    <row r="1000">
      <c r="A1000" s="8" t="inlineStr">
        <is>
          <t>AR-0031467</t>
        </is>
      </c>
      <c r="B1000" s="8" t="inlineStr">
        <is>
          <t>Service</t>
        </is>
      </c>
      <c r="C1000" s="8" t="inlineStr">
        <is>
          <t>Union Station Properties - Central Partners, LP</t>
        </is>
      </c>
      <c r="D1000" s="22" t="n">
        <v>46196</v>
      </c>
      <c r="E1000" s="22" t="n">
        <v>46226</v>
      </c>
      <c r="F1000" s="9" t="n">
        <v>11515.93</v>
      </c>
      <c r="G1000" s="23" t="n">
        <v>46226</v>
      </c>
      <c r="H1000" s="24" t="inlineStr">
        <is>
          <t>Low</t>
        </is>
      </c>
      <c r="I1000" s="24" t="inlineStr">
        <is>
          <t>Awaiting project-accountant follow-up</t>
        </is>
      </c>
      <c r="J1000" s="8">
        <f>IFERROR(MATCH(G1000,'13W Cash Forecast'!$B$4:$N$4,1),1)</f>
        <v/>
      </c>
    </row>
    <row r="1001">
      <c r="A1001" s="8" t="inlineStr">
        <is>
          <t>AR-0031229</t>
        </is>
      </c>
      <c r="B1001" s="8" t="inlineStr">
        <is>
          <t>Service</t>
        </is>
      </c>
      <c r="C1001" s="8" t="inlineStr">
        <is>
          <t>Beacon Industrial - South LLC</t>
        </is>
      </c>
      <c r="D1001" s="22" t="n">
        <v>46197</v>
      </c>
      <c r="E1001" s="22" t="n">
        <v>46227</v>
      </c>
      <c r="F1001" s="9" t="n">
        <v>1905.33</v>
      </c>
      <c r="G1001" s="23" t="n">
        <v>46227</v>
      </c>
      <c r="H1001" s="24" t="inlineStr">
        <is>
          <t>Medium</t>
        </is>
      </c>
      <c r="I1001" s="24" t="inlineStr">
        <is>
          <t>Contractual due date pending refreshed collection call</t>
        </is>
      </c>
      <c r="J1001" s="8">
        <f>IFERROR(MATCH(G1001,'13W Cash Forecast'!$B$4:$N$4,1),1)</f>
        <v/>
      </c>
    </row>
    <row r="1002">
      <c r="A1002" s="8" t="inlineStr">
        <is>
          <t>AR-0031235</t>
        </is>
      </c>
      <c r="B1002" s="8" t="inlineStr">
        <is>
          <t>Service</t>
        </is>
      </c>
      <c r="C1002" s="8" t="inlineStr">
        <is>
          <t>Lake Oswego Office Partners - East Development Company</t>
        </is>
      </c>
      <c r="D1002" s="22" t="n">
        <v>46182</v>
      </c>
      <c r="E1002" s="22" t="n">
        <v>46227</v>
      </c>
      <c r="F1002" s="9" t="n">
        <v>4195.72</v>
      </c>
      <c r="G1002" s="23" t="n">
        <v>46227</v>
      </c>
      <c r="H1002" s="24" t="inlineStr">
        <is>
          <t>Medium</t>
        </is>
      </c>
      <c r="I1002" s="24" t="inlineStr">
        <is>
          <t>Contractual due date pending refreshed collection call</t>
        </is>
      </c>
      <c r="J1002" s="8">
        <f>IFERROR(MATCH(G1002,'13W Cash Forecast'!$B$4:$N$4,1),1)</f>
        <v/>
      </c>
    </row>
    <row r="1003">
      <c r="A1003" s="8" t="inlineStr">
        <is>
          <t>AR-0031283</t>
        </is>
      </c>
      <c r="B1003" s="8" t="inlineStr">
        <is>
          <t>Service</t>
        </is>
      </c>
      <c r="C1003" s="8" t="inlineStr">
        <is>
          <t>Columbia Biologics, Inc.</t>
        </is>
      </c>
      <c r="D1003" s="22" t="n">
        <v>46197</v>
      </c>
      <c r="E1003" s="22" t="n">
        <v>46227</v>
      </c>
      <c r="F1003" s="9" t="n">
        <v>1441.47</v>
      </c>
      <c r="G1003" s="23" t="n">
        <v>46227</v>
      </c>
      <c r="H1003" s="24" t="inlineStr">
        <is>
          <t>Medium</t>
        </is>
      </c>
      <c r="I1003" s="24" t="inlineStr">
        <is>
          <t>Contractual due date pending refreshed collection call</t>
        </is>
      </c>
      <c r="J1003" s="8">
        <f>IFERROR(MATCH(G1003,'13W Cash Forecast'!$B$4:$N$4,1),1)</f>
        <v/>
      </c>
    </row>
    <row r="1004">
      <c r="A1004" s="8" t="inlineStr">
        <is>
          <t>AR-0031310</t>
        </is>
      </c>
      <c r="B1004" s="8" t="inlineStr">
        <is>
          <t>Service</t>
        </is>
      </c>
      <c r="C1004" s="8" t="inlineStr">
        <is>
          <t>Klamath County Facilities Development Company</t>
        </is>
      </c>
      <c r="D1004" s="22" t="n">
        <v>46197</v>
      </c>
      <c r="E1004" s="22" t="n">
        <v>46227</v>
      </c>
      <c r="F1004" s="9" t="n">
        <v>1264.52</v>
      </c>
      <c r="G1004" s="23" t="n">
        <v>46227</v>
      </c>
      <c r="H1004" s="24" t="inlineStr">
        <is>
          <t>Medium</t>
        </is>
      </c>
      <c r="I1004" s="24" t="inlineStr">
        <is>
          <t>Contractual due date pending refreshed collection call</t>
        </is>
      </c>
      <c r="J1004" s="8">
        <f>IFERROR(MATCH(G1004,'13W Cash Forecast'!$B$4:$N$4,1),1)</f>
        <v/>
      </c>
    </row>
    <row r="1005">
      <c r="A1005" s="8" t="inlineStr">
        <is>
          <t>AR-0031316</t>
        </is>
      </c>
      <c r="B1005" s="8" t="inlineStr">
        <is>
          <t>Service</t>
        </is>
      </c>
      <c r="C1005" s="8" t="inlineStr">
        <is>
          <t>Deschutes Medical Group - North Campus Services</t>
        </is>
      </c>
      <c r="D1005" s="22" t="n">
        <v>46182</v>
      </c>
      <c r="E1005" s="22" t="n">
        <v>46227</v>
      </c>
      <c r="F1005" s="9" t="n">
        <v>1842.57</v>
      </c>
      <c r="G1005" s="23" t="n">
        <v>46227</v>
      </c>
      <c r="H1005" s="24" t="inlineStr">
        <is>
          <t>Medium</t>
        </is>
      </c>
      <c r="I1005" s="24" t="inlineStr">
        <is>
          <t>Contractual due date pending refreshed collection call</t>
        </is>
      </c>
      <c r="J1005" s="8">
        <f>IFERROR(MATCH(G1005,'13W Cash Forecast'!$B$4:$N$4,1),1)</f>
        <v/>
      </c>
    </row>
    <row r="1006">
      <c r="A1006" s="8" t="inlineStr">
        <is>
          <t>AR-0031364</t>
        </is>
      </c>
      <c r="B1006" s="8" t="inlineStr">
        <is>
          <t>Service</t>
        </is>
      </c>
      <c r="C1006" s="8" t="inlineStr">
        <is>
          <t>Klamath County Facilities - South LLC</t>
        </is>
      </c>
      <c r="D1006" s="22" t="n">
        <v>46197</v>
      </c>
      <c r="E1006" s="22" t="n">
        <v>46227</v>
      </c>
      <c r="F1006" s="9" t="n">
        <v>721.23</v>
      </c>
      <c r="G1006" s="23" t="n">
        <v>46227</v>
      </c>
      <c r="H1006" s="24" t="inlineStr">
        <is>
          <t>Medium</t>
        </is>
      </c>
      <c r="I1006" s="24" t="inlineStr">
        <is>
          <t>Contractual due date pending refreshed collection call</t>
        </is>
      </c>
      <c r="J1006" s="8">
        <f>IFERROR(MATCH(G1006,'13W Cash Forecast'!$B$4:$N$4,1),1)</f>
        <v/>
      </c>
    </row>
    <row r="1007">
      <c r="A1007" s="8" t="inlineStr">
        <is>
          <t>AR-0031418</t>
        </is>
      </c>
      <c r="B1007" s="8" t="inlineStr">
        <is>
          <t>Service</t>
        </is>
      </c>
      <c r="C1007" s="8" t="inlineStr">
        <is>
          <t>Central Cascades Foods - Central LLC</t>
        </is>
      </c>
      <c r="D1007" s="22" t="n">
        <v>46197</v>
      </c>
      <c r="E1007" s="22" t="n">
        <v>46227</v>
      </c>
      <c r="F1007" s="9" t="n">
        <v>1930.98</v>
      </c>
      <c r="G1007" s="23" t="n">
        <v>46227</v>
      </c>
      <c r="H1007" s="24" t="inlineStr">
        <is>
          <t>Low</t>
        </is>
      </c>
      <c r="I1007" s="24" t="inlineStr">
        <is>
          <t>Awaiting project-accountant follow-up</t>
        </is>
      </c>
      <c r="J1007" s="8">
        <f>IFERROR(MATCH(G1007,'13W Cash Forecast'!$B$4:$N$4,1),1)</f>
        <v/>
      </c>
    </row>
    <row r="1008">
      <c r="A1008" s="8" t="inlineStr">
        <is>
          <t>AR-0031445</t>
        </is>
      </c>
      <c r="B1008" s="8" t="inlineStr">
        <is>
          <t>Service</t>
        </is>
      </c>
      <c r="C1008" s="8" t="inlineStr">
        <is>
          <t>Juniper Ridge Properties - North Partners, LP</t>
        </is>
      </c>
      <c r="D1008" s="22" t="n">
        <v>46197</v>
      </c>
      <c r="E1008" s="22" t="n">
        <v>46227</v>
      </c>
      <c r="F1008" s="9" t="n">
        <v>684</v>
      </c>
      <c r="G1008" s="23" t="n">
        <v>46227</v>
      </c>
      <c r="H1008" s="24" t="inlineStr">
        <is>
          <t>Medium</t>
        </is>
      </c>
      <c r="I1008" s="24" t="inlineStr">
        <is>
          <t>Contractual due date pending refreshed collection call</t>
        </is>
      </c>
      <c r="J1008" s="8">
        <f>IFERROR(MATCH(G1008,'13W Cash Forecast'!$B$4:$N$4,1),1)</f>
        <v/>
      </c>
    </row>
    <row r="1009">
      <c r="A1009" s="8" t="inlineStr">
        <is>
          <t>AR-0031207</t>
        </is>
      </c>
      <c r="B1009" s="8" t="inlineStr">
        <is>
          <t>Service</t>
        </is>
      </c>
      <c r="C1009" s="8" t="inlineStr">
        <is>
          <t>Mt. Hood Community Health - Operations Development Company</t>
        </is>
      </c>
      <c r="D1009" s="22" t="n">
        <v>46198</v>
      </c>
      <c r="E1009" s="22" t="n">
        <v>46228</v>
      </c>
      <c r="F1009" s="9" t="n">
        <v>2609.3</v>
      </c>
      <c r="G1009" s="23" t="n">
        <v>46228</v>
      </c>
      <c r="H1009" s="24" t="inlineStr">
        <is>
          <t>Medium</t>
        </is>
      </c>
      <c r="I1009" s="24" t="inlineStr">
        <is>
          <t>Contractual due date pending refreshed collection call</t>
        </is>
      </c>
      <c r="J1009" s="8">
        <f>IFERROR(MATCH(G1009,'13W Cash Forecast'!$B$4:$N$4,1),1)</f>
        <v/>
      </c>
    </row>
    <row r="1010">
      <c r="A1010" s="8" t="inlineStr">
        <is>
          <t>AR-0031213</t>
        </is>
      </c>
      <c r="B1010" s="8" t="inlineStr">
        <is>
          <t>Service</t>
        </is>
      </c>
      <c r="C1010" s="8" t="inlineStr">
        <is>
          <t>Westside Ambulatory - Portfolio Asset Management</t>
        </is>
      </c>
      <c r="D1010" s="22" t="n">
        <v>46183</v>
      </c>
      <c r="E1010" s="22" t="n">
        <v>46228</v>
      </c>
      <c r="F1010" s="9" t="n">
        <v>1281.04</v>
      </c>
      <c r="G1010" s="23" t="n">
        <v>46228</v>
      </c>
      <c r="H1010" s="24" t="inlineStr">
        <is>
          <t>Medium</t>
        </is>
      </c>
      <c r="I1010" s="24" t="inlineStr">
        <is>
          <t>Contractual due date pending refreshed collection call</t>
        </is>
      </c>
      <c r="J1010" s="8">
        <f>IFERROR(MATCH(G1010,'13W Cash Forecast'!$B$4:$N$4,1),1)</f>
        <v/>
      </c>
    </row>
    <row r="1011">
      <c r="A1011" s="8" t="inlineStr">
        <is>
          <t>AR-0031261</t>
        </is>
      </c>
      <c r="B1011" s="8" t="inlineStr">
        <is>
          <t>Service</t>
        </is>
      </c>
      <c r="C1011" s="8" t="inlineStr">
        <is>
          <t>Copperline Apartments - Campus Property Group</t>
        </is>
      </c>
      <c r="D1011" s="22" t="n">
        <v>46198</v>
      </c>
      <c r="E1011" s="22" t="n">
        <v>46228</v>
      </c>
      <c r="F1011" s="9" t="n">
        <v>2149.06</v>
      </c>
      <c r="G1011" s="23" t="n">
        <v>46228</v>
      </c>
      <c r="H1011" s="24" t="inlineStr">
        <is>
          <t>Medium</t>
        </is>
      </c>
      <c r="I1011" s="24" t="inlineStr">
        <is>
          <t>Contractual due date pending refreshed collection call</t>
        </is>
      </c>
      <c r="J1011" s="8">
        <f>IFERROR(MATCH(G1011,'13W Cash Forecast'!$B$4:$N$4,1),1)</f>
        <v/>
      </c>
    </row>
    <row r="1012">
      <c r="A1012" s="8" t="inlineStr">
        <is>
          <t>AR-0031267</t>
        </is>
      </c>
      <c r="B1012" s="8" t="inlineStr">
        <is>
          <t>Service</t>
        </is>
      </c>
      <c r="C1012" s="8" t="inlineStr">
        <is>
          <t>Cascade Health Properties, LLC</t>
        </is>
      </c>
      <c r="D1012" s="22" t="n">
        <v>46183</v>
      </c>
      <c r="E1012" s="22" t="n">
        <v>46228</v>
      </c>
      <c r="F1012" s="9" t="n">
        <v>2648.11</v>
      </c>
      <c r="G1012" s="23" t="n">
        <v>46228</v>
      </c>
      <c r="H1012" s="24" t="inlineStr">
        <is>
          <t>Medium</t>
        </is>
      </c>
      <c r="I1012" s="24" t="inlineStr">
        <is>
          <t>Contractual due date pending refreshed collection call</t>
        </is>
      </c>
      <c r="J1012" s="8">
        <f>IFERROR(MATCH(G1012,'13W Cash Forecast'!$B$4:$N$4,1),1)</f>
        <v/>
      </c>
    </row>
    <row r="1013">
      <c r="A1013" s="8" t="inlineStr">
        <is>
          <t>AR-0031315</t>
        </is>
      </c>
      <c r="B1013" s="8" t="inlineStr">
        <is>
          <t>Service</t>
        </is>
      </c>
      <c r="C1013" s="8" t="inlineStr">
        <is>
          <t>Beacon Industrial Campus Services</t>
        </is>
      </c>
      <c r="D1013" s="22" t="n">
        <v>46198</v>
      </c>
      <c r="E1013" s="22" t="n">
        <v>46228</v>
      </c>
      <c r="F1013" s="9" t="n">
        <v>1813.5</v>
      </c>
      <c r="G1013" s="23" t="n">
        <v>46228</v>
      </c>
      <c r="H1013" s="24" t="inlineStr">
        <is>
          <t>Medium</t>
        </is>
      </c>
      <c r="I1013" s="24" t="inlineStr">
        <is>
          <t>Contractual due date pending refreshed collection call</t>
        </is>
      </c>
      <c r="J1013" s="8">
        <f>IFERROR(MATCH(G1013,'13W Cash Forecast'!$B$4:$N$4,1),1)</f>
        <v/>
      </c>
    </row>
    <row r="1014">
      <c r="A1014" s="8" t="inlineStr">
        <is>
          <t>AR-0031342</t>
        </is>
      </c>
      <c r="B1014" s="8" t="inlineStr">
        <is>
          <t>Service</t>
        </is>
      </c>
      <c r="C1014" s="8" t="inlineStr">
        <is>
          <t>Salem Surgical Partners Campus Services</t>
        </is>
      </c>
      <c r="D1014" s="22" t="n">
        <v>46198</v>
      </c>
      <c r="E1014" s="22" t="n">
        <v>46228</v>
      </c>
      <c r="F1014" s="9" t="n">
        <v>888.41</v>
      </c>
      <c r="G1014" s="23" t="n">
        <v>46228</v>
      </c>
      <c r="H1014" s="24" t="inlineStr">
        <is>
          <t>Low</t>
        </is>
      </c>
      <c r="I1014" s="24" t="inlineStr">
        <is>
          <t>Awaiting project-accountant follow-up</t>
        </is>
      </c>
      <c r="J1014" s="8">
        <f>IFERROR(MATCH(G1014,'13W Cash Forecast'!$B$4:$N$4,1),1)</f>
        <v/>
      </c>
    </row>
    <row r="1015">
      <c r="A1015" s="8" t="inlineStr">
        <is>
          <t>AR-0031396</t>
        </is>
      </c>
      <c r="B1015" s="8" t="inlineStr">
        <is>
          <t>Service</t>
        </is>
      </c>
      <c r="C1015" s="8" t="inlineStr">
        <is>
          <t>Oak Street Development - North Development Company</t>
        </is>
      </c>
      <c r="D1015" s="22" t="n">
        <v>46198</v>
      </c>
      <c r="E1015" s="22" t="n">
        <v>46228</v>
      </c>
      <c r="F1015" s="9" t="n">
        <v>2231.23</v>
      </c>
      <c r="G1015" s="23" t="n">
        <v>46228</v>
      </c>
      <c r="H1015" s="24" t="inlineStr">
        <is>
          <t>Medium</t>
        </is>
      </c>
      <c r="I1015" s="24" t="inlineStr">
        <is>
          <t>Contractual due date pending refreshed collection call</t>
        </is>
      </c>
      <c r="J1015" s="8">
        <f>IFERROR(MATCH(G1015,'13W Cash Forecast'!$B$4:$N$4,1),1)</f>
        <v/>
      </c>
    </row>
    <row r="1016">
      <c r="A1016" s="8" t="inlineStr">
        <is>
          <t>AR-0031423</t>
        </is>
      </c>
      <c r="B1016" s="8" t="inlineStr">
        <is>
          <t>Service</t>
        </is>
      </c>
      <c r="C1016" s="8" t="inlineStr">
        <is>
          <t>Union Station Properties - Central Facilities</t>
        </is>
      </c>
      <c r="D1016" s="22" t="n">
        <v>46198</v>
      </c>
      <c r="E1016" s="22" t="n">
        <v>46228</v>
      </c>
      <c r="F1016" s="9" t="n">
        <v>4276.89</v>
      </c>
      <c r="G1016" s="23" t="n">
        <v>46228</v>
      </c>
      <c r="H1016" s="24" t="inlineStr">
        <is>
          <t>Medium</t>
        </is>
      </c>
      <c r="I1016" s="24" t="inlineStr">
        <is>
          <t>Contractual due date pending refreshed collection call</t>
        </is>
      </c>
      <c r="J1016" s="8">
        <f>IFERROR(MATCH(G1016,'13W Cash Forecast'!$B$4:$N$4,1),1)</f>
        <v/>
      </c>
    </row>
    <row r="1017">
      <c r="A1017" s="8" t="inlineStr">
        <is>
          <t>AR-0031477</t>
        </is>
      </c>
      <c r="B1017" s="8" t="inlineStr">
        <is>
          <t>Service</t>
        </is>
      </c>
      <c r="C1017" s="8" t="inlineStr">
        <is>
          <t>Mt. Hood Community Health - Operations Development Company</t>
        </is>
      </c>
      <c r="D1017" s="22" t="n">
        <v>46198</v>
      </c>
      <c r="E1017" s="22" t="n">
        <v>46228</v>
      </c>
      <c r="F1017" s="9" t="n">
        <v>13799.6</v>
      </c>
      <c r="G1017" s="23" t="n">
        <v>46228</v>
      </c>
      <c r="H1017" s="24" t="inlineStr">
        <is>
          <t>Medium</t>
        </is>
      </c>
      <c r="I1017" s="24" t="inlineStr">
        <is>
          <t>Contractual due date pending refreshed collection call</t>
        </is>
      </c>
      <c r="J1017" s="8">
        <f>IFERROR(MATCH(G1017,'13W Cash Forecast'!$B$4:$N$4,1),1)</f>
        <v/>
      </c>
    </row>
    <row r="1018">
      <c r="A1018" s="8" t="inlineStr">
        <is>
          <t>AR-0031239</t>
        </is>
      </c>
      <c r="B1018" s="8" t="inlineStr">
        <is>
          <t>Service</t>
        </is>
      </c>
      <c r="C1018" s="8" t="inlineStr">
        <is>
          <t>Pioneer Medical Properties - West Holdings, LLC</t>
        </is>
      </c>
      <c r="D1018" s="22" t="n">
        <v>46199</v>
      </c>
      <c r="E1018" s="22" t="n">
        <v>46229</v>
      </c>
      <c r="F1018" s="9" t="n">
        <v>1589.76</v>
      </c>
      <c r="G1018" s="23" t="n">
        <v>46229</v>
      </c>
      <c r="H1018" s="24" t="inlineStr">
        <is>
          <t>Medium</t>
        </is>
      </c>
      <c r="I1018" s="24" t="inlineStr">
        <is>
          <t>Contractual due date pending refreshed collection call</t>
        </is>
      </c>
      <c r="J1018" s="8">
        <f>IFERROR(MATCH(G1018,'13W Cash Forecast'!$B$4:$N$4,1),1)</f>
        <v/>
      </c>
    </row>
    <row r="1019">
      <c r="A1019" s="8" t="inlineStr">
        <is>
          <t>AR-0031293</t>
        </is>
      </c>
      <c r="B1019" s="8" t="inlineStr">
        <is>
          <t>Service</t>
        </is>
      </c>
      <c r="C1019" s="8" t="inlineStr">
        <is>
          <t>High Desert Manufacturing - Portfolio Holdings, LLC</t>
        </is>
      </c>
      <c r="D1019" s="22" t="n">
        <v>46199</v>
      </c>
      <c r="E1019" s="22" t="n">
        <v>46229</v>
      </c>
      <c r="F1019" s="9" t="n">
        <v>4229.55</v>
      </c>
      <c r="G1019" s="23" t="n">
        <v>46229</v>
      </c>
      <c r="H1019" s="24" t="inlineStr">
        <is>
          <t>Medium</t>
        </is>
      </c>
      <c r="I1019" s="24" t="inlineStr">
        <is>
          <t>Contractual due date pending refreshed collection call</t>
        </is>
      </c>
      <c r="J1019" s="8">
        <f>IFERROR(MATCH(G1019,'13W Cash Forecast'!$B$4:$N$4,1),1)</f>
        <v/>
      </c>
    </row>
    <row r="1020">
      <c r="A1020" s="8" t="inlineStr">
        <is>
          <t>AR-0031320</t>
        </is>
      </c>
      <c r="B1020" s="8" t="inlineStr">
        <is>
          <t>Service</t>
        </is>
      </c>
      <c r="C1020" s="8" t="inlineStr">
        <is>
          <t>Northline Cold Storage Holdings</t>
        </is>
      </c>
      <c r="D1020" s="22" t="n">
        <v>46199</v>
      </c>
      <c r="E1020" s="22" t="n">
        <v>46229</v>
      </c>
      <c r="F1020" s="9" t="n">
        <v>1764.53</v>
      </c>
      <c r="G1020" s="23" t="n">
        <v>46229</v>
      </c>
      <c r="H1020" s="24" t="inlineStr">
        <is>
          <t>Medium</t>
        </is>
      </c>
      <c r="I1020" s="24" t="inlineStr">
        <is>
          <t>Contractual due date pending refreshed collection call</t>
        </is>
      </c>
      <c r="J1020" s="8">
        <f>IFERROR(MATCH(G1020,'13W Cash Forecast'!$B$4:$N$4,1),1)</f>
        <v/>
      </c>
    </row>
    <row r="1021">
      <c r="A1021" s="8" t="inlineStr">
        <is>
          <t>AR-0031374</t>
        </is>
      </c>
      <c r="B1021" s="8" t="inlineStr">
        <is>
          <t>Service</t>
        </is>
      </c>
      <c r="C1021" s="8" t="inlineStr">
        <is>
          <t>Central Cascades Foods - Central Development Company</t>
        </is>
      </c>
      <c r="D1021" s="22" t="n">
        <v>46199</v>
      </c>
      <c r="E1021" s="22" t="n">
        <v>46229</v>
      </c>
      <c r="F1021" s="9" t="n">
        <v>4096.81</v>
      </c>
      <c r="G1021" s="23" t="n">
        <v>46229</v>
      </c>
      <c r="H1021" s="24" t="inlineStr">
        <is>
          <t>Low</t>
        </is>
      </c>
      <c r="I1021" s="24" t="inlineStr">
        <is>
          <t>Awaiting project-accountant follow-up</t>
        </is>
      </c>
      <c r="J1021" s="8">
        <f>IFERROR(MATCH(G1021,'13W Cash Forecast'!$B$4:$N$4,1),1)</f>
        <v/>
      </c>
    </row>
    <row r="1022">
      <c r="A1022" s="8" t="inlineStr">
        <is>
          <t>AR-0031401</t>
        </is>
      </c>
      <c r="B1022" s="8" t="inlineStr">
        <is>
          <t>Service</t>
        </is>
      </c>
      <c r="C1022" s="8" t="inlineStr">
        <is>
          <t>Juniper Ridge Properties - North Facilities</t>
        </is>
      </c>
      <c r="D1022" s="22" t="n">
        <v>46199</v>
      </c>
      <c r="E1022" s="22" t="n">
        <v>46229</v>
      </c>
      <c r="F1022" s="9" t="n">
        <v>1334.5</v>
      </c>
      <c r="G1022" s="23" t="n">
        <v>46229</v>
      </c>
      <c r="H1022" s="24" t="inlineStr">
        <is>
          <t>Medium</t>
        </is>
      </c>
      <c r="I1022" s="24" t="inlineStr">
        <is>
          <t>Contractual due date pending refreshed collection call</t>
        </is>
      </c>
      <c r="J1022" s="8">
        <f>IFERROR(MATCH(G1022,'13W Cash Forecast'!$B$4:$N$4,1),1)</f>
        <v/>
      </c>
    </row>
    <row r="1023">
      <c r="A1023" s="8" t="inlineStr">
        <is>
          <t>AR-0031455</t>
        </is>
      </c>
      <c r="B1023" s="8" t="inlineStr">
        <is>
          <t>Service</t>
        </is>
      </c>
      <c r="C1023" s="8" t="inlineStr">
        <is>
          <t>Beacon Industrial - South Development Company</t>
        </is>
      </c>
      <c r="D1023" s="22" t="n">
        <v>46199</v>
      </c>
      <c r="E1023" s="22" t="n">
        <v>46229</v>
      </c>
      <c r="F1023" s="9" t="n">
        <v>2733.37</v>
      </c>
      <c r="G1023" s="23" t="n">
        <v>46229</v>
      </c>
      <c r="H1023" s="24" t="inlineStr">
        <is>
          <t>Medium</t>
        </is>
      </c>
      <c r="I1023" s="24" t="inlineStr">
        <is>
          <t>Contractual due date pending refreshed collection call</t>
        </is>
      </c>
      <c r="J1023" s="8">
        <f>IFERROR(MATCH(G1023,'13W Cash Forecast'!$B$4:$N$4,1),1)</f>
        <v/>
      </c>
    </row>
    <row r="1024">
      <c r="A1024" s="8" t="inlineStr">
        <is>
          <t>AR-0031461</t>
        </is>
      </c>
      <c r="B1024" s="8" t="inlineStr">
        <is>
          <t>Service</t>
        </is>
      </c>
      <c r="C1024" s="8" t="inlineStr">
        <is>
          <t>Lake Oswego Office Partners - East Asset Management</t>
        </is>
      </c>
      <c r="D1024" s="22" t="n">
        <v>46184</v>
      </c>
      <c r="E1024" s="22" t="n">
        <v>46229</v>
      </c>
      <c r="F1024" s="9" t="n">
        <v>2064.37</v>
      </c>
      <c r="G1024" s="23" t="n">
        <v>46229</v>
      </c>
      <c r="H1024" s="24" t="inlineStr">
        <is>
          <t>Medium</t>
        </is>
      </c>
      <c r="I1024" s="24" t="inlineStr">
        <is>
          <t>Contractual due date pending refreshed collection call</t>
        </is>
      </c>
      <c r="J1024" s="8">
        <f>IFERROR(MATCH(G1024,'13W Cash Forecast'!$B$4:$N$4,1),1)</f>
        <v/>
      </c>
    </row>
    <row r="1025">
      <c r="A1025" s="8" t="inlineStr">
        <is>
          <t>AR-0031439</t>
        </is>
      </c>
      <c r="B1025" s="8" t="inlineStr">
        <is>
          <t>Service</t>
        </is>
      </c>
      <c r="C1025" s="8" t="inlineStr">
        <is>
          <t>Westside Ambulatory - Portfolio Campus Services</t>
        </is>
      </c>
      <c r="D1025" s="22" t="n">
        <v>46185</v>
      </c>
      <c r="E1025" s="22" t="n">
        <v>46230</v>
      </c>
      <c r="F1025" s="9" t="n">
        <v>5229.09</v>
      </c>
      <c r="G1025" s="23" t="n">
        <v>46230</v>
      </c>
      <c r="H1025" s="24" t="inlineStr">
        <is>
          <t>Medium</t>
        </is>
      </c>
      <c r="I1025" s="24" t="inlineStr">
        <is>
          <t>Contractual due date pending refreshed collection call</t>
        </is>
      </c>
      <c r="J1025" s="8">
        <f>IFERROR(MATCH(G1025,'13W Cash Forecast'!$B$4:$N$4,1),1)</f>
        <v/>
      </c>
    </row>
    <row r="1026">
      <c r="A1026" s="8" t="inlineStr">
        <is>
          <t>AR-0031417</t>
        </is>
      </c>
      <c r="B1026" s="8" t="inlineStr">
        <is>
          <t>Service</t>
        </is>
      </c>
      <c r="C1026" s="8" t="inlineStr">
        <is>
          <t>Lake Oswego Office Partners - East Campus Services</t>
        </is>
      </c>
      <c r="D1026" s="22" t="n">
        <v>46186</v>
      </c>
      <c r="E1026" s="22" t="n">
        <v>46231</v>
      </c>
      <c r="F1026" s="9" t="n">
        <v>1627.72</v>
      </c>
      <c r="G1026" s="23" t="n">
        <v>46231</v>
      </c>
      <c r="H1026" s="24" t="inlineStr">
        <is>
          <t>Medium</t>
        </is>
      </c>
      <c r="I1026" s="24" t="inlineStr">
        <is>
          <t>Contractual due date pending refreshed collection call</t>
        </is>
      </c>
      <c r="J1026" s="8">
        <f>IFERROR(MATCH(G1026,'13W Cash Forecast'!$B$4:$N$4,1),1)</f>
        <v/>
      </c>
    </row>
    <row r="1027">
      <c r="A1027" s="8" t="inlineStr">
        <is>
          <t>AR-0031314</t>
        </is>
      </c>
      <c r="B1027" s="8" t="inlineStr">
        <is>
          <t>Service</t>
        </is>
      </c>
      <c r="C1027" s="8" t="inlineStr">
        <is>
          <t>Deschutes Medical Group - North Development Company</t>
        </is>
      </c>
      <c r="D1027" s="22" t="n">
        <v>46187</v>
      </c>
      <c r="E1027" s="22" t="n">
        <v>46232</v>
      </c>
      <c r="F1027" s="9" t="n">
        <v>8027.75</v>
      </c>
      <c r="G1027" s="23" t="n">
        <v>46232</v>
      </c>
      <c r="H1027" s="24" t="inlineStr">
        <is>
          <t>Medium</t>
        </is>
      </c>
      <c r="I1027" s="24" t="inlineStr">
        <is>
          <t>Contractual due date pending refreshed collection call</t>
        </is>
      </c>
      <c r="J1027" s="8">
        <f>IFERROR(MATCH(G1027,'13W Cash Forecast'!$B$4:$N$4,1),1)</f>
        <v/>
      </c>
    </row>
    <row r="1028">
      <c r="A1028" s="8" t="inlineStr">
        <is>
          <t>AR-0031292</t>
        </is>
      </c>
      <c r="B1028" s="8" t="inlineStr">
        <is>
          <t>Service</t>
        </is>
      </c>
      <c r="C1028" s="8" t="inlineStr">
        <is>
          <t>Portland Arts and Events - Central Asset Management</t>
        </is>
      </c>
      <c r="D1028" s="22" t="n">
        <v>46188</v>
      </c>
      <c r="E1028" s="22" t="n">
        <v>46233</v>
      </c>
      <c r="F1028" s="9" t="n">
        <v>4020.98</v>
      </c>
      <c r="G1028" s="23" t="n">
        <v>46233</v>
      </c>
      <c r="H1028" s="24" t="inlineStr">
        <is>
          <t>Low</t>
        </is>
      </c>
      <c r="I1028" s="24" t="inlineStr">
        <is>
          <t>Awaiting project-accountant follow-up</t>
        </is>
      </c>
      <c r="J1028" s="8">
        <f>IFERROR(MATCH(G1028,'13W Cash Forecast'!$B$4:$N$4,1),1)</f>
        <v/>
      </c>
    </row>
    <row r="1029">
      <c r="A1029" s="8" t="inlineStr">
        <is>
          <t>AR-0031270</t>
        </is>
      </c>
      <c r="B1029" s="8" t="inlineStr">
        <is>
          <t>Service</t>
        </is>
      </c>
      <c r="C1029" s="8" t="inlineStr">
        <is>
          <t>Deschutes Medical Group - North Asset Management</t>
        </is>
      </c>
      <c r="D1029" s="22" t="n">
        <v>46189</v>
      </c>
      <c r="E1029" s="22" t="n">
        <v>46234</v>
      </c>
      <c r="F1029" s="9" t="n">
        <v>1412.58</v>
      </c>
      <c r="G1029" s="23" t="n">
        <v>46234</v>
      </c>
      <c r="H1029" s="24" t="inlineStr">
        <is>
          <t>Medium</t>
        </is>
      </c>
      <c r="I1029" s="24" t="inlineStr">
        <is>
          <t>Contractual due date pending refreshed collection call</t>
        </is>
      </c>
      <c r="J1029" s="8">
        <f>IFERROR(MATCH(G1029,'13W Cash Forecast'!$B$4:$N$4,1),1)</f>
        <v/>
      </c>
    </row>
    <row r="1030">
      <c r="A1030" s="8" t="inlineStr">
        <is>
          <t>AR-0031248</t>
        </is>
      </c>
      <c r="B1030" s="8" t="inlineStr">
        <is>
          <t>Service</t>
        </is>
      </c>
      <c r="C1030" s="8" t="inlineStr">
        <is>
          <t>Portland Arts and Events - Central Campus Services</t>
        </is>
      </c>
      <c r="D1030" s="22" t="n">
        <v>46190</v>
      </c>
      <c r="E1030" s="22" t="n">
        <v>46235</v>
      </c>
      <c r="F1030" s="9" t="n">
        <v>1715.99</v>
      </c>
      <c r="G1030" s="23" t="n">
        <v>46235</v>
      </c>
      <c r="H1030" s="24" t="inlineStr">
        <is>
          <t>Medium</t>
        </is>
      </c>
      <c r="I1030" s="24" t="inlineStr">
        <is>
          <t>Contractual due date pending refreshed collection call</t>
        </is>
      </c>
      <c r="J1030" s="8">
        <f>IFERROR(MATCH(G1030,'13W Cash Forecast'!$B$4:$N$4,1),1)</f>
        <v/>
      </c>
    </row>
    <row r="1031">
      <c r="A1031" s="8" t="inlineStr">
        <is>
          <t>AR-0031226</t>
        </is>
      </c>
      <c r="B1031" s="8" t="inlineStr">
        <is>
          <t>Service</t>
        </is>
      </c>
      <c r="C1031" s="8" t="inlineStr">
        <is>
          <t>Deschutes Medical Group - North Campus Services</t>
        </is>
      </c>
      <c r="D1031" s="22" t="n">
        <v>46191</v>
      </c>
      <c r="E1031" s="22" t="n">
        <v>46236</v>
      </c>
      <c r="F1031" s="9" t="n">
        <v>3702.21</v>
      </c>
      <c r="G1031" s="23" t="n">
        <v>46236</v>
      </c>
      <c r="H1031" s="24" t="inlineStr">
        <is>
          <t>Medium</t>
        </is>
      </c>
      <c r="I1031" s="24" t="inlineStr">
        <is>
          <t>Contractual due date pending refreshed collection call</t>
        </is>
      </c>
      <c r="J1031" s="8">
        <f>IFERROR(MATCH(G1031,'13W Cash Forecast'!$B$4:$N$4,1),1)</f>
        <v/>
      </c>
    </row>
    <row r="1032">
      <c r="A1032" s="8" t="inlineStr">
        <is>
          <t>AR-0031415</t>
        </is>
      </c>
      <c r="B1032" s="8" t="inlineStr">
        <is>
          <t>Service</t>
        </is>
      </c>
      <c r="C1032" s="8" t="inlineStr">
        <is>
          <t>Lake Oswego Office Partners - East Development Company</t>
        </is>
      </c>
      <c r="D1032" s="22" t="n">
        <v>46191</v>
      </c>
      <c r="E1032" s="22" t="n">
        <v>46236</v>
      </c>
      <c r="F1032" s="9" t="n">
        <v>1551.44</v>
      </c>
      <c r="G1032" s="23" t="n">
        <v>46236</v>
      </c>
      <c r="H1032" s="24" t="inlineStr">
        <is>
          <t>Medium</t>
        </is>
      </c>
      <c r="I1032" s="24" t="inlineStr">
        <is>
          <t>Contractual due date pending refreshed collection call</t>
        </is>
      </c>
      <c r="J1032" s="8">
        <f>IFERROR(MATCH(G1032,'13W Cash Forecast'!$B$4:$N$4,1),1)</f>
        <v/>
      </c>
    </row>
    <row r="1033">
      <c r="A1033" s="8" t="inlineStr">
        <is>
          <t>AR-0031393</t>
        </is>
      </c>
      <c r="B1033" s="8" t="inlineStr">
        <is>
          <t>Service</t>
        </is>
      </c>
      <c r="C1033" s="8" t="inlineStr">
        <is>
          <t>Westside Ambulatory - Portfolio Asset Management</t>
        </is>
      </c>
      <c r="D1033" s="22" t="n">
        <v>46192</v>
      </c>
      <c r="E1033" s="22" t="n">
        <v>46237</v>
      </c>
      <c r="F1033" s="9" t="n">
        <v>772.8099999999999</v>
      </c>
      <c r="G1033" s="23" t="n">
        <v>46237</v>
      </c>
      <c r="H1033" s="24" t="inlineStr">
        <is>
          <t>Medium</t>
        </is>
      </c>
      <c r="I1033" s="24" t="inlineStr">
        <is>
          <t>Contractual due date pending refreshed collection call</t>
        </is>
      </c>
      <c r="J1033" s="8">
        <f>IFERROR(MATCH(G1033,'13W Cash Forecast'!$B$4:$N$4,1),1)</f>
        <v/>
      </c>
    </row>
    <row r="1034">
      <c r="A1034" s="8" t="inlineStr">
        <is>
          <t>AR-0031447</t>
        </is>
      </c>
      <c r="B1034" s="8" t="inlineStr">
        <is>
          <t>Service</t>
        </is>
      </c>
      <c r="C1034" s="8" t="inlineStr">
        <is>
          <t>Cascade Health Properties, LLC</t>
        </is>
      </c>
      <c r="D1034" s="22" t="n">
        <v>46192</v>
      </c>
      <c r="E1034" s="22" t="n">
        <v>46237</v>
      </c>
      <c r="F1034" s="9" t="n">
        <v>10607.62</v>
      </c>
      <c r="G1034" s="23" t="n">
        <v>46237</v>
      </c>
      <c r="H1034" s="24" t="inlineStr">
        <is>
          <t>Medium</t>
        </is>
      </c>
      <c r="I1034" s="24" t="inlineStr">
        <is>
          <t>Contractual due date pending refreshed collection call</t>
        </is>
      </c>
      <c r="J1034" s="8">
        <f>IFERROR(MATCH(G1034,'13W Cash Forecast'!$B$4:$N$4,1),1)</f>
        <v/>
      </c>
    </row>
    <row r="1035">
      <c r="A1035" s="8" t="inlineStr">
        <is>
          <t>AR-0031371</t>
        </is>
      </c>
      <c r="B1035" s="8" t="inlineStr">
        <is>
          <t>Service</t>
        </is>
      </c>
      <c r="C1035" s="8" t="inlineStr">
        <is>
          <t>Lake Oswego Office Partners - East Asset Management</t>
        </is>
      </c>
      <c r="D1035" s="22" t="n">
        <v>46193</v>
      </c>
      <c r="E1035" s="22" t="n">
        <v>46238</v>
      </c>
      <c r="F1035" s="9" t="n">
        <v>3213.39</v>
      </c>
      <c r="G1035" s="23" t="n">
        <v>46238</v>
      </c>
      <c r="H1035" s="24" t="inlineStr">
        <is>
          <t>Low</t>
        </is>
      </c>
      <c r="I1035" s="24" t="inlineStr">
        <is>
          <t>Awaiting project-accountant follow-up</t>
        </is>
      </c>
      <c r="J1035" s="8">
        <f>IFERROR(MATCH(G1035,'13W Cash Forecast'!$B$4:$N$4,1),1)</f>
        <v/>
      </c>
    </row>
    <row r="1036">
      <c r="A1036" s="8" t="inlineStr">
        <is>
          <t>AR-0031349</t>
        </is>
      </c>
      <c r="B1036" s="8" t="inlineStr">
        <is>
          <t>Service</t>
        </is>
      </c>
      <c r="C1036" s="8" t="inlineStr">
        <is>
          <t>Westside Ambulatory - Portfolio Campus Services</t>
        </is>
      </c>
      <c r="D1036" s="22" t="n">
        <v>46194</v>
      </c>
      <c r="E1036" s="22" t="n">
        <v>46239</v>
      </c>
      <c r="F1036" s="9" t="n">
        <v>4548.7</v>
      </c>
      <c r="G1036" s="23" t="n">
        <v>46239</v>
      </c>
      <c r="H1036" s="24" t="inlineStr">
        <is>
          <t>Medium</t>
        </is>
      </c>
      <c r="I1036" s="24" t="inlineStr">
        <is>
          <t>Contractual due date pending refreshed collection call</t>
        </is>
      </c>
      <c r="J1036" s="8">
        <f>IFERROR(MATCH(G1036,'13W Cash Forecast'!$B$4:$N$4,1),1)</f>
        <v/>
      </c>
    </row>
    <row r="1037">
      <c r="A1037" s="8" t="inlineStr">
        <is>
          <t>AR-0031327</t>
        </is>
      </c>
      <c r="B1037" s="8" t="inlineStr">
        <is>
          <t>Service</t>
        </is>
      </c>
      <c r="C1037" s="8" t="inlineStr">
        <is>
          <t>Lake Oswego Office Partners - East Campus Services</t>
        </is>
      </c>
      <c r="D1037" s="22" t="n">
        <v>46195</v>
      </c>
      <c r="E1037" s="22" t="n">
        <v>46240</v>
      </c>
      <c r="F1037" s="9" t="n">
        <v>873.16</v>
      </c>
      <c r="G1037" s="23" t="n">
        <v>46240</v>
      </c>
      <c r="H1037" s="24" t="inlineStr">
        <is>
          <t>Medium</t>
        </is>
      </c>
      <c r="I1037" s="24" t="inlineStr">
        <is>
          <t>Contractual due date pending refreshed collection call</t>
        </is>
      </c>
      <c r="J1037" s="8">
        <f>IFERROR(MATCH(G1037,'13W Cash Forecast'!$B$4:$N$4,1),1)</f>
        <v/>
      </c>
    </row>
    <row r="1038">
      <c r="A1038" s="8" t="inlineStr">
        <is>
          <t>AR-0031224</t>
        </is>
      </c>
      <c r="B1038" s="8" t="inlineStr">
        <is>
          <t>Service</t>
        </is>
      </c>
      <c r="C1038" s="8" t="inlineStr">
        <is>
          <t>Deschutes Medical Group - North Development Company</t>
        </is>
      </c>
      <c r="D1038" s="22" t="n">
        <v>46196</v>
      </c>
      <c r="E1038" s="22" t="n">
        <v>46241</v>
      </c>
      <c r="F1038" s="9" t="n">
        <v>961.4</v>
      </c>
      <c r="G1038" s="23" t="n">
        <v>46241</v>
      </c>
      <c r="H1038" s="24" t="inlineStr">
        <is>
          <t>Medium</t>
        </is>
      </c>
      <c r="I1038" s="24" t="inlineStr">
        <is>
          <t>Contractual due date pending refreshed collection call</t>
        </is>
      </c>
      <c r="J1038" s="8">
        <f>IFERROR(MATCH(G1038,'13W Cash Forecast'!$B$4:$N$4,1),1)</f>
        <v/>
      </c>
    </row>
    <row r="1039">
      <c r="A1039" s="8" t="inlineStr">
        <is>
          <t>AR-0031472</t>
        </is>
      </c>
      <c r="B1039" s="8" t="inlineStr">
        <is>
          <t>Service</t>
        </is>
      </c>
      <c r="C1039" s="8" t="inlineStr">
        <is>
          <t>Portland Arts and Events - Central Asset Management</t>
        </is>
      </c>
      <c r="D1039" s="22" t="n">
        <v>46197</v>
      </c>
      <c r="E1039" s="22" t="n">
        <v>46242</v>
      </c>
      <c r="F1039" s="9" t="n">
        <v>6089.04</v>
      </c>
      <c r="G1039" s="23" t="n">
        <v>46242</v>
      </c>
      <c r="H1039" s="24" t="inlineStr">
        <is>
          <t>Medium</t>
        </is>
      </c>
      <c r="I1039" s="24" t="inlineStr">
        <is>
          <t>Contractual due date pending refreshed collection call</t>
        </is>
      </c>
      <c r="J1039" s="8">
        <f>IFERROR(MATCH(G1039,'13W Cash Forecast'!$B$4:$N$4,1),1)</f>
        <v/>
      </c>
    </row>
    <row r="1040">
      <c r="A1040" s="8" t="inlineStr">
        <is>
          <t>AR-0031450</t>
        </is>
      </c>
      <c r="B1040" s="8" t="inlineStr">
        <is>
          <t>Service</t>
        </is>
      </c>
      <c r="C1040" s="8" t="inlineStr">
        <is>
          <t>Deschutes Medical Group - North Asset Management</t>
        </is>
      </c>
      <c r="D1040" s="22" t="n">
        <v>46198</v>
      </c>
      <c r="E1040" s="22" t="n">
        <v>46243</v>
      </c>
      <c r="F1040" s="9" t="n">
        <v>13950.87</v>
      </c>
      <c r="G1040" s="23" t="n">
        <v>46243</v>
      </c>
      <c r="H1040" s="24" t="inlineStr">
        <is>
          <t>Medium</t>
        </is>
      </c>
      <c r="I1040" s="24" t="inlineStr">
        <is>
          <t>Contractual due date pending refreshed collection call</t>
        </is>
      </c>
      <c r="J1040" s="8">
        <f>IFERROR(MATCH(G1040,'13W Cash Forecast'!$B$4:$N$4,1),1)</f>
        <v/>
      </c>
    </row>
    <row r="1041">
      <c r="A1041" s="8" t="inlineStr">
        <is>
          <t>AR-0031428</t>
        </is>
      </c>
      <c r="B1041" s="8" t="inlineStr">
        <is>
          <t>Service</t>
        </is>
      </c>
      <c r="C1041" s="8" t="inlineStr">
        <is>
          <t>Portland Arts and Events - Central Campus Services</t>
        </is>
      </c>
      <c r="D1041" s="22" t="n">
        <v>46199</v>
      </c>
      <c r="E1041" s="22" t="n">
        <v>46244</v>
      </c>
      <c r="F1041" s="9" t="n">
        <v>1760.03</v>
      </c>
      <c r="G1041" s="23" t="n">
        <v>46244</v>
      </c>
      <c r="H1041" s="24" t="inlineStr">
        <is>
          <t>Medium</t>
        </is>
      </c>
      <c r="I1041" s="24" t="inlineStr">
        <is>
          <t>Contractual due date pending refreshed collection call</t>
        </is>
      </c>
      <c r="J1041" s="8">
        <f>IFERROR(MATCH(G1041,'13W Cash Forecast'!$B$4:$N$4,1),1)</f>
        <v/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1"/>
  <sheetViews>
    <sheetView showGridLines="0" workbookViewId="0">
      <selection activeCell="A1" sqref="A1"/>
    </sheetView>
  </sheetViews>
  <sheetFormatPr baseColWidth="8" defaultRowHeight="15" outlineLevelRow="0"/>
  <cols>
    <col width="10" customWidth="1" min="1" max="1"/>
    <col width="16" customWidth="1" min="2" max="2"/>
    <col width="14" customWidth="1" min="3" max="3"/>
    <col width="43" customWidth="1" min="4" max="4"/>
    <col width="20" customWidth="1" min="5" max="6"/>
    <col width="15" customWidth="1" min="7" max="7"/>
    <col width="21" customWidth="1" min="8" max="8"/>
    <col width="13" customWidth="1" min="9" max="9"/>
    <col width="58" customWidth="1" min="10" max="10"/>
    <col width="14" customWidth="1" min="11" max="11"/>
  </cols>
  <sheetData>
    <row r="1" ht="23" customHeight="1">
      <c r="A1" s="1" t="inlineStr">
        <is>
          <t>AP and Purchase Commitment Timing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23" customHeight="1">
      <c r="A2" s="2" t="inlineStr">
        <is>
          <t>As of 2026-06-26 | Payment holds and equipment-release timing require explicit treasury treatment</t>
        </is>
      </c>
    </row>
    <row r="3"/>
    <row r="4"/>
    <row r="5" ht="30" customHeight="1">
      <c r="A5" s="3" t="inlineStr">
        <is>
          <t>Source</t>
        </is>
      </c>
      <c r="B5" s="20" t="inlineStr">
        <is>
          <t>Document</t>
        </is>
      </c>
      <c r="C5" s="20" t="inlineStr">
        <is>
          <t>Project</t>
        </is>
      </c>
      <c r="D5" s="20" t="inlineStr">
        <is>
          <t>Vendor</t>
        </is>
      </c>
      <c r="E5" s="20" t="inlineStr">
        <is>
          <t>Due / Expected Date</t>
        </is>
      </c>
      <c r="F5" s="20" t="inlineStr">
        <is>
          <t>Open / Remaining Amount</t>
        </is>
      </c>
      <c r="G5" s="20" t="inlineStr">
        <is>
          <t>Payment Hold</t>
        </is>
      </c>
      <c r="H5" s="20" t="inlineStr">
        <is>
          <t>Forecast Payment Date</t>
        </is>
      </c>
      <c r="I5" s="20" t="inlineStr">
        <is>
          <t>Confidence</t>
        </is>
      </c>
      <c r="J5" s="20" t="inlineStr">
        <is>
          <t>Treasury Note</t>
        </is>
      </c>
      <c r="K5" s="21" t="inlineStr">
        <is>
          <t>Included Week</t>
        </is>
      </c>
    </row>
    <row r="6">
      <c r="A6" s="8" t="inlineStr">
        <is>
          <t>AP</t>
        </is>
      </c>
      <c r="B6" s="8" t="inlineStr">
        <is>
          <t>AP-0004282</t>
        </is>
      </c>
      <c r="C6" s="8" t="inlineStr">
        <is>
          <t>ARM-2409</t>
        </is>
      </c>
      <c r="D6" s="8" t="inlineStr">
        <is>
          <t>Summit Electrical Contracting - Vancouver Group</t>
        </is>
      </c>
      <c r="E6" s="22" t="n">
        <v>46190</v>
      </c>
      <c r="F6" s="9" t="n">
        <v>31839.27</v>
      </c>
      <c r="G6" s="22" t="inlineStr">
        <is>
          <t>Yes</t>
        </is>
      </c>
      <c r="H6" s="23" t="n">
        <v>46190</v>
      </c>
      <c r="I6" s="24" t="inlineStr">
        <is>
          <t>Low</t>
        </is>
      </c>
      <c r="J6" s="24" t="inlineStr">
        <is>
          <t>Pending backcharge resolution and project-manager release</t>
        </is>
      </c>
      <c r="K6" s="8">
        <f>IFERROR(MATCH(H6,'13W Cash Forecast'!$B$4:$N$4,1),1)</f>
        <v/>
      </c>
    </row>
    <row r="7">
      <c r="A7" s="8" t="inlineStr">
        <is>
          <t>AP</t>
        </is>
      </c>
      <c r="B7" s="8" t="inlineStr">
        <is>
          <t>AP-0004290</t>
        </is>
      </c>
      <c r="C7" s="8" t="inlineStr">
        <is>
          <t>ARM-2409</t>
        </is>
      </c>
      <c r="D7" s="8" t="inlineStr">
        <is>
          <t>Cedar Mill Crane and Rigging - Gresham Services, LLC</t>
        </is>
      </c>
      <c r="E7" s="22" t="n">
        <v>46209</v>
      </c>
      <c r="F7" s="9" t="n">
        <v>35263.63</v>
      </c>
      <c r="G7" s="22" t="inlineStr">
        <is>
          <t>Yes</t>
        </is>
      </c>
      <c r="H7" s="23" t="n">
        <v>46209</v>
      </c>
      <c r="I7" s="24" t="inlineStr">
        <is>
          <t>Low</t>
        </is>
      </c>
      <c r="J7" s="24" t="inlineStr">
        <is>
          <t>Pending backcharge resolution and project-manager release</t>
        </is>
      </c>
      <c r="K7" s="8">
        <f>IFERROR(MATCH(H7,'13W Cash Forecast'!$B$4:$N$4,1),1)</f>
        <v/>
      </c>
    </row>
    <row r="8">
      <c r="A8" s="8" t="inlineStr">
        <is>
          <t>AP</t>
        </is>
      </c>
      <c r="B8" s="8" t="inlineStr">
        <is>
          <t>AP-0004887</t>
        </is>
      </c>
      <c r="C8" s="8" t="inlineStr">
        <is>
          <t>ARM-2501</t>
        </is>
      </c>
      <c r="D8" s="8" t="inlineStr">
        <is>
          <t>Pacific Crane and Rigging - Eugene LLC</t>
        </is>
      </c>
      <c r="E8" s="22" t="n">
        <v>46174</v>
      </c>
      <c r="F8" s="9" t="n">
        <v>5189.01</v>
      </c>
      <c r="G8" s="22" t="inlineStr">
        <is>
          <t>No</t>
        </is>
      </c>
      <c r="H8" s="23" t="n">
        <v>46174</v>
      </c>
      <c r="I8" s="24" t="inlineStr">
        <is>
          <t>Medium</t>
        </is>
      </c>
      <c r="J8" s="24" t="inlineStr">
        <is>
          <t>Pay to terms unless Controller releases otherwise</t>
        </is>
      </c>
      <c r="K8" s="8">
        <f>IFERROR(MATCH(H8,'13W Cash Forecast'!$B$4:$N$4,1),1)</f>
        <v/>
      </c>
    </row>
    <row r="9">
      <c r="A9" s="8" t="inlineStr">
        <is>
          <t>AP</t>
        </is>
      </c>
      <c r="B9" s="8" t="inlineStr">
        <is>
          <t>AP-0009838</t>
        </is>
      </c>
      <c r="C9" s="8" t="inlineStr">
        <is>
          <t>G&amp;A</t>
        </is>
      </c>
      <c r="D9" s="8" t="inlineStr">
        <is>
          <t>Northwest Fleet Service Center - Gresham Group</t>
        </is>
      </c>
      <c r="E9" s="22" t="n">
        <v>46174</v>
      </c>
      <c r="F9" s="9" t="n">
        <v>3519.1</v>
      </c>
      <c r="G9" s="22" t="inlineStr">
        <is>
          <t>No</t>
        </is>
      </c>
      <c r="H9" s="23" t="n">
        <v>46174</v>
      </c>
      <c r="I9" s="24" t="inlineStr">
        <is>
          <t>Medium</t>
        </is>
      </c>
      <c r="J9" s="24" t="inlineStr">
        <is>
          <t>Pay to terms unless Controller releases otherwise</t>
        </is>
      </c>
      <c r="K9" s="8">
        <f>IFERROR(MATCH(H9,'13W Cash Forecast'!$B$4:$N$4,1),1)</f>
        <v/>
      </c>
    </row>
    <row r="10">
      <c r="A10" s="8" t="inlineStr">
        <is>
          <t>AP</t>
        </is>
      </c>
      <c r="B10" s="8" t="inlineStr">
        <is>
          <t>AP-0009859</t>
        </is>
      </c>
      <c r="C10" s="8" t="inlineStr">
        <is>
          <t>G&amp;A</t>
        </is>
      </c>
      <c r="D10" s="8" t="inlineStr">
        <is>
          <t>Northwest Fleet Service Center - Gresham Group</t>
        </is>
      </c>
      <c r="E10" s="22" t="n">
        <v>46174</v>
      </c>
      <c r="F10" s="9" t="n">
        <v>1599.89</v>
      </c>
      <c r="G10" s="22" t="inlineStr">
        <is>
          <t>No</t>
        </is>
      </c>
      <c r="H10" s="23" t="n">
        <v>46174</v>
      </c>
      <c r="I10" s="24" t="inlineStr">
        <is>
          <t>Medium</t>
        </is>
      </c>
      <c r="J10" s="24" t="inlineStr">
        <is>
          <t>Pay to terms unless Controller releases otherwise</t>
        </is>
      </c>
      <c r="K10" s="8">
        <f>IFERROR(MATCH(H10,'13W Cash Forecast'!$B$4:$N$4,1),1)</f>
        <v/>
      </c>
    </row>
    <row r="11">
      <c r="A11" s="8" t="inlineStr">
        <is>
          <t>AP</t>
        </is>
      </c>
      <c r="B11" s="8" t="inlineStr">
        <is>
          <t>AP-0009861</t>
        </is>
      </c>
      <c r="C11" s="8" t="inlineStr">
        <is>
          <t>G&amp;A</t>
        </is>
      </c>
      <c r="D11" s="8" t="inlineStr">
        <is>
          <t>Cedar Mill Safety and Industrial Supply - Beaverton Services, LLC</t>
        </is>
      </c>
      <c r="E11" s="22" t="n">
        <v>46174</v>
      </c>
      <c r="F11" s="9" t="n">
        <v>1584.8</v>
      </c>
      <c r="G11" s="22" t="inlineStr">
        <is>
          <t>No</t>
        </is>
      </c>
      <c r="H11" s="23" t="n">
        <v>46174</v>
      </c>
      <c r="I11" s="24" t="inlineStr">
        <is>
          <t>Medium</t>
        </is>
      </c>
      <c r="J11" s="24" t="inlineStr">
        <is>
          <t>Pay to terms unless Controller releases otherwise</t>
        </is>
      </c>
      <c r="K11" s="8">
        <f>IFERROR(MATCH(H11,'13W Cash Forecast'!$B$4:$N$4,1),1)</f>
        <v/>
      </c>
    </row>
    <row r="12">
      <c r="A12" s="8" t="inlineStr">
        <is>
          <t>AP</t>
        </is>
      </c>
      <c r="B12" s="8" t="inlineStr">
        <is>
          <t>AP-0009882</t>
        </is>
      </c>
      <c r="C12" s="8" t="inlineStr">
        <is>
          <t>G&amp;A</t>
        </is>
      </c>
      <c r="D12" s="8" t="inlineStr">
        <is>
          <t>Cedar Mill Safety and Industrial Supply - Beaverton Services, LLC</t>
        </is>
      </c>
      <c r="E12" s="22" t="n">
        <v>46174</v>
      </c>
      <c r="F12" s="9" t="n">
        <v>1047.79</v>
      </c>
      <c r="G12" s="22" t="inlineStr">
        <is>
          <t>No</t>
        </is>
      </c>
      <c r="H12" s="23" t="n">
        <v>46174</v>
      </c>
      <c r="I12" s="24" t="inlineStr">
        <is>
          <t>Medium</t>
        </is>
      </c>
      <c r="J12" s="24" t="inlineStr">
        <is>
          <t>Pay to terms unless Controller releases otherwise</t>
        </is>
      </c>
      <c r="K12" s="8">
        <f>IFERROR(MATCH(H12,'13W Cash Forecast'!$B$4:$N$4,1),1)</f>
        <v/>
      </c>
    </row>
    <row r="13">
      <c r="A13" s="8" t="inlineStr">
        <is>
          <t>AP</t>
        </is>
      </c>
      <c r="B13" s="8" t="inlineStr">
        <is>
          <t>AP-0011875</t>
        </is>
      </c>
      <c r="C13" s="8" t="inlineStr">
        <is>
          <t>G&amp;A</t>
        </is>
      </c>
      <c r="D13" s="8" t="inlineStr">
        <is>
          <t>Tri-County Construction Advisory - Eugene LLC</t>
        </is>
      </c>
      <c r="E13" s="22" t="n">
        <v>46174</v>
      </c>
      <c r="F13" s="9" t="n">
        <v>3265.38</v>
      </c>
      <c r="G13" s="22" t="inlineStr">
        <is>
          <t>No</t>
        </is>
      </c>
      <c r="H13" s="23" t="n">
        <v>46174</v>
      </c>
      <c r="I13" s="24" t="inlineStr">
        <is>
          <t>Medium</t>
        </is>
      </c>
      <c r="J13" s="24" t="inlineStr">
        <is>
          <t>Pay to terms unless Controller releases otherwise</t>
        </is>
      </c>
      <c r="K13" s="8">
        <f>IFERROR(MATCH(H13,'13W Cash Forecast'!$B$4:$N$4,1),1)</f>
        <v/>
      </c>
    </row>
    <row r="14">
      <c r="A14" s="8" t="inlineStr">
        <is>
          <t>AP</t>
        </is>
      </c>
      <c r="B14" s="8" t="inlineStr">
        <is>
          <t>AP-0003875</t>
        </is>
      </c>
      <c r="C14" s="8" t="inlineStr">
        <is>
          <t>ARM-2318</t>
        </is>
      </c>
      <c r="D14" s="8" t="inlineStr">
        <is>
          <t>Pioneer Electrical Contracting - Salem Inc.</t>
        </is>
      </c>
      <c r="E14" s="22" t="n">
        <v>46175</v>
      </c>
      <c r="F14" s="9" t="n">
        <v>2734.19</v>
      </c>
      <c r="G14" s="22" t="inlineStr">
        <is>
          <t>No</t>
        </is>
      </c>
      <c r="H14" s="23" t="n">
        <v>46175</v>
      </c>
      <c r="I14" s="24" t="inlineStr">
        <is>
          <t>Medium</t>
        </is>
      </c>
      <c r="J14" s="24" t="inlineStr">
        <is>
          <t>Pay to terms unless Controller releases otherwise</t>
        </is>
      </c>
      <c r="K14" s="8">
        <f>IFERROR(MATCH(H14,'13W Cash Forecast'!$B$4:$N$4,1),1)</f>
        <v/>
      </c>
    </row>
    <row r="15">
      <c r="A15" s="8" t="inlineStr">
        <is>
          <t>AP</t>
        </is>
      </c>
      <c r="B15" s="8" t="inlineStr">
        <is>
          <t>AP-0004278</t>
        </is>
      </c>
      <c r="C15" s="8" t="inlineStr">
        <is>
          <t>ARM-2409</t>
        </is>
      </c>
      <c r="D15" s="8" t="inlineStr">
        <is>
          <t>Evergreen Crane and Rigging - Beaverton Company</t>
        </is>
      </c>
      <c r="E15" s="22" t="n">
        <v>46175</v>
      </c>
      <c r="F15" s="9" t="n">
        <v>7975.17</v>
      </c>
      <c r="G15" s="22" t="inlineStr">
        <is>
          <t>No</t>
        </is>
      </c>
      <c r="H15" s="23" t="n">
        <v>46175</v>
      </c>
      <c r="I15" s="24" t="inlineStr">
        <is>
          <t>Medium</t>
        </is>
      </c>
      <c r="J15" s="24" t="inlineStr">
        <is>
          <t>Pay to terms unless Controller releases otherwise</t>
        </is>
      </c>
      <c r="K15" s="8">
        <f>IFERROR(MATCH(H15,'13W Cash Forecast'!$B$4:$N$4,1),1)</f>
        <v/>
      </c>
    </row>
    <row r="16">
      <c r="A16" s="8" t="inlineStr">
        <is>
          <t>AP</t>
        </is>
      </c>
      <c r="B16" s="8" t="inlineStr">
        <is>
          <t>AP-0004283</t>
        </is>
      </c>
      <c r="C16" s="8" t="inlineStr">
        <is>
          <t>ARM-2409</t>
        </is>
      </c>
      <c r="D16" s="8" t="inlineStr">
        <is>
          <t>Columbia Mechanical Insulation - Bend Inc.</t>
        </is>
      </c>
      <c r="E16" s="22" t="n">
        <v>46175</v>
      </c>
      <c r="F16" s="9" t="n">
        <v>2583.28</v>
      </c>
      <c r="G16" s="22" t="inlineStr">
        <is>
          <t>No</t>
        </is>
      </c>
      <c r="H16" s="23" t="n">
        <v>46175</v>
      </c>
      <c r="I16" s="24" t="inlineStr">
        <is>
          <t>Medium</t>
        </is>
      </c>
      <c r="J16" s="24" t="inlineStr">
        <is>
          <t>Pay to terms unless Controller releases otherwise</t>
        </is>
      </c>
      <c r="K16" s="8">
        <f>IFERROR(MATCH(H16,'13W Cash Forecast'!$B$4:$N$4,1),1)</f>
        <v/>
      </c>
    </row>
    <row r="17">
      <c r="A17" s="8" t="inlineStr">
        <is>
          <t>AP</t>
        </is>
      </c>
      <c r="B17" s="8" t="inlineStr">
        <is>
          <t>AP-0004435</t>
        </is>
      </c>
      <c r="C17" s="8" t="inlineStr">
        <is>
          <t>ARM-2412</t>
        </is>
      </c>
      <c r="D17" s="8" t="inlineStr">
        <is>
          <t>Bridge City Testing and Balancing - Vancouver Group</t>
        </is>
      </c>
      <c r="E17" s="22" t="n">
        <v>46175</v>
      </c>
      <c r="F17" s="9" t="n">
        <v>4935.32</v>
      </c>
      <c r="G17" s="22" t="inlineStr">
        <is>
          <t>No</t>
        </is>
      </c>
      <c r="H17" s="23" t="n">
        <v>46175</v>
      </c>
      <c r="I17" s="24" t="inlineStr">
        <is>
          <t>Medium</t>
        </is>
      </c>
      <c r="J17" s="24" t="inlineStr">
        <is>
          <t>Pay to terms unless Controller releases otherwise</t>
        </is>
      </c>
      <c r="K17" s="8">
        <f>IFERROR(MATCH(H17,'13W Cash Forecast'!$B$4:$N$4,1),1)</f>
        <v/>
      </c>
    </row>
    <row r="18">
      <c r="A18" s="8" t="inlineStr">
        <is>
          <t>AP</t>
        </is>
      </c>
      <c r="B18" s="8" t="inlineStr">
        <is>
          <t>AP-0004439</t>
        </is>
      </c>
      <c r="C18" s="8" t="inlineStr">
        <is>
          <t>ARM-2412</t>
        </is>
      </c>
      <c r="D18" s="8" t="inlineStr">
        <is>
          <t>Tri-County Sheet Metal Fabrication - Vancouver LLC</t>
        </is>
      </c>
      <c r="E18" s="22" t="n">
        <v>46175</v>
      </c>
      <c r="F18" s="9" t="n">
        <v>12248.19</v>
      </c>
      <c r="G18" s="22" t="inlineStr">
        <is>
          <t>No</t>
        </is>
      </c>
      <c r="H18" s="23" t="n">
        <v>46175</v>
      </c>
      <c r="I18" s="24" t="inlineStr">
        <is>
          <t>Medium</t>
        </is>
      </c>
      <c r="J18" s="24" t="inlineStr">
        <is>
          <t>Pay to terms unless Controller releases otherwise</t>
        </is>
      </c>
      <c r="K18" s="8">
        <f>IFERROR(MATCH(H18,'13W Cash Forecast'!$B$4:$N$4,1),1)</f>
        <v/>
      </c>
    </row>
    <row r="19">
      <c r="A19" s="8" t="inlineStr">
        <is>
          <t>AP</t>
        </is>
      </c>
      <c r="B19" s="8" t="inlineStr">
        <is>
          <t>AP-0004885</t>
        </is>
      </c>
      <c r="C19" s="8" t="inlineStr">
        <is>
          <t>ARM-2501</t>
        </is>
      </c>
      <c r="D19" s="8" t="inlineStr">
        <is>
          <t>Interstate Pipe, Valve &amp; Fitting Supply - Beaverton Services, LLC</t>
        </is>
      </c>
      <c r="E19" s="22" t="n">
        <v>46175</v>
      </c>
      <c r="F19" s="9" t="n">
        <v>6483.15</v>
      </c>
      <c r="G19" s="22" t="inlineStr">
        <is>
          <t>No</t>
        </is>
      </c>
      <c r="H19" s="23" t="n">
        <v>46175</v>
      </c>
      <c r="I19" s="24" t="inlineStr">
        <is>
          <t>Medium</t>
        </is>
      </c>
      <c r="J19" s="24" t="inlineStr">
        <is>
          <t>Pay to terms unless Controller releases otherwise</t>
        </is>
      </c>
      <c r="K19" s="8">
        <f>IFERROR(MATCH(H19,'13W Cash Forecast'!$B$4:$N$4,1),1)</f>
        <v/>
      </c>
    </row>
    <row r="20">
      <c r="A20" s="8" t="inlineStr">
        <is>
          <t>AP</t>
        </is>
      </c>
      <c r="B20" s="8" t="inlineStr">
        <is>
          <t>AP-0004889</t>
        </is>
      </c>
      <c r="C20" s="8" t="inlineStr">
        <is>
          <t>ARM-2501</t>
        </is>
      </c>
      <c r="D20" s="8" t="inlineStr">
        <is>
          <t>Pioneer Mechanical Insulation - Eugene Inc.</t>
        </is>
      </c>
      <c r="E20" s="22" t="n">
        <v>46175</v>
      </c>
      <c r="F20" s="9" t="n">
        <v>20216.13</v>
      </c>
      <c r="G20" s="22" t="inlineStr">
        <is>
          <t>No</t>
        </is>
      </c>
      <c r="H20" s="23" t="n">
        <v>46175</v>
      </c>
      <c r="I20" s="24" t="inlineStr">
        <is>
          <t>Medium</t>
        </is>
      </c>
      <c r="J20" s="24" t="inlineStr">
        <is>
          <t>Pay to terms unless Controller releases otherwise</t>
        </is>
      </c>
      <c r="K20" s="8">
        <f>IFERROR(MATCH(H20,'13W Cash Forecast'!$B$4:$N$4,1),1)</f>
        <v/>
      </c>
    </row>
    <row r="21">
      <c r="A21" s="8" t="inlineStr">
        <is>
          <t>AP</t>
        </is>
      </c>
      <c r="B21" s="8" t="inlineStr">
        <is>
          <t>AP-0004890</t>
        </is>
      </c>
      <c r="C21" s="8" t="inlineStr">
        <is>
          <t>ARM-2501</t>
        </is>
      </c>
      <c r="D21" s="8" t="inlineStr">
        <is>
          <t>Interstate Mechanical Insulation - Salem Services, LLC</t>
        </is>
      </c>
      <c r="E21" s="22" t="n">
        <v>46175</v>
      </c>
      <c r="F21" s="9" t="n">
        <v>6137.27</v>
      </c>
      <c r="G21" s="22" t="inlineStr">
        <is>
          <t>No</t>
        </is>
      </c>
      <c r="H21" s="23" t="n">
        <v>46175</v>
      </c>
      <c r="I21" s="24" t="inlineStr">
        <is>
          <t>Medium</t>
        </is>
      </c>
      <c r="J21" s="24" t="inlineStr">
        <is>
          <t>Pay to terms unless Controller releases otherwise</t>
        </is>
      </c>
      <c r="K21" s="8">
        <f>IFERROR(MATCH(H21,'13W Cash Forecast'!$B$4:$N$4,1),1)</f>
        <v/>
      </c>
    </row>
    <row r="22">
      <c r="A22" s="8" t="inlineStr">
        <is>
          <t>AP</t>
        </is>
      </c>
      <c r="B22" s="8" t="inlineStr">
        <is>
          <t>AP-0009864</t>
        </is>
      </c>
      <c r="C22" s="8" t="inlineStr">
        <is>
          <t>G&amp;A</t>
        </is>
      </c>
      <c r="D22" s="8" t="inlineStr">
        <is>
          <t>Trane U.S. Inc. - Pacific Northwest</t>
        </is>
      </c>
      <c r="E22" s="22" t="n">
        <v>46175</v>
      </c>
      <c r="F22" s="9" t="n">
        <v>1913.58</v>
      </c>
      <c r="G22" s="22" t="inlineStr">
        <is>
          <t>No</t>
        </is>
      </c>
      <c r="H22" s="23" t="n">
        <v>46175</v>
      </c>
      <c r="I22" s="24" t="inlineStr">
        <is>
          <t>Medium</t>
        </is>
      </c>
      <c r="J22" s="24" t="inlineStr">
        <is>
          <t>Pay to terms unless Controller releases otherwise</t>
        </is>
      </c>
      <c r="K22" s="8">
        <f>IFERROR(MATCH(H22,'13W Cash Forecast'!$B$4:$N$4,1),1)</f>
        <v/>
      </c>
    </row>
    <row r="23">
      <c r="A23" s="8" t="inlineStr">
        <is>
          <t>AP</t>
        </is>
      </c>
      <c r="B23" s="8" t="inlineStr">
        <is>
          <t>AP-0009885</t>
        </is>
      </c>
      <c r="C23" s="8" t="inlineStr">
        <is>
          <t>G&amp;A</t>
        </is>
      </c>
      <c r="D23" s="8" t="inlineStr">
        <is>
          <t>Trane U.S. Inc. - Pacific Northwest</t>
        </is>
      </c>
      <c r="E23" s="22" t="n">
        <v>46175</v>
      </c>
      <c r="F23" s="9" t="n">
        <v>1891.44</v>
      </c>
      <c r="G23" s="22" t="inlineStr">
        <is>
          <t>No</t>
        </is>
      </c>
      <c r="H23" s="23" t="n">
        <v>46175</v>
      </c>
      <c r="I23" s="24" t="inlineStr">
        <is>
          <t>Medium</t>
        </is>
      </c>
      <c r="J23" s="24" t="inlineStr">
        <is>
          <t>Pay to terms unless Controller releases otherwise</t>
        </is>
      </c>
      <c r="K23" s="8">
        <f>IFERROR(MATCH(H23,'13W Cash Forecast'!$B$4:$N$4,1),1)</f>
        <v/>
      </c>
    </row>
    <row r="24">
      <c r="A24" s="8" t="inlineStr">
        <is>
          <t>AP</t>
        </is>
      </c>
      <c r="B24" s="8" t="inlineStr">
        <is>
          <t>AP-0004437</t>
        </is>
      </c>
      <c r="C24" s="8" t="inlineStr">
        <is>
          <t>ARM-2412</t>
        </is>
      </c>
      <c r="D24" s="8" t="inlineStr">
        <is>
          <t>Evergreen Equipment Rental &amp; Services - Vancouver Company</t>
        </is>
      </c>
      <c r="E24" s="22" t="n">
        <v>46176</v>
      </c>
      <c r="F24" s="9" t="n">
        <v>4927.98</v>
      </c>
      <c r="G24" s="22" t="inlineStr">
        <is>
          <t>No</t>
        </is>
      </c>
      <c r="H24" s="23" t="n">
        <v>46176</v>
      </c>
      <c r="I24" s="24" t="inlineStr">
        <is>
          <t>Medium</t>
        </is>
      </c>
      <c r="J24" s="24" t="inlineStr">
        <is>
          <t>Pay to terms unless Controller releases otherwise</t>
        </is>
      </c>
      <c r="K24" s="8">
        <f>IFERROR(MATCH(H24,'13W Cash Forecast'!$B$4:$N$4,1),1)</f>
        <v/>
      </c>
    </row>
    <row r="25">
      <c r="A25" s="8" t="inlineStr">
        <is>
          <t>AP</t>
        </is>
      </c>
      <c r="B25" s="8" t="inlineStr">
        <is>
          <t>AP-0004678</t>
        </is>
      </c>
      <c r="C25" s="8" t="inlineStr">
        <is>
          <t>ARM-2417</t>
        </is>
      </c>
      <c r="D25" s="8" t="inlineStr">
        <is>
          <t>Bridge City Testing and Balancing - Beaverton Group</t>
        </is>
      </c>
      <c r="E25" s="22" t="n">
        <v>46176</v>
      </c>
      <c r="F25" s="9" t="n">
        <v>15562.17</v>
      </c>
      <c r="G25" s="22" t="inlineStr">
        <is>
          <t>No</t>
        </is>
      </c>
      <c r="H25" s="23" t="n">
        <v>46176</v>
      </c>
      <c r="I25" s="24" t="inlineStr">
        <is>
          <t>Medium</t>
        </is>
      </c>
      <c r="J25" s="24" t="inlineStr">
        <is>
          <t>Pay to terms unless Controller releases otherwise</t>
        </is>
      </c>
      <c r="K25" s="8">
        <f>IFERROR(MATCH(H25,'13W Cash Forecast'!$B$4:$N$4,1),1)</f>
        <v/>
      </c>
    </row>
    <row r="26">
      <c r="A26" s="8" t="inlineStr">
        <is>
          <t>AP</t>
        </is>
      </c>
      <c r="B26" s="8" t="inlineStr">
        <is>
          <t>AP-0005077</t>
        </is>
      </c>
      <c r="C26" s="8" t="inlineStr">
        <is>
          <t>ARM-2506</t>
        </is>
      </c>
      <c r="D26" s="8" t="inlineStr">
        <is>
          <t>Rainier Pipe, Valve &amp; Fitting Supply - Salem Company</t>
        </is>
      </c>
      <c r="E26" s="22" t="n">
        <v>46176</v>
      </c>
      <c r="F26" s="9" t="n">
        <v>9382.02</v>
      </c>
      <c r="G26" s="22" t="inlineStr">
        <is>
          <t>No</t>
        </is>
      </c>
      <c r="H26" s="23" t="n">
        <v>46176</v>
      </c>
      <c r="I26" s="24" t="inlineStr">
        <is>
          <t>Medium</t>
        </is>
      </c>
      <c r="J26" s="24" t="inlineStr">
        <is>
          <t>Pay to terms unless Controller releases otherwise</t>
        </is>
      </c>
      <c r="K26" s="8">
        <f>IFERROR(MATCH(H26,'13W Cash Forecast'!$B$4:$N$4,1),1)</f>
        <v/>
      </c>
    </row>
    <row r="27">
      <c r="A27" s="8" t="inlineStr">
        <is>
          <t>AP</t>
        </is>
      </c>
      <c r="B27" s="8" t="inlineStr">
        <is>
          <t>AP-0005237</t>
        </is>
      </c>
      <c r="C27" s="8" t="inlineStr">
        <is>
          <t>ARM-2510</t>
        </is>
      </c>
      <c r="D27" s="8" t="inlineStr">
        <is>
          <t>United Rentals (North America), Inc.</t>
        </is>
      </c>
      <c r="E27" s="22" t="n">
        <v>46176</v>
      </c>
      <c r="F27" s="9" t="n">
        <v>3375.89</v>
      </c>
      <c r="G27" s="22" t="inlineStr">
        <is>
          <t>No</t>
        </is>
      </c>
      <c r="H27" s="23" t="n">
        <v>46176</v>
      </c>
      <c r="I27" s="24" t="inlineStr">
        <is>
          <t>Medium</t>
        </is>
      </c>
      <c r="J27" s="24" t="inlineStr">
        <is>
          <t>Pay to terms unless Controller releases otherwise</t>
        </is>
      </c>
      <c r="K27" s="8">
        <f>IFERROR(MATCH(H27,'13W Cash Forecast'!$B$4:$N$4,1),1)</f>
        <v/>
      </c>
    </row>
    <row r="28">
      <c r="A28" s="8" t="inlineStr">
        <is>
          <t>AP</t>
        </is>
      </c>
      <c r="B28" s="8" t="inlineStr">
        <is>
          <t>AP-0005666</t>
        </is>
      </c>
      <c r="C28" s="8" t="inlineStr">
        <is>
          <t>ARM-2602</t>
        </is>
      </c>
      <c r="D28" s="8" t="inlineStr">
        <is>
          <t>Summit Mechanical Insulation - Vancouver Group</t>
        </is>
      </c>
      <c r="E28" s="22" t="n">
        <v>46176</v>
      </c>
      <c r="F28" s="9" t="n">
        <v>10583.26</v>
      </c>
      <c r="G28" s="22" t="inlineStr">
        <is>
          <t>No</t>
        </is>
      </c>
      <c r="H28" s="23" t="n">
        <v>46176</v>
      </c>
      <c r="I28" s="24" t="inlineStr">
        <is>
          <t>Medium</t>
        </is>
      </c>
      <c r="J28" s="24" t="inlineStr">
        <is>
          <t>Pay to terms unless Controller releases otherwise</t>
        </is>
      </c>
      <c r="K28" s="8">
        <f>IFERROR(MATCH(H28,'13W Cash Forecast'!$B$4:$N$4,1),1)</f>
        <v/>
      </c>
    </row>
    <row r="29">
      <c r="A29" s="8" t="inlineStr">
        <is>
          <t>AP</t>
        </is>
      </c>
      <c r="B29" s="8" t="inlineStr">
        <is>
          <t>AP-0005671</t>
        </is>
      </c>
      <c r="C29" s="8" t="inlineStr">
        <is>
          <t>ARM-2602</t>
        </is>
      </c>
      <c r="D29" s="8" t="inlineStr">
        <is>
          <t>Summit Testing and Balancing - Portland Group</t>
        </is>
      </c>
      <c r="E29" s="22" t="n">
        <v>46176</v>
      </c>
      <c r="F29" s="9" t="n">
        <v>2141.28</v>
      </c>
      <c r="G29" s="22" t="inlineStr">
        <is>
          <t>No</t>
        </is>
      </c>
      <c r="H29" s="23" t="n">
        <v>46176</v>
      </c>
      <c r="I29" s="24" t="inlineStr">
        <is>
          <t>Medium</t>
        </is>
      </c>
      <c r="J29" s="24" t="inlineStr">
        <is>
          <t>Pay to terms unless Controller releases otherwise</t>
        </is>
      </c>
      <c r="K29" s="8">
        <f>IFERROR(MATCH(H29,'13W Cash Forecast'!$B$4:$N$4,1),1)</f>
        <v/>
      </c>
    </row>
    <row r="30">
      <c r="A30" s="8" t="inlineStr">
        <is>
          <t>AP</t>
        </is>
      </c>
      <c r="B30" s="8" t="inlineStr">
        <is>
          <t>AP-0005676</t>
        </is>
      </c>
      <c r="C30" s="8" t="inlineStr">
        <is>
          <t>ARM-2602</t>
        </is>
      </c>
      <c r="D30" s="8" t="inlineStr">
        <is>
          <t>Rogue Valley Mechanical Insulation - Vancouver LLC</t>
        </is>
      </c>
      <c r="E30" s="22" t="n">
        <v>46176</v>
      </c>
      <c r="F30" s="9" t="n">
        <v>6777.39</v>
      </c>
      <c r="G30" s="22" t="inlineStr">
        <is>
          <t>No</t>
        </is>
      </c>
      <c r="H30" s="23" t="n">
        <v>46176</v>
      </c>
      <c r="I30" s="24" t="inlineStr">
        <is>
          <t>Medium</t>
        </is>
      </c>
      <c r="J30" s="24" t="inlineStr">
        <is>
          <t>Pay to terms unless Controller releases otherwise</t>
        </is>
      </c>
      <c r="K30" s="8">
        <f>IFERROR(MATCH(H30,'13W Cash Forecast'!$B$4:$N$4,1),1)</f>
        <v/>
      </c>
    </row>
    <row r="31">
      <c r="A31" s="8" t="inlineStr">
        <is>
          <t>AP</t>
        </is>
      </c>
      <c r="B31" s="8" t="inlineStr">
        <is>
          <t>AP-0005716</t>
        </is>
      </c>
      <c r="C31" s="8" t="inlineStr">
        <is>
          <t>ARM-2605</t>
        </is>
      </c>
      <c r="D31" s="8" t="inlineStr">
        <is>
          <t>Rogue Valley Sheet Metal Fabrication - Gresham LLC</t>
        </is>
      </c>
      <c r="E31" s="22" t="n">
        <v>46176</v>
      </c>
      <c r="F31" s="9" t="n">
        <v>1914.92</v>
      </c>
      <c r="G31" s="22" t="inlineStr">
        <is>
          <t>No</t>
        </is>
      </c>
      <c r="H31" s="23" t="n">
        <v>46176</v>
      </c>
      <c r="I31" s="24" t="inlineStr">
        <is>
          <t>Medium</t>
        </is>
      </c>
      <c r="J31" s="24" t="inlineStr">
        <is>
          <t>Pay to terms unless Controller releases otherwise</t>
        </is>
      </c>
      <c r="K31" s="8">
        <f>IFERROR(MATCH(H31,'13W Cash Forecast'!$B$4:$N$4,1),1)</f>
        <v/>
      </c>
    </row>
    <row r="32">
      <c r="A32" s="8" t="inlineStr">
        <is>
          <t>AP</t>
        </is>
      </c>
      <c r="B32" s="8" t="inlineStr">
        <is>
          <t>AP-0009867</t>
        </is>
      </c>
      <c r="C32" s="8" t="inlineStr">
        <is>
          <t>G&amp;A</t>
        </is>
      </c>
      <c r="D32" s="8" t="inlineStr">
        <is>
          <t>H&amp;E Equipment Services - Portland</t>
        </is>
      </c>
      <c r="E32" s="22" t="n">
        <v>46176</v>
      </c>
      <c r="F32" s="9" t="n">
        <v>2692.43</v>
      </c>
      <c r="G32" s="22" t="inlineStr">
        <is>
          <t>No</t>
        </is>
      </c>
      <c r="H32" s="23" t="n">
        <v>46176</v>
      </c>
      <c r="I32" s="24" t="inlineStr">
        <is>
          <t>Medium</t>
        </is>
      </c>
      <c r="J32" s="24" t="inlineStr">
        <is>
          <t>Pay to terms unless Controller releases otherwise</t>
        </is>
      </c>
      <c r="K32" s="8">
        <f>IFERROR(MATCH(H32,'13W Cash Forecast'!$B$4:$N$4,1),1)</f>
        <v/>
      </c>
    </row>
    <row r="33">
      <c r="A33" s="8" t="inlineStr">
        <is>
          <t>AP</t>
        </is>
      </c>
      <c r="B33" s="8" t="inlineStr">
        <is>
          <t>AP-0009888</t>
        </is>
      </c>
      <c r="C33" s="8" t="inlineStr">
        <is>
          <t>G&amp;A</t>
        </is>
      </c>
      <c r="D33" s="8" t="inlineStr">
        <is>
          <t>H&amp;E Equipment Services - Portland</t>
        </is>
      </c>
      <c r="E33" s="22" t="n">
        <v>46176</v>
      </c>
      <c r="F33" s="9" t="n">
        <v>2044.79</v>
      </c>
      <c r="G33" s="22" t="inlineStr">
        <is>
          <t>No</t>
        </is>
      </c>
      <c r="H33" s="23" t="n">
        <v>46176</v>
      </c>
      <c r="I33" s="24" t="inlineStr">
        <is>
          <t>Medium</t>
        </is>
      </c>
      <c r="J33" s="24" t="inlineStr">
        <is>
          <t>Pay to terms unless Controller releases otherwise</t>
        </is>
      </c>
      <c r="K33" s="8">
        <f>IFERROR(MATCH(H33,'13W Cash Forecast'!$B$4:$N$4,1),1)</f>
        <v/>
      </c>
    </row>
    <row r="34">
      <c r="A34" s="8" t="inlineStr">
        <is>
          <t>AP</t>
        </is>
      </c>
      <c r="B34" s="8" t="inlineStr">
        <is>
          <t>AP-0011883</t>
        </is>
      </c>
      <c r="C34" s="8" t="inlineStr">
        <is>
          <t>G&amp;A</t>
        </is>
      </c>
      <c r="D34" s="8" t="inlineStr">
        <is>
          <t>Rose City Construction Advisory - Portland Services, LLC</t>
        </is>
      </c>
      <c r="E34" s="22" t="n">
        <v>46176</v>
      </c>
      <c r="F34" s="9" t="n">
        <v>1521.25</v>
      </c>
      <c r="G34" s="22" t="inlineStr">
        <is>
          <t>No</t>
        </is>
      </c>
      <c r="H34" s="23" t="n">
        <v>46176</v>
      </c>
      <c r="I34" s="24" t="inlineStr">
        <is>
          <t>Medium</t>
        </is>
      </c>
      <c r="J34" s="24" t="inlineStr">
        <is>
          <t>Pay to terms unless Controller releases otherwise</t>
        </is>
      </c>
      <c r="K34" s="8">
        <f>IFERROR(MATCH(H34,'13W Cash Forecast'!$B$4:$N$4,1),1)</f>
        <v/>
      </c>
    </row>
    <row r="35">
      <c r="A35" s="8" t="inlineStr">
        <is>
          <t>AP</t>
        </is>
      </c>
      <c r="B35" s="8" t="inlineStr">
        <is>
          <t>AP-0004683</t>
        </is>
      </c>
      <c r="C35" s="8" t="inlineStr">
        <is>
          <t>ARM-2417</t>
        </is>
      </c>
      <c r="D35" s="8" t="inlineStr">
        <is>
          <t>Interstate Equipment Rental &amp; Services - Salem Services, LLC</t>
        </is>
      </c>
      <c r="E35" s="22" t="n">
        <v>46177</v>
      </c>
      <c r="F35" s="9" t="n">
        <v>6491.1</v>
      </c>
      <c r="G35" s="22" t="inlineStr">
        <is>
          <t>No</t>
        </is>
      </c>
      <c r="H35" s="23" t="n">
        <v>46177</v>
      </c>
      <c r="I35" s="24" t="inlineStr">
        <is>
          <t>Medium</t>
        </is>
      </c>
      <c r="J35" s="24" t="inlineStr">
        <is>
          <t>Pay to terms unless Controller releases otherwise</t>
        </is>
      </c>
      <c r="K35" s="8">
        <f>IFERROR(MATCH(H35,'13W Cash Forecast'!$B$4:$N$4,1),1)</f>
        <v/>
      </c>
    </row>
    <row r="36">
      <c r="A36" s="8" t="inlineStr">
        <is>
          <t>AP</t>
        </is>
      </c>
      <c r="B36" s="8" t="inlineStr">
        <is>
          <t>AP-0004690</t>
        </is>
      </c>
      <c r="C36" s="8" t="inlineStr">
        <is>
          <t>ARM-2417</t>
        </is>
      </c>
      <c r="D36" s="8" t="inlineStr">
        <is>
          <t>Rose City Mechanical Insulation - Bend Services, LLC</t>
        </is>
      </c>
      <c r="E36" s="22" t="n">
        <v>46177</v>
      </c>
      <c r="F36" s="9" t="n">
        <v>12752.89</v>
      </c>
      <c r="G36" s="22" t="inlineStr">
        <is>
          <t>No</t>
        </is>
      </c>
      <c r="H36" s="23" t="n">
        <v>46177</v>
      </c>
      <c r="I36" s="24" t="inlineStr">
        <is>
          <t>Medium</t>
        </is>
      </c>
      <c r="J36" s="24" t="inlineStr">
        <is>
          <t>Pay to terms unless Controller releases otherwise</t>
        </is>
      </c>
      <c r="K36" s="8">
        <f>IFERROR(MATCH(H36,'13W Cash Forecast'!$B$4:$N$4,1),1)</f>
        <v/>
      </c>
    </row>
    <row r="37">
      <c r="A37" s="8" t="inlineStr">
        <is>
          <t>AP</t>
        </is>
      </c>
      <c r="B37" s="8" t="inlineStr">
        <is>
          <t>AP-0005408</t>
        </is>
      </c>
      <c r="C37" s="8" t="inlineStr">
        <is>
          <t>ARM-2514</t>
        </is>
      </c>
      <c r="D37" s="8" t="inlineStr">
        <is>
          <t>Cedar Mill Mechanical Insulation - Eugene Services, LLC</t>
        </is>
      </c>
      <c r="E37" s="22" t="n">
        <v>46177</v>
      </c>
      <c r="F37" s="9" t="n">
        <v>6807.04</v>
      </c>
      <c r="G37" s="22" t="inlineStr">
        <is>
          <t>No</t>
        </is>
      </c>
      <c r="H37" s="23" t="n">
        <v>46177</v>
      </c>
      <c r="I37" s="24" t="inlineStr">
        <is>
          <t>Medium</t>
        </is>
      </c>
      <c r="J37" s="24" t="inlineStr">
        <is>
          <t>Pay to terms unless Controller releases otherwise</t>
        </is>
      </c>
      <c r="K37" s="8">
        <f>IFERROR(MATCH(H37,'13W Cash Forecast'!$B$4:$N$4,1),1)</f>
        <v/>
      </c>
    </row>
    <row r="38">
      <c r="A38" s="8" t="inlineStr">
        <is>
          <t>AP</t>
        </is>
      </c>
      <c r="B38" s="8" t="inlineStr">
        <is>
          <t>AP-0005420</t>
        </is>
      </c>
      <c r="C38" s="8" t="inlineStr">
        <is>
          <t>ARM-2514</t>
        </is>
      </c>
      <c r="D38" s="8" t="inlineStr">
        <is>
          <t>High Desert Crane and Rigging - Portland Services, LLC</t>
        </is>
      </c>
      <c r="E38" s="22" t="n">
        <v>46177</v>
      </c>
      <c r="F38" s="9" t="n">
        <v>14656.38</v>
      </c>
      <c r="G38" s="22" t="inlineStr">
        <is>
          <t>No</t>
        </is>
      </c>
      <c r="H38" s="23" t="n">
        <v>46177</v>
      </c>
      <c r="I38" s="24" t="inlineStr">
        <is>
          <t>Medium</t>
        </is>
      </c>
      <c r="J38" s="24" t="inlineStr">
        <is>
          <t>Pay to terms unless Controller releases otherwise</t>
        </is>
      </c>
      <c r="K38" s="8">
        <f>IFERROR(MATCH(H38,'13W Cash Forecast'!$B$4:$N$4,1),1)</f>
        <v/>
      </c>
    </row>
    <row r="39">
      <c r="A39" s="8" t="inlineStr">
        <is>
          <t>AP</t>
        </is>
      </c>
      <c r="B39" s="8" t="inlineStr">
        <is>
          <t>AP-0005573</t>
        </is>
      </c>
      <c r="C39" s="8" t="inlineStr">
        <is>
          <t>ARM-2522</t>
        </is>
      </c>
      <c r="D39" s="8" t="inlineStr">
        <is>
          <t>Pacific Sheet Metal Fabrication - Beaverton LLC</t>
        </is>
      </c>
      <c r="E39" s="22" t="n">
        <v>46177</v>
      </c>
      <c r="F39" s="9" t="n">
        <v>6191.46</v>
      </c>
      <c r="G39" s="22" t="inlineStr">
        <is>
          <t>No</t>
        </is>
      </c>
      <c r="H39" s="23" t="n">
        <v>46177</v>
      </c>
      <c r="I39" s="24" t="inlineStr">
        <is>
          <t>Medium</t>
        </is>
      </c>
      <c r="J39" s="24" t="inlineStr">
        <is>
          <t>Pay to terms unless Controller releases otherwise</t>
        </is>
      </c>
      <c r="K39" s="8">
        <f>IFERROR(MATCH(H39,'13W Cash Forecast'!$B$4:$N$4,1),1)</f>
        <v/>
      </c>
    </row>
    <row r="40">
      <c r="A40" s="8" t="inlineStr">
        <is>
          <t>AP</t>
        </is>
      </c>
      <c r="B40" s="8" t="inlineStr">
        <is>
          <t>AP-0011857</t>
        </is>
      </c>
      <c r="C40" s="8" t="inlineStr">
        <is>
          <t>G&amp;A</t>
        </is>
      </c>
      <c r="D40" s="8" t="inlineStr">
        <is>
          <t>Metro Building Services - Beaverton Group</t>
        </is>
      </c>
      <c r="E40" s="22" t="n">
        <v>46177</v>
      </c>
      <c r="F40" s="9" t="n">
        <v>4319.59</v>
      </c>
      <c r="G40" s="22" t="inlineStr">
        <is>
          <t>No</t>
        </is>
      </c>
      <c r="H40" s="23" t="n">
        <v>46177</v>
      </c>
      <c r="I40" s="24" t="inlineStr">
        <is>
          <t>Medium</t>
        </is>
      </c>
      <c r="J40" s="24" t="inlineStr">
        <is>
          <t>Pay to terms unless Controller releases otherwise</t>
        </is>
      </c>
      <c r="K40" s="8">
        <f>IFERROR(MATCH(H40,'13W Cash Forecast'!$B$4:$N$4,1),1)</f>
        <v/>
      </c>
    </row>
    <row r="41">
      <c r="A41" s="8" t="inlineStr">
        <is>
          <t>AP</t>
        </is>
      </c>
      <c r="B41" s="8" t="inlineStr">
        <is>
          <t>AP-0011868</t>
        </is>
      </c>
      <c r="C41" s="8" t="inlineStr">
        <is>
          <t>G&amp;A</t>
        </is>
      </c>
      <c r="D41" s="8" t="inlineStr">
        <is>
          <t>Interstate Fleet Service Center - Vancouver Services, LLC</t>
        </is>
      </c>
      <c r="E41" s="22" t="n">
        <v>46177</v>
      </c>
      <c r="F41" s="9" t="n">
        <v>19612.96</v>
      </c>
      <c r="G41" s="22" t="inlineStr">
        <is>
          <t>No</t>
        </is>
      </c>
      <c r="H41" s="23" t="n">
        <v>46177</v>
      </c>
      <c r="I41" s="24" t="inlineStr">
        <is>
          <t>Medium</t>
        </is>
      </c>
      <c r="J41" s="24" t="inlineStr">
        <is>
          <t>Pay to terms unless Controller releases otherwise</t>
        </is>
      </c>
      <c r="K41" s="8">
        <f>IFERROR(MATCH(H41,'13W Cash Forecast'!$B$4:$N$4,1),1)</f>
        <v/>
      </c>
    </row>
    <row r="42">
      <c r="A42" s="8" t="inlineStr">
        <is>
          <t>AP</t>
        </is>
      </c>
      <c r="B42" s="8" t="inlineStr">
        <is>
          <t>AP-0003872</t>
        </is>
      </c>
      <c r="C42" s="8" t="inlineStr">
        <is>
          <t>ARM-2318</t>
        </is>
      </c>
      <c r="D42" s="8" t="inlineStr">
        <is>
          <t>Blue Mountain Crane and Rigging - Eugene Company</t>
        </is>
      </c>
      <c r="E42" s="22" t="n">
        <v>46178</v>
      </c>
      <c r="F42" s="9" t="n">
        <v>4667.24</v>
      </c>
      <c r="G42" s="22" t="inlineStr">
        <is>
          <t>No</t>
        </is>
      </c>
      <c r="H42" s="23" t="n">
        <v>46178</v>
      </c>
      <c r="I42" s="24" t="inlineStr">
        <is>
          <t>Medium</t>
        </is>
      </c>
      <c r="J42" s="24" t="inlineStr">
        <is>
          <t>Pay to terms unless Controller releases otherwise</t>
        </is>
      </c>
      <c r="K42" s="8">
        <f>IFERROR(MATCH(H42,'13W Cash Forecast'!$B$4:$N$4,1),1)</f>
        <v/>
      </c>
    </row>
    <row r="43">
      <c r="A43" s="8" t="inlineStr">
        <is>
          <t>AP</t>
        </is>
      </c>
      <c r="B43" s="8" t="inlineStr">
        <is>
          <t>AP-0003878</t>
        </is>
      </c>
      <c r="C43" s="8" t="inlineStr">
        <is>
          <t>ARM-2318</t>
        </is>
      </c>
      <c r="D43" s="8" t="inlineStr">
        <is>
          <t>West Coast Electrical Contracting - Beaverton Company</t>
        </is>
      </c>
      <c r="E43" s="22" t="n">
        <v>46178</v>
      </c>
      <c r="F43" s="9" t="n">
        <v>3337.3</v>
      </c>
      <c r="G43" s="22" t="inlineStr">
        <is>
          <t>No</t>
        </is>
      </c>
      <c r="H43" s="23" t="n">
        <v>46178</v>
      </c>
      <c r="I43" s="24" t="inlineStr">
        <is>
          <t>Medium</t>
        </is>
      </c>
      <c r="J43" s="24" t="inlineStr">
        <is>
          <t>Pay to terms unless Controller releases otherwise</t>
        </is>
      </c>
      <c r="K43" s="8">
        <f>IFERROR(MATCH(H43,'13W Cash Forecast'!$B$4:$N$4,1),1)</f>
        <v/>
      </c>
    </row>
    <row r="44">
      <c r="A44" s="8" t="inlineStr">
        <is>
          <t>AP</t>
        </is>
      </c>
      <c r="B44" s="8" t="inlineStr">
        <is>
          <t>AP-0005234</t>
        </is>
      </c>
      <c r="C44" s="8" t="inlineStr">
        <is>
          <t>ARM-2510</t>
        </is>
      </c>
      <c r="D44" s="8" t="inlineStr">
        <is>
          <t>Tri-County Crane and Rigging - Salem LLC</t>
        </is>
      </c>
      <c r="E44" s="22" t="n">
        <v>46178</v>
      </c>
      <c r="F44" s="9" t="n">
        <v>12380.51</v>
      </c>
      <c r="G44" s="22" t="inlineStr">
        <is>
          <t>No</t>
        </is>
      </c>
      <c r="H44" s="23" t="n">
        <v>46178</v>
      </c>
      <c r="I44" s="24" t="inlineStr">
        <is>
          <t>Medium</t>
        </is>
      </c>
      <c r="J44" s="24" t="inlineStr">
        <is>
          <t>Pay to terms unless Controller releases otherwise</t>
        </is>
      </c>
      <c r="K44" s="8">
        <f>IFERROR(MATCH(H44,'13W Cash Forecast'!$B$4:$N$4,1),1)</f>
        <v/>
      </c>
    </row>
    <row r="45">
      <c r="A45" s="8" t="inlineStr">
        <is>
          <t>AP</t>
        </is>
      </c>
      <c r="B45" s="8" t="inlineStr">
        <is>
          <t>AP-0005502</t>
        </is>
      </c>
      <c r="C45" s="8" t="inlineStr">
        <is>
          <t>ARM-2518</t>
        </is>
      </c>
      <c r="D45" s="8" t="inlineStr">
        <is>
          <t>High Desert Pipe, Valve &amp; Fitting Supply - Bend Services, LLC</t>
        </is>
      </c>
      <c r="E45" s="22" t="n">
        <v>46178</v>
      </c>
      <c r="F45" s="9" t="n">
        <v>9413.780000000001</v>
      </c>
      <c r="G45" s="22" t="inlineStr">
        <is>
          <t>No</t>
        </is>
      </c>
      <c r="H45" s="23" t="n">
        <v>46178</v>
      </c>
      <c r="I45" s="24" t="inlineStr">
        <is>
          <t>Medium</t>
        </is>
      </c>
      <c r="J45" s="24" t="inlineStr">
        <is>
          <t>Pay to terms unless Controller releases otherwise</t>
        </is>
      </c>
      <c r="K45" s="8">
        <f>IFERROR(MATCH(H45,'13W Cash Forecast'!$B$4:$N$4,1),1)</f>
        <v/>
      </c>
    </row>
    <row r="46">
      <c r="A46" s="8" t="inlineStr">
        <is>
          <t>AP</t>
        </is>
      </c>
      <c r="B46" s="8" t="inlineStr">
        <is>
          <t>AP-0005577</t>
        </is>
      </c>
      <c r="C46" s="8" t="inlineStr">
        <is>
          <t>ARM-2522</t>
        </is>
      </c>
      <c r="D46" s="8" t="inlineStr">
        <is>
          <t>Blue Mountain Mechanical Insulation - Salem Company</t>
        </is>
      </c>
      <c r="E46" s="22" t="n">
        <v>46178</v>
      </c>
      <c r="F46" s="9" t="n">
        <v>11686.28</v>
      </c>
      <c r="G46" s="22" t="inlineStr">
        <is>
          <t>No</t>
        </is>
      </c>
      <c r="H46" s="23" t="n">
        <v>46178</v>
      </c>
      <c r="I46" s="24" t="inlineStr">
        <is>
          <t>Medium</t>
        </is>
      </c>
      <c r="J46" s="24" t="inlineStr">
        <is>
          <t>Pay to terms unless Controller releases otherwise</t>
        </is>
      </c>
      <c r="K46" s="8">
        <f>IFERROR(MATCH(H46,'13W Cash Forecast'!$B$4:$N$4,1),1)</f>
        <v/>
      </c>
    </row>
    <row r="47">
      <c r="A47" s="8" t="inlineStr">
        <is>
          <t>AP</t>
        </is>
      </c>
      <c r="B47" s="8" t="inlineStr">
        <is>
          <t>AP-0005579</t>
        </is>
      </c>
      <c r="C47" s="8" t="inlineStr">
        <is>
          <t>ARM-2522</t>
        </is>
      </c>
      <c r="D47" s="8" t="inlineStr">
        <is>
          <t>Tualatin Equipment Rental &amp; Services - Beaverton Inc.</t>
        </is>
      </c>
      <c r="E47" s="22" t="n">
        <v>46178</v>
      </c>
      <c r="F47" s="9" t="n">
        <v>5911.81</v>
      </c>
      <c r="G47" s="22" t="inlineStr">
        <is>
          <t>No</t>
        </is>
      </c>
      <c r="H47" s="23" t="n">
        <v>46178</v>
      </c>
      <c r="I47" s="24" t="inlineStr">
        <is>
          <t>Medium</t>
        </is>
      </c>
      <c r="J47" s="24" t="inlineStr">
        <is>
          <t>Pay to terms unless Controller releases otherwise</t>
        </is>
      </c>
      <c r="K47" s="8">
        <f>IFERROR(MATCH(H47,'13W Cash Forecast'!$B$4:$N$4,1),1)</f>
        <v/>
      </c>
    </row>
    <row r="48">
      <c r="A48" s="8" t="inlineStr">
        <is>
          <t>AP</t>
        </is>
      </c>
      <c r="B48" s="8" t="inlineStr">
        <is>
          <t>AP-0005625</t>
        </is>
      </c>
      <c r="C48" s="8" t="inlineStr">
        <is>
          <t>ARM-2526</t>
        </is>
      </c>
      <c r="D48" s="8" t="inlineStr">
        <is>
          <t>Summit Pipe, Valve &amp; Fitting Supply - Bend Group</t>
        </is>
      </c>
      <c r="E48" s="22" t="n">
        <v>46178</v>
      </c>
      <c r="F48" s="9" t="n">
        <v>16631.54</v>
      </c>
      <c r="G48" s="22" t="inlineStr">
        <is>
          <t>No</t>
        </is>
      </c>
      <c r="H48" s="23" t="n">
        <v>46178</v>
      </c>
      <c r="I48" s="24" t="inlineStr">
        <is>
          <t>Medium</t>
        </is>
      </c>
      <c r="J48" s="24" t="inlineStr">
        <is>
          <t>Pay to terms unless Controller releases otherwise</t>
        </is>
      </c>
      <c r="K48" s="8">
        <f>IFERROR(MATCH(H48,'13W Cash Forecast'!$B$4:$N$4,1),1)</f>
        <v/>
      </c>
    </row>
    <row r="49">
      <c r="A49" s="8" t="inlineStr">
        <is>
          <t>AP</t>
        </is>
      </c>
      <c r="B49" s="8" t="inlineStr">
        <is>
          <t>AP-0005740</t>
        </is>
      </c>
      <c r="C49" s="8" t="inlineStr">
        <is>
          <t>ARM-2608</t>
        </is>
      </c>
      <c r="D49" s="8" t="inlineStr">
        <is>
          <t>Sunbelt Rentals - Oregon District</t>
        </is>
      </c>
      <c r="E49" s="22" t="n">
        <v>46178</v>
      </c>
      <c r="F49" s="9" t="n">
        <v>5002.76</v>
      </c>
      <c r="G49" s="22" t="inlineStr">
        <is>
          <t>No</t>
        </is>
      </c>
      <c r="H49" s="23" t="n">
        <v>46178</v>
      </c>
      <c r="I49" s="24" t="inlineStr">
        <is>
          <t>Medium</t>
        </is>
      </c>
      <c r="J49" s="24" t="inlineStr">
        <is>
          <t>Pay to terms unless Controller releases otherwise</t>
        </is>
      </c>
      <c r="K49" s="8">
        <f>IFERROR(MATCH(H49,'13W Cash Forecast'!$B$4:$N$4,1),1)</f>
        <v/>
      </c>
    </row>
    <row r="50">
      <c r="A50" s="8" t="inlineStr">
        <is>
          <t>AP</t>
        </is>
      </c>
      <c r="B50" s="8" t="inlineStr">
        <is>
          <t>AP-0011878</t>
        </is>
      </c>
      <c r="C50" s="8" t="inlineStr">
        <is>
          <t>G&amp;A</t>
        </is>
      </c>
      <c r="D50" s="8" t="inlineStr">
        <is>
          <t>Tualatin Building Services - Gresham Inc.</t>
        </is>
      </c>
      <c r="E50" s="22" t="n">
        <v>46178</v>
      </c>
      <c r="F50" s="9" t="n">
        <v>2767.37</v>
      </c>
      <c r="G50" s="22" t="inlineStr">
        <is>
          <t>No</t>
        </is>
      </c>
      <c r="H50" s="23" t="n">
        <v>46178</v>
      </c>
      <c r="I50" s="24" t="inlineStr">
        <is>
          <t>Medium</t>
        </is>
      </c>
      <c r="J50" s="24" t="inlineStr">
        <is>
          <t>Pay to terms unless Controller releases otherwise</t>
        </is>
      </c>
      <c r="K50" s="8">
        <f>IFERROR(MATCH(H50,'13W Cash Forecast'!$B$4:$N$4,1),1)</f>
        <v/>
      </c>
    </row>
    <row r="51">
      <c r="A51" s="8" t="inlineStr">
        <is>
          <t>AP</t>
        </is>
      </c>
      <c r="B51" s="8" t="inlineStr">
        <is>
          <t>AP-0004692</t>
        </is>
      </c>
      <c r="C51" s="8" t="inlineStr">
        <is>
          <t>ARM-2417</t>
        </is>
      </c>
      <c r="D51" s="8" t="inlineStr">
        <is>
          <t>Tri-County Testing and Balancing - Salem LLC</t>
        </is>
      </c>
      <c r="E51" s="22" t="n">
        <v>46179</v>
      </c>
      <c r="F51" s="9" t="n">
        <v>2076.58</v>
      </c>
      <c r="G51" s="22" t="inlineStr">
        <is>
          <t>No</t>
        </is>
      </c>
      <c r="H51" s="23" t="n">
        <v>46179</v>
      </c>
      <c r="I51" s="24" t="inlineStr">
        <is>
          <t>Medium</t>
        </is>
      </c>
      <c r="J51" s="24" t="inlineStr">
        <is>
          <t>Pay to terms unless Controller releases otherwise</t>
        </is>
      </c>
      <c r="K51" s="8">
        <f>IFERROR(MATCH(H51,'13W Cash Forecast'!$B$4:$N$4,1),1)</f>
        <v/>
      </c>
    </row>
    <row r="52">
      <c r="A52" s="8" t="inlineStr">
        <is>
          <t>AP</t>
        </is>
      </c>
      <c r="B52" s="8" t="inlineStr">
        <is>
          <t>AP-0005074</t>
        </is>
      </c>
      <c r="C52" s="8" t="inlineStr">
        <is>
          <t>ARM-2506</t>
        </is>
      </c>
      <c r="D52" s="8" t="inlineStr">
        <is>
          <t>Evergreen Sheet Metal Fabrication - Gresham Company</t>
        </is>
      </c>
      <c r="E52" s="22" t="n">
        <v>46179</v>
      </c>
      <c r="F52" s="9" t="n">
        <v>4753.06</v>
      </c>
      <c r="G52" s="22" t="inlineStr">
        <is>
          <t>No</t>
        </is>
      </c>
      <c r="H52" s="23" t="n">
        <v>46179</v>
      </c>
      <c r="I52" s="24" t="inlineStr">
        <is>
          <t>Medium</t>
        </is>
      </c>
      <c r="J52" s="24" t="inlineStr">
        <is>
          <t>Pay to terms unless Controller releases otherwise</t>
        </is>
      </c>
      <c r="K52" s="8">
        <f>IFERROR(MATCH(H52,'13W Cash Forecast'!$B$4:$N$4,1),1)</f>
        <v/>
      </c>
    </row>
    <row r="53">
      <c r="A53" s="8" t="inlineStr">
        <is>
          <t>AP</t>
        </is>
      </c>
      <c r="B53" s="8" t="inlineStr">
        <is>
          <t>AP-0005084</t>
        </is>
      </c>
      <c r="C53" s="8" t="inlineStr">
        <is>
          <t>ARM-2506</t>
        </is>
      </c>
      <c r="D53" s="8" t="inlineStr">
        <is>
          <t>Pioneer Mechanical Insulation - Eugene Inc.</t>
        </is>
      </c>
      <c r="E53" s="22" t="n">
        <v>46179</v>
      </c>
      <c r="F53" s="9" t="n">
        <v>10709.71</v>
      </c>
      <c r="G53" s="22" t="inlineStr">
        <is>
          <t>No</t>
        </is>
      </c>
      <c r="H53" s="23" t="n">
        <v>46179</v>
      </c>
      <c r="I53" s="24" t="inlineStr">
        <is>
          <t>Medium</t>
        </is>
      </c>
      <c r="J53" s="24" t="inlineStr">
        <is>
          <t>Pay to terms unless Controller releases otherwise</t>
        </is>
      </c>
      <c r="K53" s="8">
        <f>IFERROR(MATCH(H53,'13W Cash Forecast'!$B$4:$N$4,1),1)</f>
        <v/>
      </c>
    </row>
    <row r="54">
      <c r="A54" s="8" t="inlineStr">
        <is>
          <t>AP</t>
        </is>
      </c>
      <c r="B54" s="8" t="inlineStr">
        <is>
          <t>AP-0005087</t>
        </is>
      </c>
      <c r="C54" s="8" t="inlineStr">
        <is>
          <t>ARM-2506</t>
        </is>
      </c>
      <c r="D54" s="8" t="inlineStr">
        <is>
          <t>Evergreen Crane and Rigging - Beaverton Company</t>
        </is>
      </c>
      <c r="E54" s="22" t="n">
        <v>46179</v>
      </c>
      <c r="F54" s="9" t="n">
        <v>4352.91</v>
      </c>
      <c r="G54" s="22" t="inlineStr">
        <is>
          <t>No</t>
        </is>
      </c>
      <c r="H54" s="23" t="n">
        <v>46179</v>
      </c>
      <c r="I54" s="24" t="inlineStr">
        <is>
          <t>Medium</t>
        </is>
      </c>
      <c r="J54" s="24" t="inlineStr">
        <is>
          <t>Pay to terms unless Controller releases otherwise</t>
        </is>
      </c>
      <c r="K54" s="8">
        <f>IFERROR(MATCH(H54,'13W Cash Forecast'!$B$4:$N$4,1),1)</f>
        <v/>
      </c>
    </row>
    <row r="55">
      <c r="A55" s="8" t="inlineStr">
        <is>
          <t>AP</t>
        </is>
      </c>
      <c r="B55" s="8" t="inlineStr">
        <is>
          <t>AP-0005629</t>
        </is>
      </c>
      <c r="C55" s="8" t="inlineStr">
        <is>
          <t>ARM-2526</t>
        </is>
      </c>
      <c r="D55" s="8" t="inlineStr">
        <is>
          <t>Columbia Crane and Rigging - Bend Inc.</t>
        </is>
      </c>
      <c r="E55" s="22" t="n">
        <v>46179</v>
      </c>
      <c r="F55" s="9" t="n">
        <v>5650.67</v>
      </c>
      <c r="G55" s="22" t="inlineStr">
        <is>
          <t>No</t>
        </is>
      </c>
      <c r="H55" s="23" t="n">
        <v>46179</v>
      </c>
      <c r="I55" s="24" t="inlineStr">
        <is>
          <t>Medium</t>
        </is>
      </c>
      <c r="J55" s="24" t="inlineStr">
        <is>
          <t>Pay to terms unless Controller releases otherwise</t>
        </is>
      </c>
      <c r="K55" s="8">
        <f>IFERROR(MATCH(H55,'13W Cash Forecast'!$B$4:$N$4,1),1)</f>
        <v/>
      </c>
    </row>
    <row r="56">
      <c r="A56" s="8" t="inlineStr">
        <is>
          <t>AP</t>
        </is>
      </c>
      <c r="B56" s="8" t="inlineStr">
        <is>
          <t>AP-0005634</t>
        </is>
      </c>
      <c r="C56" s="8" t="inlineStr">
        <is>
          <t>ARM-2526</t>
        </is>
      </c>
      <c r="D56" s="8" t="inlineStr">
        <is>
          <t>Pioneer Electrical Contracting - Salem Inc.</t>
        </is>
      </c>
      <c r="E56" s="22" t="n">
        <v>46179</v>
      </c>
      <c r="F56" s="9" t="n">
        <v>5141.24</v>
      </c>
      <c r="G56" s="22" t="inlineStr">
        <is>
          <t>No</t>
        </is>
      </c>
      <c r="H56" s="23" t="n">
        <v>46179</v>
      </c>
      <c r="I56" s="24" t="inlineStr">
        <is>
          <t>Medium</t>
        </is>
      </c>
      <c r="J56" s="24" t="inlineStr">
        <is>
          <t>Pay to terms unless Controller releases otherwise</t>
        </is>
      </c>
      <c r="K56" s="8">
        <f>IFERROR(MATCH(H56,'13W Cash Forecast'!$B$4:$N$4,1),1)</f>
        <v/>
      </c>
    </row>
    <row r="57">
      <c r="A57" s="8" t="inlineStr">
        <is>
          <t>AP</t>
        </is>
      </c>
      <c r="B57" s="8" t="inlineStr">
        <is>
          <t>AP-0005673</t>
        </is>
      </c>
      <c r="C57" s="8" t="inlineStr">
        <is>
          <t>ARM-2602</t>
        </is>
      </c>
      <c r="D57" s="8" t="inlineStr">
        <is>
          <t>Rogue Valley Crane and Rigging - Beaverton LLC</t>
        </is>
      </c>
      <c r="E57" s="22" t="n">
        <v>46179</v>
      </c>
      <c r="F57" s="9" t="n">
        <v>5551.28</v>
      </c>
      <c r="G57" s="22" t="inlineStr">
        <is>
          <t>No</t>
        </is>
      </c>
      <c r="H57" s="23" t="n">
        <v>46179</v>
      </c>
      <c r="I57" s="24" t="inlineStr">
        <is>
          <t>Medium</t>
        </is>
      </c>
      <c r="J57" s="24" t="inlineStr">
        <is>
          <t>Pay to terms unless Controller releases otherwise</t>
        </is>
      </c>
      <c r="K57" s="8">
        <f>IFERROR(MATCH(H57,'13W Cash Forecast'!$B$4:$N$4,1),1)</f>
        <v/>
      </c>
    </row>
    <row r="58">
      <c r="A58" s="8" t="inlineStr">
        <is>
          <t>AP</t>
        </is>
      </c>
      <c r="B58" s="8" t="inlineStr">
        <is>
          <t>AP-0011852</t>
        </is>
      </c>
      <c r="C58" s="8" t="inlineStr">
        <is>
          <t>G&amp;A</t>
        </is>
      </c>
      <c r="D58" s="8" t="inlineStr">
        <is>
          <t>Metro Construction Advisory - Bend Group</t>
        </is>
      </c>
      <c r="E58" s="22" t="n">
        <v>46179</v>
      </c>
      <c r="F58" s="9" t="n">
        <v>12721.95</v>
      </c>
      <c r="G58" s="22" t="inlineStr">
        <is>
          <t>No</t>
        </is>
      </c>
      <c r="H58" s="23" t="n">
        <v>46179</v>
      </c>
      <c r="I58" s="24" t="inlineStr">
        <is>
          <t>Medium</t>
        </is>
      </c>
      <c r="J58" s="24" t="inlineStr">
        <is>
          <t>Pay to terms unless Controller releases otherwise</t>
        </is>
      </c>
      <c r="K58" s="8">
        <f>IFERROR(MATCH(H58,'13W Cash Forecast'!$B$4:$N$4,1),1)</f>
        <v/>
      </c>
    </row>
    <row r="59">
      <c r="A59" s="8" t="inlineStr">
        <is>
          <t>AP</t>
        </is>
      </c>
      <c r="B59" s="8" t="inlineStr">
        <is>
          <t>AP-0011872</t>
        </is>
      </c>
      <c r="C59" s="8" t="inlineStr">
        <is>
          <t>G&amp;A</t>
        </is>
      </c>
      <c r="D59" s="8" t="inlineStr">
        <is>
          <t>Pacific Construction Advisory - Gresham LLC</t>
        </is>
      </c>
      <c r="E59" s="22" t="n">
        <v>46179</v>
      </c>
      <c r="F59" s="9" t="n">
        <v>6683.08</v>
      </c>
      <c r="G59" s="22" t="inlineStr">
        <is>
          <t>No</t>
        </is>
      </c>
      <c r="H59" s="23" t="n">
        <v>46179</v>
      </c>
      <c r="I59" s="24" t="inlineStr">
        <is>
          <t>Medium</t>
        </is>
      </c>
      <c r="J59" s="24" t="inlineStr">
        <is>
          <t>Pay to terms unless Controller releases otherwise</t>
        </is>
      </c>
      <c r="K59" s="8">
        <f>IFERROR(MATCH(H59,'13W Cash Forecast'!$B$4:$N$4,1),1)</f>
        <v/>
      </c>
    </row>
    <row r="60">
      <c r="A60" s="8" t="inlineStr">
        <is>
          <t>AP</t>
        </is>
      </c>
      <c r="B60" s="8" t="inlineStr">
        <is>
          <t>AP-0005081</t>
        </is>
      </c>
      <c r="C60" s="8" t="inlineStr">
        <is>
          <t>ARM-2506</t>
        </is>
      </c>
      <c r="D60" s="8" t="inlineStr">
        <is>
          <t>Evergreen Electrical Contracting - Bend Company</t>
        </is>
      </c>
      <c r="E60" s="22" t="n">
        <v>46180</v>
      </c>
      <c r="F60" s="9" t="n">
        <v>4514.21</v>
      </c>
      <c r="G60" s="22" t="inlineStr">
        <is>
          <t>No</t>
        </is>
      </c>
      <c r="H60" s="23" t="n">
        <v>46180</v>
      </c>
      <c r="I60" s="24" t="inlineStr">
        <is>
          <t>Medium</t>
        </is>
      </c>
      <c r="J60" s="24" t="inlineStr">
        <is>
          <t>Pay to terms unless Controller releases otherwise</t>
        </is>
      </c>
      <c r="K60" s="8">
        <f>IFERROR(MATCH(H60,'13W Cash Forecast'!$B$4:$N$4,1),1)</f>
        <v/>
      </c>
    </row>
    <row r="61">
      <c r="A61" s="8" t="inlineStr">
        <is>
          <t>AP</t>
        </is>
      </c>
      <c r="B61" s="8" t="inlineStr">
        <is>
          <t>AP-0011869</t>
        </is>
      </c>
      <c r="C61" s="8" t="inlineStr">
        <is>
          <t>G&amp;A</t>
        </is>
      </c>
      <c r="D61" s="8" t="inlineStr">
        <is>
          <t>West Coast Fleet Service Center - Gresham Company</t>
        </is>
      </c>
      <c r="E61" s="22" t="n">
        <v>46180</v>
      </c>
      <c r="F61" s="9" t="n">
        <v>8724.26</v>
      </c>
      <c r="G61" s="22" t="inlineStr">
        <is>
          <t>No</t>
        </is>
      </c>
      <c r="H61" s="23" t="n">
        <v>46180</v>
      </c>
      <c r="I61" s="24" t="inlineStr">
        <is>
          <t>Medium</t>
        </is>
      </c>
      <c r="J61" s="24" t="inlineStr">
        <is>
          <t>Pay to terms unless Controller releases otherwise</t>
        </is>
      </c>
      <c r="K61" s="8">
        <f>IFERROR(MATCH(H61,'13W Cash Forecast'!$B$4:$N$4,1),1)</f>
        <v/>
      </c>
    </row>
    <row r="62">
      <c r="A62" s="8" t="inlineStr">
        <is>
          <t>AP</t>
        </is>
      </c>
      <c r="B62" s="8" t="inlineStr">
        <is>
          <t>AP-0011873</t>
        </is>
      </c>
      <c r="C62" s="8" t="inlineStr">
        <is>
          <t>G&amp;A</t>
        </is>
      </c>
      <c r="D62" s="8" t="inlineStr">
        <is>
          <t>West Coast Construction Advisory - Eugene Company</t>
        </is>
      </c>
      <c r="E62" s="22" t="n">
        <v>46180</v>
      </c>
      <c r="F62" s="9" t="n">
        <v>8969.66</v>
      </c>
      <c r="G62" s="22" t="inlineStr">
        <is>
          <t>No</t>
        </is>
      </c>
      <c r="H62" s="23" t="n">
        <v>46180</v>
      </c>
      <c r="I62" s="24" t="inlineStr">
        <is>
          <t>Medium</t>
        </is>
      </c>
      <c r="J62" s="24" t="inlineStr">
        <is>
          <t>Pay to terms unless Controller releases otherwise</t>
        </is>
      </c>
      <c r="K62" s="8">
        <f>IFERROR(MATCH(H62,'13W Cash Forecast'!$B$4:$N$4,1),1)</f>
        <v/>
      </c>
    </row>
    <row r="63">
      <c r="A63" s="8" t="inlineStr">
        <is>
          <t>AP</t>
        </is>
      </c>
      <c r="B63" s="8" t="inlineStr">
        <is>
          <t>AP-0003868</t>
        </is>
      </c>
      <c r="C63" s="8" t="inlineStr">
        <is>
          <t>ARM-2318</t>
        </is>
      </c>
      <c r="D63" s="8" t="inlineStr">
        <is>
          <t>Bridge City Testing and Balancing - Beaverton Group</t>
        </is>
      </c>
      <c r="E63" s="22" t="n">
        <v>46181</v>
      </c>
      <c r="F63" s="9" t="n">
        <v>3313.42</v>
      </c>
      <c r="G63" s="22" t="inlineStr">
        <is>
          <t>No</t>
        </is>
      </c>
      <c r="H63" s="23" t="n">
        <v>46181</v>
      </c>
      <c r="I63" s="24" t="inlineStr">
        <is>
          <t>Medium</t>
        </is>
      </c>
      <c r="J63" s="24" t="inlineStr">
        <is>
          <t>Pay to terms unless Controller releases otherwise</t>
        </is>
      </c>
      <c r="K63" s="8">
        <f>IFERROR(MATCH(H63,'13W Cash Forecast'!$B$4:$N$4,1),1)</f>
        <v/>
      </c>
    </row>
    <row r="64">
      <c r="A64" s="8" t="inlineStr">
        <is>
          <t>AP</t>
        </is>
      </c>
      <c r="B64" s="8" t="inlineStr">
        <is>
          <t>AP-0004275</t>
        </is>
      </c>
      <c r="C64" s="8" t="inlineStr">
        <is>
          <t>ARM-2409</t>
        </is>
      </c>
      <c r="D64" s="8" t="inlineStr">
        <is>
          <t>Northwest Crane and Rigging - Salem Group</t>
        </is>
      </c>
      <c r="E64" s="22" t="n">
        <v>46181</v>
      </c>
      <c r="F64" s="9" t="n">
        <v>10471.93</v>
      </c>
      <c r="G64" s="22" t="inlineStr">
        <is>
          <t>No</t>
        </is>
      </c>
      <c r="H64" s="23" t="n">
        <v>46181</v>
      </c>
      <c r="I64" s="24" t="inlineStr">
        <is>
          <t>Medium</t>
        </is>
      </c>
      <c r="J64" s="24" t="inlineStr">
        <is>
          <t>Pay to terms unless Controller releases otherwise</t>
        </is>
      </c>
      <c r="K64" s="8">
        <f>IFERROR(MATCH(H64,'13W Cash Forecast'!$B$4:$N$4,1),1)</f>
        <v/>
      </c>
    </row>
    <row r="65">
      <c r="A65" s="8" t="inlineStr">
        <is>
          <t>AP</t>
        </is>
      </c>
      <c r="B65" s="8" t="inlineStr">
        <is>
          <t>AP-0004884</t>
        </is>
      </c>
      <c r="C65" s="8" t="inlineStr">
        <is>
          <t>ARM-2501</t>
        </is>
      </c>
      <c r="D65" s="8" t="inlineStr">
        <is>
          <t>Northwest Electrical Contracting - Beaverton Group</t>
        </is>
      </c>
      <c r="E65" s="22" t="n">
        <v>46181</v>
      </c>
      <c r="F65" s="9" t="n">
        <v>4616.49</v>
      </c>
      <c r="G65" s="22" t="inlineStr">
        <is>
          <t>No</t>
        </is>
      </c>
      <c r="H65" s="23" t="n">
        <v>46181</v>
      </c>
      <c r="I65" s="24" t="inlineStr">
        <is>
          <t>Medium</t>
        </is>
      </c>
      <c r="J65" s="24" t="inlineStr">
        <is>
          <t>Pay to terms unless Controller releases otherwise</t>
        </is>
      </c>
      <c r="K65" s="8">
        <f>IFERROR(MATCH(H65,'13W Cash Forecast'!$B$4:$N$4,1),1)</f>
        <v/>
      </c>
    </row>
    <row r="66">
      <c r="A66" s="8" t="inlineStr">
        <is>
          <t>AP</t>
        </is>
      </c>
      <c r="B66" s="8" t="inlineStr">
        <is>
          <t>AP-0005412</t>
        </is>
      </c>
      <c r="C66" s="8" t="inlineStr">
        <is>
          <t>ARM-2514</t>
        </is>
      </c>
      <c r="D66" s="8" t="inlineStr">
        <is>
          <t>Cedar Mill Testing and Balancing - Bend Services, LLC</t>
        </is>
      </c>
      <c r="E66" s="22" t="n">
        <v>46181</v>
      </c>
      <c r="F66" s="9" t="n">
        <v>7158.19</v>
      </c>
      <c r="G66" s="22" t="inlineStr">
        <is>
          <t>No</t>
        </is>
      </c>
      <c r="H66" s="23" t="n">
        <v>46181</v>
      </c>
      <c r="I66" s="24" t="inlineStr">
        <is>
          <t>Medium</t>
        </is>
      </c>
      <c r="J66" s="24" t="inlineStr">
        <is>
          <t>Pay to terms unless Controller releases otherwise</t>
        </is>
      </c>
      <c r="K66" s="8">
        <f>IFERROR(MATCH(H66,'13W Cash Forecast'!$B$4:$N$4,1),1)</f>
        <v/>
      </c>
    </row>
    <row r="67">
      <c r="A67" s="8" t="inlineStr">
        <is>
          <t>AP</t>
        </is>
      </c>
      <c r="B67" s="8" t="inlineStr">
        <is>
          <t>AP-0005499</t>
        </is>
      </c>
      <c r="C67" s="8" t="inlineStr">
        <is>
          <t>ARM-2518</t>
        </is>
      </c>
      <c r="D67" s="8" t="inlineStr">
        <is>
          <t>Columbia Equipment Rental &amp; Services - Bend Inc.</t>
        </is>
      </c>
      <c r="E67" s="22" t="n">
        <v>46181</v>
      </c>
      <c r="F67" s="9" t="n">
        <v>3641.77</v>
      </c>
      <c r="G67" s="22" t="inlineStr">
        <is>
          <t>No</t>
        </is>
      </c>
      <c r="H67" s="23" t="n">
        <v>46181</v>
      </c>
      <c r="I67" s="24" t="inlineStr">
        <is>
          <t>Medium</t>
        </is>
      </c>
      <c r="J67" s="24" t="inlineStr">
        <is>
          <t>Pay to terms unless Controller releases otherwise</t>
        </is>
      </c>
      <c r="K67" s="8">
        <f>IFERROR(MATCH(H67,'13W Cash Forecast'!$B$4:$N$4,1),1)</f>
        <v/>
      </c>
    </row>
    <row r="68">
      <c r="A68" s="8" t="inlineStr">
        <is>
          <t>AP</t>
        </is>
      </c>
      <c r="B68" s="8" t="inlineStr">
        <is>
          <t>AP-0005504</t>
        </is>
      </c>
      <c r="C68" s="8" t="inlineStr">
        <is>
          <t>ARM-2518</t>
        </is>
      </c>
      <c r="D68" s="8" t="inlineStr">
        <is>
          <t>Evergreen Pipe, Valve &amp; Fitting Supply - Gresham Company</t>
        </is>
      </c>
      <c r="E68" s="22" t="n">
        <v>46181</v>
      </c>
      <c r="F68" s="9" t="n">
        <v>14026.5</v>
      </c>
      <c r="G68" s="22" t="inlineStr">
        <is>
          <t>No</t>
        </is>
      </c>
      <c r="H68" s="23" t="n">
        <v>46181</v>
      </c>
      <c r="I68" s="24" t="inlineStr">
        <is>
          <t>Medium</t>
        </is>
      </c>
      <c r="J68" s="24" t="inlineStr">
        <is>
          <t>Pay to terms unless Controller releases otherwise</t>
        </is>
      </c>
      <c r="K68" s="8">
        <f>IFERROR(MATCH(H68,'13W Cash Forecast'!$B$4:$N$4,1),1)</f>
        <v/>
      </c>
    </row>
    <row r="69">
      <c r="A69" s="8" t="inlineStr">
        <is>
          <t>AP</t>
        </is>
      </c>
      <c r="B69" s="8" t="inlineStr">
        <is>
          <t>AP-0005506</t>
        </is>
      </c>
      <c r="C69" s="8" t="inlineStr">
        <is>
          <t>ARM-2518</t>
        </is>
      </c>
      <c r="D69" s="8" t="inlineStr">
        <is>
          <t>Pioneer Sheet Metal Fabrication - Salem Inc.</t>
        </is>
      </c>
      <c r="E69" s="22" t="n">
        <v>46181</v>
      </c>
      <c r="F69" s="9" t="n">
        <v>1603.46</v>
      </c>
      <c r="G69" s="22" t="inlineStr">
        <is>
          <t>No</t>
        </is>
      </c>
      <c r="H69" s="23" t="n">
        <v>46181</v>
      </c>
      <c r="I69" s="24" t="inlineStr">
        <is>
          <t>Medium</t>
        </is>
      </c>
      <c r="J69" s="24" t="inlineStr">
        <is>
          <t>Pay to terms unless Controller releases otherwise</t>
        </is>
      </c>
      <c r="K69" s="8">
        <f>IFERROR(MATCH(H69,'13W Cash Forecast'!$B$4:$N$4,1),1)</f>
        <v/>
      </c>
    </row>
    <row r="70">
      <c r="A70" s="8" t="inlineStr">
        <is>
          <t>AP</t>
        </is>
      </c>
      <c r="B70" s="8" t="inlineStr">
        <is>
          <t>AP-0005741</t>
        </is>
      </c>
      <c r="C70" s="8" t="inlineStr">
        <is>
          <t>ARM-2608</t>
        </is>
      </c>
      <c r="D70" s="8" t="inlineStr">
        <is>
          <t>Peterson Cat - Rental Services</t>
        </is>
      </c>
      <c r="E70" s="22" t="n">
        <v>46181</v>
      </c>
      <c r="F70" s="9" t="n">
        <v>16658.88</v>
      </c>
      <c r="G70" s="22" t="inlineStr">
        <is>
          <t>No</t>
        </is>
      </c>
      <c r="H70" s="23" t="n">
        <v>46181</v>
      </c>
      <c r="I70" s="24" t="inlineStr">
        <is>
          <t>Medium</t>
        </is>
      </c>
      <c r="J70" s="24" t="inlineStr">
        <is>
          <t>Pay to terms unless Controller releases otherwise</t>
        </is>
      </c>
      <c r="K70" s="8">
        <f>IFERROR(MATCH(H70,'13W Cash Forecast'!$B$4:$N$4,1),1)</f>
        <v/>
      </c>
    </row>
    <row r="71">
      <c r="A71" s="8" t="inlineStr">
        <is>
          <t>AP</t>
        </is>
      </c>
      <c r="B71" s="8" t="inlineStr">
        <is>
          <t>AP-0005742</t>
        </is>
      </c>
      <c r="C71" s="8" t="inlineStr">
        <is>
          <t>ARM-2608</t>
        </is>
      </c>
      <c r="D71" s="8" t="inlineStr">
        <is>
          <t>West Coast Sheet Metal Fabrication - Vancouver Company</t>
        </is>
      </c>
      <c r="E71" s="22" t="n">
        <v>46181</v>
      </c>
      <c r="F71" s="9" t="n">
        <v>4439.64</v>
      </c>
      <c r="G71" s="22" t="inlineStr">
        <is>
          <t>No</t>
        </is>
      </c>
      <c r="H71" s="23" t="n">
        <v>46181</v>
      </c>
      <c r="I71" s="24" t="inlineStr">
        <is>
          <t>Medium</t>
        </is>
      </c>
      <c r="J71" s="24" t="inlineStr">
        <is>
          <t>Pay to terms unless Controller releases otherwise</t>
        </is>
      </c>
      <c r="K71" s="8">
        <f>IFERROR(MATCH(H71,'13W Cash Forecast'!$B$4:$N$4,1),1)</f>
        <v/>
      </c>
    </row>
    <row r="72">
      <c r="A72" s="8" t="inlineStr">
        <is>
          <t>AP</t>
        </is>
      </c>
      <c r="B72" s="8" t="inlineStr">
        <is>
          <t>AP-0004094</t>
        </is>
      </c>
      <c r="C72" s="8" t="inlineStr">
        <is>
          <t>ARM-2403</t>
        </is>
      </c>
      <c r="D72" s="8" t="inlineStr">
        <is>
          <t>Pacific Sheet Metal Fabrication - Beaverton LLC</t>
        </is>
      </c>
      <c r="E72" s="22" t="n">
        <v>46182</v>
      </c>
      <c r="F72" s="9" t="n">
        <v>9257.57</v>
      </c>
      <c r="G72" s="22" t="inlineStr">
        <is>
          <t>No</t>
        </is>
      </c>
      <c r="H72" s="23" t="n">
        <v>46182</v>
      </c>
      <c r="I72" s="24" t="inlineStr">
        <is>
          <t>Medium</t>
        </is>
      </c>
      <c r="J72" s="24" t="inlineStr">
        <is>
          <t>Pay to terms unless Controller releases otherwise</t>
        </is>
      </c>
      <c r="K72" s="8">
        <f>IFERROR(MATCH(H72,'13W Cash Forecast'!$B$4:$N$4,1),1)</f>
        <v/>
      </c>
    </row>
    <row r="73">
      <c r="A73" s="8" t="inlineStr">
        <is>
          <t>AP</t>
        </is>
      </c>
      <c r="B73" s="8" t="inlineStr">
        <is>
          <t>AP-0004279</t>
        </is>
      </c>
      <c r="C73" s="8" t="inlineStr">
        <is>
          <t>ARM-2409</t>
        </is>
      </c>
      <c r="D73" s="8" t="inlineStr">
        <is>
          <t>Tualatin Mechanical Insulation - Beaverton Inc.</t>
        </is>
      </c>
      <c r="E73" s="22" t="n">
        <v>46182</v>
      </c>
      <c r="F73" s="9" t="n">
        <v>4525.63</v>
      </c>
      <c r="G73" s="22" t="inlineStr">
        <is>
          <t>No</t>
        </is>
      </c>
      <c r="H73" s="23" t="n">
        <v>46182</v>
      </c>
      <c r="I73" s="24" t="inlineStr">
        <is>
          <t>Medium</t>
        </is>
      </c>
      <c r="J73" s="24" t="inlineStr">
        <is>
          <t>Pay to terms unless Controller releases otherwise</t>
        </is>
      </c>
      <c r="K73" s="8">
        <f>IFERROR(MATCH(H73,'13W Cash Forecast'!$B$4:$N$4,1),1)</f>
        <v/>
      </c>
    </row>
    <row r="74">
      <c r="A74" s="8" t="inlineStr">
        <is>
          <t>AP</t>
        </is>
      </c>
      <c r="B74" s="8" t="inlineStr">
        <is>
          <t>AP-0004672</t>
        </is>
      </c>
      <c r="C74" s="8" t="inlineStr">
        <is>
          <t>ARM-2417</t>
        </is>
      </c>
      <c r="D74" s="8" t="inlineStr">
        <is>
          <t>Northwest Sheet Metal Fabrication - Beaverton Group</t>
        </is>
      </c>
      <c r="E74" s="22" t="n">
        <v>46182</v>
      </c>
      <c r="F74" s="9" t="n">
        <v>7254.65</v>
      </c>
      <c r="G74" s="22" t="inlineStr">
        <is>
          <t>No</t>
        </is>
      </c>
      <c r="H74" s="23" t="n">
        <v>46182</v>
      </c>
      <c r="I74" s="24" t="inlineStr">
        <is>
          <t>Medium</t>
        </is>
      </c>
      <c r="J74" s="24" t="inlineStr">
        <is>
          <t>Pay to terms unless Controller releases otherwise</t>
        </is>
      </c>
      <c r="K74" s="8">
        <f>IFERROR(MATCH(H74,'13W Cash Forecast'!$B$4:$N$4,1),1)</f>
        <v/>
      </c>
    </row>
    <row r="75">
      <c r="A75" s="8" t="inlineStr">
        <is>
          <t>AP</t>
        </is>
      </c>
      <c r="B75" s="8" t="inlineStr">
        <is>
          <t>AP-0004686</t>
        </is>
      </c>
      <c r="C75" s="8" t="inlineStr">
        <is>
          <t>ARM-2417</t>
        </is>
      </c>
      <c r="D75" s="8" t="inlineStr">
        <is>
          <t>Pacific Electrical Contracting - Portland LLC</t>
        </is>
      </c>
      <c r="E75" s="22" t="n">
        <v>46182</v>
      </c>
      <c r="F75" s="9" t="n">
        <v>4403.05</v>
      </c>
      <c r="G75" s="22" t="inlineStr">
        <is>
          <t>No</t>
        </is>
      </c>
      <c r="H75" s="23" t="n">
        <v>46182</v>
      </c>
      <c r="I75" s="24" t="inlineStr">
        <is>
          <t>Medium</t>
        </is>
      </c>
      <c r="J75" s="24" t="inlineStr">
        <is>
          <t>Pay to terms unless Controller releases otherwise</t>
        </is>
      </c>
      <c r="K75" s="8">
        <f>IFERROR(MATCH(H75,'13W Cash Forecast'!$B$4:$N$4,1),1)</f>
        <v/>
      </c>
    </row>
    <row r="76">
      <c r="A76" s="8" t="inlineStr">
        <is>
          <t>AP</t>
        </is>
      </c>
      <c r="B76" s="8" t="inlineStr">
        <is>
          <t>AP-0004886</t>
        </is>
      </c>
      <c r="C76" s="8" t="inlineStr">
        <is>
          <t>ARM-2501</t>
        </is>
      </c>
      <c r="D76" s="8" t="inlineStr">
        <is>
          <t>Willamette Testing and Balancing - Eugene Inc.</t>
        </is>
      </c>
      <c r="E76" s="22" t="n">
        <v>46182</v>
      </c>
      <c r="F76" s="9" t="n">
        <v>4551.3</v>
      </c>
      <c r="G76" s="22" t="inlineStr">
        <is>
          <t>No</t>
        </is>
      </c>
      <c r="H76" s="23" t="n">
        <v>46182</v>
      </c>
      <c r="I76" s="24" t="inlineStr">
        <is>
          <t>Medium</t>
        </is>
      </c>
      <c r="J76" s="24" t="inlineStr">
        <is>
          <t>Pay to terms unless Controller releases otherwise</t>
        </is>
      </c>
      <c r="K76" s="8">
        <f>IFERROR(MATCH(H76,'13W Cash Forecast'!$B$4:$N$4,1),1)</f>
        <v/>
      </c>
    </row>
    <row r="77">
      <c r="A77" s="8" t="inlineStr">
        <is>
          <t>AP</t>
        </is>
      </c>
      <c r="B77" s="8" t="inlineStr">
        <is>
          <t>AP-0005411</t>
        </is>
      </c>
      <c r="C77" s="8" t="inlineStr">
        <is>
          <t>ARM-2514</t>
        </is>
      </c>
      <c r="D77" s="8" t="inlineStr">
        <is>
          <t>Cascade Sheet Metal Fabrication - Salem LLC</t>
        </is>
      </c>
      <c r="E77" s="22" t="n">
        <v>46182</v>
      </c>
      <c r="F77" s="9" t="n">
        <v>7164.72</v>
      </c>
      <c r="G77" s="22" t="inlineStr">
        <is>
          <t>No</t>
        </is>
      </c>
      <c r="H77" s="23" t="n">
        <v>46182</v>
      </c>
      <c r="I77" s="24" t="inlineStr">
        <is>
          <t>Medium</t>
        </is>
      </c>
      <c r="J77" s="24" t="inlineStr">
        <is>
          <t>Pay to terms unless Controller releases otherwise</t>
        </is>
      </c>
      <c r="K77" s="8">
        <f>IFERROR(MATCH(H77,'13W Cash Forecast'!$B$4:$N$4,1),1)</f>
        <v/>
      </c>
    </row>
    <row r="78">
      <c r="A78" s="8" t="inlineStr">
        <is>
          <t>AP</t>
        </is>
      </c>
      <c r="B78" s="8" t="inlineStr">
        <is>
          <t>AP-0005575</t>
        </is>
      </c>
      <c r="C78" s="8" t="inlineStr">
        <is>
          <t>ARM-2522</t>
        </is>
      </c>
      <c r="D78" s="8" t="inlineStr">
        <is>
          <t>Pioneer Equipment Rental &amp; Services - Eugene Inc.</t>
        </is>
      </c>
      <c r="E78" s="22" t="n">
        <v>46182</v>
      </c>
      <c r="F78" s="9" t="n">
        <v>3745.97</v>
      </c>
      <c r="G78" s="22" t="inlineStr">
        <is>
          <t>No</t>
        </is>
      </c>
      <c r="H78" s="23" t="n">
        <v>46182</v>
      </c>
      <c r="I78" s="24" t="inlineStr">
        <is>
          <t>Medium</t>
        </is>
      </c>
      <c r="J78" s="24" t="inlineStr">
        <is>
          <t>Pay to terms unless Controller releases otherwise</t>
        </is>
      </c>
      <c r="K78" s="8">
        <f>IFERROR(MATCH(H78,'13W Cash Forecast'!$B$4:$N$4,1),1)</f>
        <v/>
      </c>
    </row>
    <row r="79">
      <c r="A79" s="8" t="inlineStr">
        <is>
          <t>AP</t>
        </is>
      </c>
      <c r="B79" s="8" t="inlineStr">
        <is>
          <t>AP-0011854</t>
        </is>
      </c>
      <c r="C79" s="8" t="inlineStr">
        <is>
          <t>G&amp;A</t>
        </is>
      </c>
      <c r="D79" s="8" t="inlineStr">
        <is>
          <t>Bridge City Safety and Industrial Supply - Portland Group</t>
        </is>
      </c>
      <c r="E79" s="22" t="n">
        <v>46182</v>
      </c>
      <c r="F79" s="9" t="n">
        <v>5514.91</v>
      </c>
      <c r="G79" s="22" t="inlineStr">
        <is>
          <t>No</t>
        </is>
      </c>
      <c r="H79" s="23" t="n">
        <v>46182</v>
      </c>
      <c r="I79" s="24" t="inlineStr">
        <is>
          <t>Medium</t>
        </is>
      </c>
      <c r="J79" s="24" t="inlineStr">
        <is>
          <t>Pay to terms unless Controller releases otherwise</t>
        </is>
      </c>
      <c r="K79" s="8">
        <f>IFERROR(MATCH(H79,'13W Cash Forecast'!$B$4:$N$4,1),1)</f>
        <v/>
      </c>
    </row>
    <row r="80">
      <c r="A80" s="8" t="inlineStr">
        <is>
          <t>AP</t>
        </is>
      </c>
      <c r="B80" s="8" t="inlineStr">
        <is>
          <t>AP-0004438</t>
        </is>
      </c>
      <c r="C80" s="8" t="inlineStr">
        <is>
          <t>ARM-2412</t>
        </is>
      </c>
      <c r="D80" s="8" t="inlineStr">
        <is>
          <t>Tualatin Electrical Contracting - Vancouver Inc.</t>
        </is>
      </c>
      <c r="E80" s="22" t="n">
        <v>46183</v>
      </c>
      <c r="F80" s="9" t="n">
        <v>4601.25</v>
      </c>
      <c r="G80" s="22" t="inlineStr">
        <is>
          <t>No</t>
        </is>
      </c>
      <c r="H80" s="23" t="n">
        <v>46183</v>
      </c>
      <c r="I80" s="24" t="inlineStr">
        <is>
          <t>Medium</t>
        </is>
      </c>
      <c r="J80" s="24" t="inlineStr">
        <is>
          <t>Pay to terms unless Controller releases otherwise</t>
        </is>
      </c>
      <c r="K80" s="8">
        <f>IFERROR(MATCH(H80,'13W Cash Forecast'!$B$4:$N$4,1),1)</f>
        <v/>
      </c>
    </row>
    <row r="81">
      <c r="A81" s="8" t="inlineStr">
        <is>
          <t>AP</t>
        </is>
      </c>
      <c r="B81" s="8" t="inlineStr">
        <is>
          <t>AP-0005229</t>
        </is>
      </c>
      <c r="C81" s="8" t="inlineStr">
        <is>
          <t>ARM-2510</t>
        </is>
      </c>
      <c r="D81" s="8" t="inlineStr">
        <is>
          <t>Cedar Mill Crane and Rigging - Bend Services, LLC</t>
        </is>
      </c>
      <c r="E81" s="22" t="n">
        <v>46183</v>
      </c>
      <c r="F81" s="9" t="n">
        <v>4699.55</v>
      </c>
      <c r="G81" s="22" t="inlineStr">
        <is>
          <t>No</t>
        </is>
      </c>
      <c r="H81" s="23" t="n">
        <v>46183</v>
      </c>
      <c r="I81" s="24" t="inlineStr">
        <is>
          <t>Medium</t>
        </is>
      </c>
      <c r="J81" s="24" t="inlineStr">
        <is>
          <t>Pay to terms unless Controller releases otherwise</t>
        </is>
      </c>
      <c r="K81" s="8">
        <f>IFERROR(MATCH(H81,'13W Cash Forecast'!$B$4:$N$4,1),1)</f>
        <v/>
      </c>
    </row>
    <row r="82">
      <c r="A82" s="8" t="inlineStr">
        <is>
          <t>AP</t>
        </is>
      </c>
      <c r="B82" s="8" t="inlineStr">
        <is>
          <t>AP-0011871</t>
        </is>
      </c>
      <c r="C82" s="8" t="inlineStr">
        <is>
          <t>G&amp;A</t>
        </is>
      </c>
      <c r="D82" s="8" t="inlineStr">
        <is>
          <t>Interstate Construction Advisory - Gresham Services, LLC</t>
        </is>
      </c>
      <c r="E82" s="22" t="n">
        <v>46183</v>
      </c>
      <c r="F82" s="9" t="n">
        <v>4004.63</v>
      </c>
      <c r="G82" s="22" t="inlineStr">
        <is>
          <t>No</t>
        </is>
      </c>
      <c r="H82" s="23" t="n">
        <v>46183</v>
      </c>
      <c r="I82" s="24" t="inlineStr">
        <is>
          <t>Medium</t>
        </is>
      </c>
      <c r="J82" s="24" t="inlineStr">
        <is>
          <t>Pay to terms unless Controller releases otherwise</t>
        </is>
      </c>
      <c r="K82" s="8">
        <f>IFERROR(MATCH(H82,'13W Cash Forecast'!$B$4:$N$4,1),1)</f>
        <v/>
      </c>
    </row>
    <row r="83">
      <c r="A83" s="8" t="inlineStr">
        <is>
          <t>AP</t>
        </is>
      </c>
      <c r="B83" s="8" t="inlineStr">
        <is>
          <t>AP-0004096</t>
        </is>
      </c>
      <c r="C83" s="8" t="inlineStr">
        <is>
          <t>ARM-2403</t>
        </is>
      </c>
      <c r="D83" s="8" t="inlineStr">
        <is>
          <t>West Coast Testing and Balancing - Salem Company</t>
        </is>
      </c>
      <c r="E83" s="22" t="n">
        <v>46184</v>
      </c>
      <c r="F83" s="9" t="n">
        <v>14452.71</v>
      </c>
      <c r="G83" s="22" t="inlineStr">
        <is>
          <t>No</t>
        </is>
      </c>
      <c r="H83" s="23" t="n">
        <v>46184</v>
      </c>
      <c r="I83" s="24" t="inlineStr">
        <is>
          <t>Medium</t>
        </is>
      </c>
      <c r="J83" s="24" t="inlineStr">
        <is>
          <t>Pay to terms unless Controller releases otherwise</t>
        </is>
      </c>
      <c r="K83" s="8">
        <f>IFERROR(MATCH(H83,'13W Cash Forecast'!$B$4:$N$4,1),1)</f>
        <v/>
      </c>
    </row>
    <row r="84">
      <c r="A84" s="8" t="inlineStr">
        <is>
          <t>AP</t>
        </is>
      </c>
      <c r="B84" s="8" t="inlineStr">
        <is>
          <t>AP-0004684</t>
        </is>
      </c>
      <c r="C84" s="8" t="inlineStr">
        <is>
          <t>ARM-2417</t>
        </is>
      </c>
      <c r="D84" s="8" t="inlineStr">
        <is>
          <t>West Coast Equipment Rental &amp; Services - Portland Company</t>
        </is>
      </c>
      <c r="E84" s="22" t="n">
        <v>46184</v>
      </c>
      <c r="F84" s="9" t="n">
        <v>10680.18</v>
      </c>
      <c r="G84" s="22" t="inlineStr">
        <is>
          <t>No</t>
        </is>
      </c>
      <c r="H84" s="23" t="n">
        <v>46184</v>
      </c>
      <c r="I84" s="24" t="inlineStr">
        <is>
          <t>Medium</t>
        </is>
      </c>
      <c r="J84" s="24" t="inlineStr">
        <is>
          <t>Pay to terms unless Controller releases otherwise</t>
        </is>
      </c>
      <c r="K84" s="8">
        <f>IFERROR(MATCH(H84,'13W Cash Forecast'!$B$4:$N$4,1),1)</f>
        <v/>
      </c>
    </row>
    <row r="85">
      <c r="A85" s="8" t="inlineStr">
        <is>
          <t>AP</t>
        </is>
      </c>
      <c r="B85" s="8" t="inlineStr">
        <is>
          <t>AP-0004694</t>
        </is>
      </c>
      <c r="C85" s="8" t="inlineStr">
        <is>
          <t>ARM-2417</t>
        </is>
      </c>
      <c r="D85" s="8" t="inlineStr">
        <is>
          <t>Interstate Mechanical Insulation - Salem Services, LLC</t>
        </is>
      </c>
      <c r="E85" s="22" t="n">
        <v>46184</v>
      </c>
      <c r="F85" s="9" t="n">
        <v>3704.49</v>
      </c>
      <c r="G85" s="22" t="inlineStr">
        <is>
          <t>No</t>
        </is>
      </c>
      <c r="H85" s="23" t="n">
        <v>46184</v>
      </c>
      <c r="I85" s="24" t="inlineStr">
        <is>
          <t>Medium</t>
        </is>
      </c>
      <c r="J85" s="24" t="inlineStr">
        <is>
          <t>Pay to terms unless Controller releases otherwise</t>
        </is>
      </c>
      <c r="K85" s="8">
        <f>IFERROR(MATCH(H85,'13W Cash Forecast'!$B$4:$N$4,1),1)</f>
        <v/>
      </c>
    </row>
    <row r="86">
      <c r="A86" s="8" t="inlineStr">
        <is>
          <t>AP</t>
        </is>
      </c>
      <c r="B86" s="8" t="inlineStr">
        <is>
          <t>AP-0005409</t>
        </is>
      </c>
      <c r="C86" s="8" t="inlineStr">
        <is>
          <t>ARM-2514</t>
        </is>
      </c>
      <c r="D86" s="8" t="inlineStr">
        <is>
          <t>Blue Mountain Mechanical Insulation - Salem Company</t>
        </is>
      </c>
      <c r="E86" s="22" t="n">
        <v>46184</v>
      </c>
      <c r="F86" s="9" t="n">
        <v>5882.3</v>
      </c>
      <c r="G86" s="22" t="inlineStr">
        <is>
          <t>No</t>
        </is>
      </c>
      <c r="H86" s="23" t="n">
        <v>46184</v>
      </c>
      <c r="I86" s="24" t="inlineStr">
        <is>
          <t>Medium</t>
        </is>
      </c>
      <c r="J86" s="24" t="inlineStr">
        <is>
          <t>Pay to terms unless Controller releases otherwise</t>
        </is>
      </c>
      <c r="K86" s="8">
        <f>IFERROR(MATCH(H86,'13W Cash Forecast'!$B$4:$N$4,1),1)</f>
        <v/>
      </c>
    </row>
    <row r="87">
      <c r="A87" s="8" t="inlineStr">
        <is>
          <t>AP</t>
        </is>
      </c>
      <c r="B87" s="8" t="inlineStr">
        <is>
          <t>AP-0005421</t>
        </is>
      </c>
      <c r="C87" s="8" t="inlineStr">
        <is>
          <t>ARM-2514</t>
        </is>
      </c>
      <c r="D87" s="8" t="inlineStr">
        <is>
          <t>West Coast Mechanical Insulation - Portland Company</t>
        </is>
      </c>
      <c r="E87" s="22" t="n">
        <v>46184</v>
      </c>
      <c r="F87" s="9" t="n">
        <v>9277.83</v>
      </c>
      <c r="G87" s="22" t="inlineStr">
        <is>
          <t>No</t>
        </is>
      </c>
      <c r="H87" s="23" t="n">
        <v>46184</v>
      </c>
      <c r="I87" s="24" t="inlineStr">
        <is>
          <t>Medium</t>
        </is>
      </c>
      <c r="J87" s="24" t="inlineStr">
        <is>
          <t>Pay to terms unless Controller releases otherwise</t>
        </is>
      </c>
      <c r="K87" s="8">
        <f>IFERROR(MATCH(H87,'13W Cash Forecast'!$B$4:$N$4,1),1)</f>
        <v/>
      </c>
    </row>
    <row r="88">
      <c r="A88" s="8" t="inlineStr">
        <is>
          <t>AP</t>
        </is>
      </c>
      <c r="B88" s="8" t="inlineStr">
        <is>
          <t>AP-0005675</t>
        </is>
      </c>
      <c r="C88" s="8" t="inlineStr">
        <is>
          <t>ARM-2602</t>
        </is>
      </c>
      <c r="D88" s="8" t="inlineStr">
        <is>
          <t>Columbia Crane and Rigging - Vancouver Inc.</t>
        </is>
      </c>
      <c r="E88" s="22" t="n">
        <v>46184</v>
      </c>
      <c r="F88" s="9" t="n">
        <v>10828.32</v>
      </c>
      <c r="G88" s="22" t="inlineStr">
        <is>
          <t>No</t>
        </is>
      </c>
      <c r="H88" s="23" t="n">
        <v>46184</v>
      </c>
      <c r="I88" s="24" t="inlineStr">
        <is>
          <t>Medium</t>
        </is>
      </c>
      <c r="J88" s="24" t="inlineStr">
        <is>
          <t>Pay to terms unless Controller releases otherwise</t>
        </is>
      </c>
      <c r="K88" s="8">
        <f>IFERROR(MATCH(H88,'13W Cash Forecast'!$B$4:$N$4,1),1)</f>
        <v/>
      </c>
    </row>
    <row r="89">
      <c r="A89" s="8" t="inlineStr">
        <is>
          <t>AP</t>
        </is>
      </c>
      <c r="B89" s="8" t="inlineStr">
        <is>
          <t>AP-0005710</t>
        </is>
      </c>
      <c r="C89" s="8" t="inlineStr">
        <is>
          <t>ARM-2605</t>
        </is>
      </c>
      <c r="D89" s="8" t="inlineStr">
        <is>
          <t>Columbia Sheet Metal Fabrication - Gresham Inc.</t>
        </is>
      </c>
      <c r="E89" s="22" t="n">
        <v>46184</v>
      </c>
      <c r="F89" s="9" t="n">
        <v>5472.92</v>
      </c>
      <c r="G89" s="22" t="inlineStr">
        <is>
          <t>No</t>
        </is>
      </c>
      <c r="H89" s="23" t="n">
        <v>46184</v>
      </c>
      <c r="I89" s="24" t="inlineStr">
        <is>
          <t>Medium</t>
        </is>
      </c>
      <c r="J89" s="24" t="inlineStr">
        <is>
          <t>Pay to terms unless Controller releases otherwise</t>
        </is>
      </c>
      <c r="K89" s="8">
        <f>IFERROR(MATCH(H89,'13W Cash Forecast'!$B$4:$N$4,1),1)</f>
        <v/>
      </c>
    </row>
    <row r="90">
      <c r="A90" s="8" t="inlineStr">
        <is>
          <t>AP</t>
        </is>
      </c>
      <c r="B90" s="8" t="inlineStr">
        <is>
          <t>AP-0005714</t>
        </is>
      </c>
      <c r="C90" s="8" t="inlineStr">
        <is>
          <t>ARM-2605</t>
        </is>
      </c>
      <c r="D90" s="8" t="inlineStr">
        <is>
          <t>West Coast Sheet Metal Fabrication - Vancouver Company</t>
        </is>
      </c>
      <c r="E90" s="22" t="n">
        <v>46184</v>
      </c>
      <c r="F90" s="9" t="n">
        <v>11410.54</v>
      </c>
      <c r="G90" s="22" t="inlineStr">
        <is>
          <t>No</t>
        </is>
      </c>
      <c r="H90" s="23" t="n">
        <v>46184</v>
      </c>
      <c r="I90" s="24" t="inlineStr">
        <is>
          <t>Medium</t>
        </is>
      </c>
      <c r="J90" s="24" t="inlineStr">
        <is>
          <t>Pay to terms unless Controller releases otherwise</t>
        </is>
      </c>
      <c r="K90" s="8">
        <f>IFERROR(MATCH(H90,'13W Cash Forecast'!$B$4:$N$4,1),1)</f>
        <v/>
      </c>
    </row>
    <row r="91">
      <c r="A91" s="8" t="inlineStr">
        <is>
          <t>AP</t>
        </is>
      </c>
      <c r="B91" s="8" t="inlineStr">
        <is>
          <t>AP-0009865</t>
        </is>
      </c>
      <c r="C91" s="8" t="inlineStr">
        <is>
          <t>G&amp;A</t>
        </is>
      </c>
      <c r="D91" s="8" t="inlineStr">
        <is>
          <t>United Rentals (North America), Inc.</t>
        </is>
      </c>
      <c r="E91" s="22" t="n">
        <v>46184</v>
      </c>
      <c r="F91" s="9" t="n">
        <v>1812.03</v>
      </c>
      <c r="G91" s="22" t="inlineStr">
        <is>
          <t>No</t>
        </is>
      </c>
      <c r="H91" s="23" t="n">
        <v>46184</v>
      </c>
      <c r="I91" s="24" t="inlineStr">
        <is>
          <t>Medium</t>
        </is>
      </c>
      <c r="J91" s="24" t="inlineStr">
        <is>
          <t>Pay to terms unless Controller releases otherwise</t>
        </is>
      </c>
      <c r="K91" s="8">
        <f>IFERROR(MATCH(H91,'13W Cash Forecast'!$B$4:$N$4,1),1)</f>
        <v/>
      </c>
    </row>
    <row r="92">
      <c r="A92" s="8" t="inlineStr">
        <is>
          <t>AP</t>
        </is>
      </c>
      <c r="B92" s="8" t="inlineStr">
        <is>
          <t>AP-0009886</t>
        </is>
      </c>
      <c r="C92" s="8" t="inlineStr">
        <is>
          <t>G&amp;A</t>
        </is>
      </c>
      <c r="D92" s="8" t="inlineStr">
        <is>
          <t>United Rentals (North America), Inc.</t>
        </is>
      </c>
      <c r="E92" s="22" t="n">
        <v>46184</v>
      </c>
      <c r="F92" s="9" t="n">
        <v>1110.69</v>
      </c>
      <c r="G92" s="22" t="inlineStr">
        <is>
          <t>No</t>
        </is>
      </c>
      <c r="H92" s="23" t="n">
        <v>46184</v>
      </c>
      <c r="I92" s="24" t="inlineStr">
        <is>
          <t>Medium</t>
        </is>
      </c>
      <c r="J92" s="24" t="inlineStr">
        <is>
          <t>Pay to terms unless Controller releases otherwise</t>
        </is>
      </c>
      <c r="K92" s="8">
        <f>IFERROR(MATCH(H92,'13W Cash Forecast'!$B$4:$N$4,1),1)</f>
        <v/>
      </c>
    </row>
    <row r="93">
      <c r="A93" s="8" t="inlineStr">
        <is>
          <t>AP</t>
        </is>
      </c>
      <c r="B93" s="8" t="inlineStr">
        <is>
          <t>AP-0011882</t>
        </is>
      </c>
      <c r="C93" s="8" t="inlineStr">
        <is>
          <t>G&amp;A</t>
        </is>
      </c>
      <c r="D93" s="8" t="inlineStr">
        <is>
          <t>Cedar Mill Construction Advisory - Vancouver Services, LLC</t>
        </is>
      </c>
      <c r="E93" s="22" t="n">
        <v>46184</v>
      </c>
      <c r="F93" s="9" t="n">
        <v>2262.92</v>
      </c>
      <c r="G93" s="22" t="inlineStr">
        <is>
          <t>No</t>
        </is>
      </c>
      <c r="H93" s="23" t="n">
        <v>46184</v>
      </c>
      <c r="I93" s="24" t="inlineStr">
        <is>
          <t>Medium</t>
        </is>
      </c>
      <c r="J93" s="24" t="inlineStr">
        <is>
          <t>Pay to terms unless Controller releases otherwise</t>
        </is>
      </c>
      <c r="K93" s="8">
        <f>IFERROR(MATCH(H93,'13W Cash Forecast'!$B$4:$N$4,1),1)</f>
        <v/>
      </c>
    </row>
    <row r="94">
      <c r="A94" s="8" t="inlineStr">
        <is>
          <t>AP</t>
        </is>
      </c>
      <c r="B94" s="8" t="inlineStr">
        <is>
          <t>AP-0003873</t>
        </is>
      </c>
      <c r="C94" s="8" t="inlineStr">
        <is>
          <t>ARM-2318</t>
        </is>
      </c>
      <c r="D94" s="8" t="inlineStr">
        <is>
          <t>Cedar Mill Mechanical Insulation - Eugene Services, LLC</t>
        </is>
      </c>
      <c r="E94" s="22" t="n">
        <v>46185</v>
      </c>
      <c r="F94" s="9" t="n">
        <v>6289.96</v>
      </c>
      <c r="G94" s="22" t="inlineStr">
        <is>
          <t>No</t>
        </is>
      </c>
      <c r="H94" s="23" t="n">
        <v>46185</v>
      </c>
      <c r="I94" s="24" t="inlineStr">
        <is>
          <t>Medium</t>
        </is>
      </c>
      <c r="J94" s="24" t="inlineStr">
        <is>
          <t>Pay to terms unless Controller releases otherwise</t>
        </is>
      </c>
      <c r="K94" s="8">
        <f>IFERROR(MATCH(H94,'13W Cash Forecast'!$B$4:$N$4,1),1)</f>
        <v/>
      </c>
    </row>
    <row r="95">
      <c r="A95" s="8" t="inlineStr">
        <is>
          <t>AP</t>
        </is>
      </c>
      <c r="B95" s="8" t="inlineStr">
        <is>
          <t>AP-0003879</t>
        </is>
      </c>
      <c r="C95" s="8" t="inlineStr">
        <is>
          <t>ARM-2318</t>
        </is>
      </c>
      <c r="D95" s="8" t="inlineStr">
        <is>
          <t>Willamette Sheet Metal Fabrication - Beaverton Inc.</t>
        </is>
      </c>
      <c r="E95" s="22" t="n">
        <v>46185</v>
      </c>
      <c r="F95" s="9" t="n">
        <v>2259.07</v>
      </c>
      <c r="G95" s="22" t="inlineStr">
        <is>
          <t>No</t>
        </is>
      </c>
      <c r="H95" s="23" t="n">
        <v>46185</v>
      </c>
      <c r="I95" s="24" t="inlineStr">
        <is>
          <t>Medium</t>
        </is>
      </c>
      <c r="J95" s="24" t="inlineStr">
        <is>
          <t>Pay to terms unless Controller releases otherwise</t>
        </is>
      </c>
      <c r="K95" s="8">
        <f>IFERROR(MATCH(H95,'13W Cash Forecast'!$B$4:$N$4,1),1)</f>
        <v/>
      </c>
    </row>
    <row r="96">
      <c r="A96" s="8" t="inlineStr">
        <is>
          <t>AP</t>
        </is>
      </c>
      <c r="B96" s="8" t="inlineStr">
        <is>
          <t>AP-0005503</t>
        </is>
      </c>
      <c r="C96" s="8" t="inlineStr">
        <is>
          <t>ARM-2518</t>
        </is>
      </c>
      <c r="D96" s="8" t="inlineStr">
        <is>
          <t>Tualatin Crane and Rigging - Portland Inc.</t>
        </is>
      </c>
      <c r="E96" s="22" t="n">
        <v>46185</v>
      </c>
      <c r="F96" s="9" t="n">
        <v>4266.73</v>
      </c>
      <c r="G96" s="22" t="inlineStr">
        <is>
          <t>No</t>
        </is>
      </c>
      <c r="H96" s="23" t="n">
        <v>46185</v>
      </c>
      <c r="I96" s="24" t="inlineStr">
        <is>
          <t>Medium</t>
        </is>
      </c>
      <c r="J96" s="24" t="inlineStr">
        <is>
          <t>Pay to terms unless Controller releases otherwise</t>
        </is>
      </c>
      <c r="K96" s="8">
        <f>IFERROR(MATCH(H96,'13W Cash Forecast'!$B$4:$N$4,1),1)</f>
        <v/>
      </c>
    </row>
    <row r="97">
      <c r="A97" s="8" t="inlineStr">
        <is>
          <t>AP</t>
        </is>
      </c>
      <c r="B97" s="8" t="inlineStr">
        <is>
          <t>AP-0005572</t>
        </is>
      </c>
      <c r="C97" s="8" t="inlineStr">
        <is>
          <t>ARM-2522</t>
        </is>
      </c>
      <c r="D97" s="8" t="inlineStr">
        <is>
          <t>United Rentals (North America), Inc.</t>
        </is>
      </c>
      <c r="E97" s="22" t="n">
        <v>46185</v>
      </c>
      <c r="F97" s="9" t="n">
        <v>4040.25</v>
      </c>
      <c r="G97" s="22" t="inlineStr">
        <is>
          <t>No</t>
        </is>
      </c>
      <c r="H97" s="23" t="n">
        <v>46185</v>
      </c>
      <c r="I97" s="24" t="inlineStr">
        <is>
          <t>Medium</t>
        </is>
      </c>
      <c r="J97" s="24" t="inlineStr">
        <is>
          <t>Pay to terms unless Controller releases otherwise</t>
        </is>
      </c>
      <c r="K97" s="8">
        <f>IFERROR(MATCH(H97,'13W Cash Forecast'!$B$4:$N$4,1),1)</f>
        <v/>
      </c>
    </row>
    <row r="98">
      <c r="A98" s="8" t="inlineStr">
        <is>
          <t>AP</t>
        </is>
      </c>
      <c r="B98" s="8" t="inlineStr">
        <is>
          <t>AP-0005578</t>
        </is>
      </c>
      <c r="C98" s="8" t="inlineStr">
        <is>
          <t>ARM-2522</t>
        </is>
      </c>
      <c r="D98" s="8" t="inlineStr">
        <is>
          <t>Pioneer Electrical Contracting - Salem Inc.</t>
        </is>
      </c>
      <c r="E98" s="22" t="n">
        <v>46185</v>
      </c>
      <c r="F98" s="9" t="n">
        <v>8054.08</v>
      </c>
      <c r="G98" s="22" t="inlineStr">
        <is>
          <t>No</t>
        </is>
      </c>
      <c r="H98" s="23" t="n">
        <v>46185</v>
      </c>
      <c r="I98" s="24" t="inlineStr">
        <is>
          <t>Medium</t>
        </is>
      </c>
      <c r="J98" s="24" t="inlineStr">
        <is>
          <t>Pay to terms unless Controller releases otherwise</t>
        </is>
      </c>
      <c r="K98" s="8">
        <f>IFERROR(MATCH(H98,'13W Cash Forecast'!$B$4:$N$4,1),1)</f>
        <v/>
      </c>
    </row>
    <row r="99">
      <c r="A99" s="8" t="inlineStr">
        <is>
          <t>AP</t>
        </is>
      </c>
      <c r="B99" s="8" t="inlineStr">
        <is>
          <t>AP-0009868</t>
        </is>
      </c>
      <c r="C99" s="8" t="inlineStr">
        <is>
          <t>G&amp;A</t>
        </is>
      </c>
      <c r="D99" s="8" t="inlineStr">
        <is>
          <t>Rose City Equipment Rental &amp; Services - Bend Services, LLC</t>
        </is>
      </c>
      <c r="E99" s="22" t="n">
        <v>46185</v>
      </c>
      <c r="F99" s="9" t="n">
        <v>1646.5</v>
      </c>
      <c r="G99" s="22" t="inlineStr">
        <is>
          <t>No</t>
        </is>
      </c>
      <c r="H99" s="23" t="n">
        <v>46185</v>
      </c>
      <c r="I99" s="24" t="inlineStr">
        <is>
          <t>Medium</t>
        </is>
      </c>
      <c r="J99" s="24" t="inlineStr">
        <is>
          <t>Pay to terms unless Controller releases otherwise</t>
        </is>
      </c>
      <c r="K99" s="8">
        <f>IFERROR(MATCH(H99,'13W Cash Forecast'!$B$4:$N$4,1),1)</f>
        <v/>
      </c>
    </row>
    <row r="100">
      <c r="A100" s="8" t="inlineStr">
        <is>
          <t>AP</t>
        </is>
      </c>
      <c r="B100" s="8" t="inlineStr">
        <is>
          <t>AP-0009889</t>
        </is>
      </c>
      <c r="C100" s="8" t="inlineStr">
        <is>
          <t>G&amp;A</t>
        </is>
      </c>
      <c r="D100" s="8" t="inlineStr">
        <is>
          <t>Rose City Equipment Rental &amp; Services - Bend Services, LLC</t>
        </is>
      </c>
      <c r="E100" s="22" t="n">
        <v>46185</v>
      </c>
      <c r="F100" s="9" t="n">
        <v>1237.91</v>
      </c>
      <c r="G100" s="22" t="inlineStr">
        <is>
          <t>No</t>
        </is>
      </c>
      <c r="H100" s="23" t="n">
        <v>46185</v>
      </c>
      <c r="I100" s="24" t="inlineStr">
        <is>
          <t>Medium</t>
        </is>
      </c>
      <c r="J100" s="24" t="inlineStr">
        <is>
          <t>Pay to terms unless Controller releases otherwise</t>
        </is>
      </c>
      <c r="K100" s="8">
        <f>IFERROR(MATCH(H100,'13W Cash Forecast'!$B$4:$N$4,1),1)</f>
        <v/>
      </c>
    </row>
    <row r="101">
      <c r="A101" s="8" t="inlineStr">
        <is>
          <t>AP</t>
        </is>
      </c>
      <c r="B101" s="8" t="inlineStr">
        <is>
          <t>AP-0011866</t>
        </is>
      </c>
      <c r="C101" s="8" t="inlineStr">
        <is>
          <t>G&amp;A</t>
        </is>
      </c>
      <c r="D101" s="8" t="inlineStr">
        <is>
          <t>Rose City Building Services - Eugene Services, LLC</t>
        </is>
      </c>
      <c r="E101" s="22" t="n">
        <v>46185</v>
      </c>
      <c r="F101" s="9" t="n">
        <v>8469.43</v>
      </c>
      <c r="G101" s="22" t="inlineStr">
        <is>
          <t>No</t>
        </is>
      </c>
      <c r="H101" s="23" t="n">
        <v>46185</v>
      </c>
      <c r="I101" s="24" t="inlineStr">
        <is>
          <t>Medium</t>
        </is>
      </c>
      <c r="J101" s="24" t="inlineStr">
        <is>
          <t>Pay to terms unless Controller releases otherwise</t>
        </is>
      </c>
      <c r="K101" s="8">
        <f>IFERROR(MATCH(H101,'13W Cash Forecast'!$B$4:$N$4,1),1)</f>
        <v/>
      </c>
    </row>
    <row r="102">
      <c r="A102" s="8" t="inlineStr">
        <is>
          <t>AP</t>
        </is>
      </c>
      <c r="B102" s="8" t="inlineStr">
        <is>
          <t>AP-0005088</t>
        </is>
      </c>
      <c r="C102" s="8" t="inlineStr">
        <is>
          <t>ARM-2506</t>
        </is>
      </c>
      <c r="D102" s="8" t="inlineStr">
        <is>
          <t>Tualatin Mechanical Insulation - Beaverton Inc.</t>
        </is>
      </c>
      <c r="E102" s="22" t="n">
        <v>46186</v>
      </c>
      <c r="F102" s="9" t="n">
        <v>4148.38</v>
      </c>
      <c r="G102" s="22" t="inlineStr">
        <is>
          <t>No</t>
        </is>
      </c>
      <c r="H102" s="23" t="n">
        <v>46186</v>
      </c>
      <c r="I102" s="24" t="inlineStr">
        <is>
          <t>Medium</t>
        </is>
      </c>
      <c r="J102" s="24" t="inlineStr">
        <is>
          <t>Pay to terms unless Controller releases otherwise</t>
        </is>
      </c>
      <c r="K102" s="8">
        <f>IFERROR(MATCH(H102,'13W Cash Forecast'!$B$4:$N$4,1),1)</f>
        <v/>
      </c>
    </row>
    <row r="103">
      <c r="A103" s="8" t="inlineStr">
        <is>
          <t>AP</t>
        </is>
      </c>
      <c r="B103" s="8" t="inlineStr">
        <is>
          <t>AP-0009871</t>
        </is>
      </c>
      <c r="C103" s="8" t="inlineStr">
        <is>
          <t>G&amp;A</t>
        </is>
      </c>
      <c r="D103" s="8" t="inlineStr">
        <is>
          <t>Rainier Fleet Service Center - Beaverton Company</t>
        </is>
      </c>
      <c r="E103" s="22" t="n">
        <v>46186</v>
      </c>
      <c r="F103" s="9" t="n">
        <v>3709.14</v>
      </c>
      <c r="G103" s="22" t="inlineStr">
        <is>
          <t>No</t>
        </is>
      </c>
      <c r="H103" s="23" t="n">
        <v>46186</v>
      </c>
      <c r="I103" s="24" t="inlineStr">
        <is>
          <t>Medium</t>
        </is>
      </c>
      <c r="J103" s="24" t="inlineStr">
        <is>
          <t>Pay to terms unless Controller releases otherwise</t>
        </is>
      </c>
      <c r="K103" s="8">
        <f>IFERROR(MATCH(H103,'13W Cash Forecast'!$B$4:$N$4,1),1)</f>
        <v/>
      </c>
    </row>
    <row r="104">
      <c r="A104" s="8" t="inlineStr">
        <is>
          <t>AP</t>
        </is>
      </c>
      <c r="B104" s="8" t="inlineStr">
        <is>
          <t>AP-0009892</t>
        </is>
      </c>
      <c r="C104" s="8" t="inlineStr">
        <is>
          <t>G&amp;A</t>
        </is>
      </c>
      <c r="D104" s="8" t="inlineStr">
        <is>
          <t>Rainier Fleet Service Center - Beaverton Company</t>
        </is>
      </c>
      <c r="E104" s="22" t="n">
        <v>46186</v>
      </c>
      <c r="F104" s="9" t="n">
        <v>1514.47</v>
      </c>
      <c r="G104" s="22" t="inlineStr">
        <is>
          <t>No</t>
        </is>
      </c>
      <c r="H104" s="23" t="n">
        <v>46186</v>
      </c>
      <c r="I104" s="24" t="inlineStr">
        <is>
          <t>Medium</t>
        </is>
      </c>
      <c r="J104" s="24" t="inlineStr">
        <is>
          <t>Pay to terms unless Controller releases otherwise</t>
        </is>
      </c>
      <c r="K104" s="8">
        <f>IFERROR(MATCH(H104,'13W Cash Forecast'!$B$4:$N$4,1),1)</f>
        <v/>
      </c>
    </row>
    <row r="105">
      <c r="A105" s="8" t="inlineStr">
        <is>
          <t>AP</t>
        </is>
      </c>
      <c r="B105" s="8" t="inlineStr">
        <is>
          <t>AP-0011874</t>
        </is>
      </c>
      <c r="C105" s="8" t="inlineStr">
        <is>
          <t>G&amp;A</t>
        </is>
      </c>
      <c r="D105" s="8" t="inlineStr">
        <is>
          <t>Cedar Mill Safety and Industrial Supply - Beaverton Services, LLC</t>
        </is>
      </c>
      <c r="E105" s="22" t="n">
        <v>46186</v>
      </c>
      <c r="F105" s="9" t="n">
        <v>14432.63</v>
      </c>
      <c r="G105" s="22" t="inlineStr">
        <is>
          <t>No</t>
        </is>
      </c>
      <c r="H105" s="23" t="n">
        <v>46186</v>
      </c>
      <c r="I105" s="24" t="inlineStr">
        <is>
          <t>Medium</t>
        </is>
      </c>
      <c r="J105" s="24" t="inlineStr">
        <is>
          <t>Pay to terms unless Controller releases otherwise</t>
        </is>
      </c>
      <c r="K105" s="8">
        <f>IFERROR(MATCH(H105,'13W Cash Forecast'!$B$4:$N$4,1),1)</f>
        <v/>
      </c>
    </row>
    <row r="106">
      <c r="A106" s="8" t="inlineStr">
        <is>
          <t>AP</t>
        </is>
      </c>
      <c r="B106" s="8" t="inlineStr">
        <is>
          <t>AP-0012009</t>
        </is>
      </c>
      <c r="C106" s="8" t="inlineStr">
        <is>
          <t>G&amp;A</t>
        </is>
      </c>
      <c r="D106" s="8" t="inlineStr">
        <is>
          <t>Tualatin Business Systems - Gresham Inc.</t>
        </is>
      </c>
      <c r="E106" s="22" t="n">
        <v>46186</v>
      </c>
      <c r="F106" s="9" t="n">
        <v>26857.25</v>
      </c>
      <c r="G106" s="22" t="inlineStr">
        <is>
          <t>No</t>
        </is>
      </c>
      <c r="H106" s="23" t="n">
        <v>46186</v>
      </c>
      <c r="I106" s="24" t="inlineStr">
        <is>
          <t>Medium</t>
        </is>
      </c>
      <c r="J106" s="24" t="inlineStr">
        <is>
          <t>Pay to terms unless Controller releases otherwise</t>
        </is>
      </c>
      <c r="K106" s="8">
        <f>IFERROR(MATCH(H106,'13W Cash Forecast'!$B$4:$N$4,1),1)</f>
        <v/>
      </c>
    </row>
    <row r="107">
      <c r="A107" s="8" t="inlineStr">
        <is>
          <t>AP</t>
        </is>
      </c>
      <c r="B107" s="8" t="inlineStr">
        <is>
          <t>AP-0004691</t>
        </is>
      </c>
      <c r="C107" s="8" t="inlineStr">
        <is>
          <t>ARM-2417</t>
        </is>
      </c>
      <c r="D107" s="8" t="inlineStr">
        <is>
          <t>West Coast Pipe, Valve &amp; Fitting Supply - Vancouver Company</t>
        </is>
      </c>
      <c r="E107" s="22" t="n">
        <v>46187</v>
      </c>
      <c r="F107" s="9" t="n">
        <v>3287.49</v>
      </c>
      <c r="G107" s="22" t="inlineStr">
        <is>
          <t>No</t>
        </is>
      </c>
      <c r="H107" s="23" t="n">
        <v>46187</v>
      </c>
      <c r="I107" s="24" t="inlineStr">
        <is>
          <t>Medium</t>
        </is>
      </c>
      <c r="J107" s="24" t="inlineStr">
        <is>
          <t>Pay to terms unless Controller releases otherwise</t>
        </is>
      </c>
      <c r="K107" s="8">
        <f>IFERROR(MATCH(H107,'13W Cash Forecast'!$B$4:$N$4,1),1)</f>
        <v/>
      </c>
    </row>
    <row r="108">
      <c r="A108" s="8" t="inlineStr">
        <is>
          <t>AP</t>
        </is>
      </c>
      <c r="B108" s="8" t="inlineStr">
        <is>
          <t>AP-0005082</t>
        </is>
      </c>
      <c r="C108" s="8" t="inlineStr">
        <is>
          <t>ARM-2506</t>
        </is>
      </c>
      <c r="D108" s="8" t="inlineStr">
        <is>
          <t>Tualatin Pipe, Valve &amp; Fitting Supply - Bend Inc.</t>
        </is>
      </c>
      <c r="E108" s="22" t="n">
        <v>46187</v>
      </c>
      <c r="F108" s="9" t="n">
        <v>4260.47</v>
      </c>
      <c r="G108" s="22" t="inlineStr">
        <is>
          <t>No</t>
        </is>
      </c>
      <c r="H108" s="23" t="n">
        <v>46187</v>
      </c>
      <c r="I108" s="24" t="inlineStr">
        <is>
          <t>Medium</t>
        </is>
      </c>
      <c r="J108" s="24" t="inlineStr">
        <is>
          <t>Pay to terms unless Controller releases otherwise</t>
        </is>
      </c>
      <c r="K108" s="8">
        <f>IFERROR(MATCH(H108,'13W Cash Forecast'!$B$4:$N$4,1),1)</f>
        <v/>
      </c>
    </row>
    <row r="109">
      <c r="A109" s="8" t="inlineStr">
        <is>
          <t>AP</t>
        </is>
      </c>
      <c r="B109" s="8" t="inlineStr">
        <is>
          <t>AP-0005418</t>
        </is>
      </c>
      <c r="C109" s="8" t="inlineStr">
        <is>
          <t>ARM-2514</t>
        </is>
      </c>
      <c r="D109" s="8" t="inlineStr">
        <is>
          <t>Tualatin Pipe, Valve &amp; Fitting Supply - Bend Inc.</t>
        </is>
      </c>
      <c r="E109" s="22" t="n">
        <v>46187</v>
      </c>
      <c r="F109" s="9" t="n">
        <v>8098.38</v>
      </c>
      <c r="G109" s="22" t="inlineStr">
        <is>
          <t>No</t>
        </is>
      </c>
      <c r="H109" s="23" t="n">
        <v>46187</v>
      </c>
      <c r="I109" s="24" t="inlineStr">
        <is>
          <t>Medium</t>
        </is>
      </c>
      <c r="J109" s="24" t="inlineStr">
        <is>
          <t>Pay to terms unless Controller releases otherwise</t>
        </is>
      </c>
      <c r="K109" s="8">
        <f>IFERROR(MATCH(H109,'13W Cash Forecast'!$B$4:$N$4,1),1)</f>
        <v/>
      </c>
    </row>
    <row r="110">
      <c r="A110" s="8" t="inlineStr">
        <is>
          <t>AP</t>
        </is>
      </c>
      <c r="B110" s="8" t="inlineStr">
        <is>
          <t>AP-0005672</t>
        </is>
      </c>
      <c r="C110" s="8" t="inlineStr">
        <is>
          <t>ARM-2602</t>
        </is>
      </c>
      <c r="D110" s="8" t="inlineStr">
        <is>
          <t>Evergreen Pipe, Valve &amp; Fitting Supply - Gresham Company</t>
        </is>
      </c>
      <c r="E110" s="22" t="n">
        <v>46187</v>
      </c>
      <c r="F110" s="9" t="n">
        <v>6366.05</v>
      </c>
      <c r="G110" s="22" t="inlineStr">
        <is>
          <t>No</t>
        </is>
      </c>
      <c r="H110" s="23" t="n">
        <v>46187</v>
      </c>
      <c r="I110" s="24" t="inlineStr">
        <is>
          <t>Medium</t>
        </is>
      </c>
      <c r="J110" s="24" t="inlineStr">
        <is>
          <t>Pay to terms unless Controller releases otherwise</t>
        </is>
      </c>
      <c r="K110" s="8">
        <f>IFERROR(MATCH(H110,'13W Cash Forecast'!$B$4:$N$4,1),1)</f>
        <v/>
      </c>
    </row>
    <row r="111">
      <c r="A111" s="8" t="inlineStr">
        <is>
          <t>AP</t>
        </is>
      </c>
      <c r="B111" s="8" t="inlineStr">
        <is>
          <t>AP-0009874</t>
        </is>
      </c>
      <c r="C111" s="8" t="inlineStr">
        <is>
          <t>G&amp;A</t>
        </is>
      </c>
      <c r="D111" s="8" t="inlineStr">
        <is>
          <t>West Coast Equipment Rental &amp; Services - Portland Company</t>
        </is>
      </c>
      <c r="E111" s="22" t="n">
        <v>46187</v>
      </c>
      <c r="F111" s="9" t="n">
        <v>1504.05</v>
      </c>
      <c r="G111" s="22" t="inlineStr">
        <is>
          <t>No</t>
        </is>
      </c>
      <c r="H111" s="23" t="n">
        <v>46187</v>
      </c>
      <c r="I111" s="24" t="inlineStr">
        <is>
          <t>Medium</t>
        </is>
      </c>
      <c r="J111" s="24" t="inlineStr">
        <is>
          <t>Pay to terms unless Controller releases otherwise</t>
        </is>
      </c>
      <c r="K111" s="8">
        <f>IFERROR(MATCH(H111,'13W Cash Forecast'!$B$4:$N$4,1),1)</f>
        <v/>
      </c>
    </row>
    <row r="112">
      <c r="A112" s="8" t="inlineStr">
        <is>
          <t>AP</t>
        </is>
      </c>
      <c r="B112" s="8" t="inlineStr">
        <is>
          <t>AP-0009895</t>
        </is>
      </c>
      <c r="C112" s="8" t="inlineStr">
        <is>
          <t>G&amp;A</t>
        </is>
      </c>
      <c r="D112" s="8" t="inlineStr">
        <is>
          <t>West Coast Equipment Rental &amp; Services - Portland Company</t>
        </is>
      </c>
      <c r="E112" s="22" t="n">
        <v>46187</v>
      </c>
      <c r="F112" s="9" t="n">
        <v>974.78</v>
      </c>
      <c r="G112" s="22" t="inlineStr">
        <is>
          <t>No</t>
        </is>
      </c>
      <c r="H112" s="23" t="n">
        <v>46187</v>
      </c>
      <c r="I112" s="24" t="inlineStr">
        <is>
          <t>Medium</t>
        </is>
      </c>
      <c r="J112" s="24" t="inlineStr">
        <is>
          <t>Pay to terms unless Controller releases otherwise</t>
        </is>
      </c>
      <c r="K112" s="8">
        <f>IFERROR(MATCH(H112,'13W Cash Forecast'!$B$4:$N$4,1),1)</f>
        <v/>
      </c>
    </row>
    <row r="113">
      <c r="A113" s="8" t="inlineStr">
        <is>
          <t>AP</t>
        </is>
      </c>
      <c r="B113" s="8" t="inlineStr">
        <is>
          <t>AP-0011884</t>
        </is>
      </c>
      <c r="C113" s="8" t="inlineStr">
        <is>
          <t>G&amp;A</t>
        </is>
      </c>
      <c r="D113" s="8" t="inlineStr">
        <is>
          <t>Rainier Construction Advisory - Beaverton Company</t>
        </is>
      </c>
      <c r="E113" s="22" t="n">
        <v>46187</v>
      </c>
      <c r="F113" s="9" t="n">
        <v>2006.62</v>
      </c>
      <c r="G113" s="22" t="inlineStr">
        <is>
          <t>No</t>
        </is>
      </c>
      <c r="H113" s="23" t="n">
        <v>46187</v>
      </c>
      <c r="I113" s="24" t="inlineStr">
        <is>
          <t>Medium</t>
        </is>
      </c>
      <c r="J113" s="24" t="inlineStr">
        <is>
          <t>Pay to terms unless Controller releases otherwise</t>
        </is>
      </c>
      <c r="K113" s="8">
        <f>IFERROR(MATCH(H113,'13W Cash Forecast'!$B$4:$N$4,1),1)</f>
        <v/>
      </c>
    </row>
    <row r="114">
      <c r="A114" s="8" t="inlineStr">
        <is>
          <t>AP</t>
        </is>
      </c>
      <c r="B114" s="8" t="inlineStr">
        <is>
          <t>AP-0005413</t>
        </is>
      </c>
      <c r="C114" s="8" t="inlineStr">
        <is>
          <t>ARM-2514</t>
        </is>
      </c>
      <c r="D114" s="8" t="inlineStr">
        <is>
          <t>Rainier Crane and Rigging - Bend Company</t>
        </is>
      </c>
      <c r="E114" s="22" t="n">
        <v>46188</v>
      </c>
      <c r="F114" s="9" t="n">
        <v>7465.64</v>
      </c>
      <c r="G114" s="22" t="inlineStr">
        <is>
          <t>No</t>
        </is>
      </c>
      <c r="H114" s="23" t="n">
        <v>46188</v>
      </c>
      <c r="I114" s="24" t="inlineStr">
        <is>
          <t>Medium</t>
        </is>
      </c>
      <c r="J114" s="24" t="inlineStr">
        <is>
          <t>Pay to terms unless Controller releases otherwise</t>
        </is>
      </c>
      <c r="K114" s="8">
        <f>IFERROR(MATCH(H114,'13W Cash Forecast'!$B$4:$N$4,1),1)</f>
        <v/>
      </c>
    </row>
    <row r="115">
      <c r="A115" s="8" t="inlineStr">
        <is>
          <t>AP</t>
        </is>
      </c>
      <c r="B115" s="8" t="inlineStr">
        <is>
          <t>AP-0005738</t>
        </is>
      </c>
      <c r="C115" s="8" t="inlineStr">
        <is>
          <t>ARM-2608</t>
        </is>
      </c>
      <c r="D115" s="8" t="inlineStr">
        <is>
          <t>Evergreen Testing and Balancing - Portland Company</t>
        </is>
      </c>
      <c r="E115" s="22" t="n">
        <v>46188</v>
      </c>
      <c r="F115" s="9" t="n">
        <v>3568.87</v>
      </c>
      <c r="G115" s="22" t="inlineStr">
        <is>
          <t>No</t>
        </is>
      </c>
      <c r="H115" s="23" t="n">
        <v>46188</v>
      </c>
      <c r="I115" s="24" t="inlineStr">
        <is>
          <t>Medium</t>
        </is>
      </c>
      <c r="J115" s="24" t="inlineStr">
        <is>
          <t>Pay to terms unless Controller releases otherwise</t>
        </is>
      </c>
      <c r="K115" s="8">
        <f>IFERROR(MATCH(H115,'13W Cash Forecast'!$B$4:$N$4,1),1)</f>
        <v/>
      </c>
    </row>
    <row r="116">
      <c r="A116" s="8" t="inlineStr">
        <is>
          <t>AP</t>
        </is>
      </c>
      <c r="B116" s="8" t="inlineStr">
        <is>
          <t>AP-0005743</t>
        </is>
      </c>
      <c r="C116" s="8" t="inlineStr">
        <is>
          <t>ARM-2608</t>
        </is>
      </c>
      <c r="D116" s="8" t="inlineStr">
        <is>
          <t>West Coast Testing and Balancing - Salem Company</t>
        </is>
      </c>
      <c r="E116" s="22" t="n">
        <v>46188</v>
      </c>
      <c r="F116" s="9" t="n">
        <v>2532.22</v>
      </c>
      <c r="G116" s="22" t="inlineStr">
        <is>
          <t>No</t>
        </is>
      </c>
      <c r="H116" s="23" t="n">
        <v>46188</v>
      </c>
      <c r="I116" s="24" t="inlineStr">
        <is>
          <t>Medium</t>
        </is>
      </c>
      <c r="J116" s="24" t="inlineStr">
        <is>
          <t>Pay to terms unless Controller releases otherwise</t>
        </is>
      </c>
      <c r="K116" s="8">
        <f>IFERROR(MATCH(H116,'13W Cash Forecast'!$B$4:$N$4,1),1)</f>
        <v/>
      </c>
    </row>
    <row r="117">
      <c r="A117" s="8" t="inlineStr">
        <is>
          <t>AP</t>
        </is>
      </c>
      <c r="B117" s="8" t="inlineStr">
        <is>
          <t>AP-0009877</t>
        </is>
      </c>
      <c r="C117" s="8" t="inlineStr">
        <is>
          <t>G&amp;A</t>
        </is>
      </c>
      <c r="D117" s="8" t="inlineStr">
        <is>
          <t>West Coast Fleet Service Center - Gresham Company</t>
        </is>
      </c>
      <c r="E117" s="22" t="n">
        <v>46188</v>
      </c>
      <c r="F117" s="9" t="n">
        <v>2101.21</v>
      </c>
      <c r="G117" s="22" t="inlineStr">
        <is>
          <t>No</t>
        </is>
      </c>
      <c r="H117" s="23" t="n">
        <v>46188</v>
      </c>
      <c r="I117" s="24" t="inlineStr">
        <is>
          <t>Medium</t>
        </is>
      </c>
      <c r="J117" s="24" t="inlineStr">
        <is>
          <t>Pay to terms unless Controller releases otherwise</t>
        </is>
      </c>
      <c r="K117" s="8">
        <f>IFERROR(MATCH(H117,'13W Cash Forecast'!$B$4:$N$4,1),1)</f>
        <v/>
      </c>
    </row>
    <row r="118">
      <c r="A118" s="8" t="inlineStr">
        <is>
          <t>AP</t>
        </is>
      </c>
      <c r="B118" s="8" t="inlineStr">
        <is>
          <t>AP-0009898</t>
        </is>
      </c>
      <c r="C118" s="8" t="inlineStr">
        <is>
          <t>G&amp;A</t>
        </is>
      </c>
      <c r="D118" s="8" t="inlineStr">
        <is>
          <t>West Coast Fleet Service Center - Gresham Company</t>
        </is>
      </c>
      <c r="E118" s="22" t="n">
        <v>46188</v>
      </c>
      <c r="F118" s="9" t="n">
        <v>1709.17</v>
      </c>
      <c r="G118" s="22" t="inlineStr">
        <is>
          <t>No</t>
        </is>
      </c>
      <c r="H118" s="23" t="n">
        <v>46188</v>
      </c>
      <c r="I118" s="24" t="inlineStr">
        <is>
          <t>Medium</t>
        </is>
      </c>
      <c r="J118" s="24" t="inlineStr">
        <is>
          <t>Pay to terms unless Controller releases otherwise</t>
        </is>
      </c>
      <c r="K118" s="8">
        <f>IFERROR(MATCH(H118,'13W Cash Forecast'!$B$4:$N$4,1),1)</f>
        <v/>
      </c>
    </row>
    <row r="119">
      <c r="A119" s="8" t="inlineStr">
        <is>
          <t>AP</t>
        </is>
      </c>
      <c r="B119" s="8" t="inlineStr">
        <is>
          <t>AP-0004280</t>
        </is>
      </c>
      <c r="C119" s="8" t="inlineStr">
        <is>
          <t>ARM-2409</t>
        </is>
      </c>
      <c r="D119" s="8" t="inlineStr">
        <is>
          <t>Rose City Equipment Rental &amp; Services - Vancouver Services, LLC</t>
        </is>
      </c>
      <c r="E119" s="22" t="n">
        <v>46189</v>
      </c>
      <c r="F119" s="9" t="n">
        <v>6956.28</v>
      </c>
      <c r="G119" s="22" t="inlineStr">
        <is>
          <t>No</t>
        </is>
      </c>
      <c r="H119" s="23" t="n">
        <v>46189</v>
      </c>
      <c r="I119" s="24" t="inlineStr">
        <is>
          <t>Medium</t>
        </is>
      </c>
      <c r="J119" s="24" t="inlineStr">
        <is>
          <t>Pay to terms unless Controller releases otherwise</t>
        </is>
      </c>
      <c r="K119" s="8">
        <f>IFERROR(MATCH(H119,'13W Cash Forecast'!$B$4:$N$4,1),1)</f>
        <v/>
      </c>
    </row>
    <row r="120">
      <c r="A120" s="8" t="inlineStr">
        <is>
          <t>AP</t>
        </is>
      </c>
      <c r="B120" s="8" t="inlineStr">
        <is>
          <t>AP-0005576</t>
        </is>
      </c>
      <c r="C120" s="8" t="inlineStr">
        <is>
          <t>ARM-2522</t>
        </is>
      </c>
      <c r="D120" s="8" t="inlineStr">
        <is>
          <t>Rainier Electrical Contracting - Eugene Company</t>
        </is>
      </c>
      <c r="E120" s="22" t="n">
        <v>46189</v>
      </c>
      <c r="F120" s="9" t="n">
        <v>5546.85</v>
      </c>
      <c r="G120" s="22" t="inlineStr">
        <is>
          <t>No</t>
        </is>
      </c>
      <c r="H120" s="23" t="n">
        <v>46189</v>
      </c>
      <c r="I120" s="24" t="inlineStr">
        <is>
          <t>Medium</t>
        </is>
      </c>
      <c r="J120" s="24" t="inlineStr">
        <is>
          <t>Pay to terms unless Controller releases otherwise</t>
        </is>
      </c>
      <c r="K120" s="8">
        <f>IFERROR(MATCH(H120,'13W Cash Forecast'!$B$4:$N$4,1),1)</f>
        <v/>
      </c>
    </row>
    <row r="121">
      <c r="A121" s="8" t="inlineStr">
        <is>
          <t>AP</t>
        </is>
      </c>
      <c r="B121" s="8" t="inlineStr">
        <is>
          <t>AP-0009880</t>
        </is>
      </c>
      <c r="C121" s="8" t="inlineStr">
        <is>
          <t>G&amp;A</t>
        </is>
      </c>
      <c r="D121" s="8" t="inlineStr">
        <is>
          <t>Evergreen Equipment Rental &amp; Services - Vancouver Company</t>
        </is>
      </c>
      <c r="E121" s="22" t="n">
        <v>46189</v>
      </c>
      <c r="F121" s="9" t="n">
        <v>2127.84</v>
      </c>
      <c r="G121" s="22" t="inlineStr">
        <is>
          <t>No</t>
        </is>
      </c>
      <c r="H121" s="23" t="n">
        <v>46189</v>
      </c>
      <c r="I121" s="24" t="inlineStr">
        <is>
          <t>Medium</t>
        </is>
      </c>
      <c r="J121" s="24" t="inlineStr">
        <is>
          <t>Pay to terms unless Controller releases otherwise</t>
        </is>
      </c>
      <c r="K121" s="8">
        <f>IFERROR(MATCH(H121,'13W Cash Forecast'!$B$4:$N$4,1),1)</f>
        <v/>
      </c>
    </row>
    <row r="122">
      <c r="A122" s="8" t="inlineStr">
        <is>
          <t>AP</t>
        </is>
      </c>
      <c r="B122" s="8" t="inlineStr">
        <is>
          <t>AP-0009901</t>
        </is>
      </c>
      <c r="C122" s="8" t="inlineStr">
        <is>
          <t>G&amp;A</t>
        </is>
      </c>
      <c r="D122" s="8" t="inlineStr">
        <is>
          <t>Evergreen Equipment Rental &amp; Services - Vancouver Company</t>
        </is>
      </c>
      <c r="E122" s="22" t="n">
        <v>46189</v>
      </c>
      <c r="F122" s="9" t="n">
        <v>1592.67</v>
      </c>
      <c r="G122" s="22" t="inlineStr">
        <is>
          <t>No</t>
        </is>
      </c>
      <c r="H122" s="23" t="n">
        <v>46189</v>
      </c>
      <c r="I122" s="24" t="inlineStr">
        <is>
          <t>Medium</t>
        </is>
      </c>
      <c r="J122" s="24" t="inlineStr">
        <is>
          <t>Pay to terms unless Controller releases otherwise</t>
        </is>
      </c>
      <c r="K122" s="8">
        <f>IFERROR(MATCH(H122,'13W Cash Forecast'!$B$4:$N$4,1),1)</f>
        <v/>
      </c>
    </row>
    <row r="123">
      <c r="A123" s="8" t="inlineStr">
        <is>
          <t>AP</t>
        </is>
      </c>
      <c r="B123" s="8" t="inlineStr">
        <is>
          <t>AP-0011865</t>
        </is>
      </c>
      <c r="C123" s="8" t="inlineStr">
        <is>
          <t>G&amp;A</t>
        </is>
      </c>
      <c r="D123" s="8" t="inlineStr">
        <is>
          <t>Summit Building Services - Gresham Group</t>
        </is>
      </c>
      <c r="E123" s="22" t="n">
        <v>46189</v>
      </c>
      <c r="F123" s="9" t="n">
        <v>14370.58</v>
      </c>
      <c r="G123" s="22" t="inlineStr">
        <is>
          <t>No</t>
        </is>
      </c>
      <c r="H123" s="23" t="n">
        <v>46189</v>
      </c>
      <c r="I123" s="24" t="inlineStr">
        <is>
          <t>Medium</t>
        </is>
      </c>
      <c r="J123" s="24" t="inlineStr">
        <is>
          <t>Pay to terms unless Controller releases otherwise</t>
        </is>
      </c>
      <c r="K123" s="8">
        <f>IFERROR(MATCH(H123,'13W Cash Forecast'!$B$4:$N$4,1),1)</f>
        <v/>
      </c>
    </row>
    <row r="124">
      <c r="A124" s="8" t="inlineStr">
        <is>
          <t>AP</t>
        </is>
      </c>
      <c r="B124" s="8" t="inlineStr">
        <is>
          <t>AP-0011879</t>
        </is>
      </c>
      <c r="C124" s="8" t="inlineStr">
        <is>
          <t>G&amp;A</t>
        </is>
      </c>
      <c r="D124" s="8" t="inlineStr">
        <is>
          <t>High Desert Building Services - Gresham Services, LLC</t>
        </is>
      </c>
      <c r="E124" s="22" t="n">
        <v>46189</v>
      </c>
      <c r="F124" s="9" t="n">
        <v>2494.73</v>
      </c>
      <c r="G124" s="22" t="inlineStr">
        <is>
          <t>No</t>
        </is>
      </c>
      <c r="H124" s="23" t="n">
        <v>46189</v>
      </c>
      <c r="I124" s="24" t="inlineStr">
        <is>
          <t>Medium</t>
        </is>
      </c>
      <c r="J124" s="24" t="inlineStr">
        <is>
          <t>Pay to terms unless Controller releases otherwise</t>
        </is>
      </c>
      <c r="K124" s="8">
        <f>IFERROR(MATCH(H124,'13W Cash Forecast'!$B$4:$N$4,1),1)</f>
        <v/>
      </c>
    </row>
    <row r="125">
      <c r="A125" s="8" t="inlineStr">
        <is>
          <t>AP</t>
        </is>
      </c>
      <c r="B125" s="8" t="inlineStr">
        <is>
          <t>AP-0005230</t>
        </is>
      </c>
      <c r="C125" s="8" t="inlineStr">
        <is>
          <t>ARM-2510</t>
        </is>
      </c>
      <c r="D125" s="8" t="inlineStr">
        <is>
          <t>Rainier Equipment Rental &amp; Services - Bend Company</t>
        </is>
      </c>
      <c r="E125" s="22" t="n">
        <v>46190</v>
      </c>
      <c r="F125" s="9" t="n">
        <v>6942.49</v>
      </c>
      <c r="G125" s="22" t="inlineStr">
        <is>
          <t>No</t>
        </is>
      </c>
      <c r="H125" s="23" t="n">
        <v>46190</v>
      </c>
      <c r="I125" s="24" t="inlineStr">
        <is>
          <t>Medium</t>
        </is>
      </c>
      <c r="J125" s="24" t="inlineStr">
        <is>
          <t>Pay to terms unless Controller releases otherwise</t>
        </is>
      </c>
      <c r="K125" s="8">
        <f>IFERROR(MATCH(H125,'13W Cash Forecast'!$B$4:$N$4,1),1)</f>
        <v/>
      </c>
    </row>
    <row r="126">
      <c r="A126" s="8" t="inlineStr">
        <is>
          <t>AP</t>
        </is>
      </c>
      <c r="B126" s="8" t="inlineStr">
        <is>
          <t>AP-0005574</t>
        </is>
      </c>
      <c r="C126" s="8" t="inlineStr">
        <is>
          <t>ARM-2522</t>
        </is>
      </c>
      <c r="D126" s="8" t="inlineStr">
        <is>
          <t>Summit Electrical Contracting - Bend Group</t>
        </is>
      </c>
      <c r="E126" s="22" t="n">
        <v>46190</v>
      </c>
      <c r="F126" s="9" t="n">
        <v>3234.06</v>
      </c>
      <c r="G126" s="22" t="inlineStr">
        <is>
          <t>No</t>
        </is>
      </c>
      <c r="H126" s="23" t="n">
        <v>46190</v>
      </c>
      <c r="I126" s="24" t="inlineStr">
        <is>
          <t>Medium</t>
        </is>
      </c>
      <c r="J126" s="24" t="inlineStr">
        <is>
          <t>Pay to terms unless Controller releases otherwise</t>
        </is>
      </c>
      <c r="K126" s="8">
        <f>IFERROR(MATCH(H126,'13W Cash Forecast'!$B$4:$N$4,1),1)</f>
        <v/>
      </c>
    </row>
    <row r="127">
      <c r="A127" s="8" t="inlineStr">
        <is>
          <t>AP</t>
        </is>
      </c>
      <c r="B127" s="8" t="inlineStr">
        <is>
          <t>AP-0009903</t>
        </is>
      </c>
      <c r="C127" s="8" t="inlineStr">
        <is>
          <t>G&amp;A</t>
        </is>
      </c>
      <c r="D127" s="8" t="inlineStr">
        <is>
          <t>Tri-County Business Systems - Bend LLC</t>
        </is>
      </c>
      <c r="E127" s="22" t="n">
        <v>46190</v>
      </c>
      <c r="F127" s="9" t="n">
        <v>3427.24</v>
      </c>
      <c r="G127" s="22" t="inlineStr">
        <is>
          <t>No</t>
        </is>
      </c>
      <c r="H127" s="23" t="n">
        <v>46190</v>
      </c>
      <c r="I127" s="24" t="inlineStr">
        <is>
          <t>Medium</t>
        </is>
      </c>
      <c r="J127" s="24" t="inlineStr">
        <is>
          <t>Pay to terms unless Controller releases otherwise</t>
        </is>
      </c>
      <c r="K127" s="8">
        <f>IFERROR(MATCH(H127,'13W Cash Forecast'!$B$4:$N$4,1),1)</f>
        <v/>
      </c>
    </row>
    <row r="128">
      <c r="A128" s="8" t="inlineStr">
        <is>
          <t>AP</t>
        </is>
      </c>
      <c r="B128" s="8" t="inlineStr">
        <is>
          <t>AP-0009924</t>
        </is>
      </c>
      <c r="C128" s="8" t="inlineStr">
        <is>
          <t>G&amp;A</t>
        </is>
      </c>
      <c r="D128" s="8" t="inlineStr">
        <is>
          <t>Tri-County Business Systems - Bend LLC</t>
        </is>
      </c>
      <c r="E128" s="22" t="n">
        <v>46190</v>
      </c>
      <c r="F128" s="9" t="n">
        <v>2358.51</v>
      </c>
      <c r="G128" s="22" t="inlineStr">
        <is>
          <t>No</t>
        </is>
      </c>
      <c r="H128" s="23" t="n">
        <v>46190</v>
      </c>
      <c r="I128" s="24" t="inlineStr">
        <is>
          <t>Medium</t>
        </is>
      </c>
      <c r="J128" s="24" t="inlineStr">
        <is>
          <t>Pay to terms unless Controller releases otherwise</t>
        </is>
      </c>
      <c r="K128" s="8">
        <f>IFERROR(MATCH(H128,'13W Cash Forecast'!$B$4:$N$4,1),1)</f>
        <v/>
      </c>
    </row>
    <row r="129">
      <c r="A129" s="8" t="inlineStr">
        <is>
          <t>AP</t>
        </is>
      </c>
      <c r="B129" s="8" t="inlineStr">
        <is>
          <t>AP-0011876</t>
        </is>
      </c>
      <c r="C129" s="8" t="inlineStr">
        <is>
          <t>G&amp;A</t>
        </is>
      </c>
      <c r="D129" s="8" t="inlineStr">
        <is>
          <t>Summit Construction Advisory - Salem Group</t>
        </is>
      </c>
      <c r="E129" s="22" t="n">
        <v>46190</v>
      </c>
      <c r="F129" s="9" t="n">
        <v>3771.89</v>
      </c>
      <c r="G129" s="22" t="inlineStr">
        <is>
          <t>No</t>
        </is>
      </c>
      <c r="H129" s="23" t="n">
        <v>46190</v>
      </c>
      <c r="I129" s="24" t="inlineStr">
        <is>
          <t>Medium</t>
        </is>
      </c>
      <c r="J129" s="24" t="inlineStr">
        <is>
          <t>Pay to terms unless Controller releases otherwise</t>
        </is>
      </c>
      <c r="K129" s="8">
        <f>IFERROR(MATCH(H129,'13W Cash Forecast'!$B$4:$N$4,1),1)</f>
        <v/>
      </c>
    </row>
    <row r="130">
      <c r="A130" s="8" t="inlineStr">
        <is>
          <t>AP</t>
        </is>
      </c>
      <c r="B130" s="8" t="inlineStr">
        <is>
          <t>AP-0004093</t>
        </is>
      </c>
      <c r="C130" s="8" t="inlineStr">
        <is>
          <t>ARM-2403</t>
        </is>
      </c>
      <c r="D130" s="8" t="inlineStr">
        <is>
          <t>United Rentals (North America), Inc.</t>
        </is>
      </c>
      <c r="E130" s="22" t="n">
        <v>46191</v>
      </c>
      <c r="F130" s="9" t="n">
        <v>3960.57</v>
      </c>
      <c r="G130" s="22" t="inlineStr">
        <is>
          <t>No</t>
        </is>
      </c>
      <c r="H130" s="23" t="n">
        <v>46191</v>
      </c>
      <c r="I130" s="24" t="inlineStr">
        <is>
          <t>Medium</t>
        </is>
      </c>
      <c r="J130" s="24" t="inlineStr">
        <is>
          <t>Pay to terms unless Controller releases otherwise</t>
        </is>
      </c>
      <c r="K130" s="8">
        <f>IFERROR(MATCH(H130,'13W Cash Forecast'!$B$4:$N$4,1),1)</f>
        <v/>
      </c>
    </row>
    <row r="131">
      <c r="A131" s="8" t="inlineStr">
        <is>
          <t>AP</t>
        </is>
      </c>
      <c r="B131" s="8" t="inlineStr">
        <is>
          <t>AP-0004685</t>
        </is>
      </c>
      <c r="C131" s="8" t="inlineStr">
        <is>
          <t>ARM-2417</t>
        </is>
      </c>
      <c r="D131" s="8" t="inlineStr">
        <is>
          <t>Willamette Mechanical Insulation - Portland Inc.</t>
        </is>
      </c>
      <c r="E131" s="22" t="n">
        <v>46191</v>
      </c>
      <c r="F131" s="9" t="n">
        <v>5616.36</v>
      </c>
      <c r="G131" s="22" t="inlineStr">
        <is>
          <t>No</t>
        </is>
      </c>
      <c r="H131" s="23" t="n">
        <v>46191</v>
      </c>
      <c r="I131" s="24" t="inlineStr">
        <is>
          <t>Medium</t>
        </is>
      </c>
      <c r="J131" s="24" t="inlineStr">
        <is>
          <t>Pay to terms unless Controller releases otherwise</t>
        </is>
      </c>
      <c r="K131" s="8">
        <f>IFERROR(MATCH(H131,'13W Cash Forecast'!$B$4:$N$4,1),1)</f>
        <v/>
      </c>
    </row>
    <row r="132">
      <c r="A132" s="8" t="inlineStr">
        <is>
          <t>AP</t>
        </is>
      </c>
      <c r="B132" s="8" t="inlineStr">
        <is>
          <t>AP-0005102</t>
        </is>
      </c>
      <c r="C132" s="8" t="inlineStr">
        <is>
          <t>ARM-2506</t>
        </is>
      </c>
      <c r="D132" s="8" t="inlineStr">
        <is>
          <t>Pacific Equipment Rental &amp; Services - Salem LLC</t>
        </is>
      </c>
      <c r="E132" s="22" t="n">
        <v>46191</v>
      </c>
      <c r="F132" s="9" t="n">
        <v>15108.75</v>
      </c>
      <c r="G132" s="22" t="inlineStr">
        <is>
          <t>No</t>
        </is>
      </c>
      <c r="H132" s="23" t="n">
        <v>46191</v>
      </c>
      <c r="I132" s="24" t="inlineStr">
        <is>
          <t>Medium</t>
        </is>
      </c>
      <c r="J132" s="24" t="inlineStr">
        <is>
          <t>Pay to terms unless Controller releases otherwise</t>
        </is>
      </c>
      <c r="K132" s="8">
        <f>IFERROR(MATCH(H132,'13W Cash Forecast'!$B$4:$N$4,1),1)</f>
        <v/>
      </c>
    </row>
    <row r="133">
      <c r="A133" s="8" t="inlineStr">
        <is>
          <t>AP</t>
        </is>
      </c>
      <c r="B133" s="8" t="inlineStr">
        <is>
          <t>AP-0005106</t>
        </is>
      </c>
      <c r="C133" s="8" t="inlineStr">
        <is>
          <t>ARM-2506</t>
        </is>
      </c>
      <c r="D133" s="8" t="inlineStr">
        <is>
          <t>Rogue Valley Equipment Rental &amp; Services - Vancouver LLC</t>
        </is>
      </c>
      <c r="E133" s="22" t="n">
        <v>46191</v>
      </c>
      <c r="F133" s="9" t="n">
        <v>2622.31</v>
      </c>
      <c r="G133" s="22" t="inlineStr">
        <is>
          <t>No</t>
        </is>
      </c>
      <c r="H133" s="23" t="n">
        <v>46191</v>
      </c>
      <c r="I133" s="24" t="inlineStr">
        <is>
          <t>Medium</t>
        </is>
      </c>
      <c r="J133" s="24" t="inlineStr">
        <is>
          <t>Pay to terms unless Controller releases otherwise</t>
        </is>
      </c>
      <c r="K133" s="8">
        <f>IFERROR(MATCH(H133,'13W Cash Forecast'!$B$4:$N$4,1),1)</f>
        <v/>
      </c>
    </row>
    <row r="134">
      <c r="A134" s="8" t="inlineStr">
        <is>
          <t>AP</t>
        </is>
      </c>
      <c r="B134" s="8" t="inlineStr">
        <is>
          <t>AP-0005235</t>
        </is>
      </c>
      <c r="C134" s="8" t="inlineStr">
        <is>
          <t>ARM-2510</t>
        </is>
      </c>
      <c r="D134" s="8" t="inlineStr">
        <is>
          <t>Northwest Equipment Rental &amp; Services - Salem Group</t>
        </is>
      </c>
      <c r="E134" s="22" t="n">
        <v>46191</v>
      </c>
      <c r="F134" s="9" t="n">
        <v>12584.04</v>
      </c>
      <c r="G134" s="22" t="inlineStr">
        <is>
          <t>No</t>
        </is>
      </c>
      <c r="H134" s="23" t="n">
        <v>46191</v>
      </c>
      <c r="I134" s="24" t="inlineStr">
        <is>
          <t>Medium</t>
        </is>
      </c>
      <c r="J134" s="24" t="inlineStr">
        <is>
          <t>Pay to terms unless Controller releases otherwise</t>
        </is>
      </c>
      <c r="K134" s="8">
        <f>IFERROR(MATCH(H134,'13W Cash Forecast'!$B$4:$N$4,1),1)</f>
        <v/>
      </c>
    </row>
    <row r="135">
      <c r="A135" s="8" t="inlineStr">
        <is>
          <t>AP</t>
        </is>
      </c>
      <c r="B135" s="8" t="inlineStr">
        <is>
          <t>AP-0005410</t>
        </is>
      </c>
      <c r="C135" s="8" t="inlineStr">
        <is>
          <t>ARM-2514</t>
        </is>
      </c>
      <c r="D135" s="8" t="inlineStr">
        <is>
          <t>Pioneer Electrical Contracting - Salem Inc.</t>
        </is>
      </c>
      <c r="E135" s="22" t="n">
        <v>46191</v>
      </c>
      <c r="F135" s="9" t="n">
        <v>3862.28</v>
      </c>
      <c r="G135" s="22" t="inlineStr">
        <is>
          <t>No</t>
        </is>
      </c>
      <c r="H135" s="23" t="n">
        <v>46191</v>
      </c>
      <c r="I135" s="24" t="inlineStr">
        <is>
          <t>Medium</t>
        </is>
      </c>
      <c r="J135" s="24" t="inlineStr">
        <is>
          <t>Pay to terms unless Controller releases otherwise</t>
        </is>
      </c>
      <c r="K135" s="8">
        <f>IFERROR(MATCH(H135,'13W Cash Forecast'!$B$4:$N$4,1),1)</f>
        <v/>
      </c>
    </row>
    <row r="136">
      <c r="A136" s="8" t="inlineStr">
        <is>
          <t>AP</t>
        </is>
      </c>
      <c r="B136" s="8" t="inlineStr">
        <is>
          <t>AP-0005426</t>
        </is>
      </c>
      <c r="C136" s="8" t="inlineStr">
        <is>
          <t>ARM-2514</t>
        </is>
      </c>
      <c r="D136" s="8" t="inlineStr">
        <is>
          <t>West Coast Testing and Balancing - Eugene Company</t>
        </is>
      </c>
      <c r="E136" s="22" t="n">
        <v>46191</v>
      </c>
      <c r="F136" s="9" t="n">
        <v>3502.26</v>
      </c>
      <c r="G136" s="22" t="inlineStr">
        <is>
          <t>No</t>
        </is>
      </c>
      <c r="H136" s="23" t="n">
        <v>46191</v>
      </c>
      <c r="I136" s="24" t="inlineStr">
        <is>
          <t>Medium</t>
        </is>
      </c>
      <c r="J136" s="24" t="inlineStr">
        <is>
          <t>Pay to terms unless Controller releases otherwise</t>
        </is>
      </c>
      <c r="K136" s="8">
        <f>IFERROR(MATCH(H136,'13W Cash Forecast'!$B$4:$N$4,1),1)</f>
        <v/>
      </c>
    </row>
    <row r="137">
      <c r="A137" s="8" t="inlineStr">
        <is>
          <t>AP</t>
        </is>
      </c>
      <c r="B137" s="8" t="inlineStr">
        <is>
          <t>AP-0005587</t>
        </is>
      </c>
      <c r="C137" s="8" t="inlineStr">
        <is>
          <t>ARM-2522</t>
        </is>
      </c>
      <c r="D137" s="8" t="inlineStr">
        <is>
          <t>Pacific Mechanical Insulation - Salem LLC</t>
        </is>
      </c>
      <c r="E137" s="22" t="n">
        <v>46191</v>
      </c>
      <c r="F137" s="9" t="n">
        <v>6637.74</v>
      </c>
      <c r="G137" s="22" t="inlineStr">
        <is>
          <t>No</t>
        </is>
      </c>
      <c r="H137" s="23" t="n">
        <v>46191</v>
      </c>
      <c r="I137" s="24" t="inlineStr">
        <is>
          <t>Medium</t>
        </is>
      </c>
      <c r="J137" s="24" t="inlineStr">
        <is>
          <t>Pay to terms unless Controller releases otherwise</t>
        </is>
      </c>
      <c r="K137" s="8">
        <f>IFERROR(MATCH(H137,'13W Cash Forecast'!$B$4:$N$4,1),1)</f>
        <v/>
      </c>
    </row>
    <row r="138">
      <c r="A138" s="8" t="inlineStr">
        <is>
          <t>AP</t>
        </is>
      </c>
      <c r="B138" s="8" t="inlineStr">
        <is>
          <t>AP-0003874</t>
        </is>
      </c>
      <c r="C138" s="8" t="inlineStr">
        <is>
          <t>ARM-2318</t>
        </is>
      </c>
      <c r="D138" s="8" t="inlineStr">
        <is>
          <t>Blue Mountain Mechanical Insulation - Salem Company</t>
        </is>
      </c>
      <c r="E138" s="22" t="n">
        <v>46192</v>
      </c>
      <c r="F138" s="9" t="n">
        <v>4438.29</v>
      </c>
      <c r="G138" s="22" t="inlineStr">
        <is>
          <t>No</t>
        </is>
      </c>
      <c r="H138" s="23" t="n">
        <v>46192</v>
      </c>
      <c r="I138" s="24" t="inlineStr">
        <is>
          <t>Medium</t>
        </is>
      </c>
      <c r="J138" s="24" t="inlineStr">
        <is>
          <t>Pay to terms unless Controller releases otherwise</t>
        </is>
      </c>
      <c r="K138" s="8">
        <f>IFERROR(MATCH(H138,'13W Cash Forecast'!$B$4:$N$4,1),1)</f>
        <v/>
      </c>
    </row>
    <row r="139">
      <c r="A139" s="8" t="inlineStr">
        <is>
          <t>AP</t>
        </is>
      </c>
      <c r="B139" s="8" t="inlineStr">
        <is>
          <t>AP-0004693</t>
        </is>
      </c>
      <c r="C139" s="8" t="inlineStr">
        <is>
          <t>ARM-2417</t>
        </is>
      </c>
      <c r="D139" s="8" t="inlineStr">
        <is>
          <t>Northwest Crane and Rigging - Salem Group</t>
        </is>
      </c>
      <c r="E139" s="22" t="n">
        <v>46192</v>
      </c>
      <c r="F139" s="9" t="n">
        <v>2030.82</v>
      </c>
      <c r="G139" s="22" t="inlineStr">
        <is>
          <t>No</t>
        </is>
      </c>
      <c r="H139" s="23" t="n">
        <v>46192</v>
      </c>
      <c r="I139" s="24" t="inlineStr">
        <is>
          <t>Medium</t>
        </is>
      </c>
      <c r="J139" s="24" t="inlineStr">
        <is>
          <t>Pay to terms unless Controller releases otherwise</t>
        </is>
      </c>
      <c r="K139" s="8">
        <f>IFERROR(MATCH(H139,'13W Cash Forecast'!$B$4:$N$4,1),1)</f>
        <v/>
      </c>
    </row>
    <row r="140">
      <c r="A140" s="8" t="inlineStr">
        <is>
          <t>AP</t>
        </is>
      </c>
      <c r="B140" s="8" t="inlineStr">
        <is>
          <t>AP-0005417</t>
        </is>
      </c>
      <c r="C140" s="8" t="inlineStr">
        <is>
          <t>ARM-2514</t>
        </is>
      </c>
      <c r="D140" s="8" t="inlineStr">
        <is>
          <t>High Desert Pipe, Valve &amp; Fitting Supply - Bend Services, LLC</t>
        </is>
      </c>
      <c r="E140" s="22" t="n">
        <v>46192</v>
      </c>
      <c r="F140" s="9" t="n">
        <v>6614.38</v>
      </c>
      <c r="G140" s="22" t="inlineStr">
        <is>
          <t>No</t>
        </is>
      </c>
      <c r="H140" s="23" t="n">
        <v>46192</v>
      </c>
      <c r="I140" s="24" t="inlineStr">
        <is>
          <t>Medium</t>
        </is>
      </c>
      <c r="J140" s="24" t="inlineStr">
        <is>
          <t>Pay to terms unless Controller releases otherwise</t>
        </is>
      </c>
      <c r="K140" s="8">
        <f>IFERROR(MATCH(H140,'13W Cash Forecast'!$B$4:$N$4,1),1)</f>
        <v/>
      </c>
    </row>
    <row r="141">
      <c r="A141" s="8" t="inlineStr">
        <is>
          <t>AP</t>
        </is>
      </c>
      <c r="B141" s="8" t="inlineStr">
        <is>
          <t>AP-0005674</t>
        </is>
      </c>
      <c r="C141" s="8" t="inlineStr">
        <is>
          <t>ARM-2602</t>
        </is>
      </c>
      <c r="D141" s="8" t="inlineStr">
        <is>
          <t>Summit Equipment Rental &amp; Services - Beaverton Group</t>
        </is>
      </c>
      <c r="E141" s="22" t="n">
        <v>46192</v>
      </c>
      <c r="F141" s="9" t="n">
        <v>3349.77</v>
      </c>
      <c r="G141" s="22" t="inlineStr">
        <is>
          <t>No</t>
        </is>
      </c>
      <c r="H141" s="23" t="n">
        <v>46192</v>
      </c>
      <c r="I141" s="24" t="inlineStr">
        <is>
          <t>Medium</t>
        </is>
      </c>
      <c r="J141" s="24" t="inlineStr">
        <is>
          <t>Pay to terms unless Controller releases otherwise</t>
        </is>
      </c>
      <c r="K141" s="8">
        <f>IFERROR(MATCH(H141,'13W Cash Forecast'!$B$4:$N$4,1),1)</f>
        <v/>
      </c>
    </row>
    <row r="142">
      <c r="A142" s="8" t="inlineStr">
        <is>
          <t>AP</t>
        </is>
      </c>
      <c r="B142" s="8" t="inlineStr">
        <is>
          <t>AP-0009863</t>
        </is>
      </c>
      <c r="C142" s="8" t="inlineStr">
        <is>
          <t>G&amp;A</t>
        </is>
      </c>
      <c r="D142" s="8" t="inlineStr">
        <is>
          <t>Rose City Pipe, Valve &amp; Fitting Supply - Gresham Services, LLC</t>
        </is>
      </c>
      <c r="E142" s="22" t="n">
        <v>46192</v>
      </c>
      <c r="F142" s="9" t="n">
        <v>2302.15</v>
      </c>
      <c r="G142" s="22" t="inlineStr">
        <is>
          <t>No</t>
        </is>
      </c>
      <c r="H142" s="23" t="n">
        <v>46192</v>
      </c>
      <c r="I142" s="24" t="inlineStr">
        <is>
          <t>Medium</t>
        </is>
      </c>
      <c r="J142" s="24" t="inlineStr">
        <is>
          <t>Pay to terms unless Controller releases otherwise</t>
        </is>
      </c>
      <c r="K142" s="8">
        <f>IFERROR(MATCH(H142,'13W Cash Forecast'!$B$4:$N$4,1),1)</f>
        <v/>
      </c>
    </row>
    <row r="143">
      <c r="A143" s="8" t="inlineStr">
        <is>
          <t>AP</t>
        </is>
      </c>
      <c r="B143" s="8" t="inlineStr">
        <is>
          <t>AP-0009884</t>
        </is>
      </c>
      <c r="C143" s="8" t="inlineStr">
        <is>
          <t>G&amp;A</t>
        </is>
      </c>
      <c r="D143" s="8" t="inlineStr">
        <is>
          <t>Rose City Pipe, Valve &amp; Fitting Supply - Gresham Services, LLC</t>
        </is>
      </c>
      <c r="E143" s="22" t="n">
        <v>46192</v>
      </c>
      <c r="F143" s="9" t="n">
        <v>1242.93</v>
      </c>
      <c r="G143" s="22" t="inlineStr">
        <is>
          <t>No</t>
        </is>
      </c>
      <c r="H143" s="23" t="n">
        <v>46192</v>
      </c>
      <c r="I143" s="24" t="inlineStr">
        <is>
          <t>Medium</t>
        </is>
      </c>
      <c r="J143" s="24" t="inlineStr">
        <is>
          <t>Pay to terms unless Controller releases otherwise</t>
        </is>
      </c>
      <c r="K143" s="8">
        <f>IFERROR(MATCH(H143,'13W Cash Forecast'!$B$4:$N$4,1),1)</f>
        <v/>
      </c>
    </row>
    <row r="144">
      <c r="A144" s="8" t="inlineStr">
        <is>
          <t>AP</t>
        </is>
      </c>
      <c r="B144" s="8" t="inlineStr">
        <is>
          <t>AP-0004436</t>
        </is>
      </c>
      <c r="C144" s="8" t="inlineStr">
        <is>
          <t>ARM-2412</t>
        </is>
      </c>
      <c r="D144" s="8" t="inlineStr">
        <is>
          <t>Rose City Crane and Rigging - Vancouver Services, LLC</t>
        </is>
      </c>
      <c r="E144" s="22" t="n">
        <v>46193</v>
      </c>
      <c r="F144" s="9" t="n">
        <v>4176.88</v>
      </c>
      <c r="G144" s="22" t="inlineStr">
        <is>
          <t>No</t>
        </is>
      </c>
      <c r="H144" s="23" t="n">
        <v>46193</v>
      </c>
      <c r="I144" s="24" t="inlineStr">
        <is>
          <t>Medium</t>
        </is>
      </c>
      <c r="J144" s="24" t="inlineStr">
        <is>
          <t>Pay to terms unless Controller releases otherwise</t>
        </is>
      </c>
      <c r="K144" s="8">
        <f>IFERROR(MATCH(H144,'13W Cash Forecast'!$B$4:$N$4,1),1)</f>
        <v/>
      </c>
    </row>
    <row r="145">
      <c r="A145" s="8" t="inlineStr">
        <is>
          <t>AP</t>
        </is>
      </c>
      <c r="B145" s="8" t="inlineStr">
        <is>
          <t>AP-0004440</t>
        </is>
      </c>
      <c r="C145" s="8" t="inlineStr">
        <is>
          <t>ARM-2412</t>
        </is>
      </c>
      <c r="D145" s="8" t="inlineStr">
        <is>
          <t>West Coast Pipe, Valve &amp; Fitting Supply - Vancouver Company</t>
        </is>
      </c>
      <c r="E145" s="22" t="n">
        <v>46193</v>
      </c>
      <c r="F145" s="9" t="n">
        <v>10869.79</v>
      </c>
      <c r="G145" s="22" t="inlineStr">
        <is>
          <t>No</t>
        </is>
      </c>
      <c r="H145" s="23" t="n">
        <v>46193</v>
      </c>
      <c r="I145" s="24" t="inlineStr">
        <is>
          <t>Medium</t>
        </is>
      </c>
      <c r="J145" s="24" t="inlineStr">
        <is>
          <t>Pay to terms unless Controller releases otherwise</t>
        </is>
      </c>
      <c r="K145" s="8">
        <f>IFERROR(MATCH(H145,'13W Cash Forecast'!$B$4:$N$4,1),1)</f>
        <v/>
      </c>
    </row>
    <row r="146">
      <c r="A146" s="8" t="inlineStr">
        <is>
          <t>AP</t>
        </is>
      </c>
      <c r="B146" s="8" t="inlineStr">
        <is>
          <t>AP-0005076</t>
        </is>
      </c>
      <c r="C146" s="8" t="inlineStr">
        <is>
          <t>ARM-2506</t>
        </is>
      </c>
      <c r="D146" s="8" t="inlineStr">
        <is>
          <t>Cedar Mill Sheet Metal Fabrication - Salem Services, LLC</t>
        </is>
      </c>
      <c r="E146" s="22" t="n">
        <v>46193</v>
      </c>
      <c r="F146" s="9" t="n">
        <v>5571.48</v>
      </c>
      <c r="G146" s="22" t="inlineStr">
        <is>
          <t>No</t>
        </is>
      </c>
      <c r="H146" s="23" t="n">
        <v>46193</v>
      </c>
      <c r="I146" s="24" t="inlineStr">
        <is>
          <t>Medium</t>
        </is>
      </c>
      <c r="J146" s="24" t="inlineStr">
        <is>
          <t>Pay to terms unless Controller releases otherwise</t>
        </is>
      </c>
      <c r="K146" s="8">
        <f>IFERROR(MATCH(H146,'13W Cash Forecast'!$B$4:$N$4,1),1)</f>
        <v/>
      </c>
    </row>
    <row r="147">
      <c r="A147" s="8" t="inlineStr">
        <is>
          <t>AP</t>
        </is>
      </c>
      <c r="B147" s="8" t="inlineStr">
        <is>
          <t>AP-0005089</t>
        </is>
      </c>
      <c r="C147" s="8" t="inlineStr">
        <is>
          <t>ARM-2506</t>
        </is>
      </c>
      <c r="D147" s="8" t="inlineStr">
        <is>
          <t>Rose City Equipment Rental &amp; Services - Vancouver Services, LLC</t>
        </is>
      </c>
      <c r="E147" s="22" t="n">
        <v>46193</v>
      </c>
      <c r="F147" s="9" t="n">
        <v>1720.84</v>
      </c>
      <c r="G147" s="22" t="inlineStr">
        <is>
          <t>No</t>
        </is>
      </c>
      <c r="H147" s="23" t="n">
        <v>46193</v>
      </c>
      <c r="I147" s="24" t="inlineStr">
        <is>
          <t>Medium</t>
        </is>
      </c>
      <c r="J147" s="24" t="inlineStr">
        <is>
          <t>Pay to terms unless Controller releases otherwise</t>
        </is>
      </c>
      <c r="K147" s="8">
        <f>IFERROR(MATCH(H147,'13W Cash Forecast'!$B$4:$N$4,1),1)</f>
        <v/>
      </c>
    </row>
    <row r="148">
      <c r="A148" s="8" t="inlineStr">
        <is>
          <t>AP</t>
        </is>
      </c>
      <c r="B148" s="8" t="inlineStr">
        <is>
          <t>AP-0005227</t>
        </is>
      </c>
      <c r="C148" s="8" t="inlineStr">
        <is>
          <t>ARM-2510</t>
        </is>
      </c>
      <c r="D148" s="8" t="inlineStr">
        <is>
          <t>Rainier Testing and Balancing - Vancouver Company</t>
        </is>
      </c>
      <c r="E148" s="22" t="n">
        <v>46193</v>
      </c>
      <c r="F148" s="9" t="n">
        <v>3150.23</v>
      </c>
      <c r="G148" s="22" t="inlineStr">
        <is>
          <t>No</t>
        </is>
      </c>
      <c r="H148" s="23" t="n">
        <v>46193</v>
      </c>
      <c r="I148" s="24" t="inlineStr">
        <is>
          <t>Medium</t>
        </is>
      </c>
      <c r="J148" s="24" t="inlineStr">
        <is>
          <t>Pay to terms unless Controller releases otherwise</t>
        </is>
      </c>
      <c r="K148" s="8">
        <f>IFERROR(MATCH(H148,'13W Cash Forecast'!$B$4:$N$4,1),1)</f>
        <v/>
      </c>
    </row>
    <row r="149">
      <c r="A149" s="8" t="inlineStr">
        <is>
          <t>AP</t>
        </is>
      </c>
      <c r="B149" s="8" t="inlineStr">
        <is>
          <t>AP-0005571</t>
        </is>
      </c>
      <c r="C149" s="8" t="inlineStr">
        <is>
          <t>ARM-2522</t>
        </is>
      </c>
      <c r="D149" s="8" t="inlineStr">
        <is>
          <t>Bridge City Testing and Balancing - Beaverton Group</t>
        </is>
      </c>
      <c r="E149" s="22" t="n">
        <v>46193</v>
      </c>
      <c r="F149" s="9" t="n">
        <v>7601.83</v>
      </c>
      <c r="G149" s="22" t="inlineStr">
        <is>
          <t>No</t>
        </is>
      </c>
      <c r="H149" s="23" t="n">
        <v>46193</v>
      </c>
      <c r="I149" s="24" t="inlineStr">
        <is>
          <t>Medium</t>
        </is>
      </c>
      <c r="J149" s="24" t="inlineStr">
        <is>
          <t>Pay to terms unless Controller releases otherwise</t>
        </is>
      </c>
      <c r="K149" s="8">
        <f>IFERROR(MATCH(H149,'13W Cash Forecast'!$B$4:$N$4,1),1)</f>
        <v/>
      </c>
    </row>
    <row r="150">
      <c r="A150" s="8" t="inlineStr">
        <is>
          <t>AP</t>
        </is>
      </c>
      <c r="B150" s="8" t="inlineStr">
        <is>
          <t>AP-0005719</t>
        </is>
      </c>
      <c r="C150" s="8" t="inlineStr">
        <is>
          <t>ARM-2605</t>
        </is>
      </c>
      <c r="D150" s="8" t="inlineStr">
        <is>
          <t>Cascade Sheet Metal Fabrication - Salem LLC</t>
        </is>
      </c>
      <c r="E150" s="22" t="n">
        <v>46193</v>
      </c>
      <c r="F150" s="9" t="n">
        <v>7525.79</v>
      </c>
      <c r="G150" s="22" t="inlineStr">
        <is>
          <t>No</t>
        </is>
      </c>
      <c r="H150" s="23" t="n">
        <v>46193</v>
      </c>
      <c r="I150" s="24" t="inlineStr">
        <is>
          <t>Medium</t>
        </is>
      </c>
      <c r="J150" s="24" t="inlineStr">
        <is>
          <t>Pay to terms unless Controller releases otherwise</t>
        </is>
      </c>
      <c r="K150" s="8">
        <f>IFERROR(MATCH(H150,'13W Cash Forecast'!$B$4:$N$4,1),1)</f>
        <v/>
      </c>
    </row>
    <row r="151">
      <c r="A151" s="8" t="inlineStr">
        <is>
          <t>AP</t>
        </is>
      </c>
      <c r="B151" s="8" t="inlineStr">
        <is>
          <t>AP-0009866</t>
        </is>
      </c>
      <c r="C151" s="8" t="inlineStr">
        <is>
          <t>G&amp;A</t>
        </is>
      </c>
      <c r="D151" s="8" t="inlineStr">
        <is>
          <t>Autodesk, Inc.</t>
        </is>
      </c>
      <c r="E151" s="22" t="n">
        <v>46193</v>
      </c>
      <c r="F151" s="9" t="n">
        <v>2120.25</v>
      </c>
      <c r="G151" s="22" t="inlineStr">
        <is>
          <t>No</t>
        </is>
      </c>
      <c r="H151" s="23" t="n">
        <v>46193</v>
      </c>
      <c r="I151" s="24" t="inlineStr">
        <is>
          <t>Medium</t>
        </is>
      </c>
      <c r="J151" s="24" t="inlineStr">
        <is>
          <t>Pay to terms unless Controller releases otherwise</t>
        </is>
      </c>
      <c r="K151" s="8">
        <f>IFERROR(MATCH(H151,'13W Cash Forecast'!$B$4:$N$4,1),1)</f>
        <v/>
      </c>
    </row>
    <row r="152">
      <c r="A152" s="8" t="inlineStr">
        <is>
          <t>AP</t>
        </is>
      </c>
      <c r="B152" s="8" t="inlineStr">
        <is>
          <t>AP-0009887</t>
        </is>
      </c>
      <c r="C152" s="8" t="inlineStr">
        <is>
          <t>G&amp;A</t>
        </is>
      </c>
      <c r="D152" s="8" t="inlineStr">
        <is>
          <t>Autodesk, Inc.</t>
        </is>
      </c>
      <c r="E152" s="22" t="n">
        <v>46193</v>
      </c>
      <c r="F152" s="9" t="n">
        <v>2073.29</v>
      </c>
      <c r="G152" s="22" t="inlineStr">
        <is>
          <t>No</t>
        </is>
      </c>
      <c r="H152" s="23" t="n">
        <v>46193</v>
      </c>
      <c r="I152" s="24" t="inlineStr">
        <is>
          <t>Medium</t>
        </is>
      </c>
      <c r="J152" s="24" t="inlineStr">
        <is>
          <t>Pay to terms unless Controller releases otherwise</t>
        </is>
      </c>
      <c r="K152" s="8">
        <f>IFERROR(MATCH(H152,'13W Cash Forecast'!$B$4:$N$4,1),1)</f>
        <v/>
      </c>
    </row>
    <row r="153">
      <c r="A153" s="8" t="inlineStr">
        <is>
          <t>AP</t>
        </is>
      </c>
      <c r="B153" s="8" t="inlineStr">
        <is>
          <t>AP-0004682</t>
        </is>
      </c>
      <c r="C153" s="8" t="inlineStr">
        <is>
          <t>ARM-2417</t>
        </is>
      </c>
      <c r="D153" s="8" t="inlineStr">
        <is>
          <t>Columbia Mechanical Insulation - Gresham Inc.</t>
        </is>
      </c>
      <c r="E153" s="22" t="n">
        <v>46194</v>
      </c>
      <c r="F153" s="9" t="n">
        <v>5432.89</v>
      </c>
      <c r="G153" s="22" t="inlineStr">
        <is>
          <t>No</t>
        </is>
      </c>
      <c r="H153" s="23" t="n">
        <v>46194</v>
      </c>
      <c r="I153" s="24" t="inlineStr">
        <is>
          <t>Medium</t>
        </is>
      </c>
      <c r="J153" s="24" t="inlineStr">
        <is>
          <t>Pay to terms unless Controller releases otherwise</t>
        </is>
      </c>
      <c r="K153" s="8">
        <f>IFERROR(MATCH(H153,'13W Cash Forecast'!$B$4:$N$4,1),1)</f>
        <v/>
      </c>
    </row>
    <row r="154">
      <c r="A154" s="8" t="inlineStr">
        <is>
          <t>AP</t>
        </is>
      </c>
      <c r="B154" s="8" t="inlineStr">
        <is>
          <t>AP-0004898</t>
        </is>
      </c>
      <c r="C154" s="8" t="inlineStr">
        <is>
          <t>ARM-2501</t>
        </is>
      </c>
      <c r="D154" s="8" t="inlineStr">
        <is>
          <t>Rogue Valley Sheet Metal Fabrication - Bend LLC</t>
        </is>
      </c>
      <c r="E154" s="22" t="n">
        <v>46194</v>
      </c>
      <c r="F154" s="9" t="n">
        <v>2655.81</v>
      </c>
      <c r="G154" s="22" t="inlineStr">
        <is>
          <t>No</t>
        </is>
      </c>
      <c r="H154" s="23" t="n">
        <v>46194</v>
      </c>
      <c r="I154" s="24" t="inlineStr">
        <is>
          <t>Medium</t>
        </is>
      </c>
      <c r="J154" s="24" t="inlineStr">
        <is>
          <t>Pay to terms unless Controller releases otherwise</t>
        </is>
      </c>
      <c r="K154" s="8">
        <f>IFERROR(MATCH(H154,'13W Cash Forecast'!$B$4:$N$4,1),1)</f>
        <v/>
      </c>
    </row>
    <row r="155">
      <c r="A155" s="8" t="inlineStr">
        <is>
          <t>AP</t>
        </is>
      </c>
      <c r="B155" s="8" t="inlineStr">
        <is>
          <t>AP-0005407</t>
        </is>
      </c>
      <c r="C155" s="8" t="inlineStr">
        <is>
          <t>ARM-2514</t>
        </is>
      </c>
      <c r="D155" s="8" t="inlineStr">
        <is>
          <t>Blue Mountain Crane and Rigging - Eugene Company</t>
        </is>
      </c>
      <c r="E155" s="22" t="n">
        <v>46194</v>
      </c>
      <c r="F155" s="9" t="n">
        <v>6172.18</v>
      </c>
      <c r="G155" s="22" t="inlineStr">
        <is>
          <t>No</t>
        </is>
      </c>
      <c r="H155" s="23" t="n">
        <v>46194</v>
      </c>
      <c r="I155" s="24" t="inlineStr">
        <is>
          <t>Medium</t>
        </is>
      </c>
      <c r="J155" s="24" t="inlineStr">
        <is>
          <t>Pay to terms unless Controller releases otherwise</t>
        </is>
      </c>
      <c r="K155" s="8">
        <f>IFERROR(MATCH(H155,'13W Cash Forecast'!$B$4:$N$4,1),1)</f>
        <v/>
      </c>
    </row>
    <row r="156">
      <c r="A156" s="8" t="inlineStr">
        <is>
          <t>AP</t>
        </is>
      </c>
      <c r="B156" s="8" t="inlineStr">
        <is>
          <t>AP-0005423</t>
        </is>
      </c>
      <c r="C156" s="8" t="inlineStr">
        <is>
          <t>ARM-2514</t>
        </is>
      </c>
      <c r="D156" s="8" t="inlineStr">
        <is>
          <t>Interstate Sheet Metal Fabrication - Portland Services, LLC</t>
        </is>
      </c>
      <c r="E156" s="22" t="n">
        <v>46194</v>
      </c>
      <c r="F156" s="9" t="n">
        <v>2294.83</v>
      </c>
      <c r="G156" s="22" t="inlineStr">
        <is>
          <t>No</t>
        </is>
      </c>
      <c r="H156" s="23" t="n">
        <v>46194</v>
      </c>
      <c r="I156" s="24" t="inlineStr">
        <is>
          <t>Medium</t>
        </is>
      </c>
      <c r="J156" s="24" t="inlineStr">
        <is>
          <t>Pay to terms unless Controller releases otherwise</t>
        </is>
      </c>
      <c r="K156" s="8">
        <f>IFERROR(MATCH(H156,'13W Cash Forecast'!$B$4:$N$4,1),1)</f>
        <v/>
      </c>
    </row>
    <row r="157">
      <c r="A157" s="8" t="inlineStr">
        <is>
          <t>AP</t>
        </is>
      </c>
      <c r="B157" s="8" t="inlineStr">
        <is>
          <t>AP-0005439</t>
        </is>
      </c>
      <c r="C157" s="8" t="inlineStr">
        <is>
          <t>ARM-2514</t>
        </is>
      </c>
      <c r="D157" s="8" t="inlineStr">
        <is>
          <t>Rogue Valley Equipment Rental &amp; Services - Vancouver LLC</t>
        </is>
      </c>
      <c r="E157" s="22" t="n">
        <v>46194</v>
      </c>
      <c r="F157" s="9" t="n">
        <v>6089.57</v>
      </c>
      <c r="G157" s="22" t="inlineStr">
        <is>
          <t>No</t>
        </is>
      </c>
      <c r="H157" s="23" t="n">
        <v>46194</v>
      </c>
      <c r="I157" s="24" t="inlineStr">
        <is>
          <t>Medium</t>
        </is>
      </c>
      <c r="J157" s="24" t="inlineStr">
        <is>
          <t>Pay to terms unless Controller releases otherwise</t>
        </is>
      </c>
      <c r="K157" s="8">
        <f>IFERROR(MATCH(H157,'13W Cash Forecast'!$B$4:$N$4,1),1)</f>
        <v/>
      </c>
    </row>
    <row r="158">
      <c r="A158" s="8" t="inlineStr">
        <is>
          <t>AP</t>
        </is>
      </c>
      <c r="B158" s="8" t="inlineStr">
        <is>
          <t>AP-0005680</t>
        </is>
      </c>
      <c r="C158" s="8" t="inlineStr">
        <is>
          <t>ARM-2602</t>
        </is>
      </c>
      <c r="D158" s="8" t="inlineStr">
        <is>
          <t>Interstate Equipment Rental &amp; Services - Eugene Services, LLC</t>
        </is>
      </c>
      <c r="E158" s="22" t="n">
        <v>46194</v>
      </c>
      <c r="F158" s="9" t="n">
        <v>2391.61</v>
      </c>
      <c r="G158" s="22" t="inlineStr">
        <is>
          <t>No</t>
        </is>
      </c>
      <c r="H158" s="23" t="n">
        <v>46194</v>
      </c>
      <c r="I158" s="24" t="inlineStr">
        <is>
          <t>Medium</t>
        </is>
      </c>
      <c r="J158" s="24" t="inlineStr">
        <is>
          <t>Pay to terms unless Controller releases otherwise</t>
        </is>
      </c>
      <c r="K158" s="8">
        <f>IFERROR(MATCH(H158,'13W Cash Forecast'!$B$4:$N$4,1),1)</f>
        <v/>
      </c>
    </row>
    <row r="159">
      <c r="A159" s="8" t="inlineStr">
        <is>
          <t>AP</t>
        </is>
      </c>
      <c r="B159" s="8" t="inlineStr">
        <is>
          <t>AP-0009869</t>
        </is>
      </c>
      <c r="C159" s="8" t="inlineStr">
        <is>
          <t>G&amp;A</t>
        </is>
      </c>
      <c r="D159" s="8" t="inlineStr">
        <is>
          <t>High Desert Safety and Industrial Supply - Salem Services, LLC</t>
        </is>
      </c>
      <c r="E159" s="22" t="n">
        <v>46194</v>
      </c>
      <c r="F159" s="9" t="n">
        <v>1503.2</v>
      </c>
      <c r="G159" s="22" t="inlineStr">
        <is>
          <t>No</t>
        </is>
      </c>
      <c r="H159" s="23" t="n">
        <v>46194</v>
      </c>
      <c r="I159" s="24" t="inlineStr">
        <is>
          <t>Medium</t>
        </is>
      </c>
      <c r="J159" s="24" t="inlineStr">
        <is>
          <t>Pay to terms unless Controller releases otherwise</t>
        </is>
      </c>
      <c r="K159" s="8">
        <f>IFERROR(MATCH(H159,'13W Cash Forecast'!$B$4:$N$4,1),1)</f>
        <v/>
      </c>
    </row>
    <row r="160">
      <c r="A160" s="8" t="inlineStr">
        <is>
          <t>AP</t>
        </is>
      </c>
      <c r="B160" s="8" t="inlineStr">
        <is>
          <t>AP-0009890</t>
        </is>
      </c>
      <c r="C160" s="8" t="inlineStr">
        <is>
          <t>G&amp;A</t>
        </is>
      </c>
      <c r="D160" s="8" t="inlineStr">
        <is>
          <t>High Desert Safety and Industrial Supply - Salem Services, LLC</t>
        </is>
      </c>
      <c r="E160" s="22" t="n">
        <v>46194</v>
      </c>
      <c r="F160" s="9" t="n">
        <v>1687.35</v>
      </c>
      <c r="G160" s="22" t="inlineStr">
        <is>
          <t>No</t>
        </is>
      </c>
      <c r="H160" s="23" t="n">
        <v>46194</v>
      </c>
      <c r="I160" s="24" t="inlineStr">
        <is>
          <t>Medium</t>
        </is>
      </c>
      <c r="J160" s="24" t="inlineStr">
        <is>
          <t>Pay to terms unless Controller releases otherwise</t>
        </is>
      </c>
      <c r="K160" s="8">
        <f>IFERROR(MATCH(H160,'13W Cash Forecast'!$B$4:$N$4,1),1)</f>
        <v/>
      </c>
    </row>
    <row r="161">
      <c r="A161" s="8" t="inlineStr">
        <is>
          <t>AP</t>
        </is>
      </c>
      <c r="B161" s="8" t="inlineStr">
        <is>
          <t>AP-0009915</t>
        </is>
      </c>
      <c r="C161" s="8" t="inlineStr">
        <is>
          <t>G&amp;A</t>
        </is>
      </c>
      <c r="D161" s="8" t="inlineStr">
        <is>
          <t>Pacific Fleet Service Center - Bend LLC</t>
        </is>
      </c>
      <c r="E161" s="22" t="n">
        <v>46194</v>
      </c>
      <c r="F161" s="9" t="n">
        <v>1403.42</v>
      </c>
      <c r="G161" s="22" t="inlineStr">
        <is>
          <t>No</t>
        </is>
      </c>
      <c r="H161" s="23" t="n">
        <v>46194</v>
      </c>
      <c r="I161" s="24" t="inlineStr">
        <is>
          <t>Medium</t>
        </is>
      </c>
      <c r="J161" s="24" t="inlineStr">
        <is>
          <t>Pay to terms unless Controller releases otherwise</t>
        </is>
      </c>
      <c r="K161" s="8">
        <f>IFERROR(MATCH(H161,'13W Cash Forecast'!$B$4:$N$4,1),1)</f>
        <v/>
      </c>
    </row>
    <row r="162">
      <c r="A162" s="8" t="inlineStr">
        <is>
          <t>AP</t>
        </is>
      </c>
      <c r="B162" s="8" t="inlineStr">
        <is>
          <t>AP-0009936</t>
        </is>
      </c>
      <c r="C162" s="8" t="inlineStr">
        <is>
          <t>G&amp;A</t>
        </is>
      </c>
      <c r="D162" s="8" t="inlineStr">
        <is>
          <t>Pacific Fleet Service Center - Bend LLC</t>
        </is>
      </c>
      <c r="E162" s="22" t="n">
        <v>46194</v>
      </c>
      <c r="F162" s="9" t="n">
        <v>1166.92</v>
      </c>
      <c r="G162" s="22" t="inlineStr">
        <is>
          <t>No</t>
        </is>
      </c>
      <c r="H162" s="23" t="n">
        <v>46194</v>
      </c>
      <c r="I162" s="24" t="inlineStr">
        <is>
          <t>Medium</t>
        </is>
      </c>
      <c r="J162" s="24" t="inlineStr">
        <is>
          <t>Pay to terms unless Controller releases otherwise</t>
        </is>
      </c>
      <c r="K162" s="8">
        <f>IFERROR(MATCH(H162,'13W Cash Forecast'!$B$4:$N$4,1),1)</f>
        <v/>
      </c>
    </row>
    <row r="163">
      <c r="A163" s="8" t="inlineStr">
        <is>
          <t>AP</t>
        </is>
      </c>
      <c r="B163" s="8" t="inlineStr">
        <is>
          <t>AP-0005414</t>
        </is>
      </c>
      <c r="C163" s="8" t="inlineStr">
        <is>
          <t>ARM-2514</t>
        </is>
      </c>
      <c r="D163" s="8" t="inlineStr">
        <is>
          <t>Columbia Equipment Rental &amp; Services - Bend Inc.</t>
        </is>
      </c>
      <c r="E163" s="22" t="n">
        <v>46195</v>
      </c>
      <c r="F163" s="9" t="n">
        <v>4035.32</v>
      </c>
      <c r="G163" s="22" t="inlineStr">
        <is>
          <t>No</t>
        </is>
      </c>
      <c r="H163" s="23" t="n">
        <v>46195</v>
      </c>
      <c r="I163" s="24" t="inlineStr">
        <is>
          <t>Medium</t>
        </is>
      </c>
      <c r="J163" s="24" t="inlineStr">
        <is>
          <t>Pay to terms unless Controller releases otherwise</t>
        </is>
      </c>
      <c r="K163" s="8">
        <f>IFERROR(MATCH(H163,'13W Cash Forecast'!$B$4:$N$4,1),1)</f>
        <v/>
      </c>
    </row>
    <row r="164">
      <c r="A164" s="8" t="inlineStr">
        <is>
          <t>AP</t>
        </is>
      </c>
      <c r="B164" s="8" t="inlineStr">
        <is>
          <t>AP-0005739</t>
        </is>
      </c>
      <c r="C164" s="8" t="inlineStr">
        <is>
          <t>ARM-2608</t>
        </is>
      </c>
      <c r="D164" s="8" t="inlineStr">
        <is>
          <t>Trane U.S. Inc. - Pacific Northwest</t>
        </is>
      </c>
      <c r="E164" s="22" t="n">
        <v>46195</v>
      </c>
      <c r="F164" s="9" t="n">
        <v>4693.7</v>
      </c>
      <c r="G164" s="22" t="inlineStr">
        <is>
          <t>No</t>
        </is>
      </c>
      <c r="H164" s="23" t="n">
        <v>46195</v>
      </c>
      <c r="I164" s="24" t="inlineStr">
        <is>
          <t>Medium</t>
        </is>
      </c>
      <c r="J164" s="24" t="inlineStr">
        <is>
          <t>Pay to terms unless Controller releases otherwise</t>
        </is>
      </c>
      <c r="K164" s="8">
        <f>IFERROR(MATCH(H164,'13W Cash Forecast'!$B$4:$N$4,1),1)</f>
        <v/>
      </c>
    </row>
    <row r="165">
      <c r="A165" s="8" t="inlineStr">
        <is>
          <t>AP</t>
        </is>
      </c>
      <c r="B165" s="8" t="inlineStr">
        <is>
          <t>AP-0009872</t>
        </is>
      </c>
      <c r="C165" s="8" t="inlineStr">
        <is>
          <t>G&amp;A</t>
        </is>
      </c>
      <c r="D165" s="8" t="inlineStr">
        <is>
          <t>Interstate Equipment Rental &amp; Services - Salem Services, LLC</t>
        </is>
      </c>
      <c r="E165" s="22" t="n">
        <v>46195</v>
      </c>
      <c r="F165" s="9" t="n">
        <v>1978.76</v>
      </c>
      <c r="G165" s="22" t="inlineStr">
        <is>
          <t>No</t>
        </is>
      </c>
      <c r="H165" s="23" t="n">
        <v>46195</v>
      </c>
      <c r="I165" s="24" t="inlineStr">
        <is>
          <t>Medium</t>
        </is>
      </c>
      <c r="J165" s="24" t="inlineStr">
        <is>
          <t>Pay to terms unless Controller releases otherwise</t>
        </is>
      </c>
      <c r="K165" s="8">
        <f>IFERROR(MATCH(H165,'13W Cash Forecast'!$B$4:$N$4,1),1)</f>
        <v/>
      </c>
    </row>
    <row r="166">
      <c r="A166" s="8" t="inlineStr">
        <is>
          <t>AP</t>
        </is>
      </c>
      <c r="B166" s="8" t="inlineStr">
        <is>
          <t>AP-0009893</t>
        </is>
      </c>
      <c r="C166" s="8" t="inlineStr">
        <is>
          <t>G&amp;A</t>
        </is>
      </c>
      <c r="D166" s="8" t="inlineStr">
        <is>
          <t>Interstate Equipment Rental &amp; Services - Salem Services, LLC</t>
        </is>
      </c>
      <c r="E166" s="22" t="n">
        <v>46195</v>
      </c>
      <c r="F166" s="9" t="n">
        <v>1673.1</v>
      </c>
      <c r="G166" s="22" t="inlineStr">
        <is>
          <t>No</t>
        </is>
      </c>
      <c r="H166" s="23" t="n">
        <v>46195</v>
      </c>
      <c r="I166" s="24" t="inlineStr">
        <is>
          <t>Medium</t>
        </is>
      </c>
      <c r="J166" s="24" t="inlineStr">
        <is>
          <t>Pay to terms unless Controller releases otherwise</t>
        </is>
      </c>
      <c r="K166" s="8">
        <f>IFERROR(MATCH(H166,'13W Cash Forecast'!$B$4:$N$4,1),1)</f>
        <v/>
      </c>
    </row>
    <row r="167">
      <c r="A167" s="8" t="inlineStr">
        <is>
          <t>AP</t>
        </is>
      </c>
      <c r="B167" s="8" t="inlineStr">
        <is>
          <t>AP-0011880</t>
        </is>
      </c>
      <c r="C167" s="8" t="inlineStr">
        <is>
          <t>G&amp;A</t>
        </is>
      </c>
      <c r="D167" s="8" t="inlineStr">
        <is>
          <t>West Coast Construction Advisory - Eugene Company</t>
        </is>
      </c>
      <c r="E167" s="22" t="n">
        <v>46195</v>
      </c>
      <c r="F167" s="9" t="n">
        <v>9833.379999999999</v>
      </c>
      <c r="G167" s="22" t="inlineStr">
        <is>
          <t>No</t>
        </is>
      </c>
      <c r="H167" s="23" t="n">
        <v>46195</v>
      </c>
      <c r="I167" s="24" t="inlineStr">
        <is>
          <t>Medium</t>
        </is>
      </c>
      <c r="J167" s="24" t="inlineStr">
        <is>
          <t>Pay to terms unless Controller releases otherwise</t>
        </is>
      </c>
      <c r="K167" s="8">
        <f>IFERROR(MATCH(H167,'13W Cash Forecast'!$B$4:$N$4,1),1)</f>
        <v/>
      </c>
    </row>
    <row r="168">
      <c r="A168" s="8" t="inlineStr">
        <is>
          <t>AP</t>
        </is>
      </c>
      <c r="B168" s="8" t="inlineStr">
        <is>
          <t>AP-0004095</t>
        </is>
      </c>
      <c r="C168" s="8" t="inlineStr">
        <is>
          <t>ARM-2403</t>
        </is>
      </c>
      <c r="D168" s="8" t="inlineStr">
        <is>
          <t>Summit Electrical Contracting - Bend Group</t>
        </is>
      </c>
      <c r="E168" s="22" t="n">
        <v>46196</v>
      </c>
      <c r="F168" s="9" t="n">
        <v>5958.67</v>
      </c>
      <c r="G168" s="22" t="inlineStr">
        <is>
          <t>No</t>
        </is>
      </c>
      <c r="H168" s="23" t="n">
        <v>46196</v>
      </c>
      <c r="I168" s="24" t="inlineStr">
        <is>
          <t>Medium</t>
        </is>
      </c>
      <c r="J168" s="24" t="inlineStr">
        <is>
          <t>Pay to terms unless Controller releases otherwise</t>
        </is>
      </c>
      <c r="K168" s="8">
        <f>IFERROR(MATCH(H168,'13W Cash Forecast'!$B$4:$N$4,1),1)</f>
        <v/>
      </c>
    </row>
    <row r="169">
      <c r="A169" s="8" t="inlineStr">
        <is>
          <t>AP</t>
        </is>
      </c>
      <c r="B169" s="8" t="inlineStr">
        <is>
          <t>AP-0004281</t>
        </is>
      </c>
      <c r="C169" s="8" t="inlineStr">
        <is>
          <t>ARM-2409</t>
        </is>
      </c>
      <c r="D169" s="8" t="inlineStr">
        <is>
          <t>Evergreen Mechanical Insulation - Vancouver Company</t>
        </is>
      </c>
      <c r="E169" s="22" t="n">
        <v>46196</v>
      </c>
      <c r="F169" s="9" t="n">
        <v>7280.33</v>
      </c>
      <c r="G169" s="22" t="inlineStr">
        <is>
          <t>No</t>
        </is>
      </c>
      <c r="H169" s="23" t="n">
        <v>46196</v>
      </c>
      <c r="I169" s="24" t="inlineStr">
        <is>
          <t>Medium</t>
        </is>
      </c>
      <c r="J169" s="24" t="inlineStr">
        <is>
          <t>Pay to terms unless Controller releases otherwise</t>
        </is>
      </c>
      <c r="K169" s="8">
        <f>IFERROR(MATCH(H169,'13W Cash Forecast'!$B$4:$N$4,1),1)</f>
        <v/>
      </c>
    </row>
    <row r="170">
      <c r="A170" s="8" t="inlineStr">
        <is>
          <t>AP</t>
        </is>
      </c>
      <c r="B170" s="8" t="inlineStr">
        <is>
          <t>AP-0004687</t>
        </is>
      </c>
      <c r="C170" s="8" t="inlineStr">
        <is>
          <t>ARM-2417</t>
        </is>
      </c>
      <c r="D170" s="8" t="inlineStr">
        <is>
          <t>Metro Pipe, Valve &amp; Fitting Supply - Portland Group</t>
        </is>
      </c>
      <c r="E170" s="22" t="n">
        <v>46196</v>
      </c>
      <c r="F170" s="9" t="n">
        <v>7321.58</v>
      </c>
      <c r="G170" s="22" t="inlineStr">
        <is>
          <t>No</t>
        </is>
      </c>
      <c r="H170" s="23" t="n">
        <v>46196</v>
      </c>
      <c r="I170" s="24" t="inlineStr">
        <is>
          <t>Medium</t>
        </is>
      </c>
      <c r="J170" s="24" t="inlineStr">
        <is>
          <t>Pay to terms unless Controller releases otherwise</t>
        </is>
      </c>
      <c r="K170" s="8">
        <f>IFERROR(MATCH(H170,'13W Cash Forecast'!$B$4:$N$4,1),1)</f>
        <v/>
      </c>
    </row>
    <row r="171">
      <c r="A171" s="8" t="inlineStr">
        <is>
          <t>AP</t>
        </is>
      </c>
      <c r="B171" s="8" t="inlineStr">
        <is>
          <t>AP-0005073</t>
        </is>
      </c>
      <c r="C171" s="8" t="inlineStr">
        <is>
          <t>ARM-2506</t>
        </is>
      </c>
      <c r="D171" s="8" t="inlineStr">
        <is>
          <t>High Desert Sheet Metal Fabrication - Bend Services, LLC</t>
        </is>
      </c>
      <c r="E171" s="22" t="n">
        <v>46196</v>
      </c>
      <c r="F171" s="9" t="n">
        <v>5563.2</v>
      </c>
      <c r="G171" s="22" t="inlineStr">
        <is>
          <t>No</t>
        </is>
      </c>
      <c r="H171" s="23" t="n">
        <v>46196</v>
      </c>
      <c r="I171" s="24" t="inlineStr">
        <is>
          <t>Medium</t>
        </is>
      </c>
      <c r="J171" s="24" t="inlineStr">
        <is>
          <t>Pay to terms unless Controller releases otherwise</t>
        </is>
      </c>
      <c r="K171" s="8">
        <f>IFERROR(MATCH(H171,'13W Cash Forecast'!$B$4:$N$4,1),1)</f>
        <v/>
      </c>
    </row>
    <row r="172">
      <c r="A172" s="8" t="inlineStr">
        <is>
          <t>AP</t>
        </is>
      </c>
      <c r="B172" s="8" t="inlineStr">
        <is>
          <t>AP-0005083</t>
        </is>
      </c>
      <c r="C172" s="8" t="inlineStr">
        <is>
          <t>ARM-2506</t>
        </is>
      </c>
      <c r="D172" s="8" t="inlineStr">
        <is>
          <t>Blue Mountain Equipment Rental &amp; Services - Eugene Company</t>
        </is>
      </c>
      <c r="E172" s="22" t="n">
        <v>46196</v>
      </c>
      <c r="F172" s="9" t="n">
        <v>11334.57</v>
      </c>
      <c r="G172" s="22" t="inlineStr">
        <is>
          <t>No</t>
        </is>
      </c>
      <c r="H172" s="23" t="n">
        <v>46196</v>
      </c>
      <c r="I172" s="24" t="inlineStr">
        <is>
          <t>Medium</t>
        </is>
      </c>
      <c r="J172" s="24" t="inlineStr">
        <is>
          <t>Pay to terms unless Controller releases otherwise</t>
        </is>
      </c>
      <c r="K172" s="8">
        <f>IFERROR(MATCH(H172,'13W Cash Forecast'!$B$4:$N$4,1),1)</f>
        <v/>
      </c>
    </row>
    <row r="173">
      <c r="A173" s="8" t="inlineStr">
        <is>
          <t>AP</t>
        </is>
      </c>
      <c r="B173" s="8" t="inlineStr">
        <is>
          <t>AP-0005086</t>
        </is>
      </c>
      <c r="C173" s="8" t="inlineStr">
        <is>
          <t>ARM-2506</t>
        </is>
      </c>
      <c r="D173" s="8" t="inlineStr">
        <is>
          <t>Rose City Testing and Balancing - Beaverton Services, LLC</t>
        </is>
      </c>
      <c r="E173" s="22" t="n">
        <v>46196</v>
      </c>
      <c r="F173" s="9" t="n">
        <v>3838.71</v>
      </c>
      <c r="G173" s="22" t="inlineStr">
        <is>
          <t>No</t>
        </is>
      </c>
      <c r="H173" s="23" t="n">
        <v>46196</v>
      </c>
      <c r="I173" s="24" t="inlineStr">
        <is>
          <t>Medium</t>
        </is>
      </c>
      <c r="J173" s="24" t="inlineStr">
        <is>
          <t>Pay to terms unless Controller releases otherwise</t>
        </is>
      </c>
      <c r="K173" s="8">
        <f>IFERROR(MATCH(H173,'13W Cash Forecast'!$B$4:$N$4,1),1)</f>
        <v/>
      </c>
    </row>
    <row r="174">
      <c r="A174" s="8" t="inlineStr">
        <is>
          <t>AP</t>
        </is>
      </c>
      <c r="B174" s="8" t="inlineStr">
        <is>
          <t>AP-0005447</t>
        </is>
      </c>
      <c r="C174" s="8" t="inlineStr">
        <is>
          <t>ARM-2514</t>
        </is>
      </c>
      <c r="D174" s="8" t="inlineStr">
        <is>
          <t>Rogue Valley Pipe, Valve &amp; Fitting Supply - Gresham LLC</t>
        </is>
      </c>
      <c r="E174" s="22" t="n">
        <v>46196</v>
      </c>
      <c r="F174" s="9" t="n">
        <v>5069.74</v>
      </c>
      <c r="G174" s="22" t="inlineStr">
        <is>
          <t>No</t>
        </is>
      </c>
      <c r="H174" s="23" t="n">
        <v>46196</v>
      </c>
      <c r="I174" s="24" t="inlineStr">
        <is>
          <t>Medium</t>
        </is>
      </c>
      <c r="J174" s="24" t="inlineStr">
        <is>
          <t>Pay to terms unless Controller releases otherwise</t>
        </is>
      </c>
      <c r="K174" s="8">
        <f>IFERROR(MATCH(H174,'13W Cash Forecast'!$B$4:$N$4,1),1)</f>
        <v/>
      </c>
    </row>
    <row r="175">
      <c r="A175" s="8" t="inlineStr">
        <is>
          <t>AP</t>
        </is>
      </c>
      <c r="B175" s="8" t="inlineStr">
        <is>
          <t>AP-0005628</t>
        </is>
      </c>
      <c r="C175" s="8" t="inlineStr">
        <is>
          <t>ARM-2526</t>
        </is>
      </c>
      <c r="D175" s="8" t="inlineStr">
        <is>
          <t>Omega Morgan Rigging - Portland</t>
        </is>
      </c>
      <c r="E175" s="22" t="n">
        <v>46196</v>
      </c>
      <c r="F175" s="9" t="n">
        <v>8632.77</v>
      </c>
      <c r="G175" s="22" t="inlineStr">
        <is>
          <t>No</t>
        </is>
      </c>
      <c r="H175" s="23" t="n">
        <v>46196</v>
      </c>
      <c r="I175" s="24" t="inlineStr">
        <is>
          <t>Medium</t>
        </is>
      </c>
      <c r="J175" s="24" t="inlineStr">
        <is>
          <t>Pay to terms unless Controller releases otherwise</t>
        </is>
      </c>
      <c r="K175" s="8">
        <f>IFERROR(MATCH(H175,'13W Cash Forecast'!$B$4:$N$4,1),1)</f>
        <v/>
      </c>
    </row>
    <row r="176">
      <c r="A176" s="8" t="inlineStr">
        <is>
          <t>AP</t>
        </is>
      </c>
      <c r="B176" s="8" t="inlineStr">
        <is>
          <t>AP-0005633</t>
        </is>
      </c>
      <c r="C176" s="8" t="inlineStr">
        <is>
          <t>ARM-2526</t>
        </is>
      </c>
      <c r="D176" s="8" t="inlineStr">
        <is>
          <t>Blue Mountain Mechanical Insulation - Salem Company</t>
        </is>
      </c>
      <c r="E176" s="22" t="n">
        <v>46196</v>
      </c>
      <c r="F176" s="9" t="n">
        <v>7379.84</v>
      </c>
      <c r="G176" s="22" t="inlineStr">
        <is>
          <t>No</t>
        </is>
      </c>
      <c r="H176" s="23" t="n">
        <v>46196</v>
      </c>
      <c r="I176" s="24" t="inlineStr">
        <is>
          <t>Medium</t>
        </is>
      </c>
      <c r="J176" s="24" t="inlineStr">
        <is>
          <t>Pay to terms unless Controller releases otherwise</t>
        </is>
      </c>
      <c r="K176" s="8">
        <f>IFERROR(MATCH(H176,'13W Cash Forecast'!$B$4:$N$4,1),1)</f>
        <v/>
      </c>
    </row>
    <row r="177">
      <c r="A177" s="8" t="inlineStr">
        <is>
          <t>AP</t>
        </is>
      </c>
      <c r="B177" s="8" t="inlineStr">
        <is>
          <t>AP-0005635</t>
        </is>
      </c>
      <c r="C177" s="8" t="inlineStr">
        <is>
          <t>ARM-2526</t>
        </is>
      </c>
      <c r="D177" s="8" t="inlineStr">
        <is>
          <t>Tualatin Equipment Rental &amp; Services - Beaverton Inc.</t>
        </is>
      </c>
      <c r="E177" s="22" t="n">
        <v>46196</v>
      </c>
      <c r="F177" s="9" t="n">
        <v>3035.15</v>
      </c>
      <c r="G177" s="22" t="inlineStr">
        <is>
          <t>No</t>
        </is>
      </c>
      <c r="H177" s="23" t="n">
        <v>46196</v>
      </c>
      <c r="I177" s="24" t="inlineStr">
        <is>
          <t>Medium</t>
        </is>
      </c>
      <c r="J177" s="24" t="inlineStr">
        <is>
          <t>Pay to terms unless Controller releases otherwise</t>
        </is>
      </c>
      <c r="K177" s="8">
        <f>IFERROR(MATCH(H177,'13W Cash Forecast'!$B$4:$N$4,1),1)</f>
        <v/>
      </c>
    </row>
    <row r="178">
      <c r="A178" s="8" t="inlineStr">
        <is>
          <t>AP</t>
        </is>
      </c>
      <c r="B178" s="8" t="inlineStr">
        <is>
          <t>AP-0005691</t>
        </is>
      </c>
      <c r="C178" s="8" t="inlineStr">
        <is>
          <t>ARM-2602</t>
        </is>
      </c>
      <c r="D178" s="8" t="inlineStr">
        <is>
          <t>Cascade Sheet Metal Fabrication - Salem LLC</t>
        </is>
      </c>
      <c r="E178" s="22" t="n">
        <v>46196</v>
      </c>
      <c r="F178" s="9" t="n">
        <v>1920.41</v>
      </c>
      <c r="G178" s="22" t="inlineStr">
        <is>
          <t>No</t>
        </is>
      </c>
      <c r="H178" s="23" t="n">
        <v>46196</v>
      </c>
      <c r="I178" s="24" t="inlineStr">
        <is>
          <t>Medium</t>
        </is>
      </c>
      <c r="J178" s="24" t="inlineStr">
        <is>
          <t>Pay to terms unless Controller releases otherwise</t>
        </is>
      </c>
      <c r="K178" s="8">
        <f>IFERROR(MATCH(H178,'13W Cash Forecast'!$B$4:$N$4,1),1)</f>
        <v/>
      </c>
    </row>
    <row r="179">
      <c r="A179" s="8" t="inlineStr">
        <is>
          <t>AP</t>
        </is>
      </c>
      <c r="B179" s="8" t="inlineStr">
        <is>
          <t>AP-0005737</t>
        </is>
      </c>
      <c r="C179" s="8" t="inlineStr">
        <is>
          <t>ARM-2608</t>
        </is>
      </c>
      <c r="D179" s="8" t="inlineStr">
        <is>
          <t>Summit Pipe, Valve &amp; Fitting Supply - Bend Group</t>
        </is>
      </c>
      <c r="E179" s="22" t="n">
        <v>46196</v>
      </c>
      <c r="F179" s="9" t="n">
        <v>6216.08</v>
      </c>
      <c r="G179" s="22" t="inlineStr">
        <is>
          <t>No</t>
        </is>
      </c>
      <c r="H179" s="23" t="n">
        <v>46196</v>
      </c>
      <c r="I179" s="24" t="inlineStr">
        <is>
          <t>Medium</t>
        </is>
      </c>
      <c r="J179" s="24" t="inlineStr">
        <is>
          <t>Pay to terms unless Controller releases otherwise</t>
        </is>
      </c>
      <c r="K179" s="8">
        <f>IFERROR(MATCH(H179,'13W Cash Forecast'!$B$4:$N$4,1),1)</f>
        <v/>
      </c>
    </row>
    <row r="180">
      <c r="A180" s="8" t="inlineStr">
        <is>
          <t>AP</t>
        </is>
      </c>
      <c r="B180" s="8" t="inlineStr">
        <is>
          <t>AP-0009921</t>
        </is>
      </c>
      <c r="C180" s="8" t="inlineStr">
        <is>
          <t>G&amp;A</t>
        </is>
      </c>
      <c r="D180" s="8" t="inlineStr">
        <is>
          <t>Tri-County Safety and Industrial Supply - Eugene LLC</t>
        </is>
      </c>
      <c r="E180" s="22" t="n">
        <v>46196</v>
      </c>
      <c r="F180" s="9" t="n">
        <v>2742.08</v>
      </c>
      <c r="G180" s="22" t="inlineStr">
        <is>
          <t>No</t>
        </is>
      </c>
      <c r="H180" s="23" t="n">
        <v>46196</v>
      </c>
      <c r="I180" s="24" t="inlineStr">
        <is>
          <t>Medium</t>
        </is>
      </c>
      <c r="J180" s="24" t="inlineStr">
        <is>
          <t>Pay to terms unless Controller releases otherwise</t>
        </is>
      </c>
      <c r="K180" s="8">
        <f>IFERROR(MATCH(H180,'13W Cash Forecast'!$B$4:$N$4,1),1)</f>
        <v/>
      </c>
    </row>
    <row r="181">
      <c r="A181" s="8" t="inlineStr">
        <is>
          <t>AP</t>
        </is>
      </c>
      <c r="B181" s="8" t="inlineStr">
        <is>
          <t>AP-0009942</t>
        </is>
      </c>
      <c r="C181" s="8" t="inlineStr">
        <is>
          <t>G&amp;A</t>
        </is>
      </c>
      <c r="D181" s="8" t="inlineStr">
        <is>
          <t>Tri-County Safety and Industrial Supply - Eugene LLC</t>
        </is>
      </c>
      <c r="E181" s="22" t="n">
        <v>46196</v>
      </c>
      <c r="F181" s="9" t="n">
        <v>1534.59</v>
      </c>
      <c r="G181" s="22" t="inlineStr">
        <is>
          <t>No</t>
        </is>
      </c>
      <c r="H181" s="23" t="n">
        <v>46196</v>
      </c>
      <c r="I181" s="24" t="inlineStr">
        <is>
          <t>Medium</t>
        </is>
      </c>
      <c r="J181" s="24" t="inlineStr">
        <is>
          <t>Pay to terms unless Controller releases otherwise</t>
        </is>
      </c>
      <c r="K181" s="8">
        <f>IFERROR(MATCH(H181,'13W Cash Forecast'!$B$4:$N$4,1),1)</f>
        <v/>
      </c>
    </row>
    <row r="182">
      <c r="A182" s="8" t="inlineStr">
        <is>
          <t>AP</t>
        </is>
      </c>
      <c r="B182" s="8" t="inlineStr">
        <is>
          <t>AP-0011867</t>
        </is>
      </c>
      <c r="C182" s="8" t="inlineStr">
        <is>
          <t>G&amp;A</t>
        </is>
      </c>
      <c r="D182" s="8" t="inlineStr">
        <is>
          <t>Rainier Building Services - Salem Company</t>
        </is>
      </c>
      <c r="E182" s="22" t="n">
        <v>46196</v>
      </c>
      <c r="F182" s="9" t="n">
        <v>9405.620000000001</v>
      </c>
      <c r="G182" s="22" t="inlineStr">
        <is>
          <t>No</t>
        </is>
      </c>
      <c r="H182" s="23" t="n">
        <v>46196</v>
      </c>
      <c r="I182" s="24" t="inlineStr">
        <is>
          <t>Medium</t>
        </is>
      </c>
      <c r="J182" s="24" t="inlineStr">
        <is>
          <t>Pay to terms unless Controller releases otherwise</t>
        </is>
      </c>
      <c r="K182" s="8">
        <f>IFERROR(MATCH(H182,'13W Cash Forecast'!$B$4:$N$4,1),1)</f>
        <v/>
      </c>
    </row>
    <row r="183">
      <c r="A183" s="8" t="inlineStr">
        <is>
          <t>AP</t>
        </is>
      </c>
      <c r="B183" s="8" t="inlineStr">
        <is>
          <t>AP-0005080</t>
        </is>
      </c>
      <c r="C183" s="8" t="inlineStr">
        <is>
          <t>ARM-2506</t>
        </is>
      </c>
      <c r="D183" s="8" t="inlineStr">
        <is>
          <t>Rose City Mechanical Insulation - Bend Services, LLC</t>
        </is>
      </c>
      <c r="E183" s="22" t="n">
        <v>46197</v>
      </c>
      <c r="F183" s="9" t="n">
        <v>7967.27</v>
      </c>
      <c r="G183" s="22" t="inlineStr">
        <is>
          <t>No</t>
        </is>
      </c>
      <c r="H183" s="23" t="n">
        <v>46197</v>
      </c>
      <c r="I183" s="24" t="inlineStr">
        <is>
          <t>Medium</t>
        </is>
      </c>
      <c r="J183" s="24" t="inlineStr">
        <is>
          <t>Pay to terms unless Controller releases otherwise</t>
        </is>
      </c>
      <c r="K183" s="8">
        <f>IFERROR(MATCH(H183,'13W Cash Forecast'!$B$4:$N$4,1),1)</f>
        <v/>
      </c>
    </row>
    <row r="184">
      <c r="A184" s="8" t="inlineStr">
        <is>
          <t>AP</t>
        </is>
      </c>
      <c r="B184" s="8" t="inlineStr">
        <is>
          <t>AP-0005231</t>
        </is>
      </c>
      <c r="C184" s="8" t="inlineStr">
        <is>
          <t>ARM-2510</t>
        </is>
      </c>
      <c r="D184" s="8" t="inlineStr">
        <is>
          <t>Columbia Mechanical Insulation - Bend Inc.</t>
        </is>
      </c>
      <c r="E184" s="22" t="n">
        <v>46197</v>
      </c>
      <c r="F184" s="9" t="n">
        <v>7901.81</v>
      </c>
      <c r="G184" s="22" t="inlineStr">
        <is>
          <t>No</t>
        </is>
      </c>
      <c r="H184" s="23" t="n">
        <v>46197</v>
      </c>
      <c r="I184" s="24" t="inlineStr">
        <is>
          <t>Medium</t>
        </is>
      </c>
      <c r="J184" s="24" t="inlineStr">
        <is>
          <t>Pay to terms unless Controller releases otherwise</t>
        </is>
      </c>
      <c r="K184" s="8">
        <f>IFERROR(MATCH(H184,'13W Cash Forecast'!$B$4:$N$4,1),1)</f>
        <v/>
      </c>
    </row>
    <row r="185">
      <c r="A185" s="8" t="inlineStr">
        <is>
          <t>AP</t>
        </is>
      </c>
      <c r="B185" s="8" t="inlineStr">
        <is>
          <t>AP-0005712</t>
        </is>
      </c>
      <c r="C185" s="8" t="inlineStr">
        <is>
          <t>ARM-2605</t>
        </is>
      </c>
      <c r="D185" s="8" t="inlineStr">
        <is>
          <t>United Rentals (North America), Inc.</t>
        </is>
      </c>
      <c r="E185" s="22" t="n">
        <v>46197</v>
      </c>
      <c r="F185" s="9" t="n">
        <v>10255.21</v>
      </c>
      <c r="G185" s="22" t="inlineStr">
        <is>
          <t>No</t>
        </is>
      </c>
      <c r="H185" s="23" t="n">
        <v>46197</v>
      </c>
      <c r="I185" s="24" t="inlineStr">
        <is>
          <t>Medium</t>
        </is>
      </c>
      <c r="J185" s="24" t="inlineStr">
        <is>
          <t>Pay to terms unless Controller releases otherwise</t>
        </is>
      </c>
      <c r="K185" s="8">
        <f>IFERROR(MATCH(H185,'13W Cash Forecast'!$B$4:$N$4,1),1)</f>
        <v/>
      </c>
    </row>
    <row r="186">
      <c r="A186" s="8" t="inlineStr">
        <is>
          <t>AP</t>
        </is>
      </c>
      <c r="B186" s="8" t="inlineStr">
        <is>
          <t>AP-0009878</t>
        </is>
      </c>
      <c r="C186" s="8" t="inlineStr">
        <is>
          <t>G&amp;A</t>
        </is>
      </c>
      <c r="D186" s="8" t="inlineStr">
        <is>
          <t>Rainier Pipe, Valve &amp; Fitting Supply - Salem Company</t>
        </is>
      </c>
      <c r="E186" s="22" t="n">
        <v>46197</v>
      </c>
      <c r="F186" s="9" t="n">
        <v>1964.61</v>
      </c>
      <c r="G186" s="22" t="inlineStr">
        <is>
          <t>No</t>
        </is>
      </c>
      <c r="H186" s="23" t="n">
        <v>46197</v>
      </c>
      <c r="I186" s="24" t="inlineStr">
        <is>
          <t>Medium</t>
        </is>
      </c>
      <c r="J186" s="24" t="inlineStr">
        <is>
          <t>Pay to terms unless Controller releases otherwise</t>
        </is>
      </c>
      <c r="K186" s="8">
        <f>IFERROR(MATCH(H186,'13W Cash Forecast'!$B$4:$N$4,1),1)</f>
        <v/>
      </c>
    </row>
    <row r="187">
      <c r="A187" s="8" t="inlineStr">
        <is>
          <t>AP</t>
        </is>
      </c>
      <c r="B187" s="8" t="inlineStr">
        <is>
          <t>AP-0009899</t>
        </is>
      </c>
      <c r="C187" s="8" t="inlineStr">
        <is>
          <t>G&amp;A</t>
        </is>
      </c>
      <c r="D187" s="8" t="inlineStr">
        <is>
          <t>Rainier Pipe, Valve &amp; Fitting Supply - Salem Company</t>
        </is>
      </c>
      <c r="E187" s="22" t="n">
        <v>46197</v>
      </c>
      <c r="F187" s="9" t="n">
        <v>1135.97</v>
      </c>
      <c r="G187" s="22" t="inlineStr">
        <is>
          <t>No</t>
        </is>
      </c>
      <c r="H187" s="23" t="n">
        <v>46197</v>
      </c>
      <c r="I187" s="24" t="inlineStr">
        <is>
          <t>Medium</t>
        </is>
      </c>
      <c r="J187" s="24" t="inlineStr">
        <is>
          <t>Pay to terms unless Controller releases otherwise</t>
        </is>
      </c>
      <c r="K187" s="8">
        <f>IFERROR(MATCH(H187,'13W Cash Forecast'!$B$4:$N$4,1),1)</f>
        <v/>
      </c>
    </row>
    <row r="188">
      <c r="A188" s="8" t="inlineStr">
        <is>
          <t>AP</t>
        </is>
      </c>
      <c r="B188" s="8" t="inlineStr">
        <is>
          <t>AP-0011900</t>
        </is>
      </c>
      <c r="C188" s="8" t="inlineStr">
        <is>
          <t>G&amp;A</t>
        </is>
      </c>
      <c r="D188" s="8" t="inlineStr">
        <is>
          <t>Rogue Valley Construction Advisory - Portland LLC</t>
        </is>
      </c>
      <c r="E188" s="22" t="n">
        <v>46197</v>
      </c>
      <c r="F188" s="9" t="n">
        <v>6373.65</v>
      </c>
      <c r="G188" s="22" t="inlineStr">
        <is>
          <t>No</t>
        </is>
      </c>
      <c r="H188" s="23" t="n">
        <v>46197</v>
      </c>
      <c r="I188" s="24" t="inlineStr">
        <is>
          <t>Medium</t>
        </is>
      </c>
      <c r="J188" s="24" t="inlineStr">
        <is>
          <t>Pay to terms unless Controller releases otherwise</t>
        </is>
      </c>
      <c r="K188" s="8">
        <f>IFERROR(MATCH(H188,'13W Cash Forecast'!$B$4:$N$4,1),1)</f>
        <v/>
      </c>
    </row>
    <row r="189">
      <c r="A189" s="8" t="inlineStr">
        <is>
          <t>AP</t>
        </is>
      </c>
      <c r="B189" s="8" t="inlineStr">
        <is>
          <t>AP-0004289</t>
        </is>
      </c>
      <c r="C189" s="8" t="inlineStr">
        <is>
          <t>ARM-2409</t>
        </is>
      </c>
      <c r="D189" s="8" t="inlineStr">
        <is>
          <t>Pacific Sheet Metal Fabrication - Beaverton LLC</t>
        </is>
      </c>
      <c r="E189" s="22" t="n">
        <v>46198</v>
      </c>
      <c r="F189" s="9" t="n">
        <v>3827.39</v>
      </c>
      <c r="G189" s="22" t="inlineStr">
        <is>
          <t>No</t>
        </is>
      </c>
      <c r="H189" s="23" t="n">
        <v>46198</v>
      </c>
      <c r="I189" s="24" t="inlineStr">
        <is>
          <t>Medium</t>
        </is>
      </c>
      <c r="J189" s="24" t="inlineStr">
        <is>
          <t>Pay to terms unless Controller releases otherwise</t>
        </is>
      </c>
      <c r="K189" s="8">
        <f>IFERROR(MATCH(H189,'13W Cash Forecast'!$B$4:$N$4,1),1)</f>
        <v/>
      </c>
    </row>
    <row r="190">
      <c r="A190" s="8" t="inlineStr">
        <is>
          <t>AP</t>
        </is>
      </c>
      <c r="B190" s="8" t="inlineStr">
        <is>
          <t>AP-0004895</t>
        </is>
      </c>
      <c r="C190" s="8" t="inlineStr">
        <is>
          <t>ARM-2501</t>
        </is>
      </c>
      <c r="D190" s="8" t="inlineStr">
        <is>
          <t>Pacific Testing and Balancing - Gresham LLC</t>
        </is>
      </c>
      <c r="E190" s="22" t="n">
        <v>46198</v>
      </c>
      <c r="F190" s="9" t="n">
        <v>3800.68</v>
      </c>
      <c r="G190" s="22" t="inlineStr">
        <is>
          <t>No</t>
        </is>
      </c>
      <c r="H190" s="23" t="n">
        <v>46198</v>
      </c>
      <c r="I190" s="24" t="inlineStr">
        <is>
          <t>Medium</t>
        </is>
      </c>
      <c r="J190" s="24" t="inlineStr">
        <is>
          <t>Pay to terms unless Controller releases otherwise</t>
        </is>
      </c>
      <c r="K190" s="8">
        <f>IFERROR(MATCH(H190,'13W Cash Forecast'!$B$4:$N$4,1),1)</f>
        <v/>
      </c>
    </row>
    <row r="191">
      <c r="A191" s="8" t="inlineStr">
        <is>
          <t>AP</t>
        </is>
      </c>
      <c r="B191" s="8" t="inlineStr">
        <is>
          <t>AP-0009881</t>
        </is>
      </c>
      <c r="C191" s="8" t="inlineStr">
        <is>
          <t>G&amp;A</t>
        </is>
      </c>
      <c r="D191" s="8" t="inlineStr">
        <is>
          <t>Rose City Business Systems - Salem Services, LLC</t>
        </is>
      </c>
      <c r="E191" s="22" t="n">
        <v>46198</v>
      </c>
      <c r="F191" s="9" t="n">
        <v>2894.27</v>
      </c>
      <c r="G191" s="22" t="inlineStr">
        <is>
          <t>No</t>
        </is>
      </c>
      <c r="H191" s="23" t="n">
        <v>46198</v>
      </c>
      <c r="I191" s="24" t="inlineStr">
        <is>
          <t>Medium</t>
        </is>
      </c>
      <c r="J191" s="24" t="inlineStr">
        <is>
          <t>Pay to terms unless Controller releases otherwise</t>
        </is>
      </c>
      <c r="K191" s="8">
        <f>IFERROR(MATCH(H191,'13W Cash Forecast'!$B$4:$N$4,1),1)</f>
        <v/>
      </c>
    </row>
    <row r="192">
      <c r="A192" s="8" t="inlineStr">
        <is>
          <t>AP</t>
        </is>
      </c>
      <c r="B192" s="8" t="inlineStr">
        <is>
          <t>AP-0009902</t>
        </is>
      </c>
      <c r="C192" s="8" t="inlineStr">
        <is>
          <t>G&amp;A</t>
        </is>
      </c>
      <c r="D192" s="8" t="inlineStr">
        <is>
          <t>Rose City Business Systems - Salem Services, LLC</t>
        </is>
      </c>
      <c r="E192" s="22" t="n">
        <v>46198</v>
      </c>
      <c r="F192" s="9" t="n">
        <v>1005.1</v>
      </c>
      <c r="G192" s="22" t="inlineStr">
        <is>
          <t>No</t>
        </is>
      </c>
      <c r="H192" s="23" t="n">
        <v>46198</v>
      </c>
      <c r="I192" s="24" t="inlineStr">
        <is>
          <t>Medium</t>
        </is>
      </c>
      <c r="J192" s="24" t="inlineStr">
        <is>
          <t>Pay to terms unless Controller releases otherwise</t>
        </is>
      </c>
      <c r="K192" s="8">
        <f>IFERROR(MATCH(H192,'13W Cash Forecast'!$B$4:$N$4,1),1)</f>
        <v/>
      </c>
    </row>
    <row r="193">
      <c r="A193" s="8" t="inlineStr">
        <is>
          <t>AP</t>
        </is>
      </c>
      <c r="B193" s="8" t="inlineStr">
        <is>
          <t>AP-0011881</t>
        </is>
      </c>
      <c r="C193" s="8" t="inlineStr">
        <is>
          <t>G&amp;A</t>
        </is>
      </c>
      <c r="D193" s="8" t="inlineStr">
        <is>
          <t>Columbia Construction Advisory - Beaverton Inc.</t>
        </is>
      </c>
      <c r="E193" s="22" t="n">
        <v>46198</v>
      </c>
      <c r="F193" s="9" t="n">
        <v>3757.99</v>
      </c>
      <c r="G193" s="22" t="inlineStr">
        <is>
          <t>No</t>
        </is>
      </c>
      <c r="H193" s="23" t="n">
        <v>46198</v>
      </c>
      <c r="I193" s="24" t="inlineStr">
        <is>
          <t>Medium</t>
        </is>
      </c>
      <c r="J193" s="24" t="inlineStr">
        <is>
          <t>Pay to terms unless Controller releases otherwise</t>
        </is>
      </c>
      <c r="K193" s="8">
        <f>IFERROR(MATCH(H193,'13W Cash Forecast'!$B$4:$N$4,1),1)</f>
        <v/>
      </c>
    </row>
    <row r="194">
      <c r="A194" s="8" t="inlineStr">
        <is>
          <t>AP</t>
        </is>
      </c>
      <c r="B194" s="8" t="inlineStr">
        <is>
          <t>AP-0011885</t>
        </is>
      </c>
      <c r="C194" s="8" t="inlineStr">
        <is>
          <t>G&amp;A</t>
        </is>
      </c>
      <c r="D194" s="8" t="inlineStr">
        <is>
          <t>Kittelson Construction Law Group</t>
        </is>
      </c>
      <c r="E194" s="22" t="n">
        <v>46198</v>
      </c>
      <c r="F194" s="9" t="n">
        <v>3382.16</v>
      </c>
      <c r="G194" s="22" t="inlineStr">
        <is>
          <t>No</t>
        </is>
      </c>
      <c r="H194" s="23" t="n">
        <v>46198</v>
      </c>
      <c r="I194" s="24" t="inlineStr">
        <is>
          <t>Medium</t>
        </is>
      </c>
      <c r="J194" s="24" t="inlineStr">
        <is>
          <t>Pay to terms unless Controller releases otherwise</t>
        </is>
      </c>
      <c r="K194" s="8">
        <f>IFERROR(MATCH(H194,'13W Cash Forecast'!$B$4:$N$4,1),1)</f>
        <v/>
      </c>
    </row>
    <row r="195">
      <c r="A195" s="8" t="inlineStr">
        <is>
          <t>AP</t>
        </is>
      </c>
      <c r="B195" s="8" t="inlineStr">
        <is>
          <t>AP-0004092</t>
        </is>
      </c>
      <c r="C195" s="8" t="inlineStr">
        <is>
          <t>ARM-2403</t>
        </is>
      </c>
      <c r="D195" s="8" t="inlineStr">
        <is>
          <t>Bridge City Testing and Balancing - Beaverton Group</t>
        </is>
      </c>
      <c r="E195" s="22" t="n">
        <v>46199</v>
      </c>
      <c r="F195" s="9" t="n">
        <v>4707.72</v>
      </c>
      <c r="G195" s="22" t="inlineStr">
        <is>
          <t>No</t>
        </is>
      </c>
      <c r="H195" s="23" t="n">
        <v>46199</v>
      </c>
      <c r="I195" s="24" t="inlineStr">
        <is>
          <t>Medium</t>
        </is>
      </c>
      <c r="J195" s="24" t="inlineStr">
        <is>
          <t>Pay to terms unless Controller releases otherwise</t>
        </is>
      </c>
      <c r="K195" s="8">
        <f>IFERROR(MATCH(H195,'13W Cash Forecast'!$B$4:$N$4,1),1)</f>
        <v/>
      </c>
    </row>
    <row r="196">
      <c r="A196" s="8" t="inlineStr">
        <is>
          <t>AP</t>
        </is>
      </c>
      <c r="B196" s="8" t="inlineStr">
        <is>
          <t>AP-0005425</t>
        </is>
      </c>
      <c r="C196" s="8" t="inlineStr">
        <is>
          <t>ARM-2514</t>
        </is>
      </c>
      <c r="D196" s="8" t="inlineStr">
        <is>
          <t>Northwest Sheet Metal Fabrication - Beaverton Group</t>
        </is>
      </c>
      <c r="E196" s="22" t="n">
        <v>46199</v>
      </c>
      <c r="F196" s="9" t="n">
        <v>4934.29</v>
      </c>
      <c r="G196" s="22" t="inlineStr">
        <is>
          <t>No</t>
        </is>
      </c>
      <c r="H196" s="23" t="n">
        <v>46199</v>
      </c>
      <c r="I196" s="24" t="inlineStr">
        <is>
          <t>Medium</t>
        </is>
      </c>
      <c r="J196" s="24" t="inlineStr">
        <is>
          <t>Pay to terms unless Controller releases otherwise</t>
        </is>
      </c>
      <c r="K196" s="8">
        <f>IFERROR(MATCH(H196,'13W Cash Forecast'!$B$4:$N$4,1),1)</f>
        <v/>
      </c>
    </row>
    <row r="197">
      <c r="A197" s="8" t="inlineStr">
        <is>
          <t>AP</t>
        </is>
      </c>
      <c r="B197" s="8" t="inlineStr">
        <is>
          <t>AP-0005715</t>
        </is>
      </c>
      <c r="C197" s="8" t="inlineStr">
        <is>
          <t>ARM-2605</t>
        </is>
      </c>
      <c r="D197" s="8" t="inlineStr">
        <is>
          <t>Bridge City Mechanical Insulation - Gresham Group</t>
        </is>
      </c>
      <c r="E197" s="22" t="n">
        <v>46199</v>
      </c>
      <c r="F197" s="9" t="n">
        <v>2902.71</v>
      </c>
      <c r="G197" s="22" t="inlineStr">
        <is>
          <t>No</t>
        </is>
      </c>
      <c r="H197" s="23" t="n">
        <v>46199</v>
      </c>
      <c r="I197" s="24" t="inlineStr">
        <is>
          <t>Medium</t>
        </is>
      </c>
      <c r="J197" s="24" t="inlineStr">
        <is>
          <t>Pay to terms unless Controller releases otherwise</t>
        </is>
      </c>
      <c r="K197" s="8">
        <f>IFERROR(MATCH(H197,'13W Cash Forecast'!$B$4:$N$4,1),1)</f>
        <v/>
      </c>
    </row>
    <row r="198">
      <c r="A198" s="8" t="inlineStr">
        <is>
          <t>AP</t>
        </is>
      </c>
      <c r="B198" s="8" t="inlineStr">
        <is>
          <t>AP-0005416</t>
        </is>
      </c>
      <c r="C198" s="8" t="inlineStr">
        <is>
          <t>ARM-2514</t>
        </is>
      </c>
      <c r="D198" s="8" t="inlineStr">
        <is>
          <t>Summit Sheet Metal Fabrication - Bend Group</t>
        </is>
      </c>
      <c r="E198" s="22" t="n">
        <v>46200</v>
      </c>
      <c r="F198" s="9" t="n">
        <v>4311.14</v>
      </c>
      <c r="G198" s="22" t="inlineStr">
        <is>
          <t>No</t>
        </is>
      </c>
      <c r="H198" s="23" t="n">
        <v>46200</v>
      </c>
      <c r="I198" s="24" t="inlineStr">
        <is>
          <t>Medium</t>
        </is>
      </c>
      <c r="J198" s="24" t="inlineStr">
        <is>
          <t>Pay to terms unless Controller releases otherwise</t>
        </is>
      </c>
      <c r="K198" s="8">
        <f>IFERROR(MATCH(H198,'13W Cash Forecast'!$B$4:$N$4,1),1)</f>
        <v/>
      </c>
    </row>
    <row r="199">
      <c r="A199" s="8" t="inlineStr">
        <is>
          <t>AP</t>
        </is>
      </c>
      <c r="B199" s="8" t="inlineStr">
        <is>
          <t>AP-0005508</t>
        </is>
      </c>
      <c r="C199" s="8" t="inlineStr">
        <is>
          <t>ARM-2518</t>
        </is>
      </c>
      <c r="D199" s="8" t="inlineStr">
        <is>
          <t>Tri-County Electrical Contracting - Beaverton LLC</t>
        </is>
      </c>
      <c r="E199" s="22" t="n">
        <v>46200</v>
      </c>
      <c r="F199" s="9" t="n">
        <v>9057.719999999999</v>
      </c>
      <c r="G199" s="22" t="inlineStr">
        <is>
          <t>No</t>
        </is>
      </c>
      <c r="H199" s="23" t="n">
        <v>46200</v>
      </c>
      <c r="I199" s="24" t="inlineStr">
        <is>
          <t>Medium</t>
        </is>
      </c>
      <c r="J199" s="24" t="inlineStr">
        <is>
          <t>Pay to terms unless Controller releases otherwise</t>
        </is>
      </c>
      <c r="K199" s="8">
        <f>IFERROR(MATCH(H199,'13W Cash Forecast'!$B$4:$N$4,1),1)</f>
        <v/>
      </c>
    </row>
    <row r="200">
      <c r="A200" s="8" t="inlineStr">
        <is>
          <t>AP</t>
        </is>
      </c>
      <c r="B200" s="8" t="inlineStr">
        <is>
          <t>AP-0005513</t>
        </is>
      </c>
      <c r="C200" s="8" t="inlineStr">
        <is>
          <t>ARM-2518</t>
        </is>
      </c>
      <c r="D200" s="8" t="inlineStr">
        <is>
          <t>Tri-County Crane and Rigging - Salem LLC</t>
        </is>
      </c>
      <c r="E200" s="22" t="n">
        <v>46200</v>
      </c>
      <c r="F200" s="9" t="n">
        <v>5845.21</v>
      </c>
      <c r="G200" s="22" t="inlineStr">
        <is>
          <t>No</t>
        </is>
      </c>
      <c r="H200" s="23" t="n">
        <v>46200</v>
      </c>
      <c r="I200" s="24" t="inlineStr">
        <is>
          <t>Medium</t>
        </is>
      </c>
      <c r="J200" s="24" t="inlineStr">
        <is>
          <t>Pay to terms unless Controller releases otherwise</t>
        </is>
      </c>
      <c r="K200" s="8">
        <f>IFERROR(MATCH(H200,'13W Cash Forecast'!$B$4:$N$4,1),1)</f>
        <v/>
      </c>
    </row>
    <row r="201">
      <c r="A201" s="8" t="inlineStr">
        <is>
          <t>AP</t>
        </is>
      </c>
      <c r="B201" s="8" t="inlineStr">
        <is>
          <t>AP-0005744</t>
        </is>
      </c>
      <c r="C201" s="8" t="inlineStr">
        <is>
          <t>ARM-2608</t>
        </is>
      </c>
      <c r="D201" s="8" t="inlineStr">
        <is>
          <t>Rogue Valley Sheet Metal Fabrication - Gresham LLC</t>
        </is>
      </c>
      <c r="E201" s="22" t="n">
        <v>46200</v>
      </c>
      <c r="F201" s="9" t="n">
        <v>5383.2</v>
      </c>
      <c r="G201" s="22" t="inlineStr">
        <is>
          <t>No</t>
        </is>
      </c>
      <c r="H201" s="23" t="n">
        <v>46200</v>
      </c>
      <c r="I201" s="24" t="inlineStr">
        <is>
          <t>Medium</t>
        </is>
      </c>
      <c r="J201" s="24" t="inlineStr">
        <is>
          <t>Pay to terms unless Controller releases otherwise</t>
        </is>
      </c>
      <c r="K201" s="8">
        <f>IFERROR(MATCH(H201,'13W Cash Forecast'!$B$4:$N$4,1),1)</f>
        <v/>
      </c>
    </row>
    <row r="202">
      <c r="A202" s="8" t="inlineStr">
        <is>
          <t>AP</t>
        </is>
      </c>
      <c r="B202" s="8" t="inlineStr">
        <is>
          <t>AP-0005749</t>
        </is>
      </c>
      <c r="C202" s="8" t="inlineStr">
        <is>
          <t>ARM-2608</t>
        </is>
      </c>
      <c r="D202" s="8" t="inlineStr">
        <is>
          <t>Cascade Testing and Balancing - Bend LLC</t>
        </is>
      </c>
      <c r="E202" s="22" t="n">
        <v>46200</v>
      </c>
      <c r="F202" s="9" t="n">
        <v>14913.76</v>
      </c>
      <c r="G202" s="22" t="inlineStr">
        <is>
          <t>No</t>
        </is>
      </c>
      <c r="H202" s="23" t="n">
        <v>46200</v>
      </c>
      <c r="I202" s="24" t="inlineStr">
        <is>
          <t>Medium</t>
        </is>
      </c>
      <c r="J202" s="24" t="inlineStr">
        <is>
          <t>Pay to terms unless Controller releases otherwise</t>
        </is>
      </c>
      <c r="K202" s="8">
        <f>IFERROR(MATCH(H202,'13W Cash Forecast'!$B$4:$N$4,1),1)</f>
        <v/>
      </c>
    </row>
    <row r="203">
      <c r="A203" s="8" t="inlineStr">
        <is>
          <t>AP</t>
        </is>
      </c>
      <c r="B203" s="8" t="inlineStr">
        <is>
          <t>AP-0005075</t>
        </is>
      </c>
      <c r="C203" s="8" t="inlineStr">
        <is>
          <t>ARM-2506</t>
        </is>
      </c>
      <c r="D203" s="8" t="inlineStr">
        <is>
          <t>Metro Electrical Contracting - Salem Group</t>
        </is>
      </c>
      <c r="E203" s="22" t="n">
        <v>46201</v>
      </c>
      <c r="F203" s="9" t="n">
        <v>7804.89</v>
      </c>
      <c r="G203" s="22" t="inlineStr">
        <is>
          <t>No</t>
        </is>
      </c>
      <c r="H203" s="23" t="n">
        <v>46201</v>
      </c>
      <c r="I203" s="24" t="inlineStr">
        <is>
          <t>Medium</t>
        </is>
      </c>
      <c r="J203" s="24" t="inlineStr">
        <is>
          <t>Pay to terms unless Controller releases otherwise</t>
        </is>
      </c>
      <c r="K203" s="8">
        <f>IFERROR(MATCH(H203,'13W Cash Forecast'!$B$4:$N$4,1),1)</f>
        <v/>
      </c>
    </row>
    <row r="204">
      <c r="A204" s="8" t="inlineStr">
        <is>
          <t>AP</t>
        </is>
      </c>
      <c r="B204" s="8" t="inlineStr">
        <is>
          <t>AP-0009910</t>
        </is>
      </c>
      <c r="C204" s="8" t="inlineStr">
        <is>
          <t>G&amp;A</t>
        </is>
      </c>
      <c r="D204" s="8" t="inlineStr">
        <is>
          <t>Cascade Business Systems - Beaverton LLC</t>
        </is>
      </c>
      <c r="E204" s="22" t="n">
        <v>46201</v>
      </c>
      <c r="F204" s="9" t="n">
        <v>3568.31</v>
      </c>
      <c r="G204" s="22" t="inlineStr">
        <is>
          <t>No</t>
        </is>
      </c>
      <c r="H204" s="23" t="n">
        <v>46201</v>
      </c>
      <c r="I204" s="24" t="inlineStr">
        <is>
          <t>Medium</t>
        </is>
      </c>
      <c r="J204" s="24" t="inlineStr">
        <is>
          <t>Pay to terms unless Controller releases otherwise</t>
        </is>
      </c>
      <c r="K204" s="8">
        <f>IFERROR(MATCH(H204,'13W Cash Forecast'!$B$4:$N$4,1),1)</f>
        <v/>
      </c>
    </row>
    <row r="205">
      <c r="A205" s="8" t="inlineStr">
        <is>
          <t>AP</t>
        </is>
      </c>
      <c r="B205" s="8" t="inlineStr">
        <is>
          <t>AP-0009931</t>
        </is>
      </c>
      <c r="C205" s="8" t="inlineStr">
        <is>
          <t>G&amp;A</t>
        </is>
      </c>
      <c r="D205" s="8" t="inlineStr">
        <is>
          <t>Cascade Business Systems - Beaverton LLC</t>
        </is>
      </c>
      <c r="E205" s="22" t="n">
        <v>46201</v>
      </c>
      <c r="F205" s="9" t="n">
        <v>1707.5</v>
      </c>
      <c r="G205" s="22" t="inlineStr">
        <is>
          <t>No</t>
        </is>
      </c>
      <c r="H205" s="23" t="n">
        <v>46201</v>
      </c>
      <c r="I205" s="24" t="inlineStr">
        <is>
          <t>Medium</t>
        </is>
      </c>
      <c r="J205" s="24" t="inlineStr">
        <is>
          <t>Pay to terms unless Controller releases otherwise</t>
        </is>
      </c>
      <c r="K205" s="8">
        <f>IFERROR(MATCH(H205,'13W Cash Forecast'!$B$4:$N$4,1),1)</f>
        <v/>
      </c>
    </row>
    <row r="206">
      <c r="A206" s="8" t="inlineStr">
        <is>
          <t>AP</t>
        </is>
      </c>
      <c r="B206" s="8" t="inlineStr">
        <is>
          <t>AP-0004444</t>
        </is>
      </c>
      <c r="C206" s="8" t="inlineStr">
        <is>
          <t>ARM-2412</t>
        </is>
      </c>
      <c r="D206" s="8" t="inlineStr">
        <is>
          <t>Tri-County Equipment Rental &amp; Services - Portland LLC</t>
        </is>
      </c>
      <c r="E206" s="22" t="n">
        <v>46202</v>
      </c>
      <c r="F206" s="9" t="n">
        <v>4284.09</v>
      </c>
      <c r="G206" s="22" t="inlineStr">
        <is>
          <t>No</t>
        </is>
      </c>
      <c r="H206" s="23" t="n">
        <v>46202</v>
      </c>
      <c r="I206" s="24" t="inlineStr">
        <is>
          <t>Medium</t>
        </is>
      </c>
      <c r="J206" s="24" t="inlineStr">
        <is>
          <t>Pay to terms unless Controller releases otherwise</t>
        </is>
      </c>
      <c r="K206" s="8">
        <f>IFERROR(MATCH(H206,'13W Cash Forecast'!$B$4:$N$4,1),1)</f>
        <v/>
      </c>
    </row>
    <row r="207">
      <c r="A207" s="8" t="inlineStr">
        <is>
          <t>AP</t>
        </is>
      </c>
      <c r="B207" s="8" t="inlineStr">
        <is>
          <t>AP-0005233</t>
        </is>
      </c>
      <c r="C207" s="8" t="inlineStr">
        <is>
          <t>ARM-2510</t>
        </is>
      </c>
      <c r="D207" s="8" t="inlineStr">
        <is>
          <t>Summit Pipe, Valve &amp; Fitting Supply - Bend Group</t>
        </is>
      </c>
      <c r="E207" s="22" t="n">
        <v>46202</v>
      </c>
      <c r="F207" s="9" t="n">
        <v>5344.03</v>
      </c>
      <c r="G207" s="22" t="inlineStr">
        <is>
          <t>No</t>
        </is>
      </c>
      <c r="H207" s="23" t="n">
        <v>46202</v>
      </c>
      <c r="I207" s="24" t="inlineStr">
        <is>
          <t>Medium</t>
        </is>
      </c>
      <c r="J207" s="24" t="inlineStr">
        <is>
          <t>Pay to terms unless Controller releases otherwise</t>
        </is>
      </c>
      <c r="K207" s="8">
        <f>IFERROR(MATCH(H207,'13W Cash Forecast'!$B$4:$N$4,1),1)</f>
        <v/>
      </c>
    </row>
    <row r="208">
      <c r="A208" s="8" t="inlineStr">
        <is>
          <t>AP</t>
        </is>
      </c>
      <c r="B208" s="8" t="inlineStr">
        <is>
          <t>AP-0005422</t>
        </is>
      </c>
      <c r="C208" s="8" t="inlineStr">
        <is>
          <t>ARM-2514</t>
        </is>
      </c>
      <c r="D208" s="8" t="inlineStr">
        <is>
          <t>Northwest Mechanical Insulation - Portland Group</t>
        </is>
      </c>
      <c r="E208" s="22" t="n">
        <v>46202</v>
      </c>
      <c r="F208" s="9" t="n">
        <v>2232.79</v>
      </c>
      <c r="G208" s="22" t="inlineStr">
        <is>
          <t>No</t>
        </is>
      </c>
      <c r="H208" s="23" t="n">
        <v>46202</v>
      </c>
      <c r="I208" s="24" t="inlineStr">
        <is>
          <t>Medium</t>
        </is>
      </c>
      <c r="J208" s="24" t="inlineStr">
        <is>
          <t>Pay to terms unless Controller releases otherwise</t>
        </is>
      </c>
      <c r="K208" s="8">
        <f>IFERROR(MATCH(H208,'13W Cash Forecast'!$B$4:$N$4,1),1)</f>
        <v/>
      </c>
    </row>
    <row r="209">
      <c r="A209" s="8" t="inlineStr">
        <is>
          <t>AP</t>
        </is>
      </c>
      <c r="B209" s="8" t="inlineStr">
        <is>
          <t>AP-0005679</t>
        </is>
      </c>
      <c r="C209" s="8" t="inlineStr">
        <is>
          <t>ARM-2602</t>
        </is>
      </c>
      <c r="D209" s="8" t="inlineStr">
        <is>
          <t>Northwest Testing and Balancing - Eugene Group</t>
        </is>
      </c>
      <c r="E209" s="22" t="n">
        <v>46202</v>
      </c>
      <c r="F209" s="9" t="n">
        <v>2567.93</v>
      </c>
      <c r="G209" s="22" t="inlineStr">
        <is>
          <t>No</t>
        </is>
      </c>
      <c r="H209" s="23" t="n">
        <v>46202</v>
      </c>
      <c r="I209" s="24" t="inlineStr">
        <is>
          <t>Medium</t>
        </is>
      </c>
      <c r="J209" s="24" t="inlineStr">
        <is>
          <t>Pay to terms unless Controller releases otherwise</t>
        </is>
      </c>
      <c r="K209" s="8">
        <f>IFERROR(MATCH(H209,'13W Cash Forecast'!$B$4:$N$4,1),1)</f>
        <v/>
      </c>
    </row>
    <row r="210">
      <c r="A210" s="8" t="inlineStr">
        <is>
          <t>AP</t>
        </is>
      </c>
      <c r="B210" s="8" t="inlineStr">
        <is>
          <t>AP-0004710</t>
        </is>
      </c>
      <c r="C210" s="8" t="inlineStr">
        <is>
          <t>ARM-2417</t>
        </is>
      </c>
      <c r="D210" s="8" t="inlineStr">
        <is>
          <t>Tri-County Pipe, Valve &amp; Fitting Supply - Bend LLC</t>
        </is>
      </c>
      <c r="E210" s="22" t="n">
        <v>46203</v>
      </c>
      <c r="F210" s="9" t="n">
        <v>4447.36</v>
      </c>
      <c r="G210" s="22" t="inlineStr">
        <is>
          <t>No</t>
        </is>
      </c>
      <c r="H210" s="23" t="n">
        <v>46203</v>
      </c>
      <c r="I210" s="24" t="inlineStr">
        <is>
          <t>Medium</t>
        </is>
      </c>
      <c r="J210" s="24" t="inlineStr">
        <is>
          <t>Pay to terms unless Controller releases otherwise</t>
        </is>
      </c>
      <c r="K210" s="8">
        <f>IFERROR(MATCH(H210,'13W Cash Forecast'!$B$4:$N$4,1),1)</f>
        <v/>
      </c>
    </row>
    <row r="211">
      <c r="A211" s="8" t="inlineStr">
        <is>
          <t>AP</t>
        </is>
      </c>
      <c r="B211" s="8" t="inlineStr">
        <is>
          <t>AP-0005444</t>
        </is>
      </c>
      <c r="C211" s="8" t="inlineStr">
        <is>
          <t>ARM-2514</t>
        </is>
      </c>
      <c r="D211" s="8" t="inlineStr">
        <is>
          <t>Cascade Equipment Rental &amp; Services - Gresham LLC</t>
        </is>
      </c>
      <c r="E211" s="22" t="n">
        <v>46203</v>
      </c>
      <c r="F211" s="9" t="n">
        <v>10715.33</v>
      </c>
      <c r="G211" s="22" t="inlineStr">
        <is>
          <t>No</t>
        </is>
      </c>
      <c r="H211" s="23" t="n">
        <v>46203</v>
      </c>
      <c r="I211" s="24" t="inlineStr">
        <is>
          <t>Medium</t>
        </is>
      </c>
      <c r="J211" s="24" t="inlineStr">
        <is>
          <t>Pay to terms unless Controller releases otherwise</t>
        </is>
      </c>
      <c r="K211" s="8">
        <f>IFERROR(MATCH(H211,'13W Cash Forecast'!$B$4:$N$4,1),1)</f>
        <v/>
      </c>
    </row>
    <row r="212">
      <c r="A212" s="8" t="inlineStr">
        <is>
          <t>AP</t>
        </is>
      </c>
      <c r="B212" s="8" t="inlineStr">
        <is>
          <t>AP-0005507</t>
        </is>
      </c>
      <c r="C212" s="8" t="inlineStr">
        <is>
          <t>ARM-2518</t>
        </is>
      </c>
      <c r="D212" s="8" t="inlineStr">
        <is>
          <t>Metro Testing and Balancing - Bend Group</t>
        </is>
      </c>
      <c r="E212" s="22" t="n">
        <v>46203</v>
      </c>
      <c r="F212" s="9" t="n">
        <v>2139.95</v>
      </c>
      <c r="G212" s="22" t="inlineStr">
        <is>
          <t>No</t>
        </is>
      </c>
      <c r="H212" s="23" t="n">
        <v>46203</v>
      </c>
      <c r="I212" s="24" t="inlineStr">
        <is>
          <t>Medium</t>
        </is>
      </c>
      <c r="J212" s="24" t="inlineStr">
        <is>
          <t>Pay to terms unless Controller releases otherwise</t>
        </is>
      </c>
      <c r="K212" s="8">
        <f>IFERROR(MATCH(H212,'13W Cash Forecast'!$B$4:$N$4,1),1)</f>
        <v/>
      </c>
    </row>
    <row r="213">
      <c r="A213" s="8" t="inlineStr">
        <is>
          <t>AP</t>
        </is>
      </c>
      <c r="B213" s="8" t="inlineStr">
        <is>
          <t>AP-0003888</t>
        </is>
      </c>
      <c r="C213" s="8" t="inlineStr">
        <is>
          <t>ARM-2318</t>
        </is>
      </c>
      <c r="D213" s="8" t="inlineStr">
        <is>
          <t>Cascade Pipe, Valve &amp; Fitting Supply - Salem LLC</t>
        </is>
      </c>
      <c r="E213" s="22" t="n">
        <v>46204</v>
      </c>
      <c r="F213" s="9" t="n">
        <v>4793.93</v>
      </c>
      <c r="G213" s="22" t="inlineStr">
        <is>
          <t>No</t>
        </is>
      </c>
      <c r="H213" s="23" t="n">
        <v>46204</v>
      </c>
      <c r="I213" s="24" t="inlineStr">
        <is>
          <t>Medium</t>
        </is>
      </c>
      <c r="J213" s="24" t="inlineStr">
        <is>
          <t>Pay to terms unless Controller releases otherwise</t>
        </is>
      </c>
      <c r="K213" s="8">
        <f>IFERROR(MATCH(H213,'13W Cash Forecast'!$B$4:$N$4,1),1)</f>
        <v/>
      </c>
    </row>
    <row r="214">
      <c r="A214" s="8" t="inlineStr">
        <is>
          <t>AP</t>
        </is>
      </c>
      <c r="B214" s="8" t="inlineStr">
        <is>
          <t>AP-0005512</t>
        </is>
      </c>
      <c r="C214" s="8" t="inlineStr">
        <is>
          <t>ARM-2518</t>
        </is>
      </c>
      <c r="D214" s="8" t="inlineStr">
        <is>
          <t>Pacific Equipment Rental &amp; Services - Eugene LLC</t>
        </is>
      </c>
      <c r="E214" s="22" t="n">
        <v>46204</v>
      </c>
      <c r="F214" s="9" t="n">
        <v>11138.68</v>
      </c>
      <c r="G214" s="22" t="inlineStr">
        <is>
          <t>No</t>
        </is>
      </c>
      <c r="H214" s="23" t="n">
        <v>46204</v>
      </c>
      <c r="I214" s="24" t="inlineStr">
        <is>
          <t>Medium</t>
        </is>
      </c>
      <c r="J214" s="24" t="inlineStr">
        <is>
          <t>Pay to terms unless Controller releases otherwise</t>
        </is>
      </c>
      <c r="K214" s="8">
        <f>IFERROR(MATCH(H214,'13W Cash Forecast'!$B$4:$N$4,1),1)</f>
        <v/>
      </c>
    </row>
    <row r="215">
      <c r="A215" s="8" t="inlineStr">
        <is>
          <t>AP</t>
        </is>
      </c>
      <c r="B215" s="8" t="inlineStr">
        <is>
          <t>AP-0005748</t>
        </is>
      </c>
      <c r="C215" s="8" t="inlineStr">
        <is>
          <t>ARM-2608</t>
        </is>
      </c>
      <c r="D215" s="8" t="inlineStr">
        <is>
          <t>Rogue Valley Equipment Rental &amp; Services - Vancouver LLC</t>
        </is>
      </c>
      <c r="E215" s="22" t="n">
        <v>46204</v>
      </c>
      <c r="F215" s="9" t="n">
        <v>16668.02</v>
      </c>
      <c r="G215" s="22" t="inlineStr">
        <is>
          <t>No</t>
        </is>
      </c>
      <c r="H215" s="23" t="n">
        <v>46204</v>
      </c>
      <c r="I215" s="24" t="inlineStr">
        <is>
          <t>Medium</t>
        </is>
      </c>
      <c r="J215" s="24" t="inlineStr">
        <is>
          <t>Pay to terms unless Controller releases otherwise</t>
        </is>
      </c>
      <c r="K215" s="8">
        <f>IFERROR(MATCH(H215,'13W Cash Forecast'!$B$4:$N$4,1),1)</f>
        <v/>
      </c>
    </row>
    <row r="216">
      <c r="A216" s="8" t="inlineStr">
        <is>
          <t>AP</t>
        </is>
      </c>
      <c r="B216" s="8" t="inlineStr">
        <is>
          <t>AP-0005079</t>
        </is>
      </c>
      <c r="C216" s="8" t="inlineStr">
        <is>
          <t>ARM-2506</t>
        </is>
      </c>
      <c r="D216" s="8" t="inlineStr">
        <is>
          <t>Bridge City Equipment Rental &amp; Services - Bend Group</t>
        </is>
      </c>
      <c r="E216" s="22" t="n">
        <v>46205</v>
      </c>
      <c r="F216" s="9" t="n">
        <v>15537.2</v>
      </c>
      <c r="G216" s="22" t="inlineStr">
        <is>
          <t>No</t>
        </is>
      </c>
      <c r="H216" s="23" t="n">
        <v>46205</v>
      </c>
      <c r="I216" s="24" t="inlineStr">
        <is>
          <t>Medium</t>
        </is>
      </c>
      <c r="J216" s="24" t="inlineStr">
        <is>
          <t>Pay to terms unless Controller releases otherwise</t>
        </is>
      </c>
      <c r="K216" s="8">
        <f>IFERROR(MATCH(H216,'13W Cash Forecast'!$B$4:$N$4,1),1)</f>
        <v/>
      </c>
    </row>
    <row r="217">
      <c r="A217" s="8" t="inlineStr">
        <is>
          <t>AP</t>
        </is>
      </c>
      <c r="B217" s="8" t="inlineStr">
        <is>
          <t>AP-0005639</t>
        </is>
      </c>
      <c r="C217" s="8" t="inlineStr">
        <is>
          <t>ARM-2526</t>
        </is>
      </c>
      <c r="D217" s="8" t="inlineStr">
        <is>
          <t>Tri-County Sheet Metal Fabrication - Vancouver LLC</t>
        </is>
      </c>
      <c r="E217" s="22" t="n">
        <v>46205</v>
      </c>
      <c r="F217" s="9" t="n">
        <v>17265.22</v>
      </c>
      <c r="G217" s="22" t="inlineStr">
        <is>
          <t>No</t>
        </is>
      </c>
      <c r="H217" s="23" t="n">
        <v>46205</v>
      </c>
      <c r="I217" s="24" t="inlineStr">
        <is>
          <t>Medium</t>
        </is>
      </c>
      <c r="J217" s="24" t="inlineStr">
        <is>
          <t>Pay to terms unless Controller releases otherwise</t>
        </is>
      </c>
      <c r="K217" s="8">
        <f>IFERROR(MATCH(H217,'13W Cash Forecast'!$B$4:$N$4,1),1)</f>
        <v/>
      </c>
    </row>
    <row r="218">
      <c r="A218" s="8" t="inlineStr">
        <is>
          <t>AP</t>
        </is>
      </c>
      <c r="B218" s="8" t="inlineStr">
        <is>
          <t>AP-0004098</t>
        </is>
      </c>
      <c r="C218" s="8" t="inlineStr">
        <is>
          <t>ARM-2403</t>
        </is>
      </c>
      <c r="D218" s="8" t="inlineStr">
        <is>
          <t>Bridge City Sheet Metal Fabrication - Eugene Group</t>
        </is>
      </c>
      <c r="E218" s="22" t="n">
        <v>46206</v>
      </c>
      <c r="F218" s="9" t="n">
        <v>5175.65</v>
      </c>
      <c r="G218" s="22" t="inlineStr">
        <is>
          <t>No</t>
        </is>
      </c>
      <c r="H218" s="23" t="n">
        <v>46206</v>
      </c>
      <c r="I218" s="24" t="inlineStr">
        <is>
          <t>Medium</t>
        </is>
      </c>
      <c r="J218" s="24" t="inlineStr">
        <is>
          <t>Pay to terms unless Controller releases otherwise</t>
        </is>
      </c>
      <c r="K218" s="8">
        <f>IFERROR(MATCH(H218,'13W Cash Forecast'!$B$4:$N$4,1),1)</f>
        <v/>
      </c>
    </row>
    <row r="219">
      <c r="A219" s="8" t="inlineStr">
        <is>
          <t>AP</t>
        </is>
      </c>
      <c r="B219" s="8" t="inlineStr">
        <is>
          <t>AP-0004288</t>
        </is>
      </c>
      <c r="C219" s="8" t="inlineStr">
        <is>
          <t>ARM-2409</t>
        </is>
      </c>
      <c r="D219" s="8" t="inlineStr">
        <is>
          <t>United Rentals (North America), Inc.</t>
        </is>
      </c>
      <c r="E219" s="22" t="n">
        <v>46206</v>
      </c>
      <c r="F219" s="9" t="n">
        <v>14627.02</v>
      </c>
      <c r="G219" s="22" t="inlineStr">
        <is>
          <t>No</t>
        </is>
      </c>
      <c r="H219" s="23" t="n">
        <v>46206</v>
      </c>
      <c r="I219" s="24" t="inlineStr">
        <is>
          <t>Medium</t>
        </is>
      </c>
      <c r="J219" s="24" t="inlineStr">
        <is>
          <t>Pay to terms unless Controller releases otherwise</t>
        </is>
      </c>
      <c r="K219" s="8">
        <f>IFERROR(MATCH(H219,'13W Cash Forecast'!$B$4:$N$4,1),1)</f>
        <v/>
      </c>
    </row>
    <row r="220">
      <c r="A220" s="8" t="inlineStr">
        <is>
          <t>AP</t>
        </is>
      </c>
      <c r="B220" s="8" t="inlineStr">
        <is>
          <t>AP-0004894</t>
        </is>
      </c>
      <c r="C220" s="8" t="inlineStr">
        <is>
          <t>ARM-2501</t>
        </is>
      </c>
      <c r="D220" s="8" t="inlineStr">
        <is>
          <t>Blue Mountain Pipe, Valve &amp; Fitting Supply - Portland Company</t>
        </is>
      </c>
      <c r="E220" s="22" t="n">
        <v>46206</v>
      </c>
      <c r="F220" s="9" t="n">
        <v>14553.99</v>
      </c>
      <c r="G220" s="22" t="inlineStr">
        <is>
          <t>No</t>
        </is>
      </c>
      <c r="H220" s="23" t="n">
        <v>46206</v>
      </c>
      <c r="I220" s="24" t="inlineStr">
        <is>
          <t>Medium</t>
        </is>
      </c>
      <c r="J220" s="24" t="inlineStr">
        <is>
          <t>Pay to terms unless Controller releases otherwise</t>
        </is>
      </c>
      <c r="K220" s="8">
        <f>IFERROR(MATCH(H220,'13W Cash Forecast'!$B$4:$N$4,1),1)</f>
        <v/>
      </c>
    </row>
    <row r="221">
      <c r="A221" s="8" t="inlineStr">
        <is>
          <t>AP</t>
        </is>
      </c>
      <c r="B221" s="8" t="inlineStr">
        <is>
          <t>AP-0005090</t>
        </is>
      </c>
      <c r="C221" s="8" t="inlineStr">
        <is>
          <t>ARM-2506</t>
        </is>
      </c>
      <c r="D221" s="8" t="inlineStr">
        <is>
          <t>West Coast Sheet Metal Fabrication - Beaverton Company</t>
        </is>
      </c>
      <c r="E221" s="22" t="n">
        <v>46206</v>
      </c>
      <c r="F221" s="9" t="n">
        <v>12766.28</v>
      </c>
      <c r="G221" s="22" t="inlineStr">
        <is>
          <t>No</t>
        </is>
      </c>
      <c r="H221" s="23" t="n">
        <v>46206</v>
      </c>
      <c r="I221" s="24" t="inlineStr">
        <is>
          <t>Medium</t>
        </is>
      </c>
      <c r="J221" s="24" t="inlineStr">
        <is>
          <t>Pay to terms unless Controller releases otherwise</t>
        </is>
      </c>
      <c r="K221" s="8">
        <f>IFERROR(MATCH(H221,'13W Cash Forecast'!$B$4:$N$4,1),1)</f>
        <v/>
      </c>
    </row>
    <row r="222">
      <c r="A222" s="8" t="inlineStr">
        <is>
          <t>AP</t>
        </is>
      </c>
      <c r="B222" s="8" t="inlineStr">
        <is>
          <t>AP-0005245</t>
        </is>
      </c>
      <c r="C222" s="8" t="inlineStr">
        <is>
          <t>ARM-2510</t>
        </is>
      </c>
      <c r="D222" s="8" t="inlineStr">
        <is>
          <t>Cascade Testing and Balancing - Bend LLC</t>
        </is>
      </c>
      <c r="E222" s="22" t="n">
        <v>46206</v>
      </c>
      <c r="F222" s="9" t="n">
        <v>8795.469999999999</v>
      </c>
      <c r="G222" s="22" t="inlineStr">
        <is>
          <t>No</t>
        </is>
      </c>
      <c r="H222" s="23" t="n">
        <v>46206</v>
      </c>
      <c r="I222" s="24" t="inlineStr">
        <is>
          <t>Medium</t>
        </is>
      </c>
      <c r="J222" s="24" t="inlineStr">
        <is>
          <t>Pay to terms unless Controller releases otherwise</t>
        </is>
      </c>
      <c r="K222" s="8">
        <f>IFERROR(MATCH(H222,'13W Cash Forecast'!$B$4:$N$4,1),1)</f>
        <v/>
      </c>
    </row>
    <row r="223">
      <c r="A223" s="8" t="inlineStr">
        <is>
          <t>AP</t>
        </is>
      </c>
      <c r="B223" s="8" t="inlineStr">
        <is>
          <t>AP-0005637</t>
        </is>
      </c>
      <c r="C223" s="8" t="inlineStr">
        <is>
          <t>ARM-2526</t>
        </is>
      </c>
      <c r="D223" s="8" t="inlineStr">
        <is>
          <t>Evergreen Equipment Rental &amp; Services - Vancouver Company</t>
        </is>
      </c>
      <c r="E223" s="22" t="n">
        <v>46206</v>
      </c>
      <c r="F223" s="9" t="n">
        <v>14759.88</v>
      </c>
      <c r="G223" s="22" t="inlineStr">
        <is>
          <t>No</t>
        </is>
      </c>
      <c r="H223" s="23" t="n">
        <v>46206</v>
      </c>
      <c r="I223" s="24" t="inlineStr">
        <is>
          <t>Medium</t>
        </is>
      </c>
      <c r="J223" s="24" t="inlineStr">
        <is>
          <t>Pay to terms unless Controller releases otherwise</t>
        </is>
      </c>
      <c r="K223" s="8">
        <f>IFERROR(MATCH(H223,'13W Cash Forecast'!$B$4:$N$4,1),1)</f>
        <v/>
      </c>
    </row>
    <row r="224">
      <c r="A224" s="8" t="inlineStr">
        <is>
          <t>AP</t>
        </is>
      </c>
      <c r="B224" s="8" t="inlineStr">
        <is>
          <t>AP-0005642</t>
        </is>
      </c>
      <c r="C224" s="8" t="inlineStr">
        <is>
          <t>ARM-2526</t>
        </is>
      </c>
      <c r="D224" s="8" t="inlineStr">
        <is>
          <t>High Desert Pipe, Valve &amp; Fitting Supply - Bend Services, LLC</t>
        </is>
      </c>
      <c r="E224" s="22" t="n">
        <v>46206</v>
      </c>
      <c r="F224" s="9" t="n">
        <v>25194.5</v>
      </c>
      <c r="G224" s="22" t="inlineStr">
        <is>
          <t>No</t>
        </is>
      </c>
      <c r="H224" s="23" t="n">
        <v>46206</v>
      </c>
      <c r="I224" s="24" t="inlineStr">
        <is>
          <t>Medium</t>
        </is>
      </c>
      <c r="J224" s="24" t="inlineStr">
        <is>
          <t>Pay to terms unless Controller releases otherwise</t>
        </is>
      </c>
      <c r="K224" s="8">
        <f>IFERROR(MATCH(H224,'13W Cash Forecast'!$B$4:$N$4,1),1)</f>
        <v/>
      </c>
    </row>
    <row r="225">
      <c r="A225" s="8" t="inlineStr">
        <is>
          <t>AP</t>
        </is>
      </c>
      <c r="B225" s="8" t="inlineStr">
        <is>
          <t>AP-0005644</t>
        </is>
      </c>
      <c r="C225" s="8" t="inlineStr">
        <is>
          <t>ARM-2526</t>
        </is>
      </c>
      <c r="D225" s="8" t="inlineStr">
        <is>
          <t>Rainier Sheet Metal Fabrication - Eugene Company</t>
        </is>
      </c>
      <c r="E225" s="22" t="n">
        <v>46206</v>
      </c>
      <c r="F225" s="9" t="n">
        <v>6942.56</v>
      </c>
      <c r="G225" s="22" t="inlineStr">
        <is>
          <t>No</t>
        </is>
      </c>
      <c r="H225" s="23" t="n">
        <v>46206</v>
      </c>
      <c r="I225" s="24" t="inlineStr">
        <is>
          <t>Medium</t>
        </is>
      </c>
      <c r="J225" s="24" t="inlineStr">
        <is>
          <t>Pay to terms unless Controller releases otherwise</t>
        </is>
      </c>
      <c r="K225" s="8">
        <f>IFERROR(MATCH(H225,'13W Cash Forecast'!$B$4:$N$4,1),1)</f>
        <v/>
      </c>
    </row>
    <row r="226">
      <c r="A226" s="8" t="inlineStr">
        <is>
          <t>AP</t>
        </is>
      </c>
      <c r="B226" s="8" t="inlineStr">
        <is>
          <t>AP-0005681</t>
        </is>
      </c>
      <c r="C226" s="8" t="inlineStr">
        <is>
          <t>ARM-2602</t>
        </is>
      </c>
      <c r="D226" s="8" t="inlineStr">
        <is>
          <t>Tri-County Crane and Rigging - Salem LLC</t>
        </is>
      </c>
      <c r="E226" s="22" t="n">
        <v>46206</v>
      </c>
      <c r="F226" s="9" t="n">
        <v>13145.46</v>
      </c>
      <c r="G226" s="22" t="inlineStr">
        <is>
          <t>No</t>
        </is>
      </c>
      <c r="H226" s="23" t="n">
        <v>46206</v>
      </c>
      <c r="I226" s="24" t="inlineStr">
        <is>
          <t>Medium</t>
        </is>
      </c>
      <c r="J226" s="24" t="inlineStr">
        <is>
          <t>Pay to terms unless Controller releases otherwise</t>
        </is>
      </c>
      <c r="K226" s="8">
        <f>IFERROR(MATCH(H226,'13W Cash Forecast'!$B$4:$N$4,1),1)</f>
        <v/>
      </c>
    </row>
    <row r="227">
      <c r="A227" s="8" t="inlineStr">
        <is>
          <t>AP</t>
        </is>
      </c>
      <c r="B227" s="8" t="inlineStr">
        <is>
          <t>AP-0005711</t>
        </is>
      </c>
      <c r="C227" s="8" t="inlineStr">
        <is>
          <t>ARM-2605</t>
        </is>
      </c>
      <c r="D227" s="8" t="inlineStr">
        <is>
          <t>Bridge City Testing and Balancing - Beaverton Group</t>
        </is>
      </c>
      <c r="E227" s="22" t="n">
        <v>46206</v>
      </c>
      <c r="F227" s="9" t="n">
        <v>14271.61</v>
      </c>
      <c r="G227" s="22" t="inlineStr">
        <is>
          <t>No</t>
        </is>
      </c>
      <c r="H227" s="23" t="n">
        <v>46206</v>
      </c>
      <c r="I227" s="24" t="inlineStr">
        <is>
          <t>Medium</t>
        </is>
      </c>
      <c r="J227" s="24" t="inlineStr">
        <is>
          <t>Pay to terms unless Controller releases otherwise</t>
        </is>
      </c>
      <c r="K227" s="8">
        <f>IFERROR(MATCH(H227,'13W Cash Forecast'!$B$4:$N$4,1),1)</f>
        <v/>
      </c>
    </row>
    <row r="228">
      <c r="A228" s="8" t="inlineStr">
        <is>
          <t>AP</t>
        </is>
      </c>
      <c r="B228" s="8" t="inlineStr">
        <is>
          <t>AP-0009906</t>
        </is>
      </c>
      <c r="C228" s="8" t="inlineStr">
        <is>
          <t>G&amp;A</t>
        </is>
      </c>
      <c r="D228" s="8" t="inlineStr">
        <is>
          <t>Sage Software, Inc.</t>
        </is>
      </c>
      <c r="E228" s="22" t="n">
        <v>46206</v>
      </c>
      <c r="F228" s="9" t="n">
        <v>7079.12</v>
      </c>
      <c r="G228" s="22" t="inlineStr">
        <is>
          <t>No</t>
        </is>
      </c>
      <c r="H228" s="23" t="n">
        <v>46206</v>
      </c>
      <c r="I228" s="24" t="inlineStr">
        <is>
          <t>Medium</t>
        </is>
      </c>
      <c r="J228" s="24" t="inlineStr">
        <is>
          <t>Pay to terms unless Controller releases otherwise</t>
        </is>
      </c>
      <c r="K228" s="8">
        <f>IFERROR(MATCH(H228,'13W Cash Forecast'!$B$4:$N$4,1),1)</f>
        <v/>
      </c>
    </row>
    <row r="229">
      <c r="A229" s="8" t="inlineStr">
        <is>
          <t>AP</t>
        </is>
      </c>
      <c r="B229" s="8" t="inlineStr">
        <is>
          <t>AP-0009927</t>
        </is>
      </c>
      <c r="C229" s="8" t="inlineStr">
        <is>
          <t>G&amp;A</t>
        </is>
      </c>
      <c r="D229" s="8" t="inlineStr">
        <is>
          <t>Sage Software, Inc.</t>
        </is>
      </c>
      <c r="E229" s="22" t="n">
        <v>46206</v>
      </c>
      <c r="F229" s="9" t="n">
        <v>2468.86</v>
      </c>
      <c r="G229" s="22" t="inlineStr">
        <is>
          <t>No</t>
        </is>
      </c>
      <c r="H229" s="23" t="n">
        <v>46206</v>
      </c>
      <c r="I229" s="24" t="inlineStr">
        <is>
          <t>Medium</t>
        </is>
      </c>
      <c r="J229" s="24" t="inlineStr">
        <is>
          <t>Pay to terms unless Controller releases otherwise</t>
        </is>
      </c>
      <c r="K229" s="8">
        <f>IFERROR(MATCH(H229,'13W Cash Forecast'!$B$4:$N$4,1),1)</f>
        <v/>
      </c>
    </row>
    <row r="230">
      <c r="A230" s="8" t="inlineStr">
        <is>
          <t>AP</t>
        </is>
      </c>
      <c r="B230" s="8" t="inlineStr">
        <is>
          <t>AP-0011870</t>
        </is>
      </c>
      <c r="C230" s="8" t="inlineStr">
        <is>
          <t>G&amp;A</t>
        </is>
      </c>
      <c r="D230" s="8" t="inlineStr">
        <is>
          <t>Northwest Fleet Service Center - Gresham Group</t>
        </is>
      </c>
      <c r="E230" s="22" t="n">
        <v>46206</v>
      </c>
      <c r="F230" s="9" t="n">
        <v>18491.41</v>
      </c>
      <c r="G230" s="22" t="inlineStr">
        <is>
          <t>No</t>
        </is>
      </c>
      <c r="H230" s="23" t="n">
        <v>46206</v>
      </c>
      <c r="I230" s="24" t="inlineStr">
        <is>
          <t>Medium</t>
        </is>
      </c>
      <c r="J230" s="24" t="inlineStr">
        <is>
          <t>Pay to terms unless Controller releases otherwise</t>
        </is>
      </c>
      <c r="K230" s="8">
        <f>IFERROR(MATCH(H230,'13W Cash Forecast'!$B$4:$N$4,1),1)</f>
        <v/>
      </c>
    </row>
    <row r="231">
      <c r="A231" s="8" t="inlineStr">
        <is>
          <t>AP</t>
        </is>
      </c>
      <c r="B231" s="8" t="inlineStr">
        <is>
          <t>AP-0011896</t>
        </is>
      </c>
      <c r="C231" s="8" t="inlineStr">
        <is>
          <t>G&amp;A</t>
        </is>
      </c>
      <c r="D231" s="8" t="inlineStr">
        <is>
          <t>Kittelson Construction Law Group</t>
        </is>
      </c>
      <c r="E231" s="22" t="n">
        <v>46206</v>
      </c>
      <c r="F231" s="9" t="n">
        <v>3458.17</v>
      </c>
      <c r="G231" s="22" t="inlineStr">
        <is>
          <t>No</t>
        </is>
      </c>
      <c r="H231" s="23" t="n">
        <v>46206</v>
      </c>
      <c r="I231" s="24" t="inlineStr">
        <is>
          <t>Medium</t>
        </is>
      </c>
      <c r="J231" s="24" t="inlineStr">
        <is>
          <t>Pay to terms unless Controller releases otherwise</t>
        </is>
      </c>
      <c r="K231" s="8">
        <f>IFERROR(MATCH(H231,'13W Cash Forecast'!$B$4:$N$4,1),1)</f>
        <v/>
      </c>
    </row>
    <row r="232">
      <c r="A232" s="8" t="inlineStr">
        <is>
          <t>AP</t>
        </is>
      </c>
      <c r="B232" s="8" t="inlineStr">
        <is>
          <t>AP-0005097</t>
        </is>
      </c>
      <c r="C232" s="8" t="inlineStr">
        <is>
          <t>ARM-2506</t>
        </is>
      </c>
      <c r="D232" s="8" t="inlineStr">
        <is>
          <t>Evergreen Testing &amp; Balancing, Inc.</t>
        </is>
      </c>
      <c r="E232" s="22" t="n">
        <v>46207</v>
      </c>
      <c r="F232" s="9" t="n">
        <v>8756.24</v>
      </c>
      <c r="G232" s="22" t="inlineStr">
        <is>
          <t>No</t>
        </is>
      </c>
      <c r="H232" s="23" t="n">
        <v>46207</v>
      </c>
      <c r="I232" s="24" t="inlineStr">
        <is>
          <t>Medium</t>
        </is>
      </c>
      <c r="J232" s="24" t="inlineStr">
        <is>
          <t>Pay to terms unless Controller releases otherwise</t>
        </is>
      </c>
      <c r="K232" s="8">
        <f>IFERROR(MATCH(H232,'13W Cash Forecast'!$B$4:$N$4,1),1)</f>
        <v/>
      </c>
    </row>
    <row r="233">
      <c r="A233" s="8" t="inlineStr">
        <is>
          <t>AP</t>
        </is>
      </c>
      <c r="B233" s="8" t="inlineStr">
        <is>
          <t>AP-0005243</t>
        </is>
      </c>
      <c r="C233" s="8" t="inlineStr">
        <is>
          <t>ARM-2510</t>
        </is>
      </c>
      <c r="D233" s="8" t="inlineStr">
        <is>
          <t>Cedar Mill Sheet Metal Fabrication - Salem Services, LLC</t>
        </is>
      </c>
      <c r="E233" s="22" t="n">
        <v>46207</v>
      </c>
      <c r="F233" s="9" t="n">
        <v>16708.6</v>
      </c>
      <c r="G233" s="22" t="inlineStr">
        <is>
          <t>No</t>
        </is>
      </c>
      <c r="H233" s="23" t="n">
        <v>46207</v>
      </c>
      <c r="I233" s="24" t="inlineStr">
        <is>
          <t>Medium</t>
        </is>
      </c>
      <c r="J233" s="24" t="inlineStr">
        <is>
          <t>Pay to terms unless Controller releases otherwise</t>
        </is>
      </c>
      <c r="K233" s="8">
        <f>IFERROR(MATCH(H233,'13W Cash Forecast'!$B$4:$N$4,1),1)</f>
        <v/>
      </c>
    </row>
    <row r="234">
      <c r="A234" s="8" t="inlineStr">
        <is>
          <t>AP</t>
        </is>
      </c>
      <c r="B234" s="8" t="inlineStr">
        <is>
          <t>AP-0009909</t>
        </is>
      </c>
      <c r="C234" s="8" t="inlineStr">
        <is>
          <t>G&amp;A</t>
        </is>
      </c>
      <c r="D234" s="8" t="inlineStr">
        <is>
          <t>Rose City Fleet Service Center - Portland Services, LLC</t>
        </is>
      </c>
      <c r="E234" s="22" t="n">
        <v>46207</v>
      </c>
      <c r="F234" s="9" t="n">
        <v>6841.26</v>
      </c>
      <c r="G234" s="22" t="inlineStr">
        <is>
          <t>No</t>
        </is>
      </c>
      <c r="H234" s="23" t="n">
        <v>46207</v>
      </c>
      <c r="I234" s="24" t="inlineStr">
        <is>
          <t>Medium</t>
        </is>
      </c>
      <c r="J234" s="24" t="inlineStr">
        <is>
          <t>Pay to terms unless Controller releases otherwise</t>
        </is>
      </c>
      <c r="K234" s="8">
        <f>IFERROR(MATCH(H234,'13W Cash Forecast'!$B$4:$N$4,1),1)</f>
        <v/>
      </c>
    </row>
    <row r="235">
      <c r="A235" s="8" t="inlineStr">
        <is>
          <t>AP</t>
        </is>
      </c>
      <c r="B235" s="8" t="inlineStr">
        <is>
          <t>AP-0009930</t>
        </is>
      </c>
      <c r="C235" s="8" t="inlineStr">
        <is>
          <t>G&amp;A</t>
        </is>
      </c>
      <c r="D235" s="8" t="inlineStr">
        <is>
          <t>Rose City Fleet Service Center - Portland Services, LLC</t>
        </is>
      </c>
      <c r="E235" s="22" t="n">
        <v>46207</v>
      </c>
      <c r="F235" s="9" t="n">
        <v>4495.02</v>
      </c>
      <c r="G235" s="22" t="inlineStr">
        <is>
          <t>No</t>
        </is>
      </c>
      <c r="H235" s="23" t="n">
        <v>46207</v>
      </c>
      <c r="I235" s="24" t="inlineStr">
        <is>
          <t>Medium</t>
        </is>
      </c>
      <c r="J235" s="24" t="inlineStr">
        <is>
          <t>Pay to terms unless Controller releases otherwise</t>
        </is>
      </c>
      <c r="K235" s="8">
        <f>IFERROR(MATCH(H235,'13W Cash Forecast'!$B$4:$N$4,1),1)</f>
        <v/>
      </c>
    </row>
    <row r="236">
      <c r="A236" s="8" t="inlineStr">
        <is>
          <t>AP</t>
        </is>
      </c>
      <c r="B236" s="8" t="inlineStr">
        <is>
          <t>AP-0011877</t>
        </is>
      </c>
      <c r="C236" s="8" t="inlineStr">
        <is>
          <t>G&amp;A</t>
        </is>
      </c>
      <c r="D236" s="8" t="inlineStr">
        <is>
          <t>Northwest Building Services - Bend Group</t>
        </is>
      </c>
      <c r="E236" s="22" t="n">
        <v>46207</v>
      </c>
      <c r="F236" s="9" t="n">
        <v>5735.59</v>
      </c>
      <c r="G236" s="22" t="inlineStr">
        <is>
          <t>No</t>
        </is>
      </c>
      <c r="H236" s="23" t="n">
        <v>46207</v>
      </c>
      <c r="I236" s="24" t="inlineStr">
        <is>
          <t>Medium</t>
        </is>
      </c>
      <c r="J236" s="24" t="inlineStr">
        <is>
          <t>Pay to terms unless Controller releases otherwise</t>
        </is>
      </c>
      <c r="K236" s="8">
        <f>IFERROR(MATCH(H236,'13W Cash Forecast'!$B$4:$N$4,1),1)</f>
        <v/>
      </c>
    </row>
    <row r="237">
      <c r="A237" s="8" t="inlineStr">
        <is>
          <t>AP</t>
        </is>
      </c>
      <c r="B237" s="8" t="inlineStr">
        <is>
          <t>AP-0011890</t>
        </is>
      </c>
      <c r="C237" s="8" t="inlineStr">
        <is>
          <t>G&amp;A</t>
        </is>
      </c>
      <c r="D237" s="8" t="inlineStr">
        <is>
          <t>Rogue Valley Fleet Service Center - Salem LLC</t>
        </is>
      </c>
      <c r="E237" s="22" t="n">
        <v>46207</v>
      </c>
      <c r="F237" s="9" t="n">
        <v>12172.91</v>
      </c>
      <c r="G237" s="22" t="inlineStr">
        <is>
          <t>No</t>
        </is>
      </c>
      <c r="H237" s="23" t="n">
        <v>46207</v>
      </c>
      <c r="I237" s="24" t="inlineStr">
        <is>
          <t>Medium</t>
        </is>
      </c>
      <c r="J237" s="24" t="inlineStr">
        <is>
          <t>Pay to terms unless Controller releases otherwise</t>
        </is>
      </c>
      <c r="K237" s="8">
        <f>IFERROR(MATCH(H237,'13W Cash Forecast'!$B$4:$N$4,1),1)</f>
        <v/>
      </c>
    </row>
    <row r="238">
      <c r="A238" s="8" t="inlineStr">
        <is>
          <t>AP</t>
        </is>
      </c>
      <c r="B238" s="8" t="inlineStr">
        <is>
          <t>AP-0011904</t>
        </is>
      </c>
      <c r="C238" s="8" t="inlineStr">
        <is>
          <t>G&amp;A</t>
        </is>
      </c>
      <c r="D238" s="8" t="inlineStr">
        <is>
          <t>Moss Adams LLP</t>
        </is>
      </c>
      <c r="E238" s="22" t="n">
        <v>46207</v>
      </c>
      <c r="F238" s="9" t="n">
        <v>14187.34</v>
      </c>
      <c r="G238" s="22" t="inlineStr">
        <is>
          <t>No</t>
        </is>
      </c>
      <c r="H238" s="23" t="n">
        <v>46207</v>
      </c>
      <c r="I238" s="24" t="inlineStr">
        <is>
          <t>Medium</t>
        </is>
      </c>
      <c r="J238" s="24" t="inlineStr">
        <is>
          <t>Pay to terms unless Controller releases otherwise</t>
        </is>
      </c>
      <c r="K238" s="8">
        <f>IFERROR(MATCH(H238,'13W Cash Forecast'!$B$4:$N$4,1),1)</f>
        <v/>
      </c>
    </row>
    <row r="239">
      <c r="A239" s="8" t="inlineStr">
        <is>
          <t>AP</t>
        </is>
      </c>
      <c r="B239" s="8" t="inlineStr">
        <is>
          <t>AP-0004101</t>
        </is>
      </c>
      <c r="C239" s="8" t="inlineStr">
        <is>
          <t>ARM-2403</t>
        </is>
      </c>
      <c r="D239" s="8" t="inlineStr">
        <is>
          <t>Cedar Mill Testing and Balancing - Bend Services, LLC</t>
        </is>
      </c>
      <c r="E239" s="22" t="n">
        <v>46208</v>
      </c>
      <c r="F239" s="9" t="n">
        <v>17675.69</v>
      </c>
      <c r="G239" s="22" t="inlineStr">
        <is>
          <t>No</t>
        </is>
      </c>
      <c r="H239" s="23" t="n">
        <v>46208</v>
      </c>
      <c r="I239" s="24" t="inlineStr">
        <is>
          <t>Medium</t>
        </is>
      </c>
      <c r="J239" s="24" t="inlineStr">
        <is>
          <t>Pay to terms unless Controller releases otherwise</t>
        </is>
      </c>
      <c r="K239" s="8">
        <f>IFERROR(MATCH(H239,'13W Cash Forecast'!$B$4:$N$4,1),1)</f>
        <v/>
      </c>
    </row>
    <row r="240">
      <c r="A240" s="8" t="inlineStr">
        <is>
          <t>AP</t>
        </is>
      </c>
      <c r="B240" s="8" t="inlineStr">
        <is>
          <t>AP-0004441</t>
        </is>
      </c>
      <c r="C240" s="8" t="inlineStr">
        <is>
          <t>ARM-2412</t>
        </is>
      </c>
      <c r="D240" s="8" t="inlineStr">
        <is>
          <t>Summit Sheet Metal Fabrication - Bend Group</t>
        </is>
      </c>
      <c r="E240" s="22" t="n">
        <v>46208</v>
      </c>
      <c r="F240" s="9" t="n">
        <v>9601.719999999999</v>
      </c>
      <c r="G240" s="22" t="inlineStr">
        <is>
          <t>No</t>
        </is>
      </c>
      <c r="H240" s="23" t="n">
        <v>46208</v>
      </c>
      <c r="I240" s="24" t="inlineStr">
        <is>
          <t>Medium</t>
        </is>
      </c>
      <c r="J240" s="24" t="inlineStr">
        <is>
          <t>Pay to terms unless Controller releases otherwise</t>
        </is>
      </c>
      <c r="K240" s="8">
        <f>IFERROR(MATCH(H240,'13W Cash Forecast'!$B$4:$N$4,1),1)</f>
        <v/>
      </c>
    </row>
    <row r="241">
      <c r="A241" s="8" t="inlineStr">
        <is>
          <t>AP</t>
        </is>
      </c>
      <c r="B241" s="8" t="inlineStr">
        <is>
          <t>AP-0005236</t>
        </is>
      </c>
      <c r="C241" s="8" t="inlineStr">
        <is>
          <t>ARM-2510</t>
        </is>
      </c>
      <c r="D241" s="8" t="inlineStr">
        <is>
          <t>Bridge City Testing and Balancing - Beaverton Group</t>
        </is>
      </c>
      <c r="E241" s="22" t="n">
        <v>46208</v>
      </c>
      <c r="F241" s="9" t="n">
        <v>9448.129999999999</v>
      </c>
      <c r="G241" s="22" t="inlineStr">
        <is>
          <t>No</t>
        </is>
      </c>
      <c r="H241" s="23" t="n">
        <v>46208</v>
      </c>
      <c r="I241" s="24" t="inlineStr">
        <is>
          <t>Medium</t>
        </is>
      </c>
      <c r="J241" s="24" t="inlineStr">
        <is>
          <t>Pay to terms unless Controller releases otherwise</t>
        </is>
      </c>
      <c r="K241" s="8">
        <f>IFERROR(MATCH(H241,'13W Cash Forecast'!$B$4:$N$4,1),1)</f>
        <v/>
      </c>
    </row>
    <row r="242">
      <c r="A242" s="8" t="inlineStr">
        <is>
          <t>AP</t>
        </is>
      </c>
      <c r="B242" s="8" t="inlineStr">
        <is>
          <t>AP-0005432</t>
        </is>
      </c>
      <c r="C242" s="8" t="inlineStr">
        <is>
          <t>ARM-2514</t>
        </is>
      </c>
      <c r="D242" s="8" t="inlineStr">
        <is>
          <t>Evergreen Testing &amp; Balancing, Inc.</t>
        </is>
      </c>
      <c r="E242" s="22" t="n">
        <v>46208</v>
      </c>
      <c r="F242" s="9" t="n">
        <v>11378.12</v>
      </c>
      <c r="G242" s="22" t="inlineStr">
        <is>
          <t>No</t>
        </is>
      </c>
      <c r="H242" s="23" t="n">
        <v>46208</v>
      </c>
      <c r="I242" s="24" t="inlineStr">
        <is>
          <t>Medium</t>
        </is>
      </c>
      <c r="J242" s="24" t="inlineStr">
        <is>
          <t>Pay to terms unless Controller releases otherwise</t>
        </is>
      </c>
      <c r="K242" s="8">
        <f>IFERROR(MATCH(H242,'13W Cash Forecast'!$B$4:$N$4,1),1)</f>
        <v/>
      </c>
    </row>
    <row r="243">
      <c r="A243" s="8" t="inlineStr">
        <is>
          <t>AP</t>
        </is>
      </c>
      <c r="B243" s="8" t="inlineStr">
        <is>
          <t>AP-0005631</t>
        </is>
      </c>
      <c r="C243" s="8" t="inlineStr">
        <is>
          <t>ARM-2526</t>
        </is>
      </c>
      <c r="D243" s="8" t="inlineStr">
        <is>
          <t>Northwest Testing and Balancing - Salem Group</t>
        </is>
      </c>
      <c r="E243" s="22" t="n">
        <v>46208</v>
      </c>
      <c r="F243" s="9" t="n">
        <v>15743.37</v>
      </c>
      <c r="G243" s="22" t="inlineStr">
        <is>
          <t>No</t>
        </is>
      </c>
      <c r="H243" s="23" t="n">
        <v>46208</v>
      </c>
      <c r="I243" s="24" t="inlineStr">
        <is>
          <t>Medium</t>
        </is>
      </c>
      <c r="J243" s="24" t="inlineStr">
        <is>
          <t>Pay to terms unless Controller releases otherwise</t>
        </is>
      </c>
      <c r="K243" s="8">
        <f>IFERROR(MATCH(H243,'13W Cash Forecast'!$B$4:$N$4,1),1)</f>
        <v/>
      </c>
    </row>
    <row r="244">
      <c r="A244" s="8" t="inlineStr">
        <is>
          <t>AP</t>
        </is>
      </c>
      <c r="B244" s="8" t="inlineStr">
        <is>
          <t>AP-0005686</t>
        </is>
      </c>
      <c r="C244" s="8" t="inlineStr">
        <is>
          <t>ARM-2602</t>
        </is>
      </c>
      <c r="D244" s="8" t="inlineStr">
        <is>
          <t>Blue Mountain Crane and Rigging - Eugene Company</t>
        </is>
      </c>
      <c r="E244" s="22" t="n">
        <v>46208</v>
      </c>
      <c r="F244" s="9" t="n">
        <v>11295.93</v>
      </c>
      <c r="G244" s="22" t="inlineStr">
        <is>
          <t>No</t>
        </is>
      </c>
      <c r="H244" s="23" t="n">
        <v>46208</v>
      </c>
      <c r="I244" s="24" t="inlineStr">
        <is>
          <t>Medium</t>
        </is>
      </c>
      <c r="J244" s="24" t="inlineStr">
        <is>
          <t>Pay to terms unless Controller releases otherwise</t>
        </is>
      </c>
      <c r="K244" s="8">
        <f>IFERROR(MATCH(H244,'13W Cash Forecast'!$B$4:$N$4,1),1)</f>
        <v/>
      </c>
    </row>
    <row r="245">
      <c r="A245" s="8" t="inlineStr">
        <is>
          <t>AP</t>
        </is>
      </c>
      <c r="B245" s="8" t="inlineStr">
        <is>
          <t>AP-0011887</t>
        </is>
      </c>
      <c r="C245" s="8" t="inlineStr">
        <is>
          <t>G&amp;A</t>
        </is>
      </c>
      <c r="D245" s="8" t="inlineStr">
        <is>
          <t>Rainier Fleet Service Center - Beaverton Company</t>
        </is>
      </c>
      <c r="E245" s="22" t="n">
        <v>46208</v>
      </c>
      <c r="F245" s="9" t="n">
        <v>25089.16</v>
      </c>
      <c r="G245" s="22" t="inlineStr">
        <is>
          <t>No</t>
        </is>
      </c>
      <c r="H245" s="23" t="n">
        <v>46208</v>
      </c>
      <c r="I245" s="24" t="inlineStr">
        <is>
          <t>Medium</t>
        </is>
      </c>
      <c r="J245" s="24" t="inlineStr">
        <is>
          <t>Pay to terms unless Controller releases otherwise</t>
        </is>
      </c>
      <c r="K245" s="8">
        <f>IFERROR(MATCH(H245,'13W Cash Forecast'!$B$4:$N$4,1),1)</f>
        <v/>
      </c>
    </row>
    <row r="246">
      <c r="A246" s="8" t="inlineStr">
        <is>
          <t>AP</t>
        </is>
      </c>
      <c r="B246" s="8" t="inlineStr">
        <is>
          <t>AP-0011891</t>
        </is>
      </c>
      <c r="C246" s="8" t="inlineStr">
        <is>
          <t>G&amp;A</t>
        </is>
      </c>
      <c r="D246" s="8" t="inlineStr">
        <is>
          <t>Evergreen Fleet Service Center - Salem Company</t>
        </is>
      </c>
      <c r="E246" s="22" t="n">
        <v>46208</v>
      </c>
      <c r="F246" s="9" t="n">
        <v>11813.56</v>
      </c>
      <c r="G246" s="22" t="inlineStr">
        <is>
          <t>No</t>
        </is>
      </c>
      <c r="H246" s="23" t="n">
        <v>46208</v>
      </c>
      <c r="I246" s="24" t="inlineStr">
        <is>
          <t>Medium</t>
        </is>
      </c>
      <c r="J246" s="24" t="inlineStr">
        <is>
          <t>Pay to terms unless Controller releases otherwise</t>
        </is>
      </c>
      <c r="K246" s="8">
        <f>IFERROR(MATCH(H246,'13W Cash Forecast'!$B$4:$N$4,1),1)</f>
        <v/>
      </c>
    </row>
    <row r="247">
      <c r="A247" s="8" t="inlineStr">
        <is>
          <t>AP</t>
        </is>
      </c>
      <c r="B247" s="8" t="inlineStr">
        <is>
          <t>AP-0011898</t>
        </is>
      </c>
      <c r="C247" s="8" t="inlineStr">
        <is>
          <t>G&amp;A</t>
        </is>
      </c>
      <c r="D247" s="8" t="inlineStr">
        <is>
          <t>Rogue Valley Building Services - Eugene LLC</t>
        </is>
      </c>
      <c r="E247" s="22" t="n">
        <v>46208</v>
      </c>
      <c r="F247" s="9" t="n">
        <v>18306.25</v>
      </c>
      <c r="G247" s="22" t="inlineStr">
        <is>
          <t>No</t>
        </is>
      </c>
      <c r="H247" s="23" t="n">
        <v>46208</v>
      </c>
      <c r="I247" s="24" t="inlineStr">
        <is>
          <t>Medium</t>
        </is>
      </c>
      <c r="J247" s="24" t="inlineStr">
        <is>
          <t>Pay to terms unless Controller releases otherwise</t>
        </is>
      </c>
      <c r="K247" s="8">
        <f>IFERROR(MATCH(H247,'13W Cash Forecast'!$B$4:$N$4,1),1)</f>
        <v/>
      </c>
    </row>
    <row r="248">
      <c r="A248" s="8" t="inlineStr">
        <is>
          <t>AP</t>
        </is>
      </c>
      <c r="B248" s="8" t="inlineStr">
        <is>
          <t>AP-0004285</t>
        </is>
      </c>
      <c r="C248" s="8" t="inlineStr">
        <is>
          <t>ARM-2409</t>
        </is>
      </c>
      <c r="D248" s="8" t="inlineStr">
        <is>
          <t>Rainier Electrical Contracting - Gresham Company</t>
        </is>
      </c>
      <c r="E248" s="22" t="n">
        <v>46209</v>
      </c>
      <c r="F248" s="9" t="n">
        <v>12796.21</v>
      </c>
      <c r="G248" s="22" t="inlineStr">
        <is>
          <t>No</t>
        </is>
      </c>
      <c r="H248" s="23" t="n">
        <v>46209</v>
      </c>
      <c r="I248" s="24" t="inlineStr">
        <is>
          <t>Medium</t>
        </is>
      </c>
      <c r="J248" s="24" t="inlineStr">
        <is>
          <t>Pay to terms unless Controller releases otherwise</t>
        </is>
      </c>
      <c r="K248" s="8">
        <f>IFERROR(MATCH(H248,'13W Cash Forecast'!$B$4:$N$4,1),1)</f>
        <v/>
      </c>
    </row>
    <row r="249">
      <c r="A249" s="8" t="inlineStr">
        <is>
          <t>AP</t>
        </is>
      </c>
      <c r="B249" s="8" t="inlineStr">
        <is>
          <t>AP-0004291</t>
        </is>
      </c>
      <c r="C249" s="8" t="inlineStr">
        <is>
          <t>ARM-2409</t>
        </is>
      </c>
      <c r="D249" s="8" t="inlineStr">
        <is>
          <t>Blue Mountain Crane and Rigging - Eugene Company</t>
        </is>
      </c>
      <c r="E249" s="22" t="n">
        <v>46209</v>
      </c>
      <c r="F249" s="9" t="n">
        <v>3890.18</v>
      </c>
      <c r="G249" s="22" t="inlineStr">
        <is>
          <t>No</t>
        </is>
      </c>
      <c r="H249" s="23" t="n">
        <v>46209</v>
      </c>
      <c r="I249" s="24" t="inlineStr">
        <is>
          <t>Medium</t>
        </is>
      </c>
      <c r="J249" s="24" t="inlineStr">
        <is>
          <t>Pay to terms unless Controller releases otherwise</t>
        </is>
      </c>
      <c r="K249" s="8">
        <f>IFERROR(MATCH(H249,'13W Cash Forecast'!$B$4:$N$4,1),1)</f>
        <v/>
      </c>
    </row>
    <row r="250">
      <c r="A250" s="8" t="inlineStr">
        <is>
          <t>AP</t>
        </is>
      </c>
      <c r="B250" s="8" t="inlineStr">
        <is>
          <t>AP-0004689</t>
        </is>
      </c>
      <c r="C250" s="8" t="inlineStr">
        <is>
          <t>ARM-2417</t>
        </is>
      </c>
      <c r="D250" s="8" t="inlineStr">
        <is>
          <t>Bridge City Equipment Rental &amp; Services - Bend Group</t>
        </is>
      </c>
      <c r="E250" s="22" t="n">
        <v>46209</v>
      </c>
      <c r="F250" s="9" t="n">
        <v>28101.21</v>
      </c>
      <c r="G250" s="22" t="inlineStr">
        <is>
          <t>No</t>
        </is>
      </c>
      <c r="H250" s="23" t="n">
        <v>46209</v>
      </c>
      <c r="I250" s="24" t="inlineStr">
        <is>
          <t>Medium</t>
        </is>
      </c>
      <c r="J250" s="24" t="inlineStr">
        <is>
          <t>Pay to terms unless Controller releases otherwise</t>
        </is>
      </c>
      <c r="K250" s="8">
        <f>IFERROR(MATCH(H250,'13W Cash Forecast'!$B$4:$N$4,1),1)</f>
        <v/>
      </c>
    </row>
    <row r="251">
      <c r="A251" s="8" t="inlineStr">
        <is>
          <t>AP</t>
        </is>
      </c>
      <c r="B251" s="8" t="inlineStr">
        <is>
          <t>AP-0004891</t>
        </is>
      </c>
      <c r="C251" s="8" t="inlineStr">
        <is>
          <t>ARM-2501</t>
        </is>
      </c>
      <c r="D251" s="8" t="inlineStr">
        <is>
          <t>Blue Mountain Electrical Contracting - Salem Company</t>
        </is>
      </c>
      <c r="E251" s="22" t="n">
        <v>46209</v>
      </c>
      <c r="F251" s="9" t="n">
        <v>9295.48</v>
      </c>
      <c r="G251" s="22" t="inlineStr">
        <is>
          <t>No</t>
        </is>
      </c>
      <c r="H251" s="23" t="n">
        <v>46209</v>
      </c>
      <c r="I251" s="24" t="inlineStr">
        <is>
          <t>Medium</t>
        </is>
      </c>
      <c r="J251" s="24" t="inlineStr">
        <is>
          <t>Pay to terms unless Controller releases otherwise</t>
        </is>
      </c>
      <c r="K251" s="8">
        <f>IFERROR(MATCH(H251,'13W Cash Forecast'!$B$4:$N$4,1),1)</f>
        <v/>
      </c>
    </row>
    <row r="252">
      <c r="A252" s="8" t="inlineStr">
        <is>
          <t>AP</t>
        </is>
      </c>
      <c r="B252" s="8" t="inlineStr">
        <is>
          <t>AP-0004896</t>
        </is>
      </c>
      <c r="C252" s="8" t="inlineStr">
        <is>
          <t>ARM-2501</t>
        </is>
      </c>
      <c r="D252" s="8" t="inlineStr">
        <is>
          <t>Willamette Pipe, Valve &amp; Fitting Supply - Beaverton Inc.</t>
        </is>
      </c>
      <c r="E252" s="22" t="n">
        <v>46209</v>
      </c>
      <c r="F252" s="9" t="n">
        <v>20945.24</v>
      </c>
      <c r="G252" s="22" t="inlineStr">
        <is>
          <t>No</t>
        </is>
      </c>
      <c r="H252" s="23" t="n">
        <v>46209</v>
      </c>
      <c r="I252" s="24" t="inlineStr">
        <is>
          <t>Medium</t>
        </is>
      </c>
      <c r="J252" s="24" t="inlineStr">
        <is>
          <t>Pay to terms unless Controller releases otherwise</t>
        </is>
      </c>
      <c r="K252" s="8">
        <f>IFERROR(MATCH(H252,'13W Cash Forecast'!$B$4:$N$4,1),1)</f>
        <v/>
      </c>
    </row>
    <row r="253">
      <c r="A253" s="8" t="inlineStr">
        <is>
          <t>AP</t>
        </is>
      </c>
      <c r="B253" s="8" t="inlineStr">
        <is>
          <t>AP-0005419</t>
        </is>
      </c>
      <c r="C253" s="8" t="inlineStr">
        <is>
          <t>ARM-2514</t>
        </is>
      </c>
      <c r="D253" s="8" t="inlineStr">
        <is>
          <t>Summit Testing and Balancing - Portland Group</t>
        </is>
      </c>
      <c r="E253" s="22" t="n">
        <v>46209</v>
      </c>
      <c r="F253" s="9" t="n">
        <v>19496.94</v>
      </c>
      <c r="G253" s="22" t="inlineStr">
        <is>
          <t>No</t>
        </is>
      </c>
      <c r="H253" s="23" t="n">
        <v>46209</v>
      </c>
      <c r="I253" s="24" t="inlineStr">
        <is>
          <t>Medium</t>
        </is>
      </c>
      <c r="J253" s="24" t="inlineStr">
        <is>
          <t>Pay to terms unless Controller releases otherwise</t>
        </is>
      </c>
      <c r="K253" s="8">
        <f>IFERROR(MATCH(H253,'13W Cash Forecast'!$B$4:$N$4,1),1)</f>
        <v/>
      </c>
    </row>
    <row r="254">
      <c r="A254" s="8" t="inlineStr">
        <is>
          <t>AP</t>
        </is>
      </c>
      <c r="B254" s="8" t="inlineStr">
        <is>
          <t>AP-0005678</t>
        </is>
      </c>
      <c r="C254" s="8" t="inlineStr">
        <is>
          <t>ARM-2602</t>
        </is>
      </c>
      <c r="D254" s="8" t="inlineStr">
        <is>
          <t>Bridge City Mechanical Insulation - Bend Group</t>
        </is>
      </c>
      <c r="E254" s="22" t="n">
        <v>46209</v>
      </c>
      <c r="F254" s="9" t="n">
        <v>14481.61</v>
      </c>
      <c r="G254" s="22" t="inlineStr">
        <is>
          <t>No</t>
        </is>
      </c>
      <c r="H254" s="23" t="n">
        <v>46209</v>
      </c>
      <c r="I254" s="24" t="inlineStr">
        <is>
          <t>Medium</t>
        </is>
      </c>
      <c r="J254" s="24" t="inlineStr">
        <is>
          <t>Pay to terms unless Controller releases otherwise</t>
        </is>
      </c>
      <c r="K254" s="8">
        <f>IFERROR(MATCH(H254,'13W Cash Forecast'!$B$4:$N$4,1),1)</f>
        <v/>
      </c>
    </row>
    <row r="255">
      <c r="A255" s="8" t="inlineStr">
        <is>
          <t>AP</t>
        </is>
      </c>
      <c r="B255" s="8" t="inlineStr">
        <is>
          <t>AP-0004100</t>
        </is>
      </c>
      <c r="C255" s="8" t="inlineStr">
        <is>
          <t>ARM-2403</t>
        </is>
      </c>
      <c r="D255" s="8" t="inlineStr">
        <is>
          <t>Cascade Sheet Metal Fabrication - Salem LLC</t>
        </is>
      </c>
      <c r="E255" s="22" t="n">
        <v>46210</v>
      </c>
      <c r="F255" s="9" t="n">
        <v>9607.68</v>
      </c>
      <c r="G255" s="22" t="inlineStr">
        <is>
          <t>No</t>
        </is>
      </c>
      <c r="H255" s="23" t="n">
        <v>46210</v>
      </c>
      <c r="I255" s="24" t="inlineStr">
        <is>
          <t>Medium</t>
        </is>
      </c>
      <c r="J255" s="24" t="inlineStr">
        <is>
          <t>Pay to terms unless Controller releases otherwise</t>
        </is>
      </c>
      <c r="K255" s="8">
        <f>IFERROR(MATCH(H255,'13W Cash Forecast'!$B$4:$N$4,1),1)</f>
        <v/>
      </c>
    </row>
    <row r="256">
      <c r="A256" s="8" t="inlineStr">
        <is>
          <t>AP</t>
        </is>
      </c>
      <c r="B256" s="8" t="inlineStr">
        <is>
          <t>AP-0004443</t>
        </is>
      </c>
      <c r="C256" s="8" t="inlineStr">
        <is>
          <t>ARM-2412</t>
        </is>
      </c>
      <c r="D256" s="8" t="inlineStr">
        <is>
          <t>Tualatin Crane and Rigging - Portland Inc.</t>
        </is>
      </c>
      <c r="E256" s="22" t="n">
        <v>46210</v>
      </c>
      <c r="F256" s="9" t="n">
        <v>16497.24</v>
      </c>
      <c r="G256" s="22" t="inlineStr">
        <is>
          <t>No</t>
        </is>
      </c>
      <c r="H256" s="23" t="n">
        <v>46210</v>
      </c>
      <c r="I256" s="24" t="inlineStr">
        <is>
          <t>Medium</t>
        </is>
      </c>
      <c r="J256" s="24" t="inlineStr">
        <is>
          <t>Pay to terms unless Controller releases otherwise</t>
        </is>
      </c>
      <c r="K256" s="8">
        <f>IFERROR(MATCH(H256,'13W Cash Forecast'!$B$4:$N$4,1),1)</f>
        <v/>
      </c>
    </row>
    <row r="257">
      <c r="A257" s="8" t="inlineStr">
        <is>
          <t>AP</t>
        </is>
      </c>
      <c r="B257" s="8" t="inlineStr">
        <is>
          <t>AP-0004447</t>
        </is>
      </c>
      <c r="C257" s="8" t="inlineStr">
        <is>
          <t>ARM-2412</t>
        </is>
      </c>
      <c r="D257" s="8" t="inlineStr">
        <is>
          <t>High Desert Mechanical Insulation - Beaverton Services, LLC</t>
        </is>
      </c>
      <c r="E257" s="22" t="n">
        <v>46210</v>
      </c>
      <c r="F257" s="9" t="n">
        <v>15964.28</v>
      </c>
      <c r="G257" s="22" t="inlineStr">
        <is>
          <t>No</t>
        </is>
      </c>
      <c r="H257" s="23" t="n">
        <v>46210</v>
      </c>
      <c r="I257" s="24" t="inlineStr">
        <is>
          <t>Medium</t>
        </is>
      </c>
      <c r="J257" s="24" t="inlineStr">
        <is>
          <t>Pay to terms unless Controller releases otherwise</t>
        </is>
      </c>
      <c r="K257" s="8">
        <f>IFERROR(MATCH(H257,'13W Cash Forecast'!$B$4:$N$4,1),1)</f>
        <v/>
      </c>
    </row>
    <row r="258">
      <c r="A258" s="8" t="inlineStr">
        <is>
          <t>AP</t>
        </is>
      </c>
      <c r="B258" s="8" t="inlineStr">
        <is>
          <t>AP-0004449</t>
        </is>
      </c>
      <c r="C258" s="8" t="inlineStr">
        <is>
          <t>ARM-2412</t>
        </is>
      </c>
      <c r="D258" s="8" t="inlineStr">
        <is>
          <t>Rainier Equipment Rental &amp; Services - Bend Company</t>
        </is>
      </c>
      <c r="E258" s="22" t="n">
        <v>46210</v>
      </c>
      <c r="F258" s="9" t="n">
        <v>7468.14</v>
      </c>
      <c r="G258" s="22" t="inlineStr">
        <is>
          <t>No</t>
        </is>
      </c>
      <c r="H258" s="23" t="n">
        <v>46210</v>
      </c>
      <c r="I258" s="24" t="inlineStr">
        <is>
          <t>Medium</t>
        </is>
      </c>
      <c r="J258" s="24" t="inlineStr">
        <is>
          <t>Pay to terms unless Controller releases otherwise</t>
        </is>
      </c>
      <c r="K258" s="8">
        <f>IFERROR(MATCH(H258,'13W Cash Forecast'!$B$4:$N$4,1),1)</f>
        <v/>
      </c>
    </row>
    <row r="259">
      <c r="A259" s="8" t="inlineStr">
        <is>
          <t>AP</t>
        </is>
      </c>
      <c r="B259" s="8" t="inlineStr">
        <is>
          <t>AP-0004699</t>
        </is>
      </c>
      <c r="C259" s="8" t="inlineStr">
        <is>
          <t>ARM-2417</t>
        </is>
      </c>
      <c r="D259" s="8" t="inlineStr">
        <is>
          <t>Cascade Crane and Rigging - Bend LLC</t>
        </is>
      </c>
      <c r="E259" s="22" t="n">
        <v>46210</v>
      </c>
      <c r="F259" s="9" t="n">
        <v>11215.89</v>
      </c>
      <c r="G259" s="22" t="inlineStr">
        <is>
          <t>No</t>
        </is>
      </c>
      <c r="H259" s="23" t="n">
        <v>46210</v>
      </c>
      <c r="I259" s="24" t="inlineStr">
        <is>
          <t>Medium</t>
        </is>
      </c>
      <c r="J259" s="24" t="inlineStr">
        <is>
          <t>Pay to terms unless Controller releases otherwise</t>
        </is>
      </c>
      <c r="K259" s="8">
        <f>IFERROR(MATCH(H259,'13W Cash Forecast'!$B$4:$N$4,1),1)</f>
        <v/>
      </c>
    </row>
    <row r="260">
      <c r="A260" s="8" t="inlineStr">
        <is>
          <t>AP</t>
        </is>
      </c>
      <c r="B260" s="8" t="inlineStr">
        <is>
          <t>AP-0005094</t>
        </is>
      </c>
      <c r="C260" s="8" t="inlineStr">
        <is>
          <t>ARM-2506</t>
        </is>
      </c>
      <c r="D260" s="8" t="inlineStr">
        <is>
          <t>Blue Mountain Mechanical Insulation - Eugene Company</t>
        </is>
      </c>
      <c r="E260" s="22" t="n">
        <v>46210</v>
      </c>
      <c r="F260" s="9" t="n">
        <v>17274.47</v>
      </c>
      <c r="G260" s="22" t="inlineStr">
        <is>
          <t>No</t>
        </is>
      </c>
      <c r="H260" s="23" t="n">
        <v>46210</v>
      </c>
      <c r="I260" s="24" t="inlineStr">
        <is>
          <t>Medium</t>
        </is>
      </c>
      <c r="J260" s="24" t="inlineStr">
        <is>
          <t>Pay to terms unless Controller releases otherwise</t>
        </is>
      </c>
      <c r="K260" s="8">
        <f>IFERROR(MATCH(H260,'13W Cash Forecast'!$B$4:$N$4,1),1)</f>
        <v/>
      </c>
    </row>
    <row r="261">
      <c r="A261" s="8" t="inlineStr">
        <is>
          <t>AP</t>
        </is>
      </c>
      <c r="B261" s="8" t="inlineStr">
        <is>
          <t>AP-0005240</t>
        </is>
      </c>
      <c r="C261" s="8" t="inlineStr">
        <is>
          <t>ARM-2510</t>
        </is>
      </c>
      <c r="D261" s="8" t="inlineStr">
        <is>
          <t>High Desert Sheet Metal Fabrication - Bend Services, LLC</t>
        </is>
      </c>
      <c r="E261" s="22" t="n">
        <v>46210</v>
      </c>
      <c r="F261" s="9" t="n">
        <v>11175.19</v>
      </c>
      <c r="G261" s="22" t="inlineStr">
        <is>
          <t>No</t>
        </is>
      </c>
      <c r="H261" s="23" t="n">
        <v>46210</v>
      </c>
      <c r="I261" s="24" t="inlineStr">
        <is>
          <t>Medium</t>
        </is>
      </c>
      <c r="J261" s="24" t="inlineStr">
        <is>
          <t>Pay to terms unless Controller releases otherwise</t>
        </is>
      </c>
      <c r="K261" s="8">
        <f>IFERROR(MATCH(H261,'13W Cash Forecast'!$B$4:$N$4,1),1)</f>
        <v/>
      </c>
    </row>
    <row r="262">
      <c r="A262" s="8" t="inlineStr">
        <is>
          <t>AP</t>
        </is>
      </c>
      <c r="B262" s="8" t="inlineStr">
        <is>
          <t>AP-0005248</t>
        </is>
      </c>
      <c r="C262" s="8" t="inlineStr">
        <is>
          <t>ARM-2510</t>
        </is>
      </c>
      <c r="D262" s="8" t="inlineStr">
        <is>
          <t>Rose City Mechanical Insulation - Bend Services, LLC</t>
        </is>
      </c>
      <c r="E262" s="22" t="n">
        <v>46210</v>
      </c>
      <c r="F262" s="9" t="n">
        <v>15034.67</v>
      </c>
      <c r="G262" s="22" t="inlineStr">
        <is>
          <t>No</t>
        </is>
      </c>
      <c r="H262" s="23" t="n">
        <v>46210</v>
      </c>
      <c r="I262" s="24" t="inlineStr">
        <is>
          <t>Medium</t>
        </is>
      </c>
      <c r="J262" s="24" t="inlineStr">
        <is>
          <t>Pay to terms unless Controller releases otherwise</t>
        </is>
      </c>
      <c r="K262" s="8">
        <f>IFERROR(MATCH(H262,'13W Cash Forecast'!$B$4:$N$4,1),1)</f>
        <v/>
      </c>
    </row>
    <row r="263">
      <c r="A263" s="8" t="inlineStr">
        <is>
          <t>AP</t>
        </is>
      </c>
      <c r="B263" s="8" t="inlineStr">
        <is>
          <t>AP-0005501</t>
        </is>
      </c>
      <c r="C263" s="8" t="inlineStr">
        <is>
          <t>ARM-2518</t>
        </is>
      </c>
      <c r="D263" s="8" t="inlineStr">
        <is>
          <t>Summit Sheet Metal Fabrication - Bend Group</t>
        </is>
      </c>
      <c r="E263" s="22" t="n">
        <v>46210</v>
      </c>
      <c r="F263" s="9" t="n">
        <v>14253.59</v>
      </c>
      <c r="G263" s="22" t="inlineStr">
        <is>
          <t>No</t>
        </is>
      </c>
      <c r="H263" s="23" t="n">
        <v>46210</v>
      </c>
      <c r="I263" s="24" t="inlineStr">
        <is>
          <t>Medium</t>
        </is>
      </c>
      <c r="J263" s="24" t="inlineStr">
        <is>
          <t>Pay to terms unless Controller releases otherwise</t>
        </is>
      </c>
      <c r="K263" s="8">
        <f>IFERROR(MATCH(H263,'13W Cash Forecast'!$B$4:$N$4,1),1)</f>
        <v/>
      </c>
    </row>
    <row r="264">
      <c r="A264" s="8" t="inlineStr">
        <is>
          <t>AP</t>
        </is>
      </c>
      <c r="B264" s="8" t="inlineStr">
        <is>
          <t>AP-0005641</t>
        </is>
      </c>
      <c r="C264" s="8" t="inlineStr">
        <is>
          <t>ARM-2526</t>
        </is>
      </c>
      <c r="D264" s="8" t="inlineStr">
        <is>
          <t>West Coast Crane and Rigging - Salem Company</t>
        </is>
      </c>
      <c r="E264" s="22" t="n">
        <v>46210</v>
      </c>
      <c r="F264" s="9" t="n">
        <v>13603.16</v>
      </c>
      <c r="G264" s="22" t="inlineStr">
        <is>
          <t>No</t>
        </is>
      </c>
      <c r="H264" s="23" t="n">
        <v>46210</v>
      </c>
      <c r="I264" s="24" t="inlineStr">
        <is>
          <t>Medium</t>
        </is>
      </c>
      <c r="J264" s="24" t="inlineStr">
        <is>
          <t>Pay to terms unless Controller releases otherwise</t>
        </is>
      </c>
      <c r="K264" s="8">
        <f>IFERROR(MATCH(H264,'13W Cash Forecast'!$B$4:$N$4,1),1)</f>
        <v/>
      </c>
    </row>
    <row r="265">
      <c r="A265" s="8" t="inlineStr">
        <is>
          <t>AP</t>
        </is>
      </c>
      <c r="B265" s="8" t="inlineStr">
        <is>
          <t>AP-0005685</t>
        </is>
      </c>
      <c r="C265" s="8" t="inlineStr">
        <is>
          <t>ARM-2602</t>
        </is>
      </c>
      <c r="D265" s="8" t="inlineStr">
        <is>
          <t>Tri-County Electrical Contracting - Vancouver LLC</t>
        </is>
      </c>
      <c r="E265" s="22" t="n">
        <v>46210</v>
      </c>
      <c r="F265" s="9" t="n">
        <v>14198.96</v>
      </c>
      <c r="G265" s="22" t="inlineStr">
        <is>
          <t>No</t>
        </is>
      </c>
      <c r="H265" s="23" t="n">
        <v>46210</v>
      </c>
      <c r="I265" s="24" t="inlineStr">
        <is>
          <t>Medium</t>
        </is>
      </c>
      <c r="J265" s="24" t="inlineStr">
        <is>
          <t>Pay to terms unless Controller releases otherwise</t>
        </is>
      </c>
      <c r="K265" s="8">
        <f>IFERROR(MATCH(H265,'13W Cash Forecast'!$B$4:$N$4,1),1)</f>
        <v/>
      </c>
    </row>
    <row r="266">
      <c r="A266" s="8" t="inlineStr">
        <is>
          <t>AP</t>
        </is>
      </c>
      <c r="B266" s="8" t="inlineStr">
        <is>
          <t>AP-0005725</t>
        </is>
      </c>
      <c r="C266" s="8" t="inlineStr">
        <is>
          <t>ARM-2605</t>
        </is>
      </c>
      <c r="D266" s="8" t="inlineStr">
        <is>
          <t>Tri-County Testing and Balancing - Salem LLC</t>
        </is>
      </c>
      <c r="E266" s="22" t="n">
        <v>46210</v>
      </c>
      <c r="F266" s="9" t="n">
        <v>5554.63</v>
      </c>
      <c r="G266" s="22" t="inlineStr">
        <is>
          <t>No</t>
        </is>
      </c>
      <c r="H266" s="23" t="n">
        <v>46210</v>
      </c>
      <c r="I266" s="24" t="inlineStr">
        <is>
          <t>Medium</t>
        </is>
      </c>
      <c r="J266" s="24" t="inlineStr">
        <is>
          <t>Pay to terms unless Controller releases otherwise</t>
        </is>
      </c>
      <c r="K266" s="8">
        <f>IFERROR(MATCH(H266,'13W Cash Forecast'!$B$4:$N$4,1),1)</f>
        <v/>
      </c>
    </row>
    <row r="267">
      <c r="A267" s="8" t="inlineStr">
        <is>
          <t>AP</t>
        </is>
      </c>
      <c r="B267" s="8" t="inlineStr">
        <is>
          <t>AP-0009911</t>
        </is>
      </c>
      <c r="C267" s="8" t="inlineStr">
        <is>
          <t>G&amp;A</t>
        </is>
      </c>
      <c r="D267" s="8" t="inlineStr">
        <is>
          <t>Tri-County Pipe, Valve &amp; Fitting Supply - Bend LLC</t>
        </is>
      </c>
      <c r="E267" s="22" t="n">
        <v>46210</v>
      </c>
      <c r="F267" s="9" t="n">
        <v>4547.48</v>
      </c>
      <c r="G267" s="22" t="inlineStr">
        <is>
          <t>No</t>
        </is>
      </c>
      <c r="H267" s="23" t="n">
        <v>46210</v>
      </c>
      <c r="I267" s="24" t="inlineStr">
        <is>
          <t>Medium</t>
        </is>
      </c>
      <c r="J267" s="24" t="inlineStr">
        <is>
          <t>Pay to terms unless Controller releases otherwise</t>
        </is>
      </c>
      <c r="K267" s="8">
        <f>IFERROR(MATCH(H267,'13W Cash Forecast'!$B$4:$N$4,1),1)</f>
        <v/>
      </c>
    </row>
    <row r="268">
      <c r="A268" s="8" t="inlineStr">
        <is>
          <t>AP</t>
        </is>
      </c>
      <c r="B268" s="8" t="inlineStr">
        <is>
          <t>AP-0009932</t>
        </is>
      </c>
      <c r="C268" s="8" t="inlineStr">
        <is>
          <t>G&amp;A</t>
        </is>
      </c>
      <c r="D268" s="8" t="inlineStr">
        <is>
          <t>Tri-County Pipe, Valve &amp; Fitting Supply - Bend LLC</t>
        </is>
      </c>
      <c r="E268" s="22" t="n">
        <v>46210</v>
      </c>
      <c r="F268" s="9" t="n">
        <v>3804.7</v>
      </c>
      <c r="G268" s="22" t="inlineStr">
        <is>
          <t>No</t>
        </is>
      </c>
      <c r="H268" s="23" t="n">
        <v>46210</v>
      </c>
      <c r="I268" s="24" t="inlineStr">
        <is>
          <t>Medium</t>
        </is>
      </c>
      <c r="J268" s="24" t="inlineStr">
        <is>
          <t>Pay to terms unless Controller releases otherwise</t>
        </is>
      </c>
      <c r="K268" s="8">
        <f>IFERROR(MATCH(H268,'13W Cash Forecast'!$B$4:$N$4,1),1)</f>
        <v/>
      </c>
    </row>
    <row r="269">
      <c r="A269" s="8" t="inlineStr">
        <is>
          <t>AP</t>
        </is>
      </c>
      <c r="B269" s="8" t="inlineStr">
        <is>
          <t>AP-0003882</t>
        </is>
      </c>
      <c r="C269" s="8" t="inlineStr">
        <is>
          <t>ARM-2318</t>
        </is>
      </c>
      <c r="D269" s="8" t="inlineStr">
        <is>
          <t>Tri-County Testing and Balancing - Salem LLC</t>
        </is>
      </c>
      <c r="E269" s="22" t="n">
        <v>46211</v>
      </c>
      <c r="F269" s="9" t="n">
        <v>8513.450000000001</v>
      </c>
      <c r="G269" s="22" t="inlineStr">
        <is>
          <t>No</t>
        </is>
      </c>
      <c r="H269" s="23" t="n">
        <v>46211</v>
      </c>
      <c r="I269" s="24" t="inlineStr">
        <is>
          <t>Medium</t>
        </is>
      </c>
      <c r="J269" s="24" t="inlineStr">
        <is>
          <t>Pay to terms unless Controller releases otherwise</t>
        </is>
      </c>
      <c r="K269" s="8">
        <f>IFERROR(MATCH(H269,'13W Cash Forecast'!$B$4:$N$4,1),1)</f>
        <v/>
      </c>
    </row>
    <row r="270">
      <c r="A270" s="8" t="inlineStr">
        <is>
          <t>AP</t>
        </is>
      </c>
      <c r="B270" s="8" t="inlineStr">
        <is>
          <t>AP-0004706</t>
        </is>
      </c>
      <c r="C270" s="8" t="inlineStr">
        <is>
          <t>ARM-2417</t>
        </is>
      </c>
      <c r="D270" s="8" t="inlineStr">
        <is>
          <t>Cascade Sheet Metal Fabrication</t>
        </is>
      </c>
      <c r="E270" s="22" t="n">
        <v>46211</v>
      </c>
      <c r="F270" s="9" t="n">
        <v>20866.04</v>
      </c>
      <c r="G270" s="22" t="inlineStr">
        <is>
          <t>No</t>
        </is>
      </c>
      <c r="H270" s="23" t="n">
        <v>46211</v>
      </c>
      <c r="I270" s="24" t="inlineStr">
        <is>
          <t>Medium</t>
        </is>
      </c>
      <c r="J270" s="24" t="inlineStr">
        <is>
          <t>Pay to terms unless Controller releases otherwise</t>
        </is>
      </c>
      <c r="K270" s="8">
        <f>IFERROR(MATCH(H270,'13W Cash Forecast'!$B$4:$N$4,1),1)</f>
        <v/>
      </c>
    </row>
    <row r="271">
      <c r="A271" s="8" t="inlineStr">
        <is>
          <t>AP</t>
        </is>
      </c>
      <c r="B271" s="8" t="inlineStr">
        <is>
          <t>AP-0004709</t>
        </is>
      </c>
      <c r="C271" s="8" t="inlineStr">
        <is>
          <t>ARM-2417</t>
        </is>
      </c>
      <c r="D271" s="8" t="inlineStr">
        <is>
          <t>Willamette Pipe, Valve &amp; Fitting Supply - Vancouver Inc.</t>
        </is>
      </c>
      <c r="E271" s="22" t="n">
        <v>46211</v>
      </c>
      <c r="F271" s="9" t="n">
        <v>5192.86</v>
      </c>
      <c r="G271" s="22" t="inlineStr">
        <is>
          <t>No</t>
        </is>
      </c>
      <c r="H271" s="23" t="n">
        <v>46211</v>
      </c>
      <c r="I271" s="24" t="inlineStr">
        <is>
          <t>Medium</t>
        </is>
      </c>
      <c r="J271" s="24" t="inlineStr">
        <is>
          <t>Pay to terms unless Controller releases otherwise</t>
        </is>
      </c>
      <c r="K271" s="8">
        <f>IFERROR(MATCH(H271,'13W Cash Forecast'!$B$4:$N$4,1),1)</f>
        <v/>
      </c>
    </row>
    <row r="272">
      <c r="A272" s="8" t="inlineStr">
        <is>
          <t>AP</t>
        </is>
      </c>
      <c r="B272" s="8" t="inlineStr">
        <is>
          <t>AP-0004888</t>
        </is>
      </c>
      <c r="C272" s="8" t="inlineStr">
        <is>
          <t>ARM-2501</t>
        </is>
      </c>
      <c r="D272" s="8" t="inlineStr">
        <is>
          <t>Metro Mechanical Insulation - Eugene Group</t>
        </is>
      </c>
      <c r="E272" s="22" t="n">
        <v>46211</v>
      </c>
      <c r="F272" s="9" t="n">
        <v>13278.57</v>
      </c>
      <c r="G272" s="22" t="inlineStr">
        <is>
          <t>No</t>
        </is>
      </c>
      <c r="H272" s="23" t="n">
        <v>46211</v>
      </c>
      <c r="I272" s="24" t="inlineStr">
        <is>
          <t>Medium</t>
        </is>
      </c>
      <c r="J272" s="24" t="inlineStr">
        <is>
          <t>Pay to terms unless Controller releases otherwise</t>
        </is>
      </c>
      <c r="K272" s="8">
        <f>IFERROR(MATCH(H272,'13W Cash Forecast'!$B$4:$N$4,1),1)</f>
        <v/>
      </c>
    </row>
    <row r="273">
      <c r="A273" s="8" t="inlineStr">
        <is>
          <t>AP</t>
        </is>
      </c>
      <c r="B273" s="8" t="inlineStr">
        <is>
          <t>AP-0005429</t>
        </is>
      </c>
      <c r="C273" s="8" t="inlineStr">
        <is>
          <t>ARM-2514</t>
        </is>
      </c>
      <c r="D273" s="8" t="inlineStr">
        <is>
          <t>Blue Mountain Mechanical Insulation - Eugene Company</t>
        </is>
      </c>
      <c r="E273" s="22" t="n">
        <v>46211</v>
      </c>
      <c r="F273" s="9" t="n">
        <v>14641.98</v>
      </c>
      <c r="G273" s="22" t="inlineStr">
        <is>
          <t>No</t>
        </is>
      </c>
      <c r="H273" s="23" t="n">
        <v>46211</v>
      </c>
      <c r="I273" s="24" t="inlineStr">
        <is>
          <t>Medium</t>
        </is>
      </c>
      <c r="J273" s="24" t="inlineStr">
        <is>
          <t>Pay to terms unless Controller releases otherwise</t>
        </is>
      </c>
      <c r="K273" s="8">
        <f>IFERROR(MATCH(H273,'13W Cash Forecast'!$B$4:$N$4,1),1)</f>
        <v/>
      </c>
    </row>
    <row r="274">
      <c r="A274" s="8" t="inlineStr">
        <is>
          <t>AP</t>
        </is>
      </c>
      <c r="B274" s="8" t="inlineStr">
        <is>
          <t>AP-0005443</t>
        </is>
      </c>
      <c r="C274" s="8" t="inlineStr">
        <is>
          <t>ARM-2514</t>
        </is>
      </c>
      <c r="D274" s="8" t="inlineStr">
        <is>
          <t>Pioneer Crane and Rigging - Gresham Inc.</t>
        </is>
      </c>
      <c r="E274" s="22" t="n">
        <v>46211</v>
      </c>
      <c r="F274" s="9" t="n">
        <v>18892.35</v>
      </c>
      <c r="G274" s="22" t="inlineStr">
        <is>
          <t>No</t>
        </is>
      </c>
      <c r="H274" s="23" t="n">
        <v>46211</v>
      </c>
      <c r="I274" s="24" t="inlineStr">
        <is>
          <t>Medium</t>
        </is>
      </c>
      <c r="J274" s="24" t="inlineStr">
        <is>
          <t>Pay to terms unless Controller releases otherwise</t>
        </is>
      </c>
      <c r="K274" s="8">
        <f>IFERROR(MATCH(H274,'13W Cash Forecast'!$B$4:$N$4,1),1)</f>
        <v/>
      </c>
    </row>
    <row r="275">
      <c r="A275" s="8" t="inlineStr">
        <is>
          <t>AP</t>
        </is>
      </c>
      <c r="B275" s="8" t="inlineStr">
        <is>
          <t>AP-0005583</t>
        </is>
      </c>
      <c r="C275" s="8" t="inlineStr">
        <is>
          <t>ARM-2522</t>
        </is>
      </c>
      <c r="D275" s="8" t="inlineStr">
        <is>
          <t>Tri-County Sheet Metal Fabrication - Vancouver LLC</t>
        </is>
      </c>
      <c r="E275" s="22" t="n">
        <v>46211</v>
      </c>
      <c r="F275" s="9" t="n">
        <v>10438.98</v>
      </c>
      <c r="G275" s="22" t="inlineStr">
        <is>
          <t>No</t>
        </is>
      </c>
      <c r="H275" s="23" t="n">
        <v>46211</v>
      </c>
      <c r="I275" s="24" t="inlineStr">
        <is>
          <t>Medium</t>
        </is>
      </c>
      <c r="J275" s="24" t="inlineStr">
        <is>
          <t>Pay to terms unless Controller releases otherwise</t>
        </is>
      </c>
      <c r="K275" s="8">
        <f>IFERROR(MATCH(H275,'13W Cash Forecast'!$B$4:$N$4,1),1)</f>
        <v/>
      </c>
    </row>
    <row r="276">
      <c r="A276" s="8" t="inlineStr">
        <is>
          <t>AP</t>
        </is>
      </c>
      <c r="B276" s="8" t="inlineStr">
        <is>
          <t>AP-0005683</t>
        </is>
      </c>
      <c r="C276" s="8" t="inlineStr">
        <is>
          <t>ARM-2602</t>
        </is>
      </c>
      <c r="D276" s="8" t="inlineStr">
        <is>
          <t>Ferguson Enterprises - Mechanical</t>
        </is>
      </c>
      <c r="E276" s="22" t="n">
        <v>46211</v>
      </c>
      <c r="F276" s="9" t="n">
        <v>12019.41</v>
      </c>
      <c r="G276" s="22" t="inlineStr">
        <is>
          <t>No</t>
        </is>
      </c>
      <c r="H276" s="23" t="n">
        <v>46211</v>
      </c>
      <c r="I276" s="24" t="inlineStr">
        <is>
          <t>Medium</t>
        </is>
      </c>
      <c r="J276" s="24" t="inlineStr">
        <is>
          <t>Pay to terms unless Controller releases otherwise</t>
        </is>
      </c>
      <c r="K276" s="8">
        <f>IFERROR(MATCH(H276,'13W Cash Forecast'!$B$4:$N$4,1),1)</f>
        <v/>
      </c>
    </row>
    <row r="277">
      <c r="A277" s="8" t="inlineStr">
        <is>
          <t>AP</t>
        </is>
      </c>
      <c r="B277" s="8" t="inlineStr">
        <is>
          <t>AP-0009875</t>
        </is>
      </c>
      <c r="C277" s="8" t="inlineStr">
        <is>
          <t>G&amp;A</t>
        </is>
      </c>
      <c r="D277" s="8" t="inlineStr">
        <is>
          <t>Northwest Equipment Rental &amp; Services - Portland Group</t>
        </is>
      </c>
      <c r="E277" s="22" t="n">
        <v>46211</v>
      </c>
      <c r="F277" s="9" t="n">
        <v>5870.6</v>
      </c>
      <c r="G277" s="22" t="inlineStr">
        <is>
          <t>No</t>
        </is>
      </c>
      <c r="H277" s="23" t="n">
        <v>46211</v>
      </c>
      <c r="I277" s="24" t="inlineStr">
        <is>
          <t>Medium</t>
        </is>
      </c>
      <c r="J277" s="24" t="inlineStr">
        <is>
          <t>Pay to terms unless Controller releases otherwise</t>
        </is>
      </c>
      <c r="K277" s="8">
        <f>IFERROR(MATCH(H277,'13W Cash Forecast'!$B$4:$N$4,1),1)</f>
        <v/>
      </c>
    </row>
    <row r="278">
      <c r="A278" s="8" t="inlineStr">
        <is>
          <t>AP</t>
        </is>
      </c>
      <c r="B278" s="8" t="inlineStr">
        <is>
          <t>AP-0009896</t>
        </is>
      </c>
      <c r="C278" s="8" t="inlineStr">
        <is>
          <t>G&amp;A</t>
        </is>
      </c>
      <c r="D278" s="8" t="inlineStr">
        <is>
          <t>Northwest Equipment Rental &amp; Services - Portland Group</t>
        </is>
      </c>
      <c r="E278" s="22" t="n">
        <v>46211</v>
      </c>
      <c r="F278" s="9" t="n">
        <v>2378.22</v>
      </c>
      <c r="G278" s="22" t="inlineStr">
        <is>
          <t>No</t>
        </is>
      </c>
      <c r="H278" s="23" t="n">
        <v>46211</v>
      </c>
      <c r="I278" s="24" t="inlineStr">
        <is>
          <t>Medium</t>
        </is>
      </c>
      <c r="J278" s="24" t="inlineStr">
        <is>
          <t>Pay to terms unless Controller releases otherwise</t>
        </is>
      </c>
      <c r="K278" s="8">
        <f>IFERROR(MATCH(H278,'13W Cash Forecast'!$B$4:$N$4,1),1)</f>
        <v/>
      </c>
    </row>
    <row r="279">
      <c r="A279" s="8" t="inlineStr">
        <is>
          <t>AP</t>
        </is>
      </c>
      <c r="B279" s="8" t="inlineStr">
        <is>
          <t>AP-0011889</t>
        </is>
      </c>
      <c r="C279" s="8" t="inlineStr">
        <is>
          <t>G&amp;A</t>
        </is>
      </c>
      <c r="D279" s="8" t="inlineStr">
        <is>
          <t>High Desert Fleet Service Center - Eugene Services, LLC</t>
        </is>
      </c>
      <c r="E279" s="22" t="n">
        <v>46211</v>
      </c>
      <c r="F279" s="9" t="n">
        <v>10749.64</v>
      </c>
      <c r="G279" s="22" t="inlineStr">
        <is>
          <t>No</t>
        </is>
      </c>
      <c r="H279" s="23" t="n">
        <v>46211</v>
      </c>
      <c r="I279" s="24" t="inlineStr">
        <is>
          <t>Medium</t>
        </is>
      </c>
      <c r="J279" s="24" t="inlineStr">
        <is>
          <t>Pay to terms unless Controller releases otherwise</t>
        </is>
      </c>
      <c r="K279" s="8">
        <f>IFERROR(MATCH(H279,'13W Cash Forecast'!$B$4:$N$4,1),1)</f>
        <v/>
      </c>
    </row>
    <row r="280">
      <c r="A280" s="8" t="inlineStr">
        <is>
          <t>AP</t>
        </is>
      </c>
      <c r="B280" s="8" t="inlineStr">
        <is>
          <t>AP-0011903</t>
        </is>
      </c>
      <c r="C280" s="8" t="inlineStr">
        <is>
          <t>G&amp;A</t>
        </is>
      </c>
      <c r="D280" s="8" t="inlineStr">
        <is>
          <t>Tri-County Construction Advisory - Eugene LLC</t>
        </is>
      </c>
      <c r="E280" s="22" t="n">
        <v>46211</v>
      </c>
      <c r="F280" s="9" t="n">
        <v>5347.43</v>
      </c>
      <c r="G280" s="22" t="inlineStr">
        <is>
          <t>No</t>
        </is>
      </c>
      <c r="H280" s="23" t="n">
        <v>46211</v>
      </c>
      <c r="I280" s="24" t="inlineStr">
        <is>
          <t>Medium</t>
        </is>
      </c>
      <c r="J280" s="24" t="inlineStr">
        <is>
          <t>Pay to terms unless Controller releases otherwise</t>
        </is>
      </c>
      <c r="K280" s="8">
        <f>IFERROR(MATCH(H280,'13W Cash Forecast'!$B$4:$N$4,1),1)</f>
        <v/>
      </c>
    </row>
    <row r="281">
      <c r="A281" s="8" t="inlineStr">
        <is>
          <t>AP</t>
        </is>
      </c>
      <c r="B281" s="8" t="inlineStr">
        <is>
          <t>AP-0003880</t>
        </is>
      </c>
      <c r="C281" s="8" t="inlineStr">
        <is>
          <t>ARM-2318</t>
        </is>
      </c>
      <c r="D281" s="8" t="inlineStr">
        <is>
          <t>High Desert Electrical Contracting - Vancouver Services, LLC</t>
        </is>
      </c>
      <c r="E281" s="22" t="n">
        <v>46212</v>
      </c>
      <c r="F281" s="9" t="n">
        <v>18060.7</v>
      </c>
      <c r="G281" s="22" t="inlineStr">
        <is>
          <t>No</t>
        </is>
      </c>
      <c r="H281" s="23" t="n">
        <v>46212</v>
      </c>
      <c r="I281" s="24" t="inlineStr">
        <is>
          <t>Medium</t>
        </is>
      </c>
      <c r="J281" s="24" t="inlineStr">
        <is>
          <t>Pay to terms unless Controller releases otherwise</t>
        </is>
      </c>
      <c r="K281" s="8">
        <f>IFERROR(MATCH(H281,'13W Cash Forecast'!$B$4:$N$4,1),1)</f>
        <v/>
      </c>
    </row>
    <row r="282">
      <c r="A282" s="8" t="inlineStr">
        <is>
          <t>AP</t>
        </is>
      </c>
      <c r="B282" s="8" t="inlineStr">
        <is>
          <t>AP-0003885</t>
        </is>
      </c>
      <c r="C282" s="8" t="inlineStr">
        <is>
          <t>ARM-2318</t>
        </is>
      </c>
      <c r="D282" s="8" t="inlineStr">
        <is>
          <t>High Desert Crane and Rigging - Portland Services, LLC</t>
        </is>
      </c>
      <c r="E282" s="22" t="n">
        <v>46212</v>
      </c>
      <c r="F282" s="9" t="n">
        <v>20908.78</v>
      </c>
      <c r="G282" s="22" t="inlineStr">
        <is>
          <t>No</t>
        </is>
      </c>
      <c r="H282" s="23" t="n">
        <v>46212</v>
      </c>
      <c r="I282" s="24" t="inlineStr">
        <is>
          <t>Medium</t>
        </is>
      </c>
      <c r="J282" s="24" t="inlineStr">
        <is>
          <t>Pay to terms unless Controller releases otherwise</t>
        </is>
      </c>
      <c r="K282" s="8">
        <f>IFERROR(MATCH(H282,'13W Cash Forecast'!$B$4:$N$4,1),1)</f>
        <v/>
      </c>
    </row>
    <row r="283">
      <c r="A283" s="8" t="inlineStr">
        <is>
          <t>AP</t>
        </is>
      </c>
      <c r="B283" s="8" t="inlineStr">
        <is>
          <t>AP-0003887</t>
        </is>
      </c>
      <c r="C283" s="8" t="inlineStr">
        <is>
          <t>ARM-2318</t>
        </is>
      </c>
      <c r="D283" s="8" t="inlineStr">
        <is>
          <t>Rainier Testing and Balancing - Vancouver Company</t>
        </is>
      </c>
      <c r="E283" s="22" t="n">
        <v>46212</v>
      </c>
      <c r="F283" s="9" t="n">
        <v>7754.87</v>
      </c>
      <c r="G283" s="22" t="inlineStr">
        <is>
          <t>No</t>
        </is>
      </c>
      <c r="H283" s="23" t="n">
        <v>46212</v>
      </c>
      <c r="I283" s="24" t="inlineStr">
        <is>
          <t>Medium</t>
        </is>
      </c>
      <c r="J283" s="24" t="inlineStr">
        <is>
          <t>Pay to terms unless Controller releases otherwise</t>
        </is>
      </c>
      <c r="K283" s="8">
        <f>IFERROR(MATCH(H283,'13W Cash Forecast'!$B$4:$N$4,1),1)</f>
        <v/>
      </c>
    </row>
    <row r="284">
      <c r="A284" s="8" t="inlineStr">
        <is>
          <t>AP</t>
        </is>
      </c>
      <c r="B284" s="8" t="inlineStr">
        <is>
          <t>AP-0005250</t>
        </is>
      </c>
      <c r="C284" s="8" t="inlineStr">
        <is>
          <t>ARM-2510</t>
        </is>
      </c>
      <c r="D284" s="8" t="inlineStr">
        <is>
          <t>Tri-County Testing and Balancing - Salem LLC</t>
        </is>
      </c>
      <c r="E284" s="22" t="n">
        <v>46212</v>
      </c>
      <c r="F284" s="9" t="n">
        <v>7111.95</v>
      </c>
      <c r="G284" s="22" t="inlineStr">
        <is>
          <t>No</t>
        </is>
      </c>
      <c r="H284" s="23" t="n">
        <v>46212</v>
      </c>
      <c r="I284" s="24" t="inlineStr">
        <is>
          <t>Medium</t>
        </is>
      </c>
      <c r="J284" s="24" t="inlineStr">
        <is>
          <t>Pay to terms unless Controller releases otherwise</t>
        </is>
      </c>
      <c r="K284" s="8">
        <f>IFERROR(MATCH(H284,'13W Cash Forecast'!$B$4:$N$4,1),1)</f>
        <v/>
      </c>
    </row>
    <row r="285">
      <c r="A285" s="8" t="inlineStr">
        <is>
          <t>AP</t>
        </is>
      </c>
      <c r="B285" s="8" t="inlineStr">
        <is>
          <t>AP-0005511</t>
        </is>
      </c>
      <c r="C285" s="8" t="inlineStr">
        <is>
          <t>ARM-2518</t>
        </is>
      </c>
      <c r="D285" s="8" t="inlineStr">
        <is>
          <t>Willamette Crane and Rigging - Eugene Inc.</t>
        </is>
      </c>
      <c r="E285" s="22" t="n">
        <v>46212</v>
      </c>
      <c r="F285" s="9" t="n">
        <v>14804.57</v>
      </c>
      <c r="G285" s="22" t="inlineStr">
        <is>
          <t>No</t>
        </is>
      </c>
      <c r="H285" s="23" t="n">
        <v>46212</v>
      </c>
      <c r="I285" s="24" t="inlineStr">
        <is>
          <t>Medium</t>
        </is>
      </c>
      <c r="J285" s="24" t="inlineStr">
        <is>
          <t>Pay to terms unless Controller releases otherwise</t>
        </is>
      </c>
      <c r="K285" s="8">
        <f>IFERROR(MATCH(H285,'13W Cash Forecast'!$B$4:$N$4,1),1)</f>
        <v/>
      </c>
    </row>
    <row r="286">
      <c r="A286" s="8" t="inlineStr">
        <is>
          <t>AP</t>
        </is>
      </c>
      <c r="B286" s="8" t="inlineStr">
        <is>
          <t>AP-0005581</t>
        </is>
      </c>
      <c r="C286" s="8" t="inlineStr">
        <is>
          <t>ARM-2522</t>
        </is>
      </c>
      <c r="D286" s="8" t="inlineStr">
        <is>
          <t>Evergreen Equipment Rental &amp; Services - Vancouver Company</t>
        </is>
      </c>
      <c r="E286" s="22" t="n">
        <v>46212</v>
      </c>
      <c r="F286" s="9" t="n">
        <v>11276.47</v>
      </c>
      <c r="G286" s="22" t="inlineStr">
        <is>
          <t>No</t>
        </is>
      </c>
      <c r="H286" s="23" t="n">
        <v>46212</v>
      </c>
      <c r="I286" s="24" t="inlineStr">
        <is>
          <t>Medium</t>
        </is>
      </c>
      <c r="J286" s="24" t="inlineStr">
        <is>
          <t>Pay to terms unless Controller releases otherwise</t>
        </is>
      </c>
      <c r="K286" s="8">
        <f>IFERROR(MATCH(H286,'13W Cash Forecast'!$B$4:$N$4,1),1)</f>
        <v/>
      </c>
    </row>
    <row r="287">
      <c r="A287" s="8" t="inlineStr">
        <is>
          <t>AP</t>
        </is>
      </c>
      <c r="B287" s="8" t="inlineStr">
        <is>
          <t>AP-0005588</t>
        </is>
      </c>
      <c r="C287" s="8" t="inlineStr">
        <is>
          <t>ARM-2522</t>
        </is>
      </c>
      <c r="D287" s="8" t="inlineStr">
        <is>
          <t>Rainier Sheet Metal Fabrication - Eugene Company</t>
        </is>
      </c>
      <c r="E287" s="22" t="n">
        <v>46212</v>
      </c>
      <c r="F287" s="9" t="n">
        <v>23921.87</v>
      </c>
      <c r="G287" s="22" t="inlineStr">
        <is>
          <t>No</t>
        </is>
      </c>
      <c r="H287" s="23" t="n">
        <v>46212</v>
      </c>
      <c r="I287" s="24" t="inlineStr">
        <is>
          <t>Medium</t>
        </is>
      </c>
      <c r="J287" s="24" t="inlineStr">
        <is>
          <t>Pay to terms unless Controller releases otherwise</t>
        </is>
      </c>
      <c r="K287" s="8">
        <f>IFERROR(MATCH(H287,'13W Cash Forecast'!$B$4:$N$4,1),1)</f>
        <v/>
      </c>
    </row>
    <row r="288">
      <c r="A288" s="8" t="inlineStr">
        <is>
          <t>AP</t>
        </is>
      </c>
      <c r="B288" s="8" t="inlineStr">
        <is>
          <t>AP-0005590</t>
        </is>
      </c>
      <c r="C288" s="8" t="inlineStr">
        <is>
          <t>ARM-2522</t>
        </is>
      </c>
      <c r="D288" s="8" t="inlineStr">
        <is>
          <t>Willamette Electrical Contracting - Portland Inc.</t>
        </is>
      </c>
      <c r="E288" s="22" t="n">
        <v>46212</v>
      </c>
      <c r="F288" s="9" t="n">
        <v>10029.47</v>
      </c>
      <c r="G288" s="22" t="inlineStr">
        <is>
          <t>No</t>
        </is>
      </c>
      <c r="H288" s="23" t="n">
        <v>46212</v>
      </c>
      <c r="I288" s="24" t="inlineStr">
        <is>
          <t>Medium</t>
        </is>
      </c>
      <c r="J288" s="24" t="inlineStr">
        <is>
          <t>Pay to terms unless Controller releases otherwise</t>
        </is>
      </c>
      <c r="K288" s="8">
        <f>IFERROR(MATCH(H288,'13W Cash Forecast'!$B$4:$N$4,1),1)</f>
        <v/>
      </c>
    </row>
    <row r="289">
      <c r="A289" s="8" t="inlineStr">
        <is>
          <t>AP</t>
        </is>
      </c>
      <c r="B289" s="8" t="inlineStr">
        <is>
          <t>AP-0005747</t>
        </is>
      </c>
      <c r="C289" s="8" t="inlineStr">
        <is>
          <t>ARM-2608</t>
        </is>
      </c>
      <c r="D289" s="8" t="inlineStr">
        <is>
          <t>Columbia Testing and Balancing - Vancouver Inc.</t>
        </is>
      </c>
      <c r="E289" s="22" t="n">
        <v>46212</v>
      </c>
      <c r="F289" s="9" t="n">
        <v>8492.690000000001</v>
      </c>
      <c r="G289" s="22" t="inlineStr">
        <is>
          <t>No</t>
        </is>
      </c>
      <c r="H289" s="23" t="n">
        <v>46212</v>
      </c>
      <c r="I289" s="24" t="inlineStr">
        <is>
          <t>Medium</t>
        </is>
      </c>
      <c r="J289" s="24" t="inlineStr">
        <is>
          <t>Pay to terms unless Controller releases otherwise</t>
        </is>
      </c>
      <c r="K289" s="8">
        <f>IFERROR(MATCH(H289,'13W Cash Forecast'!$B$4:$N$4,1),1)</f>
        <v/>
      </c>
    </row>
    <row r="290">
      <c r="A290" s="8" t="inlineStr">
        <is>
          <t>AP</t>
        </is>
      </c>
      <c r="B290" s="8" t="inlineStr">
        <is>
          <t>AP-0004703</t>
        </is>
      </c>
      <c r="C290" s="8" t="inlineStr">
        <is>
          <t>ARM-2417</t>
        </is>
      </c>
      <c r="D290" s="8" t="inlineStr">
        <is>
          <t>Rogue Valley Testing and Balancing - Portland LLC</t>
        </is>
      </c>
      <c r="E290" s="22" t="n">
        <v>46213</v>
      </c>
      <c r="F290" s="9" t="n">
        <v>14163.5</v>
      </c>
      <c r="G290" s="22" t="inlineStr">
        <is>
          <t>No</t>
        </is>
      </c>
      <c r="H290" s="23" t="n">
        <v>46213</v>
      </c>
      <c r="I290" s="24" t="inlineStr">
        <is>
          <t>Medium</t>
        </is>
      </c>
      <c r="J290" s="24" t="inlineStr">
        <is>
          <t>Pay to terms unless Controller releases otherwise</t>
        </is>
      </c>
      <c r="K290" s="8">
        <f>IFERROR(MATCH(H290,'13W Cash Forecast'!$B$4:$N$4,1),1)</f>
        <v/>
      </c>
    </row>
    <row r="291">
      <c r="A291" s="8" t="inlineStr">
        <is>
          <t>AP</t>
        </is>
      </c>
      <c r="B291" s="8" t="inlineStr">
        <is>
          <t>AP-0005091</t>
        </is>
      </c>
      <c r="C291" s="8" t="inlineStr">
        <is>
          <t>ARM-2506</t>
        </is>
      </c>
      <c r="D291" s="8" t="inlineStr">
        <is>
          <t>Willamette Pipe, Valve &amp; Fitting Supply - Beaverton Inc.</t>
        </is>
      </c>
      <c r="E291" s="22" t="n">
        <v>46213</v>
      </c>
      <c r="F291" s="9" t="n">
        <v>16696.1</v>
      </c>
      <c r="G291" s="22" t="inlineStr">
        <is>
          <t>No</t>
        </is>
      </c>
      <c r="H291" s="23" t="n">
        <v>46213</v>
      </c>
      <c r="I291" s="24" t="inlineStr">
        <is>
          <t>Medium</t>
        </is>
      </c>
      <c r="J291" s="24" t="inlineStr">
        <is>
          <t>Pay to terms unless Controller releases otherwise</t>
        </is>
      </c>
      <c r="K291" s="8">
        <f>IFERROR(MATCH(H291,'13W Cash Forecast'!$B$4:$N$4,1),1)</f>
        <v/>
      </c>
    </row>
    <row r="292">
      <c r="A292" s="8" t="inlineStr">
        <is>
          <t>AP</t>
        </is>
      </c>
      <c r="B292" s="8" t="inlineStr">
        <is>
          <t>AP-0005100</t>
        </is>
      </c>
      <c r="C292" s="8" t="inlineStr">
        <is>
          <t>ARM-2506</t>
        </is>
      </c>
      <c r="D292" s="8" t="inlineStr">
        <is>
          <t>Rogue Valley Sheet Metal Fabrication - Gresham LLC</t>
        </is>
      </c>
      <c r="E292" s="22" t="n">
        <v>46213</v>
      </c>
      <c r="F292" s="9" t="n">
        <v>8727.030000000001</v>
      </c>
      <c r="G292" s="22" t="inlineStr">
        <is>
          <t>No</t>
        </is>
      </c>
      <c r="H292" s="23" t="n">
        <v>46213</v>
      </c>
      <c r="I292" s="24" t="inlineStr">
        <is>
          <t>Medium</t>
        </is>
      </c>
      <c r="J292" s="24" t="inlineStr">
        <is>
          <t>Pay to terms unless Controller releases otherwise</t>
        </is>
      </c>
      <c r="K292" s="8">
        <f>IFERROR(MATCH(H292,'13W Cash Forecast'!$B$4:$N$4,1),1)</f>
        <v/>
      </c>
    </row>
    <row r="293">
      <c r="A293" s="8" t="inlineStr">
        <is>
          <t>AP</t>
        </is>
      </c>
      <c r="B293" s="8" t="inlineStr">
        <is>
          <t>AP-0005103</t>
        </is>
      </c>
      <c r="C293" s="8" t="inlineStr">
        <is>
          <t>ARM-2506</t>
        </is>
      </c>
      <c r="D293" s="8" t="inlineStr">
        <is>
          <t>Columbia Sheet Metal Fabrication - Eugene Inc.</t>
        </is>
      </c>
      <c r="E293" s="22" t="n">
        <v>46213</v>
      </c>
      <c r="F293" s="9" t="n">
        <v>24373.92</v>
      </c>
      <c r="G293" s="22" t="inlineStr">
        <is>
          <t>No</t>
        </is>
      </c>
      <c r="H293" s="23" t="n">
        <v>46213</v>
      </c>
      <c r="I293" s="24" t="inlineStr">
        <is>
          <t>Medium</t>
        </is>
      </c>
      <c r="J293" s="24" t="inlineStr">
        <is>
          <t>Pay to terms unless Controller releases otherwise</t>
        </is>
      </c>
      <c r="K293" s="8">
        <f>IFERROR(MATCH(H293,'13W Cash Forecast'!$B$4:$N$4,1),1)</f>
        <v/>
      </c>
    </row>
    <row r="294">
      <c r="A294" s="8" t="inlineStr">
        <is>
          <t>AP</t>
        </is>
      </c>
      <c r="B294" s="8" t="inlineStr">
        <is>
          <t>AP-0005435</t>
        </is>
      </c>
      <c r="C294" s="8" t="inlineStr">
        <is>
          <t>ARM-2514</t>
        </is>
      </c>
      <c r="D294" s="8" t="inlineStr">
        <is>
          <t>Rogue Valley Sheet Metal Fabrication - Gresham LLC</t>
        </is>
      </c>
      <c r="E294" s="22" t="n">
        <v>46213</v>
      </c>
      <c r="F294" s="9" t="n">
        <v>9586.049999999999</v>
      </c>
      <c r="G294" s="22" t="inlineStr">
        <is>
          <t>No</t>
        </is>
      </c>
      <c r="H294" s="23" t="n">
        <v>46213</v>
      </c>
      <c r="I294" s="24" t="inlineStr">
        <is>
          <t>Medium</t>
        </is>
      </c>
      <c r="J294" s="24" t="inlineStr">
        <is>
          <t>Pay to terms unless Controller releases otherwise</t>
        </is>
      </c>
      <c r="K294" s="8">
        <f>IFERROR(MATCH(H294,'13W Cash Forecast'!$B$4:$N$4,1),1)</f>
        <v/>
      </c>
    </row>
    <row r="295">
      <c r="A295" s="8" t="inlineStr">
        <is>
          <t>AP</t>
        </is>
      </c>
      <c r="B295" s="8" t="inlineStr">
        <is>
          <t>AP-0005638</t>
        </is>
      </c>
      <c r="C295" s="8" t="inlineStr">
        <is>
          <t>ARM-2526</t>
        </is>
      </c>
      <c r="D295" s="8" t="inlineStr">
        <is>
          <t>Tualatin Electrical Contracting - Vancouver Inc.</t>
        </is>
      </c>
      <c r="E295" s="22" t="n">
        <v>46213</v>
      </c>
      <c r="F295" s="9" t="n">
        <v>12195.84</v>
      </c>
      <c r="G295" s="22" t="inlineStr">
        <is>
          <t>No</t>
        </is>
      </c>
      <c r="H295" s="23" t="n">
        <v>46213</v>
      </c>
      <c r="I295" s="24" t="inlineStr">
        <is>
          <t>Medium</t>
        </is>
      </c>
      <c r="J295" s="24" t="inlineStr">
        <is>
          <t>Pay to terms unless Controller releases otherwise</t>
        </is>
      </c>
      <c r="K295" s="8">
        <f>IFERROR(MATCH(H295,'13W Cash Forecast'!$B$4:$N$4,1),1)</f>
        <v/>
      </c>
    </row>
    <row r="296">
      <c r="A296" s="8" t="inlineStr">
        <is>
          <t>AP</t>
        </is>
      </c>
      <c r="B296" s="8" t="inlineStr">
        <is>
          <t>AP-0005643</t>
        </is>
      </c>
      <c r="C296" s="8" t="inlineStr">
        <is>
          <t>ARM-2526</t>
        </is>
      </c>
      <c r="D296" s="8" t="inlineStr">
        <is>
          <t>Tualatin Crane and Rigging - Portland Inc.</t>
        </is>
      </c>
      <c r="E296" s="22" t="n">
        <v>46213</v>
      </c>
      <c r="F296" s="9" t="n">
        <v>20017.94</v>
      </c>
      <c r="G296" s="22" t="inlineStr">
        <is>
          <t>No</t>
        </is>
      </c>
      <c r="H296" s="23" t="n">
        <v>46213</v>
      </c>
      <c r="I296" s="24" t="inlineStr">
        <is>
          <t>Medium</t>
        </is>
      </c>
      <c r="J296" s="24" t="inlineStr">
        <is>
          <t>Pay to terms unless Controller releases otherwise</t>
        </is>
      </c>
      <c r="K296" s="8">
        <f>IFERROR(MATCH(H296,'13W Cash Forecast'!$B$4:$N$4,1),1)</f>
        <v/>
      </c>
    </row>
    <row r="297">
      <c r="A297" s="8" t="inlineStr">
        <is>
          <t>AP</t>
        </is>
      </c>
      <c r="B297" s="8" t="inlineStr">
        <is>
          <t>AP-0005645</t>
        </is>
      </c>
      <c r="C297" s="8" t="inlineStr">
        <is>
          <t>ARM-2526</t>
        </is>
      </c>
      <c r="D297" s="8" t="inlineStr">
        <is>
          <t>Columbia Pipe, Valve &amp; Fitting Supply - Eugene Inc.</t>
        </is>
      </c>
      <c r="E297" s="22" t="n">
        <v>46213</v>
      </c>
      <c r="F297" s="9" t="n">
        <v>4082.09</v>
      </c>
      <c r="G297" s="22" t="inlineStr">
        <is>
          <t>No</t>
        </is>
      </c>
      <c r="H297" s="23" t="n">
        <v>46213</v>
      </c>
      <c r="I297" s="24" t="inlineStr">
        <is>
          <t>Medium</t>
        </is>
      </c>
      <c r="J297" s="24" t="inlineStr">
        <is>
          <t>Pay to terms unless Controller releases otherwise</t>
        </is>
      </c>
      <c r="K297" s="8">
        <f>IFERROR(MATCH(H297,'13W Cash Forecast'!$B$4:$N$4,1),1)</f>
        <v/>
      </c>
    </row>
    <row r="298">
      <c r="A298" s="8" t="inlineStr">
        <is>
          <t>AP</t>
        </is>
      </c>
      <c r="B298" s="8" t="inlineStr">
        <is>
          <t>AP-0012041</t>
        </is>
      </c>
      <c r="C298" s="8" t="inlineStr">
        <is>
          <t>G&amp;A</t>
        </is>
      </c>
      <c r="D298" s="8" t="inlineStr">
        <is>
          <t>Cedar Mill Equipment Rental &amp; Services - Gresham Services, LLC</t>
        </is>
      </c>
      <c r="E298" s="22" t="n">
        <v>46213</v>
      </c>
      <c r="F298" s="9" t="n">
        <v>143000</v>
      </c>
      <c r="G298" s="22" t="inlineStr">
        <is>
          <t>No</t>
        </is>
      </c>
      <c r="H298" s="23" t="n">
        <v>46213</v>
      </c>
      <c r="I298" s="24" t="inlineStr">
        <is>
          <t>Medium</t>
        </is>
      </c>
      <c r="J298" s="24" t="inlineStr">
        <is>
          <t>Pay to terms unless Controller releases otherwise</t>
        </is>
      </c>
      <c r="K298" s="8">
        <f>IFERROR(MATCH(H298,'13W Cash Forecast'!$B$4:$N$4,1),1)</f>
        <v/>
      </c>
    </row>
    <row r="299">
      <c r="A299" s="8" t="inlineStr">
        <is>
          <t>AP</t>
        </is>
      </c>
      <c r="B299" s="8" t="inlineStr">
        <is>
          <t>AP-0005098</t>
        </is>
      </c>
      <c r="C299" s="8" t="inlineStr">
        <is>
          <t>ARM-2506</t>
        </is>
      </c>
      <c r="D299" s="8" t="inlineStr">
        <is>
          <t>Cedar Mill Crane and Rigging - Gresham Services, LLC</t>
        </is>
      </c>
      <c r="E299" s="22" t="n">
        <v>46214</v>
      </c>
      <c r="F299" s="9" t="n">
        <v>12538</v>
      </c>
      <c r="G299" s="22" t="inlineStr">
        <is>
          <t>No</t>
        </is>
      </c>
      <c r="H299" s="23" t="n">
        <v>46214</v>
      </c>
      <c r="I299" s="24" t="inlineStr">
        <is>
          <t>Medium</t>
        </is>
      </c>
      <c r="J299" s="24" t="inlineStr">
        <is>
          <t>Pay to terms unless Controller releases otherwise</t>
        </is>
      </c>
      <c r="K299" s="8">
        <f>IFERROR(MATCH(H299,'13W Cash Forecast'!$B$4:$N$4,1),1)</f>
        <v/>
      </c>
    </row>
    <row r="300">
      <c r="A300" s="8" t="inlineStr">
        <is>
          <t>AP</t>
        </is>
      </c>
      <c r="B300" s="8" t="inlineStr">
        <is>
          <t>AP-0005244</t>
        </is>
      </c>
      <c r="C300" s="8" t="inlineStr">
        <is>
          <t>ARM-2510</t>
        </is>
      </c>
      <c r="D300" s="8" t="inlineStr">
        <is>
          <t>Rainier Pipe, Valve &amp; Fitting Supply - Salem Company</t>
        </is>
      </c>
      <c r="E300" s="22" t="n">
        <v>46214</v>
      </c>
      <c r="F300" s="9" t="n">
        <v>15225.95</v>
      </c>
      <c r="G300" s="22" t="inlineStr">
        <is>
          <t>No</t>
        </is>
      </c>
      <c r="H300" s="23" t="n">
        <v>46214</v>
      </c>
      <c r="I300" s="24" t="inlineStr">
        <is>
          <t>Medium</t>
        </is>
      </c>
      <c r="J300" s="24" t="inlineStr">
        <is>
          <t>Pay to terms unless Controller releases otherwise</t>
        </is>
      </c>
      <c r="K300" s="8">
        <f>IFERROR(MATCH(H300,'13W Cash Forecast'!$B$4:$N$4,1),1)</f>
        <v/>
      </c>
    </row>
    <row r="301">
      <c r="A301" s="8" t="inlineStr">
        <is>
          <t>AP</t>
        </is>
      </c>
      <c r="B301" s="8" t="inlineStr">
        <is>
          <t>AP-0009904</t>
        </is>
      </c>
      <c r="C301" s="8" t="inlineStr">
        <is>
          <t>G&amp;A</t>
        </is>
      </c>
      <c r="D301" s="8" t="inlineStr">
        <is>
          <t>Ferguson Enterprises - Mechanical</t>
        </is>
      </c>
      <c r="E301" s="22" t="n">
        <v>46214</v>
      </c>
      <c r="F301" s="9" t="n">
        <v>6366.3</v>
      </c>
      <c r="G301" s="22" t="inlineStr">
        <is>
          <t>No</t>
        </is>
      </c>
      <c r="H301" s="23" t="n">
        <v>46214</v>
      </c>
      <c r="I301" s="24" t="inlineStr">
        <is>
          <t>Medium</t>
        </is>
      </c>
      <c r="J301" s="24" t="inlineStr">
        <is>
          <t>Pay to terms unless Controller releases otherwise</t>
        </is>
      </c>
      <c r="K301" s="8">
        <f>IFERROR(MATCH(H301,'13W Cash Forecast'!$B$4:$N$4,1),1)</f>
        <v/>
      </c>
    </row>
    <row r="302">
      <c r="A302" s="8" t="inlineStr">
        <is>
          <t>AP</t>
        </is>
      </c>
      <c r="B302" s="8" t="inlineStr">
        <is>
          <t>AP-0009923</t>
        </is>
      </c>
      <c r="C302" s="8" t="inlineStr">
        <is>
          <t>G&amp;A</t>
        </is>
      </c>
      <c r="D302" s="8" t="inlineStr">
        <is>
          <t>Pacific Pipe, Valve &amp; Fitting Supply - Beaverton LLC</t>
        </is>
      </c>
      <c r="E302" s="22" t="n">
        <v>46214</v>
      </c>
      <c r="F302" s="9" t="n">
        <v>6981.19</v>
      </c>
      <c r="G302" s="22" t="inlineStr">
        <is>
          <t>No</t>
        </is>
      </c>
      <c r="H302" s="23" t="n">
        <v>46214</v>
      </c>
      <c r="I302" s="24" t="inlineStr">
        <is>
          <t>Medium</t>
        </is>
      </c>
      <c r="J302" s="24" t="inlineStr">
        <is>
          <t>Pay to terms unless Controller releases otherwise</t>
        </is>
      </c>
      <c r="K302" s="8">
        <f>IFERROR(MATCH(H302,'13W Cash Forecast'!$B$4:$N$4,1),1)</f>
        <v/>
      </c>
    </row>
    <row r="303">
      <c r="A303" s="8" t="inlineStr">
        <is>
          <t>AP</t>
        </is>
      </c>
      <c r="B303" s="8" t="inlineStr">
        <is>
          <t>AP-0009925</t>
        </is>
      </c>
      <c r="C303" s="8" t="inlineStr">
        <is>
          <t>G&amp;A</t>
        </is>
      </c>
      <c r="D303" s="8" t="inlineStr">
        <is>
          <t>Ferguson Enterprises - Mechanical</t>
        </is>
      </c>
      <c r="E303" s="22" t="n">
        <v>46214</v>
      </c>
      <c r="F303" s="9" t="n">
        <v>2608.15</v>
      </c>
      <c r="G303" s="22" t="inlineStr">
        <is>
          <t>No</t>
        </is>
      </c>
      <c r="H303" s="23" t="n">
        <v>46214</v>
      </c>
      <c r="I303" s="24" t="inlineStr">
        <is>
          <t>Medium</t>
        </is>
      </c>
      <c r="J303" s="24" t="inlineStr">
        <is>
          <t>Pay to terms unless Controller releases otherwise</t>
        </is>
      </c>
      <c r="K303" s="8">
        <f>IFERROR(MATCH(H303,'13W Cash Forecast'!$B$4:$N$4,1),1)</f>
        <v/>
      </c>
    </row>
    <row r="304">
      <c r="A304" s="8" t="inlineStr">
        <is>
          <t>AP</t>
        </is>
      </c>
      <c r="B304" s="8" t="inlineStr">
        <is>
          <t>AP-0009944</t>
        </is>
      </c>
      <c r="C304" s="8" t="inlineStr">
        <is>
          <t>G&amp;A</t>
        </is>
      </c>
      <c r="D304" s="8" t="inlineStr">
        <is>
          <t>Pacific Pipe, Valve &amp; Fitting Supply - Beaverton LLC</t>
        </is>
      </c>
      <c r="E304" s="22" t="n">
        <v>46214</v>
      </c>
      <c r="F304" s="9" t="n">
        <v>3730.01</v>
      </c>
      <c r="G304" s="22" t="inlineStr">
        <is>
          <t>No</t>
        </is>
      </c>
      <c r="H304" s="23" t="n">
        <v>46214</v>
      </c>
      <c r="I304" s="24" t="inlineStr">
        <is>
          <t>Medium</t>
        </is>
      </c>
      <c r="J304" s="24" t="inlineStr">
        <is>
          <t>Pay to terms unless Controller releases otherwise</t>
        </is>
      </c>
      <c r="K304" s="8">
        <f>IFERROR(MATCH(H304,'13W Cash Forecast'!$B$4:$N$4,1),1)</f>
        <v/>
      </c>
    </row>
    <row r="305">
      <c r="A305" s="8" t="inlineStr">
        <is>
          <t>AP</t>
        </is>
      </c>
      <c r="B305" s="8" t="inlineStr">
        <is>
          <t>AP-0004102</t>
        </is>
      </c>
      <c r="C305" s="8" t="inlineStr">
        <is>
          <t>ARM-2403</t>
        </is>
      </c>
      <c r="D305" s="8" t="inlineStr">
        <is>
          <t>Rainier Crane and Rigging - Bend Company</t>
        </is>
      </c>
      <c r="E305" s="22" t="n">
        <v>46215</v>
      </c>
      <c r="F305" s="9" t="n">
        <v>13614.27</v>
      </c>
      <c r="G305" s="22" t="inlineStr">
        <is>
          <t>No</t>
        </is>
      </c>
      <c r="H305" s="23" t="n">
        <v>46215</v>
      </c>
      <c r="I305" s="24" t="inlineStr">
        <is>
          <t>Medium</t>
        </is>
      </c>
      <c r="J305" s="24" t="inlineStr">
        <is>
          <t>Pay to terms unless Controller releases otherwise</t>
        </is>
      </c>
      <c r="K305" s="8">
        <f>IFERROR(MATCH(H305,'13W Cash Forecast'!$B$4:$N$4,1),1)</f>
        <v/>
      </c>
    </row>
    <row r="306">
      <c r="A306" s="8" t="inlineStr">
        <is>
          <t>AP</t>
        </is>
      </c>
      <c r="B306" s="8" t="inlineStr">
        <is>
          <t>AP-0004701</t>
        </is>
      </c>
      <c r="C306" s="8" t="inlineStr">
        <is>
          <t>ARM-2417</t>
        </is>
      </c>
      <c r="D306" s="8" t="inlineStr">
        <is>
          <t>Rose City Electrical Contracting - Bend Services, LLC</t>
        </is>
      </c>
      <c r="E306" s="22" t="n">
        <v>46215</v>
      </c>
      <c r="F306" s="9" t="n">
        <v>12828.9</v>
      </c>
      <c r="G306" s="22" t="inlineStr">
        <is>
          <t>No</t>
        </is>
      </c>
      <c r="H306" s="23" t="n">
        <v>46215</v>
      </c>
      <c r="I306" s="24" t="inlineStr">
        <is>
          <t>Medium</t>
        </is>
      </c>
      <c r="J306" s="24" t="inlineStr">
        <is>
          <t>Pay to terms unless Controller releases otherwise</t>
        </is>
      </c>
      <c r="K306" s="8">
        <f>IFERROR(MATCH(H306,'13W Cash Forecast'!$B$4:$N$4,1),1)</f>
        <v/>
      </c>
    </row>
    <row r="307">
      <c r="A307" s="8" t="inlineStr">
        <is>
          <t>AP</t>
        </is>
      </c>
      <c r="B307" s="8" t="inlineStr">
        <is>
          <t>AP-0005433</t>
        </is>
      </c>
      <c r="C307" s="8" t="inlineStr">
        <is>
          <t>ARM-2514</t>
        </is>
      </c>
      <c r="D307" s="8" t="inlineStr">
        <is>
          <t>Cedar Mill Crane and Rigging - Gresham Services, LLC</t>
        </is>
      </c>
      <c r="E307" s="22" t="n">
        <v>46215</v>
      </c>
      <c r="F307" s="9" t="n">
        <v>12819.48</v>
      </c>
      <c r="G307" s="22" t="inlineStr">
        <is>
          <t>No</t>
        </is>
      </c>
      <c r="H307" s="23" t="n">
        <v>46215</v>
      </c>
      <c r="I307" s="24" t="inlineStr">
        <is>
          <t>Medium</t>
        </is>
      </c>
      <c r="J307" s="24" t="inlineStr">
        <is>
          <t>Pay to terms unless Controller releases otherwise</t>
        </is>
      </c>
      <c r="K307" s="8">
        <f>IFERROR(MATCH(H307,'13W Cash Forecast'!$B$4:$N$4,1),1)</f>
        <v/>
      </c>
    </row>
    <row r="308">
      <c r="A308" s="8" t="inlineStr">
        <is>
          <t>AP</t>
        </is>
      </c>
      <c r="B308" s="8" t="inlineStr">
        <is>
          <t>AP-0005720</t>
        </is>
      </c>
      <c r="C308" s="8" t="inlineStr">
        <is>
          <t>ARM-2605</t>
        </is>
      </c>
      <c r="D308" s="8" t="inlineStr">
        <is>
          <t>Cedar Mill Testing and Balancing - Bend Services, LLC</t>
        </is>
      </c>
      <c r="E308" s="22" t="n">
        <v>46215</v>
      </c>
      <c r="F308" s="9" t="n">
        <v>14286.51</v>
      </c>
      <c r="G308" s="22" t="inlineStr">
        <is>
          <t>No</t>
        </is>
      </c>
      <c r="H308" s="23" t="n">
        <v>46215</v>
      </c>
      <c r="I308" s="24" t="inlineStr">
        <is>
          <t>Medium</t>
        </is>
      </c>
      <c r="J308" s="24" t="inlineStr">
        <is>
          <t>Pay to terms unless Controller releases otherwise</t>
        </is>
      </c>
      <c r="K308" s="8">
        <f>IFERROR(MATCH(H308,'13W Cash Forecast'!$B$4:$N$4,1),1)</f>
        <v/>
      </c>
    </row>
    <row r="309">
      <c r="A309" s="8" t="inlineStr">
        <is>
          <t>AP</t>
        </is>
      </c>
      <c r="B309" s="8" t="inlineStr">
        <is>
          <t>AP-0005750</t>
        </is>
      </c>
      <c r="C309" s="8" t="inlineStr">
        <is>
          <t>ARM-2608</t>
        </is>
      </c>
      <c r="D309" s="8" t="inlineStr">
        <is>
          <t>Blue Mountain Testing and Balancing - Gresham Company</t>
        </is>
      </c>
      <c r="E309" s="22" t="n">
        <v>46215</v>
      </c>
      <c r="F309" s="9" t="n">
        <v>4537.35</v>
      </c>
      <c r="G309" s="22" t="inlineStr">
        <is>
          <t>No</t>
        </is>
      </c>
      <c r="H309" s="23" t="n">
        <v>46215</v>
      </c>
      <c r="I309" s="24" t="inlineStr">
        <is>
          <t>Medium</t>
        </is>
      </c>
      <c r="J309" s="24" t="inlineStr">
        <is>
          <t>Pay to terms unless Controller releases otherwise</t>
        </is>
      </c>
      <c r="K309" s="8">
        <f>IFERROR(MATCH(H309,'13W Cash Forecast'!$B$4:$N$4,1),1)</f>
        <v/>
      </c>
    </row>
    <row r="310">
      <c r="A310" s="8" t="inlineStr">
        <is>
          <t>AP</t>
        </is>
      </c>
      <c r="B310" s="8" t="inlineStr">
        <is>
          <t>AP-0009907</t>
        </is>
      </c>
      <c r="C310" s="8" t="inlineStr">
        <is>
          <t>G&amp;A</t>
        </is>
      </c>
      <c r="D310" s="8" t="inlineStr">
        <is>
          <t>Evergreen Business Systems - Salem Company</t>
        </is>
      </c>
      <c r="E310" s="22" t="n">
        <v>46215</v>
      </c>
      <c r="F310" s="9" t="n">
        <v>3958.82</v>
      </c>
      <c r="G310" s="22" t="inlineStr">
        <is>
          <t>No</t>
        </is>
      </c>
      <c r="H310" s="23" t="n">
        <v>46215</v>
      </c>
      <c r="I310" s="24" t="inlineStr">
        <is>
          <t>Medium</t>
        </is>
      </c>
      <c r="J310" s="24" t="inlineStr">
        <is>
          <t>Pay to terms unless Controller releases otherwise</t>
        </is>
      </c>
      <c r="K310" s="8">
        <f>IFERROR(MATCH(H310,'13W Cash Forecast'!$B$4:$N$4,1),1)</f>
        <v/>
      </c>
    </row>
    <row r="311">
      <c r="A311" s="8" t="inlineStr">
        <is>
          <t>AP</t>
        </is>
      </c>
      <c r="B311" s="8" t="inlineStr">
        <is>
          <t>AP-0009928</t>
        </is>
      </c>
      <c r="C311" s="8" t="inlineStr">
        <is>
          <t>G&amp;A</t>
        </is>
      </c>
      <c r="D311" s="8" t="inlineStr">
        <is>
          <t>Evergreen Business Systems - Salem Company</t>
        </is>
      </c>
      <c r="E311" s="22" t="n">
        <v>46215</v>
      </c>
      <c r="F311" s="9" t="n">
        <v>3155.28</v>
      </c>
      <c r="G311" s="22" t="inlineStr">
        <is>
          <t>No</t>
        </is>
      </c>
      <c r="H311" s="23" t="n">
        <v>46215</v>
      </c>
      <c r="I311" s="24" t="inlineStr">
        <is>
          <t>Medium</t>
        </is>
      </c>
      <c r="J311" s="24" t="inlineStr">
        <is>
          <t>Pay to terms unless Controller releases otherwise</t>
        </is>
      </c>
      <c r="K311" s="8">
        <f>IFERROR(MATCH(H311,'13W Cash Forecast'!$B$4:$N$4,1),1)</f>
        <v/>
      </c>
    </row>
    <row r="312">
      <c r="A312" s="8" t="inlineStr">
        <is>
          <t>AP</t>
        </is>
      </c>
      <c r="B312" s="8" t="inlineStr">
        <is>
          <t>AP-0011902</t>
        </is>
      </c>
      <c r="C312" s="8" t="inlineStr">
        <is>
          <t>G&amp;A</t>
        </is>
      </c>
      <c r="D312" s="8" t="inlineStr">
        <is>
          <t>Willamette Construction Advisory - Gresham Inc.</t>
        </is>
      </c>
      <c r="E312" s="22" t="n">
        <v>46215</v>
      </c>
      <c r="F312" s="9" t="n">
        <v>4362.08</v>
      </c>
      <c r="G312" s="22" t="inlineStr">
        <is>
          <t>No</t>
        </is>
      </c>
      <c r="H312" s="23" t="n">
        <v>46215</v>
      </c>
      <c r="I312" s="24" t="inlineStr">
        <is>
          <t>Medium</t>
        </is>
      </c>
      <c r="J312" s="24" t="inlineStr">
        <is>
          <t>Pay to terms unless Controller releases otherwise</t>
        </is>
      </c>
      <c r="K312" s="8">
        <f>IFERROR(MATCH(H312,'13W Cash Forecast'!$B$4:$N$4,1),1)</f>
        <v/>
      </c>
    </row>
    <row r="313">
      <c r="A313" s="8" t="inlineStr">
        <is>
          <t>AP</t>
        </is>
      </c>
      <c r="B313" s="8" t="inlineStr">
        <is>
          <t>AP-0003884</t>
        </is>
      </c>
      <c r="C313" s="8" t="inlineStr">
        <is>
          <t>ARM-2318</t>
        </is>
      </c>
      <c r="D313" s="8" t="inlineStr">
        <is>
          <t>Interstate Mechanical Insulation - Salem Services, LLC</t>
        </is>
      </c>
      <c r="E313" s="22" t="n">
        <v>46216</v>
      </c>
      <c r="F313" s="9" t="n">
        <v>17721.53</v>
      </c>
      <c r="G313" s="22" t="inlineStr">
        <is>
          <t>No</t>
        </is>
      </c>
      <c r="H313" s="23" t="n">
        <v>46216</v>
      </c>
      <c r="I313" s="24" t="inlineStr">
        <is>
          <t>Medium</t>
        </is>
      </c>
      <c r="J313" s="24" t="inlineStr">
        <is>
          <t>Pay to terms unless Controller releases otherwise</t>
        </is>
      </c>
      <c r="K313" s="8">
        <f>IFERROR(MATCH(H313,'13W Cash Forecast'!$B$4:$N$4,1),1)</f>
        <v/>
      </c>
    </row>
    <row r="314">
      <c r="A314" s="8" t="inlineStr">
        <is>
          <t>AP</t>
        </is>
      </c>
      <c r="B314" s="8" t="inlineStr">
        <is>
          <t>AP-0004286</t>
        </is>
      </c>
      <c r="C314" s="8" t="inlineStr">
        <is>
          <t>ARM-2409</t>
        </is>
      </c>
      <c r="D314" s="8" t="inlineStr">
        <is>
          <t>Columbia Sheet Metal Fabrication - Gresham Inc.</t>
        </is>
      </c>
      <c r="E314" s="22" t="n">
        <v>46216</v>
      </c>
      <c r="F314" s="9" t="n">
        <v>9469.67</v>
      </c>
      <c r="G314" s="22" t="inlineStr">
        <is>
          <t>No</t>
        </is>
      </c>
      <c r="H314" s="23" t="n">
        <v>46216</v>
      </c>
      <c r="I314" s="24" t="inlineStr">
        <is>
          <t>Medium</t>
        </is>
      </c>
      <c r="J314" s="24" t="inlineStr">
        <is>
          <t>Pay to terms unless Controller releases otherwise</t>
        </is>
      </c>
      <c r="K314" s="8">
        <f>IFERROR(MATCH(H314,'13W Cash Forecast'!$B$4:$N$4,1),1)</f>
        <v/>
      </c>
    </row>
    <row r="315">
      <c r="A315" s="8" t="inlineStr">
        <is>
          <t>AP</t>
        </is>
      </c>
      <c r="B315" s="8" t="inlineStr">
        <is>
          <t>AP-0004292</t>
        </is>
      </c>
      <c r="C315" s="8" t="inlineStr">
        <is>
          <t>ARM-2409</t>
        </is>
      </c>
      <c r="D315" s="8" t="inlineStr">
        <is>
          <t>Cedar Mill Mechanical Insulation - Eugene Services, LLC</t>
        </is>
      </c>
      <c r="E315" s="22" t="n">
        <v>46216</v>
      </c>
      <c r="F315" s="9" t="n">
        <v>7330.07</v>
      </c>
      <c r="G315" s="22" t="inlineStr">
        <is>
          <t>No</t>
        </is>
      </c>
      <c r="H315" s="23" t="n">
        <v>46216</v>
      </c>
      <c r="I315" s="24" t="inlineStr">
        <is>
          <t>Medium</t>
        </is>
      </c>
      <c r="J315" s="24" t="inlineStr">
        <is>
          <t>Pay to terms unless Controller releases otherwise</t>
        </is>
      </c>
      <c r="K315" s="8">
        <f>IFERROR(MATCH(H315,'13W Cash Forecast'!$B$4:$N$4,1),1)</f>
        <v/>
      </c>
    </row>
    <row r="316">
      <c r="A316" s="8" t="inlineStr">
        <is>
          <t>AP</t>
        </is>
      </c>
      <c r="B316" s="8" t="inlineStr">
        <is>
          <t>AP-0004892</t>
        </is>
      </c>
      <c r="C316" s="8" t="inlineStr">
        <is>
          <t>ARM-2501</t>
        </is>
      </c>
      <c r="D316" s="8" t="inlineStr">
        <is>
          <t>Pioneer Sheet Metal Fabrication - Salem Inc.</t>
        </is>
      </c>
      <c r="E316" s="22" t="n">
        <v>46216</v>
      </c>
      <c r="F316" s="9" t="n">
        <v>8657.690000000001</v>
      </c>
      <c r="G316" s="22" t="inlineStr">
        <is>
          <t>No</t>
        </is>
      </c>
      <c r="H316" s="23" t="n">
        <v>46216</v>
      </c>
      <c r="I316" s="24" t="inlineStr">
        <is>
          <t>Medium</t>
        </is>
      </c>
      <c r="J316" s="24" t="inlineStr">
        <is>
          <t>Pay to terms unless Controller releases otherwise</t>
        </is>
      </c>
      <c r="K316" s="8">
        <f>IFERROR(MATCH(H316,'13W Cash Forecast'!$B$4:$N$4,1),1)</f>
        <v/>
      </c>
    </row>
    <row r="317">
      <c r="A317" s="8" t="inlineStr">
        <is>
          <t>AP</t>
        </is>
      </c>
      <c r="B317" s="8" t="inlineStr">
        <is>
          <t>AP-0005585</t>
        </is>
      </c>
      <c r="C317" s="8" t="inlineStr">
        <is>
          <t>ARM-2522</t>
        </is>
      </c>
      <c r="D317" s="8" t="inlineStr">
        <is>
          <t>West Coast Crane and Rigging - Salem Company</t>
        </is>
      </c>
      <c r="E317" s="22" t="n">
        <v>46216</v>
      </c>
      <c r="F317" s="9" t="n">
        <v>14146.19</v>
      </c>
      <c r="G317" s="22" t="inlineStr">
        <is>
          <t>No</t>
        </is>
      </c>
      <c r="H317" s="23" t="n">
        <v>46216</v>
      </c>
      <c r="I317" s="24" t="inlineStr">
        <is>
          <t>Medium</t>
        </is>
      </c>
      <c r="J317" s="24" t="inlineStr">
        <is>
          <t>Pay to terms unless Controller releases otherwise</t>
        </is>
      </c>
      <c r="K317" s="8">
        <f>IFERROR(MATCH(H317,'13W Cash Forecast'!$B$4:$N$4,1),1)</f>
        <v/>
      </c>
    </row>
    <row r="318">
      <c r="A318" s="8" t="inlineStr">
        <is>
          <t>AP</t>
        </is>
      </c>
      <c r="B318" s="8" t="inlineStr">
        <is>
          <t>AP-0005095</t>
        </is>
      </c>
      <c r="C318" s="8" t="inlineStr">
        <is>
          <t>ARM-2506</t>
        </is>
      </c>
      <c r="D318" s="8" t="inlineStr">
        <is>
          <t>Pioneer Electrical Contracting - Eugene Inc.</t>
        </is>
      </c>
      <c r="E318" s="22" t="n">
        <v>46217</v>
      </c>
      <c r="F318" s="9" t="n">
        <v>13418.81</v>
      </c>
      <c r="G318" s="22" t="inlineStr">
        <is>
          <t>No</t>
        </is>
      </c>
      <c r="H318" s="23" t="n">
        <v>46217</v>
      </c>
      <c r="I318" s="24" t="inlineStr">
        <is>
          <t>Medium</t>
        </is>
      </c>
      <c r="J318" s="24" t="inlineStr">
        <is>
          <t>Pay to terms unless Controller releases otherwise</t>
        </is>
      </c>
      <c r="K318" s="8">
        <f>IFERROR(MATCH(H318,'13W Cash Forecast'!$B$4:$N$4,1),1)</f>
        <v/>
      </c>
    </row>
    <row r="319">
      <c r="A319" s="8" t="inlineStr">
        <is>
          <t>AP</t>
        </is>
      </c>
      <c r="B319" s="8" t="inlineStr">
        <is>
          <t>AP-0005241</t>
        </is>
      </c>
      <c r="C319" s="8" t="inlineStr">
        <is>
          <t>ARM-2510</t>
        </is>
      </c>
      <c r="D319" s="8" t="inlineStr">
        <is>
          <t>Evergreen Sheet Metal Fabrication - Gresham Company</t>
        </is>
      </c>
      <c r="E319" s="22" t="n">
        <v>46217</v>
      </c>
      <c r="F319" s="9" t="n">
        <v>11707.56</v>
      </c>
      <c r="G319" s="22" t="inlineStr">
        <is>
          <t>No</t>
        </is>
      </c>
      <c r="H319" s="23" t="n">
        <v>46217</v>
      </c>
      <c r="I319" s="24" t="inlineStr">
        <is>
          <t>Medium</t>
        </is>
      </c>
      <c r="J319" s="24" t="inlineStr">
        <is>
          <t>Pay to terms unless Controller releases otherwise</t>
        </is>
      </c>
      <c r="K319" s="8">
        <f>IFERROR(MATCH(H319,'13W Cash Forecast'!$B$4:$N$4,1),1)</f>
        <v/>
      </c>
    </row>
    <row r="320">
      <c r="A320" s="8" t="inlineStr">
        <is>
          <t>AP</t>
        </is>
      </c>
      <c r="B320" s="8" t="inlineStr">
        <is>
          <t>AP-0005249</t>
        </is>
      </c>
      <c r="C320" s="8" t="inlineStr">
        <is>
          <t>ARM-2510</t>
        </is>
      </c>
      <c r="D320" s="8" t="inlineStr">
        <is>
          <t>Evergreen Electrical Contracting - Bend Company</t>
        </is>
      </c>
      <c r="E320" s="22" t="n">
        <v>46217</v>
      </c>
      <c r="F320" s="9" t="n">
        <v>25770.06</v>
      </c>
      <c r="G320" s="22" t="inlineStr">
        <is>
          <t>No</t>
        </is>
      </c>
      <c r="H320" s="23" t="n">
        <v>46217</v>
      </c>
      <c r="I320" s="24" t="inlineStr">
        <is>
          <t>Medium</t>
        </is>
      </c>
      <c r="J320" s="24" t="inlineStr">
        <is>
          <t>Pay to terms unless Controller releases otherwise</t>
        </is>
      </c>
      <c r="K320" s="8">
        <f>IFERROR(MATCH(H320,'13W Cash Forecast'!$B$4:$N$4,1),1)</f>
        <v/>
      </c>
    </row>
    <row r="321">
      <c r="A321" s="8" t="inlineStr">
        <is>
          <t>AP</t>
        </is>
      </c>
      <c r="B321" s="8" t="inlineStr">
        <is>
          <t>AP-0005252</t>
        </is>
      </c>
      <c r="C321" s="8" t="inlineStr">
        <is>
          <t>ARM-2510</t>
        </is>
      </c>
      <c r="D321" s="8" t="inlineStr">
        <is>
          <t>Interstate Mechanical Insulation - Salem Services, LLC</t>
        </is>
      </c>
      <c r="E321" s="22" t="n">
        <v>46217</v>
      </c>
      <c r="F321" s="9" t="n">
        <v>8947.91</v>
      </c>
      <c r="G321" s="22" t="inlineStr">
        <is>
          <t>No</t>
        </is>
      </c>
      <c r="H321" s="23" t="n">
        <v>46217</v>
      </c>
      <c r="I321" s="24" t="inlineStr">
        <is>
          <t>Medium</t>
        </is>
      </c>
      <c r="J321" s="24" t="inlineStr">
        <is>
          <t>Pay to terms unless Controller releases otherwise</t>
        </is>
      </c>
      <c r="K321" s="8">
        <f>IFERROR(MATCH(H321,'13W Cash Forecast'!$B$4:$N$4,1),1)</f>
        <v/>
      </c>
    </row>
    <row r="322">
      <c r="A322" s="8" t="inlineStr">
        <is>
          <t>AP</t>
        </is>
      </c>
      <c r="B322" s="8" t="inlineStr">
        <is>
          <t>AP-0009913</t>
        </is>
      </c>
      <c r="C322" s="8" t="inlineStr">
        <is>
          <t>G&amp;A</t>
        </is>
      </c>
      <c r="D322" s="8" t="inlineStr">
        <is>
          <t>Willamette Business Systems - Bend Inc.</t>
        </is>
      </c>
      <c r="E322" s="22" t="n">
        <v>46217</v>
      </c>
      <c r="F322" s="9" t="n">
        <v>5162.06</v>
      </c>
      <c r="G322" s="22" t="inlineStr">
        <is>
          <t>No</t>
        </is>
      </c>
      <c r="H322" s="23" t="n">
        <v>46217</v>
      </c>
      <c r="I322" s="24" t="inlineStr">
        <is>
          <t>Medium</t>
        </is>
      </c>
      <c r="J322" s="24" t="inlineStr">
        <is>
          <t>Pay to terms unless Controller releases otherwise</t>
        </is>
      </c>
      <c r="K322" s="8">
        <f>IFERROR(MATCH(H322,'13W Cash Forecast'!$B$4:$N$4,1),1)</f>
        <v/>
      </c>
    </row>
    <row r="323">
      <c r="A323" s="8" t="inlineStr">
        <is>
          <t>AP</t>
        </is>
      </c>
      <c r="B323" s="8" t="inlineStr">
        <is>
          <t>AP-0009934</t>
        </is>
      </c>
      <c r="C323" s="8" t="inlineStr">
        <is>
          <t>G&amp;A</t>
        </is>
      </c>
      <c r="D323" s="8" t="inlineStr">
        <is>
          <t>Willamette Business Systems - Bend Inc.</t>
        </is>
      </c>
      <c r="E323" s="22" t="n">
        <v>46217</v>
      </c>
      <c r="F323" s="9" t="n">
        <v>4196.9</v>
      </c>
      <c r="G323" s="22" t="inlineStr">
        <is>
          <t>No</t>
        </is>
      </c>
      <c r="H323" s="23" t="n">
        <v>46217</v>
      </c>
      <c r="I323" s="24" t="inlineStr">
        <is>
          <t>Medium</t>
        </is>
      </c>
      <c r="J323" s="24" t="inlineStr">
        <is>
          <t>Pay to terms unless Controller releases otherwise</t>
        </is>
      </c>
      <c r="K323" s="8">
        <f>IFERROR(MATCH(H323,'13W Cash Forecast'!$B$4:$N$4,1),1)</f>
        <v/>
      </c>
    </row>
    <row r="324">
      <c r="A324" s="8" t="inlineStr">
        <is>
          <t>AP</t>
        </is>
      </c>
      <c r="B324" s="8" t="inlineStr">
        <is>
          <t>AP-0011897</t>
        </is>
      </c>
      <c r="C324" s="8" t="inlineStr">
        <is>
          <t>G&amp;A</t>
        </is>
      </c>
      <c r="D324" s="8" t="inlineStr">
        <is>
          <t>Moss Adams LLP</t>
        </is>
      </c>
      <c r="E324" s="22" t="n">
        <v>46217</v>
      </c>
      <c r="F324" s="9" t="n">
        <v>4494.47</v>
      </c>
      <c r="G324" s="22" t="inlineStr">
        <is>
          <t>No</t>
        </is>
      </c>
      <c r="H324" s="23" t="n">
        <v>46217</v>
      </c>
      <c r="I324" s="24" t="inlineStr">
        <is>
          <t>Medium</t>
        </is>
      </c>
      <c r="J324" s="24" t="inlineStr">
        <is>
          <t>Pay to terms unless Controller releases otherwise</t>
        </is>
      </c>
      <c r="K324" s="8">
        <f>IFERROR(MATCH(H324,'13W Cash Forecast'!$B$4:$N$4,1),1)</f>
        <v/>
      </c>
    </row>
    <row r="325">
      <c r="A325" s="8" t="inlineStr">
        <is>
          <t>AP</t>
        </is>
      </c>
      <c r="B325" s="8" t="inlineStr">
        <is>
          <t>AP-0004099</t>
        </is>
      </c>
      <c r="C325" s="8" t="inlineStr">
        <is>
          <t>ARM-2403</t>
        </is>
      </c>
      <c r="D325" s="8" t="inlineStr">
        <is>
          <t>Pioneer Electrical Contracting - Salem Inc.</t>
        </is>
      </c>
      <c r="E325" s="22" t="n">
        <v>46218</v>
      </c>
      <c r="F325" s="9" t="n">
        <v>8599.629999999999</v>
      </c>
      <c r="G325" s="22" t="inlineStr">
        <is>
          <t>No</t>
        </is>
      </c>
      <c r="H325" s="23" t="n">
        <v>46218</v>
      </c>
      <c r="I325" s="24" t="inlineStr">
        <is>
          <t>Medium</t>
        </is>
      </c>
      <c r="J325" s="24" t="inlineStr">
        <is>
          <t>Pay to terms unless Controller releases otherwise</t>
        </is>
      </c>
      <c r="K325" s="8">
        <f>IFERROR(MATCH(H325,'13W Cash Forecast'!$B$4:$N$4,1),1)</f>
        <v/>
      </c>
    </row>
    <row r="326">
      <c r="A326" s="8" t="inlineStr">
        <is>
          <t>AP</t>
        </is>
      </c>
      <c r="B326" s="8" t="inlineStr">
        <is>
          <t>AP-0004104</t>
        </is>
      </c>
      <c r="C326" s="8" t="inlineStr">
        <is>
          <t>ARM-2403</t>
        </is>
      </c>
      <c r="D326" s="8" t="inlineStr">
        <is>
          <t>Pioneer Crane and Rigging - Gresham Inc.</t>
        </is>
      </c>
      <c r="E326" s="22" t="n">
        <v>46218</v>
      </c>
      <c r="F326" s="9" t="n">
        <v>34852.9</v>
      </c>
      <c r="G326" s="22" t="inlineStr">
        <is>
          <t>No</t>
        </is>
      </c>
      <c r="H326" s="23" t="n">
        <v>46218</v>
      </c>
      <c r="I326" s="24" t="inlineStr">
        <is>
          <t>Medium</t>
        </is>
      </c>
      <c r="J326" s="24" t="inlineStr">
        <is>
          <t>Pay to terms unless Controller releases otherwise</t>
        </is>
      </c>
      <c r="K326" s="8">
        <f>IFERROR(MATCH(H326,'13W Cash Forecast'!$B$4:$N$4,1),1)</f>
        <v/>
      </c>
    </row>
    <row r="327">
      <c r="A327" s="8" t="inlineStr">
        <is>
          <t>AP</t>
        </is>
      </c>
      <c r="B327" s="8" t="inlineStr">
        <is>
          <t>AP-0004105</t>
        </is>
      </c>
      <c r="C327" s="8" t="inlineStr">
        <is>
          <t>ARM-2403</t>
        </is>
      </c>
      <c r="D327" s="8" t="inlineStr">
        <is>
          <t>Interstate Crane and Rigging - Eugene Services, LLC</t>
        </is>
      </c>
      <c r="E327" s="22" t="n">
        <v>46218</v>
      </c>
      <c r="F327" s="9" t="n">
        <v>5703.22</v>
      </c>
      <c r="G327" s="22" t="inlineStr">
        <is>
          <t>No</t>
        </is>
      </c>
      <c r="H327" s="23" t="n">
        <v>46218</v>
      </c>
      <c r="I327" s="24" t="inlineStr">
        <is>
          <t>Medium</t>
        </is>
      </c>
      <c r="J327" s="24" t="inlineStr">
        <is>
          <t>Pay to terms unless Controller releases otherwise</t>
        </is>
      </c>
      <c r="K327" s="8">
        <f>IFERROR(MATCH(H327,'13W Cash Forecast'!$B$4:$N$4,1),1)</f>
        <v/>
      </c>
    </row>
    <row r="328">
      <c r="A328" s="8" t="inlineStr">
        <is>
          <t>AP</t>
        </is>
      </c>
      <c r="B328" s="8" t="inlineStr">
        <is>
          <t>AP-0004698</t>
        </is>
      </c>
      <c r="C328" s="8" t="inlineStr">
        <is>
          <t>ARM-2417</t>
        </is>
      </c>
      <c r="D328" s="8" t="inlineStr">
        <is>
          <t>Pioneer Testing and Balancing - Bend Inc.</t>
        </is>
      </c>
      <c r="E328" s="22" t="n">
        <v>46218</v>
      </c>
      <c r="F328" s="9" t="n">
        <v>15558.09</v>
      </c>
      <c r="G328" s="22" t="inlineStr">
        <is>
          <t>No</t>
        </is>
      </c>
      <c r="H328" s="23" t="n">
        <v>46218</v>
      </c>
      <c r="I328" s="24" t="inlineStr">
        <is>
          <t>Medium</t>
        </is>
      </c>
      <c r="J328" s="24" t="inlineStr">
        <is>
          <t>Pay to terms unless Controller releases otherwise</t>
        </is>
      </c>
      <c r="K328" s="8">
        <f>IFERROR(MATCH(H328,'13W Cash Forecast'!$B$4:$N$4,1),1)</f>
        <v/>
      </c>
    </row>
    <row r="329">
      <c r="A329" s="8" t="inlineStr">
        <is>
          <t>AP</t>
        </is>
      </c>
      <c r="B329" s="8" t="inlineStr">
        <is>
          <t>AP-0005430</t>
        </is>
      </c>
      <c r="C329" s="8" t="inlineStr">
        <is>
          <t>ARM-2514</t>
        </is>
      </c>
      <c r="D329" s="8" t="inlineStr">
        <is>
          <t>Pioneer Electrical Contracting - Eugene Inc.</t>
        </is>
      </c>
      <c r="E329" s="22" t="n">
        <v>46218</v>
      </c>
      <c r="F329" s="9" t="n">
        <v>12813.51</v>
      </c>
      <c r="G329" s="22" t="inlineStr">
        <is>
          <t>No</t>
        </is>
      </c>
      <c r="H329" s="23" t="n">
        <v>46218</v>
      </c>
      <c r="I329" s="24" t="inlineStr">
        <is>
          <t>Medium</t>
        </is>
      </c>
      <c r="J329" s="24" t="inlineStr">
        <is>
          <t>Pay to terms unless Controller releases otherwise</t>
        </is>
      </c>
      <c r="K329" s="8">
        <f>IFERROR(MATCH(H329,'13W Cash Forecast'!$B$4:$N$4,1),1)</f>
        <v/>
      </c>
    </row>
    <row r="330">
      <c r="A330" s="8" t="inlineStr">
        <is>
          <t>AP</t>
        </is>
      </c>
      <c r="B330" s="8" t="inlineStr">
        <is>
          <t>AP-0005448</t>
        </is>
      </c>
      <c r="C330" s="8" t="inlineStr">
        <is>
          <t>ARM-2514</t>
        </is>
      </c>
      <c r="D330" s="8" t="inlineStr">
        <is>
          <t>Rose City Testing and Balancing - Beaverton Services, LLC</t>
        </is>
      </c>
      <c r="E330" s="22" t="n">
        <v>46218</v>
      </c>
      <c r="F330" s="9" t="n">
        <v>5311.98</v>
      </c>
      <c r="G330" s="22" t="inlineStr">
        <is>
          <t>No</t>
        </is>
      </c>
      <c r="H330" s="23" t="n">
        <v>46218</v>
      </c>
      <c r="I330" s="24" t="inlineStr">
        <is>
          <t>Medium</t>
        </is>
      </c>
      <c r="J330" s="24" t="inlineStr">
        <is>
          <t>Pay to terms unless Controller releases otherwise</t>
        </is>
      </c>
      <c r="K330" s="8">
        <f>IFERROR(MATCH(H330,'13W Cash Forecast'!$B$4:$N$4,1),1)</f>
        <v/>
      </c>
    </row>
    <row r="331">
      <c r="A331" s="8" t="inlineStr">
        <is>
          <t>AP</t>
        </is>
      </c>
      <c r="B331" s="8" t="inlineStr">
        <is>
          <t>AP-0005684</t>
        </is>
      </c>
      <c r="C331" s="8" t="inlineStr">
        <is>
          <t>ARM-2602</t>
        </is>
      </c>
      <c r="D331" s="8" t="inlineStr">
        <is>
          <t>Victaulic Company</t>
        </is>
      </c>
      <c r="E331" s="22" t="n">
        <v>46218</v>
      </c>
      <c r="F331" s="9" t="n">
        <v>11639.71</v>
      </c>
      <c r="G331" s="22" t="inlineStr">
        <is>
          <t>No</t>
        </is>
      </c>
      <c r="H331" s="23" t="n">
        <v>46218</v>
      </c>
      <c r="I331" s="24" t="inlineStr">
        <is>
          <t>Medium</t>
        </is>
      </c>
      <c r="J331" s="24" t="inlineStr">
        <is>
          <t>Pay to terms unless Controller releases otherwise</t>
        </is>
      </c>
      <c r="K331" s="8">
        <f>IFERROR(MATCH(H331,'13W Cash Forecast'!$B$4:$N$4,1),1)</f>
        <v/>
      </c>
    </row>
    <row r="332">
      <c r="A332" s="8" t="inlineStr">
        <is>
          <t>AP</t>
        </is>
      </c>
      <c r="B332" s="8" t="inlineStr">
        <is>
          <t>AP-0005717</t>
        </is>
      </c>
      <c r="C332" s="8" t="inlineStr">
        <is>
          <t>ARM-2605</t>
        </is>
      </c>
      <c r="D332" s="8" t="inlineStr">
        <is>
          <t>Blue Mountain Mechanical Insulation - Salem Company</t>
        </is>
      </c>
      <c r="E332" s="22" t="n">
        <v>46218</v>
      </c>
      <c r="F332" s="9" t="n">
        <v>17442.05</v>
      </c>
      <c r="G332" s="22" t="inlineStr">
        <is>
          <t>No</t>
        </is>
      </c>
      <c r="H332" s="23" t="n">
        <v>46218</v>
      </c>
      <c r="I332" s="24" t="inlineStr">
        <is>
          <t>Medium</t>
        </is>
      </c>
      <c r="J332" s="24" t="inlineStr">
        <is>
          <t>Pay to terms unless Controller releases otherwise</t>
        </is>
      </c>
      <c r="K332" s="8">
        <f>IFERROR(MATCH(H332,'13W Cash Forecast'!$B$4:$N$4,1),1)</f>
        <v/>
      </c>
    </row>
    <row r="333">
      <c r="A333" s="8" t="inlineStr">
        <is>
          <t>AP</t>
        </is>
      </c>
      <c r="B333" s="8" t="inlineStr">
        <is>
          <t>AP-0005722</t>
        </is>
      </c>
      <c r="C333" s="8" t="inlineStr">
        <is>
          <t>ARM-2605</t>
        </is>
      </c>
      <c r="D333" s="8" t="inlineStr">
        <is>
          <t>Blue Mountain Testing and Balancing - Gresham Company</t>
        </is>
      </c>
      <c r="E333" s="22" t="n">
        <v>46218</v>
      </c>
      <c r="F333" s="9" t="n">
        <v>26690.89</v>
      </c>
      <c r="G333" s="22" t="inlineStr">
        <is>
          <t>No</t>
        </is>
      </c>
      <c r="H333" s="23" t="n">
        <v>46218</v>
      </c>
      <c r="I333" s="24" t="inlineStr">
        <is>
          <t>Medium</t>
        </is>
      </c>
      <c r="J333" s="24" t="inlineStr">
        <is>
          <t>Pay to terms unless Controller releases otherwise</t>
        </is>
      </c>
      <c r="K333" s="8">
        <f>IFERROR(MATCH(H333,'13W Cash Forecast'!$B$4:$N$4,1),1)</f>
        <v/>
      </c>
    </row>
    <row r="334">
      <c r="A334" s="8" t="inlineStr">
        <is>
          <t>AP</t>
        </is>
      </c>
      <c r="B334" s="8" t="inlineStr">
        <is>
          <t>AP-0005724</t>
        </is>
      </c>
      <c r="C334" s="8" t="inlineStr">
        <is>
          <t>ARM-2605</t>
        </is>
      </c>
      <c r="D334" s="8" t="inlineStr">
        <is>
          <t>West Coast Pipe, Valve &amp; Fitting Supply - Vancouver Company</t>
        </is>
      </c>
      <c r="E334" s="22" t="n">
        <v>46218</v>
      </c>
      <c r="F334" s="9" t="n">
        <v>6666.11</v>
      </c>
      <c r="G334" s="22" t="inlineStr">
        <is>
          <t>No</t>
        </is>
      </c>
      <c r="H334" s="23" t="n">
        <v>46218</v>
      </c>
      <c r="I334" s="24" t="inlineStr">
        <is>
          <t>Medium</t>
        </is>
      </c>
      <c r="J334" s="24" t="inlineStr">
        <is>
          <t>Pay to terms unless Controller releases otherwise</t>
        </is>
      </c>
      <c r="K334" s="8">
        <f>IFERROR(MATCH(H334,'13W Cash Forecast'!$B$4:$N$4,1),1)</f>
        <v/>
      </c>
    </row>
    <row r="335">
      <c r="A335" s="8" t="inlineStr">
        <is>
          <t>AP</t>
        </is>
      </c>
      <c r="B335" s="8" t="inlineStr">
        <is>
          <t>AP-0009916</t>
        </is>
      </c>
      <c r="C335" s="8" t="inlineStr">
        <is>
          <t>G&amp;A</t>
        </is>
      </c>
      <c r="D335" s="8" t="inlineStr">
        <is>
          <t>Blue Mountain Safety and Industrial Supply - Bend Company</t>
        </is>
      </c>
      <c r="E335" s="22" t="n">
        <v>46218</v>
      </c>
      <c r="F335" s="9" t="n">
        <v>3990.41</v>
      </c>
      <c r="G335" s="22" t="inlineStr">
        <is>
          <t>No</t>
        </is>
      </c>
      <c r="H335" s="23" t="n">
        <v>46218</v>
      </c>
      <c r="I335" s="24" t="inlineStr">
        <is>
          <t>Medium</t>
        </is>
      </c>
      <c r="J335" s="24" t="inlineStr">
        <is>
          <t>Pay to terms unless Controller releases otherwise</t>
        </is>
      </c>
      <c r="K335" s="8">
        <f>IFERROR(MATCH(H335,'13W Cash Forecast'!$B$4:$N$4,1),1)</f>
        <v/>
      </c>
    </row>
    <row r="336">
      <c r="A336" s="8" t="inlineStr">
        <is>
          <t>AP</t>
        </is>
      </c>
      <c r="B336" s="8" t="inlineStr">
        <is>
          <t>AP-0009937</t>
        </is>
      </c>
      <c r="C336" s="8" t="inlineStr">
        <is>
          <t>G&amp;A</t>
        </is>
      </c>
      <c r="D336" s="8" t="inlineStr">
        <is>
          <t>Blue Mountain Safety and Industrial Supply - Bend Company</t>
        </is>
      </c>
      <c r="E336" s="22" t="n">
        <v>46218</v>
      </c>
      <c r="F336" s="9" t="n">
        <v>3789.86</v>
      </c>
      <c r="G336" s="22" t="inlineStr">
        <is>
          <t>No</t>
        </is>
      </c>
      <c r="H336" s="23" t="n">
        <v>46218</v>
      </c>
      <c r="I336" s="24" t="inlineStr">
        <is>
          <t>Medium</t>
        </is>
      </c>
      <c r="J336" s="24" t="inlineStr">
        <is>
          <t>Pay to terms unless Controller releases otherwise</t>
        </is>
      </c>
      <c r="K336" s="8">
        <f>IFERROR(MATCH(H336,'13W Cash Forecast'!$B$4:$N$4,1),1)</f>
        <v/>
      </c>
    </row>
    <row r="337">
      <c r="A337" s="8" t="inlineStr">
        <is>
          <t>AP</t>
        </is>
      </c>
      <c r="B337" s="8" t="inlineStr">
        <is>
          <t>AP-0003881</t>
        </is>
      </c>
      <c r="C337" s="8" t="inlineStr">
        <is>
          <t>ARM-2318</t>
        </is>
      </c>
      <c r="D337" s="8" t="inlineStr">
        <is>
          <t>West Coast Pipe, Valve &amp; Fitting Supply - Vancouver Company</t>
        </is>
      </c>
      <c r="E337" s="22" t="n">
        <v>46219</v>
      </c>
      <c r="F337" s="9" t="n">
        <v>13517.24</v>
      </c>
      <c r="G337" s="22" t="inlineStr">
        <is>
          <t>No</t>
        </is>
      </c>
      <c r="H337" s="23" t="n">
        <v>46219</v>
      </c>
      <c r="I337" s="24" t="inlineStr">
        <is>
          <t>Medium</t>
        </is>
      </c>
      <c r="J337" s="24" t="inlineStr">
        <is>
          <t>Pay to terms unless Controller releases otherwise</t>
        </is>
      </c>
      <c r="K337" s="8">
        <f>IFERROR(MATCH(H337,'13W Cash Forecast'!$B$4:$N$4,1),1)</f>
        <v/>
      </c>
    </row>
    <row r="338">
      <c r="A338" s="8" t="inlineStr">
        <is>
          <t>AP</t>
        </is>
      </c>
      <c r="B338" s="8" t="inlineStr">
        <is>
          <t>AP-0003886</t>
        </is>
      </c>
      <c r="C338" s="8" t="inlineStr">
        <is>
          <t>ARM-2318</t>
        </is>
      </c>
      <c r="D338" s="8" t="inlineStr">
        <is>
          <t>West Coast Mechanical Insulation - Portland Company</t>
        </is>
      </c>
      <c r="E338" s="22" t="n">
        <v>46219</v>
      </c>
      <c r="F338" s="9" t="n">
        <v>20322.99</v>
      </c>
      <c r="G338" s="22" t="inlineStr">
        <is>
          <t>No</t>
        </is>
      </c>
      <c r="H338" s="23" t="n">
        <v>46219</v>
      </c>
      <c r="I338" s="24" t="inlineStr">
        <is>
          <t>Medium</t>
        </is>
      </c>
      <c r="J338" s="24" t="inlineStr">
        <is>
          <t>Pay to terms unless Controller releases otherwise</t>
        </is>
      </c>
      <c r="K338" s="8">
        <f>IFERROR(MATCH(H338,'13W Cash Forecast'!$B$4:$N$4,1),1)</f>
        <v/>
      </c>
    </row>
    <row r="339">
      <c r="A339" s="8" t="inlineStr">
        <is>
          <t>AP</t>
        </is>
      </c>
      <c r="B339" s="8" t="inlineStr">
        <is>
          <t>AP-0005437</t>
        </is>
      </c>
      <c r="C339" s="8" t="inlineStr">
        <is>
          <t>ARM-2514</t>
        </is>
      </c>
      <c r="D339" s="8" t="inlineStr">
        <is>
          <t>Rose City Pipe, Valve &amp; Fitting Supply - Eugene Services, LLC</t>
        </is>
      </c>
      <c r="E339" s="22" t="n">
        <v>46219</v>
      </c>
      <c r="F339" s="9" t="n">
        <v>12842.18</v>
      </c>
      <c r="G339" s="22" t="inlineStr">
        <is>
          <t>No</t>
        </is>
      </c>
      <c r="H339" s="23" t="n">
        <v>46219</v>
      </c>
      <c r="I339" s="24" t="inlineStr">
        <is>
          <t>Medium</t>
        </is>
      </c>
      <c r="J339" s="24" t="inlineStr">
        <is>
          <t>Pay to terms unless Controller releases otherwise</t>
        </is>
      </c>
      <c r="K339" s="8">
        <f>IFERROR(MATCH(H339,'13W Cash Forecast'!$B$4:$N$4,1),1)</f>
        <v/>
      </c>
    </row>
    <row r="340">
      <c r="A340" s="8" t="inlineStr">
        <is>
          <t>AP</t>
        </is>
      </c>
      <c r="B340" s="8" t="inlineStr">
        <is>
          <t>AP-0005582</t>
        </is>
      </c>
      <c r="C340" s="8" t="inlineStr">
        <is>
          <t>ARM-2522</t>
        </is>
      </c>
      <c r="D340" s="8" t="inlineStr">
        <is>
          <t>Tualatin Electrical Contracting - Vancouver Inc.</t>
        </is>
      </c>
      <c r="E340" s="22" t="n">
        <v>46219</v>
      </c>
      <c r="F340" s="9" t="n">
        <v>11263.73</v>
      </c>
      <c r="G340" s="22" t="inlineStr">
        <is>
          <t>No</t>
        </is>
      </c>
      <c r="H340" s="23" t="n">
        <v>46219</v>
      </c>
      <c r="I340" s="24" t="inlineStr">
        <is>
          <t>Medium</t>
        </is>
      </c>
      <c r="J340" s="24" t="inlineStr">
        <is>
          <t>Pay to terms unless Controller releases otherwise</t>
        </is>
      </c>
      <c r="K340" s="8">
        <f>IFERROR(MATCH(H340,'13W Cash Forecast'!$B$4:$N$4,1),1)</f>
        <v/>
      </c>
    </row>
    <row r="341">
      <c r="A341" s="8" t="inlineStr">
        <is>
          <t>AP</t>
        </is>
      </c>
      <c r="B341" s="8" t="inlineStr">
        <is>
          <t>AP-0005589</t>
        </is>
      </c>
      <c r="C341" s="8" t="inlineStr">
        <is>
          <t>ARM-2522</t>
        </is>
      </c>
      <c r="D341" s="8" t="inlineStr">
        <is>
          <t>Columbia Pipe, Valve &amp; Fitting Supply - Eugene Inc.</t>
        </is>
      </c>
      <c r="E341" s="22" t="n">
        <v>46219</v>
      </c>
      <c r="F341" s="9" t="n">
        <v>28753.73</v>
      </c>
      <c r="G341" s="22" t="inlineStr">
        <is>
          <t>No</t>
        </is>
      </c>
      <c r="H341" s="23" t="n">
        <v>46219</v>
      </c>
      <c r="I341" s="24" t="inlineStr">
        <is>
          <t>Medium</t>
        </is>
      </c>
      <c r="J341" s="24" t="inlineStr">
        <is>
          <t>Pay to terms unless Controller releases otherwise</t>
        </is>
      </c>
      <c r="K341" s="8">
        <f>IFERROR(MATCH(H341,'13W Cash Forecast'!$B$4:$N$4,1),1)</f>
        <v/>
      </c>
    </row>
    <row r="342">
      <c r="A342" s="8" t="inlineStr">
        <is>
          <t>AP</t>
        </is>
      </c>
      <c r="B342" s="8" t="inlineStr">
        <is>
          <t>AP-0005591</t>
        </is>
      </c>
      <c r="C342" s="8" t="inlineStr">
        <is>
          <t>ARM-2522</t>
        </is>
      </c>
      <c r="D342" s="8" t="inlineStr">
        <is>
          <t>High Desert Mechanical Insulation - Beaverton Services, LLC</t>
        </is>
      </c>
      <c r="E342" s="22" t="n">
        <v>46219</v>
      </c>
      <c r="F342" s="9" t="n">
        <v>6002.24</v>
      </c>
      <c r="G342" s="22" t="inlineStr">
        <is>
          <t>No</t>
        </is>
      </c>
      <c r="H342" s="23" t="n">
        <v>46219</v>
      </c>
      <c r="I342" s="24" t="inlineStr">
        <is>
          <t>Medium</t>
        </is>
      </c>
      <c r="J342" s="24" t="inlineStr">
        <is>
          <t>Pay to terms unless Controller releases otherwise</t>
        </is>
      </c>
      <c r="K342" s="8">
        <f>IFERROR(MATCH(H342,'13W Cash Forecast'!$B$4:$N$4,1),1)</f>
        <v/>
      </c>
    </row>
    <row r="343">
      <c r="A343" s="8" t="inlineStr">
        <is>
          <t>AP</t>
        </is>
      </c>
      <c r="B343" s="8" t="inlineStr">
        <is>
          <t>AP-0009919</t>
        </is>
      </c>
      <c r="C343" s="8" t="inlineStr">
        <is>
          <t>G&amp;A</t>
        </is>
      </c>
      <c r="D343" s="8" t="inlineStr">
        <is>
          <t>Tualatin Fleet Service Center - Eugene Inc.</t>
        </is>
      </c>
      <c r="E343" s="22" t="n">
        <v>46219</v>
      </c>
      <c r="F343" s="9" t="n">
        <v>6437.28</v>
      </c>
      <c r="G343" s="22" t="inlineStr">
        <is>
          <t>No</t>
        </is>
      </c>
      <c r="H343" s="23" t="n">
        <v>46219</v>
      </c>
      <c r="I343" s="24" t="inlineStr">
        <is>
          <t>Medium</t>
        </is>
      </c>
      <c r="J343" s="24" t="inlineStr">
        <is>
          <t>Pay to terms unless Controller releases otherwise</t>
        </is>
      </c>
      <c r="K343" s="8">
        <f>IFERROR(MATCH(H343,'13W Cash Forecast'!$B$4:$N$4,1),1)</f>
        <v/>
      </c>
    </row>
    <row r="344">
      <c r="A344" s="8" t="inlineStr">
        <is>
          <t>AP</t>
        </is>
      </c>
      <c r="B344" s="8" t="inlineStr">
        <is>
          <t>AP-0009940</t>
        </is>
      </c>
      <c r="C344" s="8" t="inlineStr">
        <is>
          <t>G&amp;A</t>
        </is>
      </c>
      <c r="D344" s="8" t="inlineStr">
        <is>
          <t>Tualatin Fleet Service Center - Eugene Inc.</t>
        </is>
      </c>
      <c r="E344" s="22" t="n">
        <v>46219</v>
      </c>
      <c r="F344" s="9" t="n">
        <v>2936.4</v>
      </c>
      <c r="G344" s="22" t="inlineStr">
        <is>
          <t>No</t>
        </is>
      </c>
      <c r="H344" s="23" t="n">
        <v>46219</v>
      </c>
      <c r="I344" s="24" t="inlineStr">
        <is>
          <t>Medium</t>
        </is>
      </c>
      <c r="J344" s="24" t="inlineStr">
        <is>
          <t>Pay to terms unless Controller releases otherwise</t>
        </is>
      </c>
      <c r="K344" s="8">
        <f>IFERROR(MATCH(H344,'13W Cash Forecast'!$B$4:$N$4,1),1)</f>
        <v/>
      </c>
    </row>
    <row r="345">
      <c r="A345" s="8" t="inlineStr">
        <is>
          <t>AP</t>
        </is>
      </c>
      <c r="B345" s="8" t="inlineStr">
        <is>
          <t>AP-0005108</t>
        </is>
      </c>
      <c r="C345" s="8" t="inlineStr">
        <is>
          <t>ARM-2506</t>
        </is>
      </c>
      <c r="D345" s="8" t="inlineStr">
        <is>
          <t>High Desert Electrical Contracting - Vancouver Services, LLC</t>
        </is>
      </c>
      <c r="E345" s="22" t="n">
        <v>46220</v>
      </c>
      <c r="F345" s="9" t="n">
        <v>6311.7</v>
      </c>
      <c r="G345" s="22" t="inlineStr">
        <is>
          <t>No</t>
        </is>
      </c>
      <c r="H345" s="23" t="n">
        <v>46220</v>
      </c>
      <c r="I345" s="24" t="inlineStr">
        <is>
          <t>Medium</t>
        </is>
      </c>
      <c r="J345" s="24" t="inlineStr">
        <is>
          <t>Pay to terms unless Controller releases otherwise</t>
        </is>
      </c>
      <c r="K345" s="8">
        <f>IFERROR(MATCH(H345,'13W Cash Forecast'!$B$4:$N$4,1),1)</f>
        <v/>
      </c>
    </row>
    <row r="346">
      <c r="A346" s="8" t="inlineStr">
        <is>
          <t>AP</t>
        </is>
      </c>
      <c r="B346" s="8" t="inlineStr">
        <is>
          <t>AP-0009922</t>
        </is>
      </c>
      <c r="C346" s="8" t="inlineStr">
        <is>
          <t>G&amp;A</t>
        </is>
      </c>
      <c r="D346" s="8" t="inlineStr">
        <is>
          <t>Interstate Pipe, Valve &amp; Fitting Supply - Beaverton Services, LLC</t>
        </is>
      </c>
      <c r="E346" s="22" t="n">
        <v>46220</v>
      </c>
      <c r="F346" s="9" t="n">
        <v>4108.1</v>
      </c>
      <c r="G346" s="22" t="inlineStr">
        <is>
          <t>No</t>
        </is>
      </c>
      <c r="H346" s="23" t="n">
        <v>46220</v>
      </c>
      <c r="I346" s="24" t="inlineStr">
        <is>
          <t>Medium</t>
        </is>
      </c>
      <c r="J346" s="24" t="inlineStr">
        <is>
          <t>Pay to terms unless Controller releases otherwise</t>
        </is>
      </c>
      <c r="K346" s="8">
        <f>IFERROR(MATCH(H346,'13W Cash Forecast'!$B$4:$N$4,1),1)</f>
        <v/>
      </c>
    </row>
    <row r="347">
      <c r="A347" s="8" t="inlineStr">
        <is>
          <t>AP</t>
        </is>
      </c>
      <c r="B347" s="8" t="inlineStr">
        <is>
          <t>AP-0009943</t>
        </is>
      </c>
      <c r="C347" s="8" t="inlineStr">
        <is>
          <t>G&amp;A</t>
        </is>
      </c>
      <c r="D347" s="8" t="inlineStr">
        <is>
          <t>Interstate Pipe, Valve &amp; Fitting Supply - Beaverton Services, LLC</t>
        </is>
      </c>
      <c r="E347" s="22" t="n">
        <v>46220</v>
      </c>
      <c r="F347" s="9" t="n">
        <v>2944.7</v>
      </c>
      <c r="G347" s="22" t="inlineStr">
        <is>
          <t>No</t>
        </is>
      </c>
      <c r="H347" s="23" t="n">
        <v>46220</v>
      </c>
      <c r="I347" s="24" t="inlineStr">
        <is>
          <t>Medium</t>
        </is>
      </c>
      <c r="J347" s="24" t="inlineStr">
        <is>
          <t>Pay to terms unless Controller releases otherwise</t>
        </is>
      </c>
      <c r="K347" s="8">
        <f>IFERROR(MATCH(H347,'13W Cash Forecast'!$B$4:$N$4,1),1)</f>
        <v/>
      </c>
    </row>
    <row r="348">
      <c r="A348" s="8" t="inlineStr">
        <is>
          <t>AP</t>
        </is>
      </c>
      <c r="B348" s="8" t="inlineStr">
        <is>
          <t>AP-0011886</t>
        </is>
      </c>
      <c r="C348" s="8" t="inlineStr">
        <is>
          <t>G&amp;A</t>
        </is>
      </c>
      <c r="D348" s="8" t="inlineStr">
        <is>
          <t>Metro Building Services - Portland Group</t>
        </is>
      </c>
      <c r="E348" s="22" t="n">
        <v>46220</v>
      </c>
      <c r="F348" s="9" t="n">
        <v>67717.87</v>
      </c>
      <c r="G348" s="22" t="inlineStr">
        <is>
          <t>No</t>
        </is>
      </c>
      <c r="H348" s="23" t="n">
        <v>46220</v>
      </c>
      <c r="I348" s="24" t="inlineStr">
        <is>
          <t>Medium</t>
        </is>
      </c>
      <c r="J348" s="24" t="inlineStr">
        <is>
          <t>Pay to terms unless Controller releases otherwise</t>
        </is>
      </c>
      <c r="K348" s="8">
        <f>IFERROR(MATCH(H348,'13W Cash Forecast'!$B$4:$N$4,1),1)</f>
        <v/>
      </c>
    </row>
    <row r="349">
      <c r="A349" s="8" t="inlineStr">
        <is>
          <t>AP</t>
        </is>
      </c>
      <c r="B349" s="8" t="inlineStr">
        <is>
          <t>AP-0011895</t>
        </is>
      </c>
      <c r="C349" s="8" t="inlineStr">
        <is>
          <t>G&amp;A</t>
        </is>
      </c>
      <c r="D349" s="8" t="inlineStr">
        <is>
          <t>Rainier Construction Advisory - Beaverton Company</t>
        </is>
      </c>
      <c r="E349" s="22" t="n">
        <v>46220</v>
      </c>
      <c r="F349" s="9" t="n">
        <v>3824.38</v>
      </c>
      <c r="G349" s="22" t="inlineStr">
        <is>
          <t>No</t>
        </is>
      </c>
      <c r="H349" s="23" t="n">
        <v>46220</v>
      </c>
      <c r="I349" s="24" t="inlineStr">
        <is>
          <t>Medium</t>
        </is>
      </c>
      <c r="J349" s="24" t="inlineStr">
        <is>
          <t>Pay to terms unless Controller releases otherwise</t>
        </is>
      </c>
      <c r="K349" s="8">
        <f>IFERROR(MATCH(H349,'13W Cash Forecast'!$B$4:$N$4,1),1)</f>
        <v/>
      </c>
    </row>
    <row r="350">
      <c r="A350" s="8" t="inlineStr">
        <is>
          <t>AP</t>
        </is>
      </c>
      <c r="B350" s="8" t="inlineStr">
        <is>
          <t>AP-0004695</t>
        </is>
      </c>
      <c r="C350" s="8" t="inlineStr">
        <is>
          <t>ARM-2417</t>
        </is>
      </c>
      <c r="D350" s="8" t="inlineStr">
        <is>
          <t>Rainier Sheet Metal Fabrication - Eugene Company</t>
        </is>
      </c>
      <c r="E350" s="22" t="n">
        <v>46221</v>
      </c>
      <c r="F350" s="9" t="n">
        <v>11639.37</v>
      </c>
      <c r="G350" s="22" t="inlineStr">
        <is>
          <t>No</t>
        </is>
      </c>
      <c r="H350" s="23" t="n">
        <v>46221</v>
      </c>
      <c r="I350" s="24" t="inlineStr">
        <is>
          <t>Medium</t>
        </is>
      </c>
      <c r="J350" s="24" t="inlineStr">
        <is>
          <t>Pay to terms unless Controller releases otherwise</t>
        </is>
      </c>
      <c r="K350" s="8">
        <f>IFERROR(MATCH(H350,'13W Cash Forecast'!$B$4:$N$4,1),1)</f>
        <v/>
      </c>
    </row>
    <row r="351">
      <c r="A351" s="8" t="inlineStr">
        <is>
          <t>AP</t>
        </is>
      </c>
      <c r="B351" s="8" t="inlineStr">
        <is>
          <t>AP-0004707</t>
        </is>
      </c>
      <c r="C351" s="8" t="inlineStr">
        <is>
          <t>ARM-2417</t>
        </is>
      </c>
      <c r="D351" s="8" t="inlineStr">
        <is>
          <t>Sunbelt Rentals - Oregon District</t>
        </is>
      </c>
      <c r="E351" s="22" t="n">
        <v>46221</v>
      </c>
      <c r="F351" s="9" t="n">
        <v>6824.06</v>
      </c>
      <c r="G351" s="22" t="inlineStr">
        <is>
          <t>No</t>
        </is>
      </c>
      <c r="H351" s="23" t="n">
        <v>46221</v>
      </c>
      <c r="I351" s="24" t="inlineStr">
        <is>
          <t>Medium</t>
        </is>
      </c>
      <c r="J351" s="24" t="inlineStr">
        <is>
          <t>Pay to terms unless Controller releases otherwise</t>
        </is>
      </c>
      <c r="K351" s="8">
        <f>IFERROR(MATCH(H351,'13W Cash Forecast'!$B$4:$N$4,1),1)</f>
        <v/>
      </c>
    </row>
    <row r="352">
      <c r="A352" s="8" t="inlineStr">
        <is>
          <t>AP</t>
        </is>
      </c>
      <c r="B352" s="8" t="inlineStr">
        <is>
          <t>AP-0005445</t>
        </is>
      </c>
      <c r="C352" s="8" t="inlineStr">
        <is>
          <t>ARM-2514</t>
        </is>
      </c>
      <c r="D352" s="8" t="inlineStr">
        <is>
          <t>Rainier Mechanical Insulation - Gresham Company</t>
        </is>
      </c>
      <c r="E352" s="22" t="n">
        <v>46221</v>
      </c>
      <c r="F352" s="9" t="n">
        <v>7143.93</v>
      </c>
      <c r="G352" s="22" t="inlineStr">
        <is>
          <t>No</t>
        </is>
      </c>
      <c r="H352" s="23" t="n">
        <v>46221</v>
      </c>
      <c r="I352" s="24" t="inlineStr">
        <is>
          <t>Medium</t>
        </is>
      </c>
      <c r="J352" s="24" t="inlineStr">
        <is>
          <t>Pay to terms unless Controller releases otherwise</t>
        </is>
      </c>
      <c r="K352" s="8">
        <f>IFERROR(MATCH(H352,'13W Cash Forecast'!$B$4:$N$4,1),1)</f>
        <v/>
      </c>
    </row>
    <row r="353">
      <c r="A353" s="8" t="inlineStr">
        <is>
          <t>AP</t>
        </is>
      </c>
      <c r="B353" s="8" t="inlineStr">
        <is>
          <t>AP-0005687</t>
        </is>
      </c>
      <c r="C353" s="8" t="inlineStr">
        <is>
          <t>ARM-2602</t>
        </is>
      </c>
      <c r="D353" s="8" t="inlineStr">
        <is>
          <t>West Coast Testing and Balancing - Salem Company</t>
        </is>
      </c>
      <c r="E353" s="22" t="n">
        <v>46221</v>
      </c>
      <c r="F353" s="9" t="n">
        <v>27108.61</v>
      </c>
      <c r="G353" s="22" t="inlineStr">
        <is>
          <t>No</t>
        </is>
      </c>
      <c r="H353" s="23" t="n">
        <v>46221</v>
      </c>
      <c r="I353" s="24" t="inlineStr">
        <is>
          <t>Medium</t>
        </is>
      </c>
      <c r="J353" s="24" t="inlineStr">
        <is>
          <t>Pay to terms unless Controller releases otherwise</t>
        </is>
      </c>
      <c r="K353" s="8">
        <f>IFERROR(MATCH(H353,'13W Cash Forecast'!$B$4:$N$4,1),1)</f>
        <v/>
      </c>
    </row>
    <row r="354">
      <c r="A354" s="8" t="inlineStr">
        <is>
          <t>AP</t>
        </is>
      </c>
      <c r="B354" s="8" t="inlineStr">
        <is>
          <t>AP-0005689</t>
        </is>
      </c>
      <c r="C354" s="8" t="inlineStr">
        <is>
          <t>ARM-2602</t>
        </is>
      </c>
      <c r="D354" s="8" t="inlineStr">
        <is>
          <t>Blue Mountain Mechanical Insulation - Salem Company</t>
        </is>
      </c>
      <c r="E354" s="22" t="n">
        <v>46221</v>
      </c>
      <c r="F354" s="9" t="n">
        <v>6903.84</v>
      </c>
      <c r="G354" s="22" t="inlineStr">
        <is>
          <t>No</t>
        </is>
      </c>
      <c r="H354" s="23" t="n">
        <v>46221</v>
      </c>
      <c r="I354" s="24" t="inlineStr">
        <is>
          <t>Medium</t>
        </is>
      </c>
      <c r="J354" s="24" t="inlineStr">
        <is>
          <t>Pay to terms unless Controller releases otherwise</t>
        </is>
      </c>
      <c r="K354" s="8">
        <f>IFERROR(MATCH(H354,'13W Cash Forecast'!$B$4:$N$4,1),1)</f>
        <v/>
      </c>
    </row>
    <row r="355">
      <c r="A355" s="8" t="inlineStr">
        <is>
          <t>AP</t>
        </is>
      </c>
      <c r="B355" s="8" t="inlineStr">
        <is>
          <t>AP-0004103</t>
        </is>
      </c>
      <c r="C355" s="8" t="inlineStr">
        <is>
          <t>ARM-2403</t>
        </is>
      </c>
      <c r="D355" s="8" t="inlineStr">
        <is>
          <t>Columbia Equipment Rental &amp; Services - Bend Inc.</t>
        </is>
      </c>
      <c r="E355" s="22" t="n">
        <v>46222</v>
      </c>
      <c r="F355" s="9" t="n">
        <v>8085.79</v>
      </c>
      <c r="G355" s="22" t="inlineStr">
        <is>
          <t>No</t>
        </is>
      </c>
      <c r="H355" s="23" t="n">
        <v>46222</v>
      </c>
      <c r="I355" s="24" t="inlineStr">
        <is>
          <t>Medium</t>
        </is>
      </c>
      <c r="J355" s="24" t="inlineStr">
        <is>
          <t>Pay to terms unless Controller releases otherwise</t>
        </is>
      </c>
      <c r="K355" s="8">
        <f>IFERROR(MATCH(H355,'13W Cash Forecast'!$B$4:$N$4,1),1)</f>
        <v/>
      </c>
    </row>
    <row r="356">
      <c r="A356" s="8" t="inlineStr">
        <is>
          <t>AP</t>
        </is>
      </c>
      <c r="B356" s="8" t="inlineStr">
        <is>
          <t>AP-0004702</t>
        </is>
      </c>
      <c r="C356" s="8" t="inlineStr">
        <is>
          <t>ARM-2417</t>
        </is>
      </c>
      <c r="D356" s="8" t="inlineStr">
        <is>
          <t>Evergreen Sheet Metal Fabrication - Bend Company</t>
        </is>
      </c>
      <c r="E356" s="22" t="n">
        <v>46222</v>
      </c>
      <c r="F356" s="9" t="n">
        <v>7860.66</v>
      </c>
      <c r="G356" s="22" t="inlineStr">
        <is>
          <t>No</t>
        </is>
      </c>
      <c r="H356" s="23" t="n">
        <v>46222</v>
      </c>
      <c r="I356" s="24" t="inlineStr">
        <is>
          <t>Medium</t>
        </is>
      </c>
      <c r="J356" s="24" t="inlineStr">
        <is>
          <t>Pay to terms unless Controller releases otherwise</t>
        </is>
      </c>
      <c r="K356" s="8">
        <f>IFERROR(MATCH(H356,'13W Cash Forecast'!$B$4:$N$4,1),1)</f>
        <v/>
      </c>
    </row>
    <row r="357">
      <c r="A357" s="8" t="inlineStr">
        <is>
          <t>AP</t>
        </is>
      </c>
      <c r="B357" s="8" t="inlineStr">
        <is>
          <t>AP-0005516</t>
        </is>
      </c>
      <c r="C357" s="8" t="inlineStr">
        <is>
          <t>ARM-2518</t>
        </is>
      </c>
      <c r="D357" s="8" t="inlineStr">
        <is>
          <t>United Rentals (North America), Inc.</t>
        </is>
      </c>
      <c r="E357" s="22" t="n">
        <v>46222</v>
      </c>
      <c r="F357" s="9" t="n">
        <v>6706.98</v>
      </c>
      <c r="G357" s="22" t="inlineStr">
        <is>
          <t>No</t>
        </is>
      </c>
      <c r="H357" s="23" t="n">
        <v>46222</v>
      </c>
      <c r="I357" s="24" t="inlineStr">
        <is>
          <t>Medium</t>
        </is>
      </c>
      <c r="J357" s="24" t="inlineStr">
        <is>
          <t>Pay to terms unless Controller releases otherwise</t>
        </is>
      </c>
      <c r="K357" s="8">
        <f>IFERROR(MATCH(H357,'13W Cash Forecast'!$B$4:$N$4,1),1)</f>
        <v/>
      </c>
    </row>
    <row r="358">
      <c r="A358" s="8" t="inlineStr">
        <is>
          <t>AP</t>
        </is>
      </c>
      <c r="B358" s="8" t="inlineStr">
        <is>
          <t>AP-0005721</t>
        </is>
      </c>
      <c r="C358" s="8" t="inlineStr">
        <is>
          <t>ARM-2605</t>
        </is>
      </c>
      <c r="D358" s="8" t="inlineStr">
        <is>
          <t>Rainier Crane and Rigging - Bend Company</t>
        </is>
      </c>
      <c r="E358" s="22" t="n">
        <v>46222</v>
      </c>
      <c r="F358" s="9" t="n">
        <v>7886.36</v>
      </c>
      <c r="G358" s="22" t="inlineStr">
        <is>
          <t>No</t>
        </is>
      </c>
      <c r="H358" s="23" t="n">
        <v>46222</v>
      </c>
      <c r="I358" s="24" t="inlineStr">
        <is>
          <t>Medium</t>
        </is>
      </c>
      <c r="J358" s="24" t="inlineStr">
        <is>
          <t>Pay to terms unless Controller releases otherwise</t>
        </is>
      </c>
      <c r="K358" s="8">
        <f>IFERROR(MATCH(H358,'13W Cash Forecast'!$B$4:$N$4,1),1)</f>
        <v/>
      </c>
    </row>
    <row r="359">
      <c r="A359" s="8" t="inlineStr">
        <is>
          <t>AP</t>
        </is>
      </c>
      <c r="B359" s="8" t="inlineStr">
        <is>
          <t>AP-0005751</t>
        </is>
      </c>
      <c r="C359" s="8" t="inlineStr">
        <is>
          <t>ARM-2608</t>
        </is>
      </c>
      <c r="D359" s="8" t="inlineStr">
        <is>
          <t>Pioneer Crane and Rigging - Gresham Inc.</t>
        </is>
      </c>
      <c r="E359" s="22" t="n">
        <v>46222</v>
      </c>
      <c r="F359" s="9" t="n">
        <v>8308.24</v>
      </c>
      <c r="G359" s="22" t="inlineStr">
        <is>
          <t>No</t>
        </is>
      </c>
      <c r="H359" s="23" t="n">
        <v>46222</v>
      </c>
      <c r="I359" s="24" t="inlineStr">
        <is>
          <t>Medium</t>
        </is>
      </c>
      <c r="J359" s="24" t="inlineStr">
        <is>
          <t>Pay to terms unless Controller releases otherwise</t>
        </is>
      </c>
      <c r="K359" s="8">
        <f>IFERROR(MATCH(H359,'13W Cash Forecast'!$B$4:$N$4,1),1)</f>
        <v/>
      </c>
    </row>
    <row r="360">
      <c r="A360" s="8" t="inlineStr">
        <is>
          <t>AP</t>
        </is>
      </c>
      <c r="B360" s="8" t="inlineStr">
        <is>
          <t>AP-0004700</t>
        </is>
      </c>
      <c r="C360" s="8" t="inlineStr">
        <is>
          <t>ARM-2417</t>
        </is>
      </c>
      <c r="D360" s="8" t="inlineStr">
        <is>
          <t>Bridge City Mechanical Insulation - Bend Group</t>
        </is>
      </c>
      <c r="E360" s="22" t="n">
        <v>46223</v>
      </c>
      <c r="F360" s="9" t="n">
        <v>14680.51</v>
      </c>
      <c r="G360" s="22" t="inlineStr">
        <is>
          <t>No</t>
        </is>
      </c>
      <c r="H360" s="23" t="n">
        <v>46223</v>
      </c>
      <c r="I360" s="24" t="inlineStr">
        <is>
          <t>Medium</t>
        </is>
      </c>
      <c r="J360" s="24" t="inlineStr">
        <is>
          <t>Pay to terms unless Controller releases otherwise</t>
        </is>
      </c>
      <c r="K360" s="8">
        <f>IFERROR(MATCH(H360,'13W Cash Forecast'!$B$4:$N$4,1),1)</f>
        <v/>
      </c>
    </row>
    <row r="361">
      <c r="A361" s="8" t="inlineStr">
        <is>
          <t>AP</t>
        </is>
      </c>
      <c r="B361" s="8" t="inlineStr">
        <is>
          <t>AP-0005586</t>
        </is>
      </c>
      <c r="C361" s="8" t="inlineStr">
        <is>
          <t>ARM-2522</t>
        </is>
      </c>
      <c r="D361" s="8" t="inlineStr">
        <is>
          <t>Willamette Equipment Rental &amp; Services - Salem Inc.</t>
        </is>
      </c>
      <c r="E361" s="22" t="n">
        <v>46223</v>
      </c>
      <c r="F361" s="9" t="n">
        <v>13517.26</v>
      </c>
      <c r="G361" s="22" t="inlineStr">
        <is>
          <t>No</t>
        </is>
      </c>
      <c r="H361" s="23" t="n">
        <v>46223</v>
      </c>
      <c r="I361" s="24" t="inlineStr">
        <is>
          <t>Medium</t>
        </is>
      </c>
      <c r="J361" s="24" t="inlineStr">
        <is>
          <t>Pay to terms unless Controller releases otherwise</t>
        </is>
      </c>
      <c r="K361" s="8">
        <f>IFERROR(MATCH(H361,'13W Cash Forecast'!$B$4:$N$4,1),1)</f>
        <v/>
      </c>
    </row>
    <row r="362">
      <c r="A362" s="8" t="inlineStr">
        <is>
          <t>AP</t>
        </is>
      </c>
      <c r="B362" s="8" t="inlineStr">
        <is>
          <t>AP-0009905</t>
        </is>
      </c>
      <c r="C362" s="8" t="inlineStr">
        <is>
          <t>G&amp;A</t>
        </is>
      </c>
      <c r="D362" s="8" t="inlineStr">
        <is>
          <t>Sunbelt Rentals - Oregon District</t>
        </is>
      </c>
      <c r="E362" s="22" t="n">
        <v>46223</v>
      </c>
      <c r="F362" s="9" t="n">
        <v>4694.04</v>
      </c>
      <c r="G362" s="22" t="inlineStr">
        <is>
          <t>No</t>
        </is>
      </c>
      <c r="H362" s="23" t="n">
        <v>46223</v>
      </c>
      <c r="I362" s="24" t="inlineStr">
        <is>
          <t>Medium</t>
        </is>
      </c>
      <c r="J362" s="24" t="inlineStr">
        <is>
          <t>Pay to terms unless Controller releases otherwise</t>
        </is>
      </c>
      <c r="K362" s="8">
        <f>IFERROR(MATCH(H362,'13W Cash Forecast'!$B$4:$N$4,1),1)</f>
        <v/>
      </c>
    </row>
    <row r="363">
      <c r="A363" s="8" t="inlineStr">
        <is>
          <t>AP</t>
        </is>
      </c>
      <c r="B363" s="8" t="inlineStr">
        <is>
          <t>AP-0009912</t>
        </is>
      </c>
      <c r="C363" s="8" t="inlineStr">
        <is>
          <t>G&amp;A</t>
        </is>
      </c>
      <c r="D363" s="8" t="inlineStr">
        <is>
          <t>Metro Fleet Service Center - Vancouver Group</t>
        </is>
      </c>
      <c r="E363" s="22" t="n">
        <v>46223</v>
      </c>
      <c r="F363" s="9" t="n">
        <v>4400.1</v>
      </c>
      <c r="G363" s="22" t="inlineStr">
        <is>
          <t>No</t>
        </is>
      </c>
      <c r="H363" s="23" t="n">
        <v>46223</v>
      </c>
      <c r="I363" s="24" t="inlineStr">
        <is>
          <t>Medium</t>
        </is>
      </c>
      <c r="J363" s="24" t="inlineStr">
        <is>
          <t>Pay to terms unless Controller releases otherwise</t>
        </is>
      </c>
      <c r="K363" s="8">
        <f>IFERROR(MATCH(H363,'13W Cash Forecast'!$B$4:$N$4,1),1)</f>
        <v/>
      </c>
    </row>
    <row r="364">
      <c r="A364" s="8" t="inlineStr">
        <is>
          <t>AP</t>
        </is>
      </c>
      <c r="B364" s="8" t="inlineStr">
        <is>
          <t>AP-0009926</t>
        </is>
      </c>
      <c r="C364" s="8" t="inlineStr">
        <is>
          <t>G&amp;A</t>
        </is>
      </c>
      <c r="D364" s="8" t="inlineStr">
        <is>
          <t>Sunbelt Rentals - Oregon District</t>
        </is>
      </c>
      <c r="E364" s="22" t="n">
        <v>46223</v>
      </c>
      <c r="F364" s="9" t="n">
        <v>4207.95</v>
      </c>
      <c r="G364" s="22" t="inlineStr">
        <is>
          <t>No</t>
        </is>
      </c>
      <c r="H364" s="23" t="n">
        <v>46223</v>
      </c>
      <c r="I364" s="24" t="inlineStr">
        <is>
          <t>Medium</t>
        </is>
      </c>
      <c r="J364" s="24" t="inlineStr">
        <is>
          <t>Pay to terms unless Controller releases otherwise</t>
        </is>
      </c>
      <c r="K364" s="8">
        <f>IFERROR(MATCH(H364,'13W Cash Forecast'!$B$4:$N$4,1),1)</f>
        <v/>
      </c>
    </row>
    <row r="365">
      <c r="A365" s="8" t="inlineStr">
        <is>
          <t>AP</t>
        </is>
      </c>
      <c r="B365" s="8" t="inlineStr">
        <is>
          <t>AP-0009933</t>
        </is>
      </c>
      <c r="C365" s="8" t="inlineStr">
        <is>
          <t>G&amp;A</t>
        </is>
      </c>
      <c r="D365" s="8" t="inlineStr">
        <is>
          <t>Metro Fleet Service Center - Vancouver Group</t>
        </is>
      </c>
      <c r="E365" s="22" t="n">
        <v>46223</v>
      </c>
      <c r="F365" s="9" t="n">
        <v>3884.41</v>
      </c>
      <c r="G365" s="22" t="inlineStr">
        <is>
          <t>No</t>
        </is>
      </c>
      <c r="H365" s="23" t="n">
        <v>46223</v>
      </c>
      <c r="I365" s="24" t="inlineStr">
        <is>
          <t>Medium</t>
        </is>
      </c>
      <c r="J365" s="24" t="inlineStr">
        <is>
          <t>Pay to terms unless Controller releases otherwise</t>
        </is>
      </c>
      <c r="K365" s="8">
        <f>IFERROR(MATCH(H365,'13W Cash Forecast'!$B$4:$N$4,1),1)</f>
        <v/>
      </c>
    </row>
    <row r="366">
      <c r="A366" s="8" t="inlineStr">
        <is>
          <t>AP</t>
        </is>
      </c>
      <c r="B366" s="8" t="inlineStr">
        <is>
          <t>AP-0003883</t>
        </is>
      </c>
      <c r="C366" s="8" t="inlineStr">
        <is>
          <t>ARM-2318</t>
        </is>
      </c>
      <c r="D366" s="8" t="inlineStr">
        <is>
          <t>Northwest Crane and Rigging - Salem Group</t>
        </is>
      </c>
      <c r="E366" s="22" t="n">
        <v>46224</v>
      </c>
      <c r="F366" s="9" t="n">
        <v>10309.14</v>
      </c>
      <c r="G366" s="22" t="inlineStr">
        <is>
          <t>No</t>
        </is>
      </c>
      <c r="H366" s="23" t="n">
        <v>46224</v>
      </c>
      <c r="I366" s="24" t="inlineStr">
        <is>
          <t>Medium</t>
        </is>
      </c>
      <c r="J366" s="24" t="inlineStr">
        <is>
          <t>Pay to terms unless Controller releases otherwise</t>
        </is>
      </c>
      <c r="K366" s="8">
        <f>IFERROR(MATCH(H366,'13W Cash Forecast'!$B$4:$N$4,1),1)</f>
        <v/>
      </c>
    </row>
    <row r="367">
      <c r="A367" s="8" t="inlineStr">
        <is>
          <t>AP</t>
        </is>
      </c>
      <c r="B367" s="8" t="inlineStr">
        <is>
          <t>AP-0005096</t>
        </is>
      </c>
      <c r="C367" s="8" t="inlineStr">
        <is>
          <t>ARM-2506</t>
        </is>
      </c>
      <c r="D367" s="8" t="inlineStr">
        <is>
          <t>Northwest Pipe &amp; Fittings, Inc.</t>
        </is>
      </c>
      <c r="E367" s="22" t="n">
        <v>46224</v>
      </c>
      <c r="F367" s="9" t="n">
        <v>12155.27</v>
      </c>
      <c r="G367" s="22" t="inlineStr">
        <is>
          <t>No</t>
        </is>
      </c>
      <c r="H367" s="23" t="n">
        <v>46224</v>
      </c>
      <c r="I367" s="24" t="inlineStr">
        <is>
          <t>Medium</t>
        </is>
      </c>
      <c r="J367" s="24" t="inlineStr">
        <is>
          <t>Pay to terms unless Controller releases otherwise</t>
        </is>
      </c>
      <c r="K367" s="8">
        <f>IFERROR(MATCH(H367,'13W Cash Forecast'!$B$4:$N$4,1),1)</f>
        <v/>
      </c>
    </row>
    <row r="368">
      <c r="A368" s="8" t="inlineStr">
        <is>
          <t>AP</t>
        </is>
      </c>
      <c r="B368" s="8" t="inlineStr">
        <is>
          <t>AP-0005584</t>
        </is>
      </c>
      <c r="C368" s="8" t="inlineStr">
        <is>
          <t>ARM-2522</t>
        </is>
      </c>
      <c r="D368" s="8" t="inlineStr">
        <is>
          <t>Northwest Pipe, Valve &amp; Fitting Supply - Vancouver Group</t>
        </is>
      </c>
      <c r="E368" s="22" t="n">
        <v>46224</v>
      </c>
      <c r="F368" s="9" t="n">
        <v>9319.950000000001</v>
      </c>
      <c r="G368" s="22" t="inlineStr">
        <is>
          <t>No</t>
        </is>
      </c>
      <c r="H368" s="23" t="n">
        <v>46224</v>
      </c>
      <c r="I368" s="24" t="inlineStr">
        <is>
          <t>Medium</t>
        </is>
      </c>
      <c r="J368" s="24" t="inlineStr">
        <is>
          <t>Pay to terms unless Controller releases otherwise</t>
        </is>
      </c>
      <c r="K368" s="8">
        <f>IFERROR(MATCH(H368,'13W Cash Forecast'!$B$4:$N$4,1),1)</f>
        <v/>
      </c>
    </row>
    <row r="369">
      <c r="A369" s="8" t="inlineStr">
        <is>
          <t>AP</t>
        </is>
      </c>
      <c r="B369" s="8" t="inlineStr">
        <is>
          <t>AP-0004106</t>
        </is>
      </c>
      <c r="C369" s="8" t="inlineStr">
        <is>
          <t>ARM-2403</t>
        </is>
      </c>
      <c r="D369" s="8" t="inlineStr">
        <is>
          <t>Blue Mountain Equipment Rental &amp; Services - Eugene Company</t>
        </is>
      </c>
      <c r="E369" s="22" t="n">
        <v>46225</v>
      </c>
      <c r="F369" s="9" t="n">
        <v>4904.19</v>
      </c>
      <c r="G369" s="22" t="inlineStr">
        <is>
          <t>No</t>
        </is>
      </c>
      <c r="H369" s="23" t="n">
        <v>46225</v>
      </c>
      <c r="I369" s="24" t="inlineStr">
        <is>
          <t>Medium</t>
        </is>
      </c>
      <c r="J369" s="24" t="inlineStr">
        <is>
          <t>Pay to terms unless Controller releases otherwise</t>
        </is>
      </c>
      <c r="K369" s="8">
        <f>IFERROR(MATCH(H369,'13W Cash Forecast'!$B$4:$N$4,1),1)</f>
        <v/>
      </c>
    </row>
    <row r="370">
      <c r="A370" s="8" t="inlineStr">
        <is>
          <t>AP</t>
        </is>
      </c>
      <c r="B370" s="8" t="inlineStr">
        <is>
          <t>AP-0005251</t>
        </is>
      </c>
      <c r="C370" s="8" t="inlineStr">
        <is>
          <t>ARM-2510</t>
        </is>
      </c>
      <c r="D370" s="8" t="inlineStr">
        <is>
          <t>Northwest Crane and Rigging - Salem Group</t>
        </is>
      </c>
      <c r="E370" s="22" t="n">
        <v>46225</v>
      </c>
      <c r="F370" s="9" t="n">
        <v>6608.01</v>
      </c>
      <c r="G370" s="22" t="inlineStr">
        <is>
          <t>No</t>
        </is>
      </c>
      <c r="H370" s="23" t="n">
        <v>46225</v>
      </c>
      <c r="I370" s="24" t="inlineStr">
        <is>
          <t>Medium</t>
        </is>
      </c>
      <c r="J370" s="24" t="inlineStr">
        <is>
          <t>Pay to terms unless Controller releases otherwise</t>
        </is>
      </c>
      <c r="K370" s="8">
        <f>IFERROR(MATCH(H370,'13W Cash Forecast'!$B$4:$N$4,1),1)</f>
        <v/>
      </c>
    </row>
    <row r="371">
      <c r="A371" s="8" t="inlineStr">
        <is>
          <t>AP</t>
        </is>
      </c>
      <c r="B371" s="8" t="inlineStr">
        <is>
          <t>AP-0005431</t>
        </is>
      </c>
      <c r="C371" s="8" t="inlineStr">
        <is>
          <t>ARM-2514</t>
        </is>
      </c>
      <c r="D371" s="8" t="inlineStr">
        <is>
          <t>Northwest Pipe &amp; Fittings, Inc.</t>
        </is>
      </c>
      <c r="E371" s="22" t="n">
        <v>46225</v>
      </c>
      <c r="F371" s="9" t="n">
        <v>14117.38</v>
      </c>
      <c r="G371" s="22" t="inlineStr">
        <is>
          <t>No</t>
        </is>
      </c>
      <c r="H371" s="23" t="n">
        <v>46225</v>
      </c>
      <c r="I371" s="24" t="inlineStr">
        <is>
          <t>Medium</t>
        </is>
      </c>
      <c r="J371" s="24" t="inlineStr">
        <is>
          <t>Pay to terms unless Controller releases otherwise</t>
        </is>
      </c>
      <c r="K371" s="8">
        <f>IFERROR(MATCH(H371,'13W Cash Forecast'!$B$4:$N$4,1),1)</f>
        <v/>
      </c>
    </row>
    <row r="372">
      <c r="A372" s="8" t="inlineStr">
        <is>
          <t>AP</t>
        </is>
      </c>
      <c r="B372" s="8" t="inlineStr">
        <is>
          <t>AP-0005449</t>
        </is>
      </c>
      <c r="C372" s="8" t="inlineStr">
        <is>
          <t>ARM-2514</t>
        </is>
      </c>
      <c r="D372" s="8" t="inlineStr">
        <is>
          <t>Evergreen Crane and Rigging - Beaverton Company</t>
        </is>
      </c>
      <c r="E372" s="22" t="n">
        <v>46225</v>
      </c>
      <c r="F372" s="9" t="n">
        <v>5194.49</v>
      </c>
      <c r="G372" s="22" t="inlineStr">
        <is>
          <t>No</t>
        </is>
      </c>
      <c r="H372" s="23" t="n">
        <v>46225</v>
      </c>
      <c r="I372" s="24" t="inlineStr">
        <is>
          <t>Medium</t>
        </is>
      </c>
      <c r="J372" s="24" t="inlineStr">
        <is>
          <t>Pay to terms unless Controller releases otherwise</t>
        </is>
      </c>
      <c r="K372" s="8">
        <f>IFERROR(MATCH(H372,'13W Cash Forecast'!$B$4:$N$4,1),1)</f>
        <v/>
      </c>
    </row>
    <row r="373">
      <c r="A373" s="8" t="inlineStr">
        <is>
          <t>AP</t>
        </is>
      </c>
      <c r="B373" s="8" t="inlineStr">
        <is>
          <t>AP-0005718</t>
        </is>
      </c>
      <c r="C373" s="8" t="inlineStr">
        <is>
          <t>ARM-2605</t>
        </is>
      </c>
      <c r="D373" s="8" t="inlineStr">
        <is>
          <t>Pioneer Electrical Contracting - Salem Inc.</t>
        </is>
      </c>
      <c r="E373" s="22" t="n">
        <v>46225</v>
      </c>
      <c r="F373" s="9" t="n">
        <v>8933.559999999999</v>
      </c>
      <c r="G373" s="22" t="inlineStr">
        <is>
          <t>No</t>
        </is>
      </c>
      <c r="H373" s="23" t="n">
        <v>46225</v>
      </c>
      <c r="I373" s="24" t="inlineStr">
        <is>
          <t>Medium</t>
        </is>
      </c>
      <c r="J373" s="24" t="inlineStr">
        <is>
          <t>Pay to terms unless Controller releases otherwise</t>
        </is>
      </c>
      <c r="K373" s="8">
        <f>IFERROR(MATCH(H373,'13W Cash Forecast'!$B$4:$N$4,1),1)</f>
        <v/>
      </c>
    </row>
    <row r="374">
      <c r="A374" s="8" t="inlineStr">
        <is>
          <t>AP</t>
        </is>
      </c>
      <c r="B374" s="8" t="inlineStr">
        <is>
          <t>AP-0005723</t>
        </is>
      </c>
      <c r="C374" s="8" t="inlineStr">
        <is>
          <t>ARM-2605</t>
        </is>
      </c>
      <c r="D374" s="8" t="inlineStr">
        <is>
          <t>Pioneer Crane and Rigging - Gresham Inc.</t>
        </is>
      </c>
      <c r="E374" s="22" t="n">
        <v>46225</v>
      </c>
      <c r="F374" s="9" t="n">
        <v>13462.95</v>
      </c>
      <c r="G374" s="22" t="inlineStr">
        <is>
          <t>No</t>
        </is>
      </c>
      <c r="H374" s="23" t="n">
        <v>46225</v>
      </c>
      <c r="I374" s="24" t="inlineStr">
        <is>
          <t>Medium</t>
        </is>
      </c>
      <c r="J374" s="24" t="inlineStr">
        <is>
          <t>Pay to terms unless Controller releases otherwise</t>
        </is>
      </c>
      <c r="K374" s="8">
        <f>IFERROR(MATCH(H374,'13W Cash Forecast'!$B$4:$N$4,1),1)</f>
        <v/>
      </c>
    </row>
    <row r="375">
      <c r="A375" s="8" t="inlineStr">
        <is>
          <t>AP</t>
        </is>
      </c>
      <c r="B375" s="8" t="inlineStr">
        <is>
          <t>AP-0009918</t>
        </is>
      </c>
      <c r="C375" s="8" t="inlineStr">
        <is>
          <t>G&amp;A</t>
        </is>
      </c>
      <c r="D375" s="8" t="inlineStr">
        <is>
          <t>Summit Business Systems - Eugene Group</t>
        </is>
      </c>
      <c r="E375" s="22" t="n">
        <v>46225</v>
      </c>
      <c r="F375" s="9" t="n">
        <v>4123.22</v>
      </c>
      <c r="G375" s="22" t="inlineStr">
        <is>
          <t>No</t>
        </is>
      </c>
      <c r="H375" s="23" t="n">
        <v>46225</v>
      </c>
      <c r="I375" s="24" t="inlineStr">
        <is>
          <t>Medium</t>
        </is>
      </c>
      <c r="J375" s="24" t="inlineStr">
        <is>
          <t>Pay to terms unless Controller releases otherwise</t>
        </is>
      </c>
      <c r="K375" s="8">
        <f>IFERROR(MATCH(H375,'13W Cash Forecast'!$B$4:$N$4,1),1)</f>
        <v/>
      </c>
    </row>
    <row r="376">
      <c r="A376" s="8" t="inlineStr">
        <is>
          <t>AP</t>
        </is>
      </c>
      <c r="B376" s="8" t="inlineStr">
        <is>
          <t>AP-0009939</t>
        </is>
      </c>
      <c r="C376" s="8" t="inlineStr">
        <is>
          <t>G&amp;A</t>
        </is>
      </c>
      <c r="D376" s="8" t="inlineStr">
        <is>
          <t>Summit Business Systems - Eugene Group</t>
        </is>
      </c>
      <c r="E376" s="22" t="n">
        <v>46225</v>
      </c>
      <c r="F376" s="9" t="n">
        <v>2309.52</v>
      </c>
      <c r="G376" s="22" t="inlineStr">
        <is>
          <t>No</t>
        </is>
      </c>
      <c r="H376" s="23" t="n">
        <v>46225</v>
      </c>
      <c r="I376" s="24" t="inlineStr">
        <is>
          <t>Medium</t>
        </is>
      </c>
      <c r="J376" s="24" t="inlineStr">
        <is>
          <t>Pay to terms unless Controller releases otherwise</t>
        </is>
      </c>
      <c r="K376" s="8">
        <f>IFERROR(MATCH(H376,'13W Cash Forecast'!$B$4:$N$4,1),1)</f>
        <v/>
      </c>
    </row>
    <row r="377">
      <c r="A377" s="8" t="inlineStr">
        <is>
          <t>AP</t>
        </is>
      </c>
      <c r="B377" s="8" t="inlineStr">
        <is>
          <t>AP-0004697</t>
        </is>
      </c>
      <c r="C377" s="8" t="inlineStr">
        <is>
          <t>ARM-2417</t>
        </is>
      </c>
      <c r="D377" s="8" t="inlineStr">
        <is>
          <t>Bridge City Crane and Rigging - Vancouver Group</t>
        </is>
      </c>
      <c r="E377" s="22" t="n">
        <v>46226</v>
      </c>
      <c r="F377" s="9" t="n">
        <v>15533.73</v>
      </c>
      <c r="G377" s="22" t="inlineStr">
        <is>
          <t>No</t>
        </is>
      </c>
      <c r="H377" s="23" t="n">
        <v>46226</v>
      </c>
      <c r="I377" s="24" t="inlineStr">
        <is>
          <t>Medium</t>
        </is>
      </c>
      <c r="J377" s="24" t="inlineStr">
        <is>
          <t>Pay to terms unless Controller releases otherwise</t>
        </is>
      </c>
      <c r="K377" s="8">
        <f>IFERROR(MATCH(H377,'13W Cash Forecast'!$B$4:$N$4,1),1)</f>
        <v/>
      </c>
    </row>
    <row r="378">
      <c r="A378" s="8" t="inlineStr">
        <is>
          <t>AP</t>
        </is>
      </c>
      <c r="B378" s="8" t="inlineStr">
        <is>
          <t>AP-0005101</t>
        </is>
      </c>
      <c r="C378" s="8" t="inlineStr">
        <is>
          <t>ARM-2506</t>
        </is>
      </c>
      <c r="D378" s="8" t="inlineStr">
        <is>
          <t>Bridge City Sheet Metal Fabrication - Eugene Group</t>
        </is>
      </c>
      <c r="E378" s="22" t="n">
        <v>46226</v>
      </c>
      <c r="F378" s="9" t="n">
        <v>8820.790000000001</v>
      </c>
      <c r="G378" s="22" t="inlineStr">
        <is>
          <t>No</t>
        </is>
      </c>
      <c r="H378" s="23" t="n">
        <v>46226</v>
      </c>
      <c r="I378" s="24" t="inlineStr">
        <is>
          <t>Medium</t>
        </is>
      </c>
      <c r="J378" s="24" t="inlineStr">
        <is>
          <t>Pay to terms unless Controller releases otherwise</t>
        </is>
      </c>
      <c r="K378" s="8">
        <f>IFERROR(MATCH(H378,'13W Cash Forecast'!$B$4:$N$4,1),1)</f>
        <v/>
      </c>
    </row>
    <row r="379">
      <c r="A379" s="8" t="inlineStr">
        <is>
          <t>AP</t>
        </is>
      </c>
      <c r="B379" s="8" t="inlineStr">
        <is>
          <t>AP-0005438</t>
        </is>
      </c>
      <c r="C379" s="8" t="inlineStr">
        <is>
          <t>ARM-2514</t>
        </is>
      </c>
      <c r="D379" s="8" t="inlineStr">
        <is>
          <t>Columbia Testing and Balancing - Vancouver Inc.</t>
        </is>
      </c>
      <c r="E379" s="22" t="n">
        <v>46226</v>
      </c>
      <c r="F379" s="9" t="n">
        <v>15551.93</v>
      </c>
      <c r="G379" s="22" t="inlineStr">
        <is>
          <t>No</t>
        </is>
      </c>
      <c r="H379" s="23" t="n">
        <v>46226</v>
      </c>
      <c r="I379" s="24" t="inlineStr">
        <is>
          <t>Medium</t>
        </is>
      </c>
      <c r="J379" s="24" t="inlineStr">
        <is>
          <t>Pay to terms unless Controller releases otherwise</t>
        </is>
      </c>
      <c r="K379" s="8">
        <f>IFERROR(MATCH(H379,'13W Cash Forecast'!$B$4:$N$4,1),1)</f>
        <v/>
      </c>
    </row>
    <row r="380">
      <c r="A380" s="8" t="inlineStr">
        <is>
          <t>AP</t>
        </is>
      </c>
      <c r="B380" s="8" t="inlineStr">
        <is>
          <t>AP-0009914</t>
        </is>
      </c>
      <c r="C380" s="8" t="inlineStr">
        <is>
          <t>G&amp;A</t>
        </is>
      </c>
      <c r="D380" s="8" t="inlineStr">
        <is>
          <t>Interstate Fleet Service Center - Bend Services, LLC</t>
        </is>
      </c>
      <c r="E380" s="22" t="n">
        <v>46226</v>
      </c>
      <c r="F380" s="9" t="n">
        <v>5125.2</v>
      </c>
      <c r="G380" s="22" t="inlineStr">
        <is>
          <t>No</t>
        </is>
      </c>
      <c r="H380" s="23" t="n">
        <v>46226</v>
      </c>
      <c r="I380" s="24" t="inlineStr">
        <is>
          <t>Medium</t>
        </is>
      </c>
      <c r="J380" s="24" t="inlineStr">
        <is>
          <t>Pay to terms unless Controller releases otherwise</t>
        </is>
      </c>
      <c r="K380" s="8">
        <f>IFERROR(MATCH(H380,'13W Cash Forecast'!$B$4:$N$4,1),1)</f>
        <v/>
      </c>
    </row>
    <row r="381">
      <c r="A381" s="8" t="inlineStr">
        <is>
          <t>AP</t>
        </is>
      </c>
      <c r="B381" s="8" t="inlineStr">
        <is>
          <t>AP-0009935</t>
        </is>
      </c>
      <c r="C381" s="8" t="inlineStr">
        <is>
          <t>G&amp;A</t>
        </is>
      </c>
      <c r="D381" s="8" t="inlineStr">
        <is>
          <t>Interstate Fleet Service Center - Bend Services, LLC</t>
        </is>
      </c>
      <c r="E381" s="22" t="n">
        <v>46226</v>
      </c>
      <c r="F381" s="9" t="n">
        <v>4238.85</v>
      </c>
      <c r="G381" s="22" t="inlineStr">
        <is>
          <t>No</t>
        </is>
      </c>
      <c r="H381" s="23" t="n">
        <v>46226</v>
      </c>
      <c r="I381" s="24" t="inlineStr">
        <is>
          <t>Medium</t>
        </is>
      </c>
      <c r="J381" s="24" t="inlineStr">
        <is>
          <t>Pay to terms unless Controller releases otherwise</t>
        </is>
      </c>
      <c r="K381" s="8">
        <f>IFERROR(MATCH(H381,'13W Cash Forecast'!$B$4:$N$4,1),1)</f>
        <v/>
      </c>
    </row>
    <row r="382">
      <c r="A382" s="8" t="inlineStr">
        <is>
          <t>AP</t>
        </is>
      </c>
      <c r="B382" s="8" t="inlineStr">
        <is>
          <t>AP-0011899</t>
        </is>
      </c>
      <c r="C382" s="8" t="inlineStr">
        <is>
          <t>G&amp;A</t>
        </is>
      </c>
      <c r="D382" s="8" t="inlineStr">
        <is>
          <t>High Desert Construction Advisory - Salem Services, LLC</t>
        </is>
      </c>
      <c r="E382" s="22" t="n">
        <v>46226</v>
      </c>
      <c r="F382" s="9" t="n">
        <v>10242.57</v>
      </c>
      <c r="G382" s="22" t="inlineStr">
        <is>
          <t>No</t>
        </is>
      </c>
      <c r="H382" s="23" t="n">
        <v>46226</v>
      </c>
      <c r="I382" s="24" t="inlineStr">
        <is>
          <t>Medium</t>
        </is>
      </c>
      <c r="J382" s="24" t="inlineStr">
        <is>
          <t>Pay to terms unless Controller releases otherwise</t>
        </is>
      </c>
      <c r="K382" s="8">
        <f>IFERROR(MATCH(H382,'13W Cash Forecast'!$B$4:$N$4,1),1)</f>
        <v/>
      </c>
    </row>
    <row r="383">
      <c r="A383" s="8" t="inlineStr">
        <is>
          <t>AP</t>
        </is>
      </c>
      <c r="B383" s="8" t="inlineStr">
        <is>
          <t>AP-0004442</t>
        </is>
      </c>
      <c r="C383" s="8" t="inlineStr">
        <is>
          <t>ARM-2412</t>
        </is>
      </c>
      <c r="D383" s="8" t="inlineStr">
        <is>
          <t>High Desert Pipe, Valve &amp; Fitting Supply - Bend Services, LLC</t>
        </is>
      </c>
      <c r="E383" s="22" t="n">
        <v>46227</v>
      </c>
      <c r="F383" s="9" t="n">
        <v>14528.61</v>
      </c>
      <c r="G383" s="22" t="inlineStr">
        <is>
          <t>No</t>
        </is>
      </c>
      <c r="H383" s="23" t="n">
        <v>46227</v>
      </c>
      <c r="I383" s="24" t="inlineStr">
        <is>
          <t>Medium</t>
        </is>
      </c>
      <c r="J383" s="24" t="inlineStr">
        <is>
          <t>Pay to terms unless Controller releases otherwise</t>
        </is>
      </c>
      <c r="K383" s="8">
        <f>IFERROR(MATCH(H383,'13W Cash Forecast'!$B$4:$N$4,1),1)</f>
        <v/>
      </c>
    </row>
    <row r="384">
      <c r="A384" s="8" t="inlineStr">
        <is>
          <t>AP</t>
        </is>
      </c>
      <c r="B384" s="8" t="inlineStr">
        <is>
          <t>AP-0004446</t>
        </is>
      </c>
      <c r="C384" s="8" t="inlineStr">
        <is>
          <t>ARM-2412</t>
        </is>
      </c>
      <c r="D384" s="8" t="inlineStr">
        <is>
          <t>Willamette Electrical Contracting - Portland Inc.</t>
        </is>
      </c>
      <c r="E384" s="22" t="n">
        <v>46227</v>
      </c>
      <c r="F384" s="9" t="n">
        <v>20036.15</v>
      </c>
      <c r="G384" s="22" t="inlineStr">
        <is>
          <t>No</t>
        </is>
      </c>
      <c r="H384" s="23" t="n">
        <v>46227</v>
      </c>
      <c r="I384" s="24" t="inlineStr">
        <is>
          <t>Medium</t>
        </is>
      </c>
      <c r="J384" s="24" t="inlineStr">
        <is>
          <t>Pay to terms unless Controller releases otherwise</t>
        </is>
      </c>
      <c r="K384" s="8">
        <f>IFERROR(MATCH(H384,'13W Cash Forecast'!$B$4:$N$4,1),1)</f>
        <v/>
      </c>
    </row>
    <row r="385">
      <c r="A385" s="8" t="inlineStr">
        <is>
          <t>AP</t>
        </is>
      </c>
      <c r="B385" s="8" t="inlineStr">
        <is>
          <t>AP-0004448</t>
        </is>
      </c>
      <c r="C385" s="8" t="inlineStr">
        <is>
          <t>ARM-2412</t>
        </is>
      </c>
      <c r="D385" s="8" t="inlineStr">
        <is>
          <t>Cedar Mill Crane and Rigging - Bend Services, LLC</t>
        </is>
      </c>
      <c r="E385" s="22" t="n">
        <v>46227</v>
      </c>
      <c r="F385" s="9" t="n">
        <v>7259.3</v>
      </c>
      <c r="G385" s="22" t="inlineStr">
        <is>
          <t>No</t>
        </is>
      </c>
      <c r="H385" s="23" t="n">
        <v>46227</v>
      </c>
      <c r="I385" s="24" t="inlineStr">
        <is>
          <t>Medium</t>
        </is>
      </c>
      <c r="J385" s="24" t="inlineStr">
        <is>
          <t>Pay to terms unless Controller releases otherwise</t>
        </is>
      </c>
      <c r="K385" s="8">
        <f>IFERROR(MATCH(H385,'13W Cash Forecast'!$B$4:$N$4,1),1)</f>
        <v/>
      </c>
    </row>
    <row r="386">
      <c r="A386" s="8" t="inlineStr">
        <is>
          <t>AP</t>
        </is>
      </c>
      <c r="B386" s="8" t="inlineStr">
        <is>
          <t>AP-0005093</t>
        </is>
      </c>
      <c r="C386" s="8" t="inlineStr">
        <is>
          <t>ARM-2506</t>
        </is>
      </c>
      <c r="D386" s="8" t="inlineStr">
        <is>
          <t>Interstate Equipment Rental &amp; Services - Eugene Services, LLC</t>
        </is>
      </c>
      <c r="E386" s="22" t="n">
        <v>46227</v>
      </c>
      <c r="F386" s="9" t="n">
        <v>16775.33</v>
      </c>
      <c r="G386" s="22" t="inlineStr">
        <is>
          <t>No</t>
        </is>
      </c>
      <c r="H386" s="23" t="n">
        <v>46227</v>
      </c>
      <c r="I386" s="24" t="inlineStr">
        <is>
          <t>Medium</t>
        </is>
      </c>
      <c r="J386" s="24" t="inlineStr">
        <is>
          <t>Pay to terms unless Controller releases otherwise</t>
        </is>
      </c>
      <c r="K386" s="8">
        <f>IFERROR(MATCH(H386,'13W Cash Forecast'!$B$4:$N$4,1),1)</f>
        <v/>
      </c>
    </row>
    <row r="387">
      <c r="A387" s="8" t="inlineStr">
        <is>
          <t>AP</t>
        </is>
      </c>
      <c r="B387" s="8" t="inlineStr">
        <is>
          <t>AP-0005105</t>
        </is>
      </c>
      <c r="C387" s="8" t="inlineStr">
        <is>
          <t>ARM-2506</t>
        </is>
      </c>
      <c r="D387" s="8" t="inlineStr">
        <is>
          <t>Rose City Crane and Rigging - Vancouver Services, LLC</t>
        </is>
      </c>
      <c r="E387" s="22" t="n">
        <v>46227</v>
      </c>
      <c r="F387" s="9" t="n">
        <v>17099.95</v>
      </c>
      <c r="G387" s="22" t="inlineStr">
        <is>
          <t>No</t>
        </is>
      </c>
      <c r="H387" s="23" t="n">
        <v>46227</v>
      </c>
      <c r="I387" s="24" t="inlineStr">
        <is>
          <t>Medium</t>
        </is>
      </c>
      <c r="J387" s="24" t="inlineStr">
        <is>
          <t>Pay to terms unless Controller releases otherwise</t>
        </is>
      </c>
      <c r="K387" s="8">
        <f>IFERROR(MATCH(H387,'13W Cash Forecast'!$B$4:$N$4,1),1)</f>
        <v/>
      </c>
    </row>
    <row r="388">
      <c r="A388" s="8" t="inlineStr">
        <is>
          <t>AP</t>
        </is>
      </c>
      <c r="B388" s="8" t="inlineStr">
        <is>
          <t>AP-0005109</t>
        </is>
      </c>
      <c r="C388" s="8" t="inlineStr">
        <is>
          <t>ARM-2506</t>
        </is>
      </c>
      <c r="D388" s="8" t="inlineStr">
        <is>
          <t>West Coast Pipe, Valve &amp; Fitting Supply - Vancouver Company</t>
        </is>
      </c>
      <c r="E388" s="22" t="n">
        <v>46227</v>
      </c>
      <c r="F388" s="9" t="n">
        <v>6441.77</v>
      </c>
      <c r="G388" s="22" t="inlineStr">
        <is>
          <t>No</t>
        </is>
      </c>
      <c r="H388" s="23" t="n">
        <v>46227</v>
      </c>
      <c r="I388" s="24" t="inlineStr">
        <is>
          <t>Medium</t>
        </is>
      </c>
      <c r="J388" s="24" t="inlineStr">
        <is>
          <t>Pay to terms unless Controller releases otherwise</t>
        </is>
      </c>
      <c r="K388" s="8">
        <f>IFERROR(MATCH(H388,'13W Cash Forecast'!$B$4:$N$4,1),1)</f>
        <v/>
      </c>
    </row>
    <row r="389">
      <c r="A389" s="8" t="inlineStr">
        <is>
          <t>AP</t>
        </is>
      </c>
      <c r="B389" s="8" t="inlineStr">
        <is>
          <t>AP-0005239</t>
        </is>
      </c>
      <c r="C389" s="8" t="inlineStr">
        <is>
          <t>ARM-2510</t>
        </is>
      </c>
      <c r="D389" s="8" t="inlineStr">
        <is>
          <t>Evergreen Mechanical Insulation - Bend Company</t>
        </is>
      </c>
      <c r="E389" s="22" t="n">
        <v>46227</v>
      </c>
      <c r="F389" s="9" t="n">
        <v>8023.06</v>
      </c>
      <c r="G389" s="22" t="inlineStr">
        <is>
          <t>No</t>
        </is>
      </c>
      <c r="H389" s="23" t="n">
        <v>46227</v>
      </c>
      <c r="I389" s="24" t="inlineStr">
        <is>
          <t>Medium</t>
        </is>
      </c>
      <c r="J389" s="24" t="inlineStr">
        <is>
          <t>Pay to terms unless Controller releases otherwise</t>
        </is>
      </c>
      <c r="K389" s="8">
        <f>IFERROR(MATCH(H389,'13W Cash Forecast'!$B$4:$N$4,1),1)</f>
        <v/>
      </c>
    </row>
    <row r="390">
      <c r="A390" s="8" t="inlineStr">
        <is>
          <t>AP</t>
        </is>
      </c>
      <c r="B390" s="8" t="inlineStr">
        <is>
          <t>AP-0005436</t>
        </is>
      </c>
      <c r="C390" s="8" t="inlineStr">
        <is>
          <t>ARM-2514</t>
        </is>
      </c>
      <c r="D390" s="8" t="inlineStr">
        <is>
          <t>Bridge City Sheet Metal Fabrication - Eugene Group</t>
        </is>
      </c>
      <c r="E390" s="22" t="n">
        <v>46227</v>
      </c>
      <c r="F390" s="9" t="n">
        <v>9585.530000000001</v>
      </c>
      <c r="G390" s="22" t="inlineStr">
        <is>
          <t>No</t>
        </is>
      </c>
      <c r="H390" s="23" t="n">
        <v>46227</v>
      </c>
      <c r="I390" s="24" t="inlineStr">
        <is>
          <t>Medium</t>
        </is>
      </c>
      <c r="J390" s="24" t="inlineStr">
        <is>
          <t>Pay to terms unless Controller releases otherwise</t>
        </is>
      </c>
      <c r="K390" s="8">
        <f>IFERROR(MATCH(H390,'13W Cash Forecast'!$B$4:$N$4,1),1)</f>
        <v/>
      </c>
    </row>
    <row r="391">
      <c r="A391" s="8" t="inlineStr">
        <is>
          <t>AP</t>
        </is>
      </c>
      <c r="B391" s="8" t="inlineStr">
        <is>
          <t>AP-0009917</t>
        </is>
      </c>
      <c r="C391" s="8" t="inlineStr">
        <is>
          <t>G&amp;A</t>
        </is>
      </c>
      <c r="D391" s="8" t="inlineStr">
        <is>
          <t>High Desert Equipment Rental &amp; Services - Beaverton Services, LLC</t>
        </is>
      </c>
      <c r="E391" s="22" t="n">
        <v>46227</v>
      </c>
      <c r="F391" s="9" t="n">
        <v>7299.44</v>
      </c>
      <c r="G391" s="22" t="inlineStr">
        <is>
          <t>No</t>
        </is>
      </c>
      <c r="H391" s="23" t="n">
        <v>46227</v>
      </c>
      <c r="I391" s="24" t="inlineStr">
        <is>
          <t>Medium</t>
        </is>
      </c>
      <c r="J391" s="24" t="inlineStr">
        <is>
          <t>Pay to terms unless Controller releases otherwise</t>
        </is>
      </c>
      <c r="K391" s="8">
        <f>IFERROR(MATCH(H391,'13W Cash Forecast'!$B$4:$N$4,1),1)</f>
        <v/>
      </c>
    </row>
    <row r="392">
      <c r="A392" s="8" t="inlineStr">
        <is>
          <t>AP</t>
        </is>
      </c>
      <c r="B392" s="8" t="inlineStr">
        <is>
          <t>AP-0009938</t>
        </is>
      </c>
      <c r="C392" s="8" t="inlineStr">
        <is>
          <t>G&amp;A</t>
        </is>
      </c>
      <c r="D392" s="8" t="inlineStr">
        <is>
          <t>High Desert Equipment Rental &amp; Services - Beaverton Services, LLC</t>
        </is>
      </c>
      <c r="E392" s="22" t="n">
        <v>46227</v>
      </c>
      <c r="F392" s="9" t="n">
        <v>2963.55</v>
      </c>
      <c r="G392" s="22" t="inlineStr">
        <is>
          <t>No</t>
        </is>
      </c>
      <c r="H392" s="23" t="n">
        <v>46227</v>
      </c>
      <c r="I392" s="24" t="inlineStr">
        <is>
          <t>Medium</t>
        </is>
      </c>
      <c r="J392" s="24" t="inlineStr">
        <is>
          <t>Pay to terms unless Controller releases otherwise</t>
        </is>
      </c>
      <c r="K392" s="8">
        <f>IFERROR(MATCH(H392,'13W Cash Forecast'!$B$4:$N$4,1),1)</f>
        <v/>
      </c>
    </row>
    <row r="393">
      <c r="A393" s="8" t="inlineStr">
        <is>
          <t>AP</t>
        </is>
      </c>
      <c r="B393" s="8" t="inlineStr">
        <is>
          <t>AP-0004696</t>
        </is>
      </c>
      <c r="C393" s="8" t="inlineStr">
        <is>
          <t>ARM-2417</t>
        </is>
      </c>
      <c r="D393" s="8" t="inlineStr">
        <is>
          <t>Columbia Pipe, Valve &amp; Fitting Supply - Eugene Inc.</t>
        </is>
      </c>
      <c r="E393" s="22" t="n">
        <v>46228</v>
      </c>
      <c r="F393" s="9" t="n">
        <v>11182.23</v>
      </c>
      <c r="G393" s="22" t="inlineStr">
        <is>
          <t>No</t>
        </is>
      </c>
      <c r="H393" s="23" t="n">
        <v>46228</v>
      </c>
      <c r="I393" s="24" t="inlineStr">
        <is>
          <t>Medium</t>
        </is>
      </c>
      <c r="J393" s="24" t="inlineStr">
        <is>
          <t>Pay to terms unless Controller releases otherwise</t>
        </is>
      </c>
      <c r="K393" s="8">
        <f>IFERROR(MATCH(H393,'13W Cash Forecast'!$B$4:$N$4,1),1)</f>
        <v/>
      </c>
    </row>
    <row r="394">
      <c r="A394" s="8" t="inlineStr">
        <is>
          <t>AP</t>
        </is>
      </c>
      <c r="B394" s="8" t="inlineStr">
        <is>
          <t>AP-0004705</t>
        </is>
      </c>
      <c r="C394" s="8" t="inlineStr">
        <is>
          <t>ARM-2417</t>
        </is>
      </c>
      <c r="D394" s="8" t="inlineStr">
        <is>
          <t>Rose City Pipe, Valve &amp; Fitting Supply - Gresham Services, LLC</t>
        </is>
      </c>
      <c r="E394" s="22" t="n">
        <v>46228</v>
      </c>
      <c r="F394" s="9" t="n">
        <v>23996.63</v>
      </c>
      <c r="G394" s="22" t="inlineStr">
        <is>
          <t>No</t>
        </is>
      </c>
      <c r="H394" s="23" t="n">
        <v>46228</v>
      </c>
      <c r="I394" s="24" t="inlineStr">
        <is>
          <t>Medium</t>
        </is>
      </c>
      <c r="J394" s="24" t="inlineStr">
        <is>
          <t>Pay to terms unless Controller releases otherwise</t>
        </is>
      </c>
      <c r="K394" s="8">
        <f>IFERROR(MATCH(H394,'13W Cash Forecast'!$B$4:$N$4,1),1)</f>
        <v/>
      </c>
    </row>
    <row r="395">
      <c r="A395" s="8" t="inlineStr">
        <is>
          <t>AP</t>
        </is>
      </c>
      <c r="B395" s="8" t="inlineStr">
        <is>
          <t>AP-0004708</t>
        </is>
      </c>
      <c r="C395" s="8" t="inlineStr">
        <is>
          <t>ARM-2417</t>
        </is>
      </c>
      <c r="D395" s="8" t="inlineStr">
        <is>
          <t>Rose City Equipment Rental &amp; Services - Bend Services, LLC</t>
        </is>
      </c>
      <c r="E395" s="22" t="n">
        <v>46228</v>
      </c>
      <c r="F395" s="9" t="n">
        <v>6052.85</v>
      </c>
      <c r="G395" s="22" t="inlineStr">
        <is>
          <t>No</t>
        </is>
      </c>
      <c r="H395" s="23" t="n">
        <v>46228</v>
      </c>
      <c r="I395" s="24" t="inlineStr">
        <is>
          <t>Medium</t>
        </is>
      </c>
      <c r="J395" s="24" t="inlineStr">
        <is>
          <t>Pay to terms unless Controller releases otherwise</t>
        </is>
      </c>
      <c r="K395" s="8">
        <f>IFERROR(MATCH(H395,'13W Cash Forecast'!$B$4:$N$4,1),1)</f>
        <v/>
      </c>
    </row>
    <row r="396">
      <c r="A396" s="8" t="inlineStr">
        <is>
          <t>AP</t>
        </is>
      </c>
      <c r="B396" s="8" t="inlineStr">
        <is>
          <t>AP-0005107</t>
        </is>
      </c>
      <c r="C396" s="8" t="inlineStr">
        <is>
          <t>ARM-2506</t>
        </is>
      </c>
      <c r="D396" s="8" t="inlineStr">
        <is>
          <t>Summit Mechanical Insulation - Vancouver Group</t>
        </is>
      </c>
      <c r="E396" s="22" t="n">
        <v>46228</v>
      </c>
      <c r="F396" s="9" t="n">
        <v>7988.78</v>
      </c>
      <c r="G396" s="22" t="inlineStr">
        <is>
          <t>No</t>
        </is>
      </c>
      <c r="H396" s="23" t="n">
        <v>46228</v>
      </c>
      <c r="I396" s="24" t="inlineStr">
        <is>
          <t>Medium</t>
        </is>
      </c>
      <c r="J396" s="24" t="inlineStr">
        <is>
          <t>Pay to terms unless Controller releases otherwise</t>
        </is>
      </c>
      <c r="K396" s="8">
        <f>IFERROR(MATCH(H396,'13W Cash Forecast'!$B$4:$N$4,1),1)</f>
        <v/>
      </c>
    </row>
    <row r="397">
      <c r="A397" s="8" t="inlineStr">
        <is>
          <t>AP</t>
        </is>
      </c>
      <c r="B397" s="8" t="inlineStr">
        <is>
          <t>AP-0005428</t>
        </is>
      </c>
      <c r="C397" s="8" t="inlineStr">
        <is>
          <t>ARM-2514</t>
        </is>
      </c>
      <c r="D397" s="8" t="inlineStr">
        <is>
          <t>Interstate Equipment Rental &amp; Services - Eugene Services, LLC</t>
        </is>
      </c>
      <c r="E397" s="22" t="n">
        <v>46228</v>
      </c>
      <c r="F397" s="9" t="n">
        <v>8339.15</v>
      </c>
      <c r="G397" s="22" t="inlineStr">
        <is>
          <t>No</t>
        </is>
      </c>
      <c r="H397" s="23" t="n">
        <v>46228</v>
      </c>
      <c r="I397" s="24" t="inlineStr">
        <is>
          <t>Medium</t>
        </is>
      </c>
      <c r="J397" s="24" t="inlineStr">
        <is>
          <t>Pay to terms unless Controller releases otherwise</t>
        </is>
      </c>
      <c r="K397" s="8">
        <f>IFERROR(MATCH(H397,'13W Cash Forecast'!$B$4:$N$4,1),1)</f>
        <v/>
      </c>
    </row>
    <row r="398">
      <c r="A398" s="8" t="inlineStr">
        <is>
          <t>AP</t>
        </is>
      </c>
      <c r="B398" s="8" t="inlineStr">
        <is>
          <t>AP-0005442</t>
        </is>
      </c>
      <c r="C398" s="8" t="inlineStr">
        <is>
          <t>ARM-2514</t>
        </is>
      </c>
      <c r="D398" s="8" t="inlineStr">
        <is>
          <t>Blue Mountain Testing and Balancing - Gresham Company</t>
        </is>
      </c>
      <c r="E398" s="22" t="n">
        <v>46228</v>
      </c>
      <c r="F398" s="9" t="n">
        <v>33211.66</v>
      </c>
      <c r="G398" s="22" t="inlineStr">
        <is>
          <t>No</t>
        </is>
      </c>
      <c r="H398" s="23" t="n">
        <v>46228</v>
      </c>
      <c r="I398" s="24" t="inlineStr">
        <is>
          <t>Medium</t>
        </is>
      </c>
      <c r="J398" s="24" t="inlineStr">
        <is>
          <t>Pay to terms unless Controller releases otherwise</t>
        </is>
      </c>
      <c r="K398" s="8">
        <f>IFERROR(MATCH(H398,'13W Cash Forecast'!$B$4:$N$4,1),1)</f>
        <v/>
      </c>
    </row>
    <row r="399">
      <c r="A399" s="8" t="inlineStr">
        <is>
          <t>AP</t>
        </is>
      </c>
      <c r="B399" s="8" t="inlineStr">
        <is>
          <t>AP-0005446</t>
        </is>
      </c>
      <c r="C399" s="8" t="inlineStr">
        <is>
          <t>ARM-2514</t>
        </is>
      </c>
      <c r="D399" s="8" t="inlineStr">
        <is>
          <t>Columbia Electrical Contracting - Gresham Inc.</t>
        </is>
      </c>
      <c r="E399" s="22" t="n">
        <v>46228</v>
      </c>
      <c r="F399" s="9" t="n">
        <v>6610.07</v>
      </c>
      <c r="G399" s="22" t="inlineStr">
        <is>
          <t>No</t>
        </is>
      </c>
      <c r="H399" s="23" t="n">
        <v>46228</v>
      </c>
      <c r="I399" s="24" t="inlineStr">
        <is>
          <t>Medium</t>
        </is>
      </c>
      <c r="J399" s="24" t="inlineStr">
        <is>
          <t>Pay to terms unless Controller releases otherwise</t>
        </is>
      </c>
      <c r="K399" s="8">
        <f>IFERROR(MATCH(H399,'13W Cash Forecast'!$B$4:$N$4,1),1)</f>
        <v/>
      </c>
    </row>
    <row r="400">
      <c r="A400" s="8" t="inlineStr">
        <is>
          <t>AP</t>
        </is>
      </c>
      <c r="B400" s="8" t="inlineStr">
        <is>
          <t>AP-0005510</t>
        </is>
      </c>
      <c r="C400" s="8" t="inlineStr">
        <is>
          <t>ARM-2518</t>
        </is>
      </c>
      <c r="D400" s="8" t="inlineStr">
        <is>
          <t>West Coast Testing and Balancing - Eugene Company</t>
        </is>
      </c>
      <c r="E400" s="22" t="n">
        <v>46228</v>
      </c>
      <c r="F400" s="9" t="n">
        <v>13883.69</v>
      </c>
      <c r="G400" s="22" t="inlineStr">
        <is>
          <t>No</t>
        </is>
      </c>
      <c r="H400" s="23" t="n">
        <v>46228</v>
      </c>
      <c r="I400" s="24" t="inlineStr">
        <is>
          <t>Medium</t>
        </is>
      </c>
      <c r="J400" s="24" t="inlineStr">
        <is>
          <t>Pay to terms unless Controller releases otherwise</t>
        </is>
      </c>
      <c r="K400" s="8">
        <f>IFERROR(MATCH(H400,'13W Cash Forecast'!$B$4:$N$4,1),1)</f>
        <v/>
      </c>
    </row>
    <row r="401">
      <c r="A401" s="8" t="inlineStr">
        <is>
          <t>AP</t>
        </is>
      </c>
      <c r="B401" s="8" t="inlineStr">
        <is>
          <t>AP-0005688</t>
        </is>
      </c>
      <c r="C401" s="8" t="inlineStr">
        <is>
          <t>ARM-2602</t>
        </is>
      </c>
      <c r="D401" s="8" t="inlineStr">
        <is>
          <t>Tualatin Testing and Balancing - Portland Inc.</t>
        </is>
      </c>
      <c r="E401" s="22" t="n">
        <v>46228</v>
      </c>
      <c r="F401" s="9" t="n">
        <v>17800.72</v>
      </c>
      <c r="G401" s="22" t="inlineStr">
        <is>
          <t>No</t>
        </is>
      </c>
      <c r="H401" s="23" t="n">
        <v>46228</v>
      </c>
      <c r="I401" s="24" t="inlineStr">
        <is>
          <t>Medium</t>
        </is>
      </c>
      <c r="J401" s="24" t="inlineStr">
        <is>
          <t>Pay to terms unless Controller releases otherwise</t>
        </is>
      </c>
      <c r="K401" s="8">
        <f>IFERROR(MATCH(H401,'13W Cash Forecast'!$B$4:$N$4,1),1)</f>
        <v/>
      </c>
    </row>
    <row r="402">
      <c r="A402" s="8" t="inlineStr">
        <is>
          <t>AP</t>
        </is>
      </c>
      <c r="B402" s="8" t="inlineStr">
        <is>
          <t>AP-0005690</t>
        </is>
      </c>
      <c r="C402" s="8" t="inlineStr">
        <is>
          <t>ARM-2602</t>
        </is>
      </c>
      <c r="D402" s="8" t="inlineStr">
        <is>
          <t>Pioneer Electrical Contracting - Salem Inc.</t>
        </is>
      </c>
      <c r="E402" s="22" t="n">
        <v>46228</v>
      </c>
      <c r="F402" s="9" t="n">
        <v>5725.25</v>
      </c>
      <c r="G402" s="22" t="inlineStr">
        <is>
          <t>No</t>
        </is>
      </c>
      <c r="H402" s="23" t="n">
        <v>46228</v>
      </c>
      <c r="I402" s="24" t="inlineStr">
        <is>
          <t>Medium</t>
        </is>
      </c>
      <c r="J402" s="24" t="inlineStr">
        <is>
          <t>Pay to terms unless Controller releases otherwise</t>
        </is>
      </c>
      <c r="K402" s="8">
        <f>IFERROR(MATCH(H402,'13W Cash Forecast'!$B$4:$N$4,1),1)</f>
        <v/>
      </c>
    </row>
    <row r="403">
      <c r="A403" s="8" t="inlineStr">
        <is>
          <t>AP</t>
        </is>
      </c>
      <c r="B403" s="8" t="inlineStr">
        <is>
          <t>AP-0005746</t>
        </is>
      </c>
      <c r="C403" s="8" t="inlineStr">
        <is>
          <t>ARM-2608</t>
        </is>
      </c>
      <c r="D403" s="8" t="inlineStr">
        <is>
          <t>Rose City Pipe, Valve &amp; Fitting Supply - Eugene Services, LLC</t>
        </is>
      </c>
      <c r="E403" s="22" t="n">
        <v>46228</v>
      </c>
      <c r="F403" s="9" t="n">
        <v>8044.59</v>
      </c>
      <c r="G403" s="22" t="inlineStr">
        <is>
          <t>No</t>
        </is>
      </c>
      <c r="H403" s="23" t="n">
        <v>46228</v>
      </c>
      <c r="I403" s="24" t="inlineStr">
        <is>
          <t>Medium</t>
        </is>
      </c>
      <c r="J403" s="24" t="inlineStr">
        <is>
          <t>Pay to terms unless Controller releases otherwise</t>
        </is>
      </c>
      <c r="K403" s="8">
        <f>IFERROR(MATCH(H403,'13W Cash Forecast'!$B$4:$N$4,1),1)</f>
        <v/>
      </c>
    </row>
    <row r="404">
      <c r="A404" s="8" t="inlineStr">
        <is>
          <t>AP</t>
        </is>
      </c>
      <c r="B404" s="8" t="inlineStr">
        <is>
          <t>AP-0009920</t>
        </is>
      </c>
      <c r="C404" s="8" t="inlineStr">
        <is>
          <t>G&amp;A</t>
        </is>
      </c>
      <c r="D404" s="8" t="inlineStr">
        <is>
          <t>High Desert Fleet Service Center - Eugene Services, LLC</t>
        </is>
      </c>
      <c r="E404" s="22" t="n">
        <v>46228</v>
      </c>
      <c r="F404" s="9" t="n">
        <v>4488.92</v>
      </c>
      <c r="G404" s="22" t="inlineStr">
        <is>
          <t>No</t>
        </is>
      </c>
      <c r="H404" s="23" t="n">
        <v>46228</v>
      </c>
      <c r="I404" s="24" t="inlineStr">
        <is>
          <t>Medium</t>
        </is>
      </c>
      <c r="J404" s="24" t="inlineStr">
        <is>
          <t>Pay to terms unless Controller releases otherwise</t>
        </is>
      </c>
      <c r="K404" s="8">
        <f>IFERROR(MATCH(H404,'13W Cash Forecast'!$B$4:$N$4,1),1)</f>
        <v/>
      </c>
    </row>
    <row r="405">
      <c r="A405" s="8" t="inlineStr">
        <is>
          <t>AP</t>
        </is>
      </c>
      <c r="B405" s="8" t="inlineStr">
        <is>
          <t>AP-0009941</t>
        </is>
      </c>
      <c r="C405" s="8" t="inlineStr">
        <is>
          <t>G&amp;A</t>
        </is>
      </c>
      <c r="D405" s="8" t="inlineStr">
        <is>
          <t>High Desert Fleet Service Center - Eugene Services, LLC</t>
        </is>
      </c>
      <c r="E405" s="22" t="n">
        <v>46228</v>
      </c>
      <c r="F405" s="9" t="n">
        <v>2890.53</v>
      </c>
      <c r="G405" s="22" t="inlineStr">
        <is>
          <t>No</t>
        </is>
      </c>
      <c r="H405" s="23" t="n">
        <v>46228</v>
      </c>
      <c r="I405" s="24" t="inlineStr">
        <is>
          <t>Medium</t>
        </is>
      </c>
      <c r="J405" s="24" t="inlineStr">
        <is>
          <t>Pay to terms unless Controller releases otherwise</t>
        </is>
      </c>
      <c r="K405" s="8">
        <f>IFERROR(MATCH(H405,'13W Cash Forecast'!$B$4:$N$4,1),1)</f>
        <v/>
      </c>
    </row>
    <row r="406">
      <c r="A406" s="8" t="inlineStr">
        <is>
          <t>AP</t>
        </is>
      </c>
      <c r="B406" s="8" t="inlineStr">
        <is>
          <t>AP-0011894</t>
        </is>
      </c>
      <c r="C406" s="8" t="inlineStr">
        <is>
          <t>G&amp;A</t>
        </is>
      </c>
      <c r="D406" s="8" t="inlineStr">
        <is>
          <t>Tualatin Safety and Industrial Supply - Salem Inc.</t>
        </is>
      </c>
      <c r="E406" s="22" t="n">
        <v>46228</v>
      </c>
      <c r="F406" s="9" t="n">
        <v>14861.78</v>
      </c>
      <c r="G406" s="22" t="inlineStr">
        <is>
          <t>No</t>
        </is>
      </c>
      <c r="H406" s="23" t="n">
        <v>46228</v>
      </c>
      <c r="I406" s="24" t="inlineStr">
        <is>
          <t>Medium</t>
        </is>
      </c>
      <c r="J406" s="24" t="inlineStr">
        <is>
          <t>Pay to terms unless Controller releases otherwise</t>
        </is>
      </c>
      <c r="K406" s="8">
        <f>IFERROR(MATCH(H406,'13W Cash Forecast'!$B$4:$N$4,1),1)</f>
        <v/>
      </c>
    </row>
    <row r="407">
      <c r="A407" s="8" t="inlineStr">
        <is>
          <t>AP</t>
        </is>
      </c>
      <c r="B407" s="8" t="inlineStr">
        <is>
          <t>AP-0011892</t>
        </is>
      </c>
      <c r="C407" s="8" t="inlineStr">
        <is>
          <t>G&amp;A</t>
        </is>
      </c>
      <c r="D407" s="8" t="inlineStr">
        <is>
          <t>Northwest Construction Advisory - Eugene Group</t>
        </is>
      </c>
      <c r="E407" s="22" t="n">
        <v>46229</v>
      </c>
      <c r="F407" s="9" t="n">
        <v>45704.6</v>
      </c>
      <c r="G407" s="22" t="inlineStr">
        <is>
          <t>No</t>
        </is>
      </c>
      <c r="H407" s="23" t="n">
        <v>46229</v>
      </c>
      <c r="I407" s="24" t="inlineStr">
        <is>
          <t>Medium</t>
        </is>
      </c>
      <c r="J407" s="24" t="inlineStr">
        <is>
          <t>Pay to terms unless Controller releases otherwise</t>
        </is>
      </c>
      <c r="K407" s="8">
        <f>IFERROR(MATCH(H407,'13W Cash Forecast'!$B$4:$N$4,1),1)</f>
        <v/>
      </c>
    </row>
    <row r="408">
      <c r="A408" s="8" t="inlineStr">
        <is>
          <t>AP</t>
        </is>
      </c>
      <c r="B408" s="8" t="inlineStr">
        <is>
          <t>AP-0011901</t>
        </is>
      </c>
      <c r="C408" s="8" t="inlineStr">
        <is>
          <t>G&amp;A</t>
        </is>
      </c>
      <c r="D408" s="8" t="inlineStr">
        <is>
          <t>Blue Mountain Construction Advisory - Bend Company</t>
        </is>
      </c>
      <c r="E408" s="22" t="n">
        <v>46229</v>
      </c>
      <c r="F408" s="9" t="n">
        <v>6613.56</v>
      </c>
      <c r="G408" s="22" t="inlineStr">
        <is>
          <t>No</t>
        </is>
      </c>
      <c r="H408" s="23" t="n">
        <v>46229</v>
      </c>
      <c r="I408" s="24" t="inlineStr">
        <is>
          <t>Medium</t>
        </is>
      </c>
      <c r="J408" s="24" t="inlineStr">
        <is>
          <t>Pay to terms unless Controller releases otherwise</t>
        </is>
      </c>
      <c r="K408" s="8">
        <f>IFERROR(MATCH(H408,'13W Cash Forecast'!$B$4:$N$4,1),1)</f>
        <v/>
      </c>
    </row>
    <row r="409">
      <c r="A409" s="8" t="inlineStr">
        <is>
          <t>AP</t>
        </is>
      </c>
      <c r="B409" s="8" t="inlineStr">
        <is>
          <t>AP-0005515</t>
        </is>
      </c>
      <c r="C409" s="8" t="inlineStr">
        <is>
          <t>ARM-2518</t>
        </is>
      </c>
      <c r="D409" s="8" t="inlineStr">
        <is>
          <t>Bridge City Testing and Balancing - Beaverton Group</t>
        </is>
      </c>
      <c r="E409" s="22" t="n">
        <v>46230</v>
      </c>
      <c r="F409" s="9" t="n">
        <v>10247.1</v>
      </c>
      <c r="G409" s="22" t="inlineStr">
        <is>
          <t>No</t>
        </is>
      </c>
      <c r="H409" s="23" t="n">
        <v>46230</v>
      </c>
      <c r="I409" s="24" t="inlineStr">
        <is>
          <t>Medium</t>
        </is>
      </c>
      <c r="J409" s="24" t="inlineStr">
        <is>
          <t>Pay to terms unless Controller releases otherwise</t>
        </is>
      </c>
      <c r="K409" s="8">
        <f>IFERROR(MATCH(H409,'13W Cash Forecast'!$B$4:$N$4,1),1)</f>
        <v/>
      </c>
    </row>
    <row r="410">
      <c r="A410" s="8" t="inlineStr">
        <is>
          <t>AP</t>
        </is>
      </c>
      <c r="B410" s="8" t="inlineStr">
        <is>
          <t>AP-0004897</t>
        </is>
      </c>
      <c r="C410" s="8" t="inlineStr">
        <is>
          <t>ARM-2501</t>
        </is>
      </c>
      <c r="D410" s="8" t="inlineStr">
        <is>
          <t>Northwest Testing and Balancing - Eugene Group</t>
        </is>
      </c>
      <c r="E410" s="22" t="n">
        <v>46231</v>
      </c>
      <c r="F410" s="9" t="n">
        <v>16603.73</v>
      </c>
      <c r="G410" s="22" t="inlineStr">
        <is>
          <t>No</t>
        </is>
      </c>
      <c r="H410" s="23" t="n">
        <v>46231</v>
      </c>
      <c r="I410" s="24" t="inlineStr">
        <is>
          <t>Medium</t>
        </is>
      </c>
      <c r="J410" s="24" t="inlineStr">
        <is>
          <t>Pay to terms unless Controller releases otherwise</t>
        </is>
      </c>
      <c r="K410" s="8">
        <f>IFERROR(MATCH(H410,'13W Cash Forecast'!$B$4:$N$4,1),1)</f>
        <v/>
      </c>
    </row>
    <row r="411">
      <c r="A411" s="8" t="inlineStr">
        <is>
          <t>AP</t>
        </is>
      </c>
      <c r="B411" s="8" t="inlineStr">
        <is>
          <t>AP-0004899</t>
        </is>
      </c>
      <c r="C411" s="8" t="inlineStr">
        <is>
          <t>ARM-2501</t>
        </is>
      </c>
      <c r="D411" s="8" t="inlineStr">
        <is>
          <t>Summit Pipe, Valve &amp; Fitting Supply - Bend Group</t>
        </is>
      </c>
      <c r="E411" s="22" t="n">
        <v>46231</v>
      </c>
      <c r="F411" s="9" t="n">
        <v>6925.53</v>
      </c>
      <c r="G411" s="22" t="inlineStr">
        <is>
          <t>No</t>
        </is>
      </c>
      <c r="H411" s="23" t="n">
        <v>46231</v>
      </c>
      <c r="I411" s="24" t="inlineStr">
        <is>
          <t>Medium</t>
        </is>
      </c>
      <c r="J411" s="24" t="inlineStr">
        <is>
          <t>Pay to terms unless Controller releases otherwise</t>
        </is>
      </c>
      <c r="K411" s="8">
        <f>IFERROR(MATCH(H411,'13W Cash Forecast'!$B$4:$N$4,1),1)</f>
        <v/>
      </c>
    </row>
    <row r="412">
      <c r="A412" s="8" t="inlineStr">
        <is>
          <t>AP</t>
        </is>
      </c>
      <c r="B412" s="8" t="inlineStr">
        <is>
          <t>AP-0005440</t>
        </is>
      </c>
      <c r="C412" s="8" t="inlineStr">
        <is>
          <t>ARM-2514</t>
        </is>
      </c>
      <c r="D412" s="8" t="inlineStr">
        <is>
          <t>Summit Mechanical Insulation - Vancouver Group</t>
        </is>
      </c>
      <c r="E412" s="22" t="n">
        <v>46231</v>
      </c>
      <c r="F412" s="9" t="n">
        <v>15317.41</v>
      </c>
      <c r="G412" s="22" t="inlineStr">
        <is>
          <t>No</t>
        </is>
      </c>
      <c r="H412" s="23" t="n">
        <v>46231</v>
      </c>
      <c r="I412" s="24" t="inlineStr">
        <is>
          <t>Medium</t>
        </is>
      </c>
      <c r="J412" s="24" t="inlineStr">
        <is>
          <t>Pay to terms unless Controller releases otherwise</t>
        </is>
      </c>
      <c r="K412" s="8">
        <f>IFERROR(MATCH(H412,'13W Cash Forecast'!$B$4:$N$4,1),1)</f>
        <v/>
      </c>
    </row>
    <row r="413">
      <c r="A413" s="8" t="inlineStr">
        <is>
          <t>AP</t>
        </is>
      </c>
      <c r="B413" s="8" t="inlineStr">
        <is>
          <t>AP-0011893</t>
        </is>
      </c>
      <c r="C413" s="8" t="inlineStr">
        <is>
          <t>G&amp;A</t>
        </is>
      </c>
      <c r="D413" s="8" t="inlineStr">
        <is>
          <t>Northwest Safety and Industrial Supply - Eugene Group</t>
        </is>
      </c>
      <c r="E413" s="22" t="n">
        <v>46232</v>
      </c>
      <c r="F413" s="9" t="n">
        <v>13512.91</v>
      </c>
      <c r="G413" s="22" t="inlineStr">
        <is>
          <t>No</t>
        </is>
      </c>
      <c r="H413" s="23" t="n">
        <v>46232</v>
      </c>
      <c r="I413" s="24" t="inlineStr">
        <is>
          <t>Medium</t>
        </is>
      </c>
      <c r="J413" s="24" t="inlineStr">
        <is>
          <t>Pay to terms unless Controller releases otherwise</t>
        </is>
      </c>
      <c r="K413" s="8">
        <f>IFERROR(MATCH(H413,'13W Cash Forecast'!$B$4:$N$4,1),1)</f>
        <v/>
      </c>
    </row>
    <row r="414">
      <c r="A414" s="8" t="inlineStr">
        <is>
          <t>AP</t>
        </is>
      </c>
      <c r="B414" s="8" t="inlineStr">
        <is>
          <t>AP-0011888</t>
        </is>
      </c>
      <c r="C414" s="8" t="inlineStr">
        <is>
          <t>G&amp;A</t>
        </is>
      </c>
      <c r="D414" s="8" t="inlineStr">
        <is>
          <t>Metro Fleet Service Center - Vancouver Group</t>
        </is>
      </c>
      <c r="E414" s="22" t="n">
        <v>46234</v>
      </c>
      <c r="F414" s="9" t="n">
        <v>26778.55</v>
      </c>
      <c r="G414" s="22" t="inlineStr">
        <is>
          <t>No</t>
        </is>
      </c>
      <c r="H414" s="23" t="n">
        <v>46234</v>
      </c>
      <c r="I414" s="24" t="inlineStr">
        <is>
          <t>Medium</t>
        </is>
      </c>
      <c r="J414" s="24" t="inlineStr">
        <is>
          <t>Pay to terms unless Controller releases otherwise</t>
        </is>
      </c>
      <c r="K414" s="8">
        <f>IFERROR(MATCH(H414,'13W Cash Forecast'!$B$4:$N$4,1),1)</f>
        <v/>
      </c>
    </row>
    <row r="415">
      <c r="A415" s="8" t="inlineStr">
        <is>
          <t>AP</t>
        </is>
      </c>
      <c r="B415" s="8" t="inlineStr">
        <is>
          <t>AP-0005092</t>
        </is>
      </c>
      <c r="C415" s="8" t="inlineStr">
        <is>
          <t>ARM-2506</t>
        </is>
      </c>
      <c r="D415" s="8" t="inlineStr">
        <is>
          <t>Northwest Testing and Balancing - Eugene Group</t>
        </is>
      </c>
      <c r="E415" s="22" t="n">
        <v>46235</v>
      </c>
      <c r="F415" s="9" t="n">
        <v>7987.51</v>
      </c>
      <c r="G415" s="22" t="inlineStr">
        <is>
          <t>No</t>
        </is>
      </c>
      <c r="H415" s="23" t="n">
        <v>46235</v>
      </c>
      <c r="I415" s="24" t="inlineStr">
        <is>
          <t>Medium</t>
        </is>
      </c>
      <c r="J415" s="24" t="inlineStr">
        <is>
          <t>Pay to terms unless Controller releases otherwise</t>
        </is>
      </c>
      <c r="K415" s="8">
        <f>IFERROR(MATCH(H415,'13W Cash Forecast'!$B$4:$N$4,1),1)</f>
        <v/>
      </c>
    </row>
    <row r="416">
      <c r="A416" s="8" t="inlineStr">
        <is>
          <t>AP</t>
        </is>
      </c>
      <c r="B416" s="8" t="inlineStr">
        <is>
          <t>AP-0005104</t>
        </is>
      </c>
      <c r="C416" s="8" t="inlineStr">
        <is>
          <t>ARM-2506</t>
        </is>
      </c>
      <c r="D416" s="8" t="inlineStr">
        <is>
          <t>Bridge City Testing and Balancing - Vancouver Group</t>
        </is>
      </c>
      <c r="E416" s="22" t="n">
        <v>46235</v>
      </c>
      <c r="F416" s="9" t="n">
        <v>18010.37</v>
      </c>
      <c r="G416" s="22" t="inlineStr">
        <is>
          <t>No</t>
        </is>
      </c>
      <c r="H416" s="23" t="n">
        <v>46235</v>
      </c>
      <c r="I416" s="24" t="inlineStr">
        <is>
          <t>Medium</t>
        </is>
      </c>
      <c r="J416" s="24" t="inlineStr">
        <is>
          <t>Pay to terms unless Controller releases otherwise</t>
        </is>
      </c>
      <c r="K416" s="8">
        <f>IFERROR(MATCH(H416,'13W Cash Forecast'!$B$4:$N$4,1),1)</f>
        <v/>
      </c>
    </row>
    <row r="417">
      <c r="A417" s="8" t="inlineStr">
        <is>
          <t>AP</t>
        </is>
      </c>
      <c r="B417" s="8" t="inlineStr">
        <is>
          <t>AP-0005646</t>
        </is>
      </c>
      <c r="C417" s="8" t="inlineStr">
        <is>
          <t>ARM-2526</t>
        </is>
      </c>
      <c r="D417" s="8" t="inlineStr">
        <is>
          <t>Bridge City Crane and Rigging - Vancouver Group</t>
        </is>
      </c>
      <c r="E417" s="22" t="n">
        <v>46235</v>
      </c>
      <c r="F417" s="9" t="n">
        <v>6667.17</v>
      </c>
      <c r="G417" s="22" t="inlineStr">
        <is>
          <t>No</t>
        </is>
      </c>
      <c r="H417" s="23" t="n">
        <v>46235</v>
      </c>
      <c r="I417" s="24" t="inlineStr">
        <is>
          <t>Medium</t>
        </is>
      </c>
      <c r="J417" s="24" t="inlineStr">
        <is>
          <t>Pay to terms unless Controller releases otherwise</t>
        </is>
      </c>
      <c r="K417" s="8">
        <f>IFERROR(MATCH(H417,'13W Cash Forecast'!$B$4:$N$4,1),1)</f>
        <v/>
      </c>
    </row>
    <row r="418">
      <c r="A418" s="8" t="inlineStr">
        <is>
          <t>AP</t>
        </is>
      </c>
      <c r="B418" s="8" t="inlineStr">
        <is>
          <t>AP-0004704</t>
        </is>
      </c>
      <c r="C418" s="8" t="inlineStr">
        <is>
          <t>ARM-2417</t>
        </is>
      </c>
      <c r="D418" s="8" t="inlineStr">
        <is>
          <t>Bridge City Sheet Metal Fabrication - Gresham Group</t>
        </is>
      </c>
      <c r="E418" s="22" t="n">
        <v>46236</v>
      </c>
      <c r="F418" s="9" t="n">
        <v>25209.09</v>
      </c>
      <c r="G418" s="22" t="inlineStr">
        <is>
          <t>No</t>
        </is>
      </c>
      <c r="H418" s="23" t="n">
        <v>46236</v>
      </c>
      <c r="I418" s="24" t="inlineStr">
        <is>
          <t>Medium</t>
        </is>
      </c>
      <c r="J418" s="24" t="inlineStr">
        <is>
          <t>Pay to terms unless Controller releases otherwise</t>
        </is>
      </c>
      <c r="K418" s="8">
        <f>IFERROR(MATCH(H418,'13W Cash Forecast'!$B$4:$N$4,1),1)</f>
        <v/>
      </c>
    </row>
    <row r="419">
      <c r="A419" s="8" t="inlineStr">
        <is>
          <t>AP</t>
        </is>
      </c>
      <c r="B419" s="8" t="inlineStr">
        <is>
          <t>AP-0005099</t>
        </is>
      </c>
      <c r="C419" s="8" t="inlineStr">
        <is>
          <t>ARM-2506</t>
        </is>
      </c>
      <c r="D419" s="8" t="inlineStr">
        <is>
          <t>Bridge City Mechanical Insulation - Gresham Group</t>
        </is>
      </c>
      <c r="E419" s="22" t="n">
        <v>46236</v>
      </c>
      <c r="F419" s="9" t="n">
        <v>12560.43</v>
      </c>
      <c r="G419" s="22" t="inlineStr">
        <is>
          <t>No</t>
        </is>
      </c>
      <c r="H419" s="23" t="n">
        <v>46236</v>
      </c>
      <c r="I419" s="24" t="inlineStr">
        <is>
          <t>Medium</t>
        </is>
      </c>
      <c r="J419" s="24" t="inlineStr">
        <is>
          <t>Pay to terms unless Controller releases otherwise</t>
        </is>
      </c>
      <c r="K419" s="8">
        <f>IFERROR(MATCH(H419,'13W Cash Forecast'!$B$4:$N$4,1),1)</f>
        <v/>
      </c>
    </row>
    <row r="420">
      <c r="A420" s="8" t="inlineStr">
        <is>
          <t>AP</t>
        </is>
      </c>
      <c r="B420" s="8" t="inlineStr">
        <is>
          <t>AP-0005427</t>
        </is>
      </c>
      <c r="C420" s="8" t="inlineStr">
        <is>
          <t>ARM-2514</t>
        </is>
      </c>
      <c r="D420" s="8" t="inlineStr">
        <is>
          <t>Northwest Testing and Balancing - Eugene Group</t>
        </is>
      </c>
      <c r="E420" s="22" t="n">
        <v>46236</v>
      </c>
      <c r="F420" s="9" t="n">
        <v>15420.16</v>
      </c>
      <c r="G420" s="22" t="inlineStr">
        <is>
          <t>No</t>
        </is>
      </c>
      <c r="H420" s="23" t="n">
        <v>46236</v>
      </c>
      <c r="I420" s="24" t="inlineStr">
        <is>
          <t>Medium</t>
        </is>
      </c>
      <c r="J420" s="24" t="inlineStr">
        <is>
          <t>Pay to terms unless Controller releases otherwise</t>
        </is>
      </c>
      <c r="K420" s="8">
        <f>IFERROR(MATCH(H420,'13W Cash Forecast'!$B$4:$N$4,1),1)</f>
        <v/>
      </c>
    </row>
    <row r="421">
      <c r="A421" s="8" t="inlineStr">
        <is>
          <t>AP</t>
        </is>
      </c>
      <c r="B421" s="8" t="inlineStr">
        <is>
          <t>AP-0005441</t>
        </is>
      </c>
      <c r="C421" s="8" t="inlineStr">
        <is>
          <t>ARM-2514</t>
        </is>
      </c>
      <c r="D421" s="8" t="inlineStr">
        <is>
          <t>Metro Pipe, Valve &amp; Fitting Supply - Portland Group</t>
        </is>
      </c>
      <c r="E421" s="22" t="n">
        <v>46236</v>
      </c>
      <c r="F421" s="9" t="n">
        <v>29041.43</v>
      </c>
      <c r="G421" s="22" t="inlineStr">
        <is>
          <t>No</t>
        </is>
      </c>
      <c r="H421" s="23" t="n">
        <v>46236</v>
      </c>
      <c r="I421" s="24" t="inlineStr">
        <is>
          <t>Medium</t>
        </is>
      </c>
      <c r="J421" s="24" t="inlineStr">
        <is>
          <t>Pay to terms unless Controller releases otherwise</t>
        </is>
      </c>
      <c r="K421" s="8">
        <f>IFERROR(MATCH(H421,'13W Cash Forecast'!$B$4:$N$4,1),1)</f>
        <v/>
      </c>
    </row>
    <row r="422">
      <c r="A422" s="8" t="inlineStr">
        <is>
          <t>AP</t>
        </is>
      </c>
      <c r="B422" s="8" t="inlineStr">
        <is>
          <t>AP-0005434</t>
        </is>
      </c>
      <c r="C422" s="8" t="inlineStr">
        <is>
          <t>ARM-2514</t>
        </is>
      </c>
      <c r="D422" s="8" t="inlineStr">
        <is>
          <t>Bridge City Mechanical Insulation - Gresham Group</t>
        </is>
      </c>
      <c r="E422" s="22" t="n">
        <v>46237</v>
      </c>
      <c r="F422" s="9" t="n">
        <v>11820.5</v>
      </c>
      <c r="G422" s="22" t="inlineStr">
        <is>
          <t>No</t>
        </is>
      </c>
      <c r="H422" s="23" t="n">
        <v>46237</v>
      </c>
      <c r="I422" s="24" t="inlineStr">
        <is>
          <t>Medium</t>
        </is>
      </c>
      <c r="J422" s="24" t="inlineStr">
        <is>
          <t>Pay to terms unless Controller releases otherwise</t>
        </is>
      </c>
      <c r="K422" s="8">
        <f>IFERROR(MATCH(H422,'13W Cash Forecast'!$B$4:$N$4,1),1)</f>
        <v/>
      </c>
    </row>
    <row r="423">
      <c r="A423" s="8" t="inlineStr">
        <is>
          <t>AP</t>
        </is>
      </c>
      <c r="B423" s="8" t="inlineStr">
        <is>
          <t>AP-0005509</t>
        </is>
      </c>
      <c r="C423" s="8" t="inlineStr">
        <is>
          <t>ARM-2518</t>
        </is>
      </c>
      <c r="D423" s="8" t="inlineStr">
        <is>
          <t>Northwest Sheet Metal Fabrication - Beaverton Group</t>
        </is>
      </c>
      <c r="E423" s="22" t="n">
        <v>46237</v>
      </c>
      <c r="F423" s="9" t="n">
        <v>8974.43</v>
      </c>
      <c r="G423" s="22" t="inlineStr">
        <is>
          <t>No</t>
        </is>
      </c>
      <c r="H423" s="23" t="n">
        <v>46237</v>
      </c>
      <c r="I423" s="24" t="inlineStr">
        <is>
          <t>Medium</t>
        </is>
      </c>
      <c r="J423" s="24" t="inlineStr">
        <is>
          <t>Pay to terms unless Controller releases otherwise</t>
        </is>
      </c>
      <c r="K423" s="8">
        <f>IFERROR(MATCH(H423,'13W Cash Forecast'!$B$4:$N$4,1),1)</f>
        <v/>
      </c>
    </row>
    <row r="424">
      <c r="A424" s="8" t="inlineStr">
        <is>
          <t>AP</t>
        </is>
      </c>
      <c r="B424" s="8" t="inlineStr">
        <is>
          <t>AP-0005514</t>
        </is>
      </c>
      <c r="C424" s="8" t="inlineStr">
        <is>
          <t>ARM-2518</t>
        </is>
      </c>
      <c r="D424" s="8" t="inlineStr">
        <is>
          <t>Northwest Equipment Rental &amp; Services - Salem Group</t>
        </is>
      </c>
      <c r="E424" s="22" t="n">
        <v>46237</v>
      </c>
      <c r="F424" s="9" t="n">
        <v>28150.61</v>
      </c>
      <c r="G424" s="22" t="inlineStr">
        <is>
          <t>No</t>
        </is>
      </c>
      <c r="H424" s="23" t="n">
        <v>46237</v>
      </c>
      <c r="I424" s="24" t="inlineStr">
        <is>
          <t>Medium</t>
        </is>
      </c>
      <c r="J424" s="24" t="inlineStr">
        <is>
          <t>Pay to terms unless Controller releases otherwise</t>
        </is>
      </c>
      <c r="K424" s="8">
        <f>IFERROR(MATCH(H424,'13W Cash Forecast'!$B$4:$N$4,1),1)</f>
        <v/>
      </c>
    </row>
    <row r="425">
      <c r="A425" s="8" t="inlineStr">
        <is>
          <t>AP</t>
        </is>
      </c>
      <c r="B425" s="8" t="inlineStr">
        <is>
          <t>AP-0005745</t>
        </is>
      </c>
      <c r="C425" s="8" t="inlineStr">
        <is>
          <t>ARM-2608</t>
        </is>
      </c>
      <c r="D425" s="8" t="inlineStr">
        <is>
          <t>Bridge City Sheet Metal Fabrication - Eugene Group</t>
        </is>
      </c>
      <c r="E425" s="22" t="n">
        <v>46237</v>
      </c>
      <c r="F425" s="9" t="n">
        <v>12580.37</v>
      </c>
      <c r="G425" s="22" t="inlineStr">
        <is>
          <t>No</t>
        </is>
      </c>
      <c r="H425" s="23" t="n">
        <v>46237</v>
      </c>
      <c r="I425" s="24" t="inlineStr">
        <is>
          <t>Medium</t>
        </is>
      </c>
      <c r="J425" s="24" t="inlineStr">
        <is>
          <t>Pay to terms unless Controller releases otherwise</t>
        </is>
      </c>
      <c r="K425" s="8">
        <f>IFERROR(MATCH(H425,'13W Cash Forecast'!$B$4:$N$4,1),1)</f>
        <v/>
      </c>
    </row>
    <row r="426">
      <c r="A426" s="8" t="inlineStr">
        <is>
          <t>AP</t>
        </is>
      </c>
      <c r="B426" s="8" t="inlineStr">
        <is>
          <t>AP-0004287</t>
        </is>
      </c>
      <c r="C426" s="8" t="inlineStr">
        <is>
          <t>ARM-2409</t>
        </is>
      </c>
      <c r="D426" s="8" t="inlineStr">
        <is>
          <t>Bridge City Testing and Balancing - Beaverton Group</t>
        </is>
      </c>
      <c r="E426" s="22" t="n">
        <v>46238</v>
      </c>
      <c r="F426" s="9" t="n">
        <v>13003.31</v>
      </c>
      <c r="G426" s="22" t="inlineStr">
        <is>
          <t>No</t>
        </is>
      </c>
      <c r="H426" s="23" t="n">
        <v>46238</v>
      </c>
      <c r="I426" s="24" t="inlineStr">
        <is>
          <t>Medium</t>
        </is>
      </c>
      <c r="J426" s="24" t="inlineStr">
        <is>
          <t>Pay to terms unless Controller releases otherwise</t>
        </is>
      </c>
      <c r="K426" s="8">
        <f>IFERROR(MATCH(H426,'13W Cash Forecast'!$B$4:$N$4,1),1)</f>
        <v/>
      </c>
    </row>
    <row r="427">
      <c r="A427" s="8" t="inlineStr">
        <is>
          <t>AP</t>
        </is>
      </c>
      <c r="B427" s="8" t="inlineStr">
        <is>
          <t>AP-0004893</t>
        </is>
      </c>
      <c r="C427" s="8" t="inlineStr">
        <is>
          <t>ARM-2501</t>
        </is>
      </c>
      <c r="D427" s="8" t="inlineStr">
        <is>
          <t>Metro Testing and Balancing - Bend Group</t>
        </is>
      </c>
      <c r="E427" s="22" t="n">
        <v>46238</v>
      </c>
      <c r="F427" s="9" t="n">
        <v>14068.16</v>
      </c>
      <c r="G427" s="22" t="inlineStr">
        <is>
          <t>No</t>
        </is>
      </c>
      <c r="H427" s="23" t="n">
        <v>46238</v>
      </c>
      <c r="I427" s="24" t="inlineStr">
        <is>
          <t>Medium</t>
        </is>
      </c>
      <c r="J427" s="24" t="inlineStr">
        <is>
          <t>Pay to terms unless Controller releases otherwise</t>
        </is>
      </c>
      <c r="K427" s="8">
        <f>IFERROR(MATCH(H427,'13W Cash Forecast'!$B$4:$N$4,1),1)</f>
        <v/>
      </c>
    </row>
    <row r="428">
      <c r="A428" s="8" t="inlineStr">
        <is>
          <t>AP</t>
        </is>
      </c>
      <c r="B428" s="8" t="inlineStr">
        <is>
          <t>AP-0004445</t>
        </is>
      </c>
      <c r="C428" s="8" t="inlineStr">
        <is>
          <t>ARM-2412</t>
        </is>
      </c>
      <c r="D428" s="8" t="inlineStr">
        <is>
          <t>Northwest Mechanical Insulation - Portland Group</t>
        </is>
      </c>
      <c r="E428" s="22" t="n">
        <v>46239</v>
      </c>
      <c r="F428" s="9" t="n">
        <v>16647.15</v>
      </c>
      <c r="G428" s="22" t="inlineStr">
        <is>
          <t>No</t>
        </is>
      </c>
      <c r="H428" s="23" t="n">
        <v>46239</v>
      </c>
      <c r="I428" s="24" t="inlineStr">
        <is>
          <t>Medium</t>
        </is>
      </c>
      <c r="J428" s="24" t="inlineStr">
        <is>
          <t>Pay to terms unless Controller releases otherwise</t>
        </is>
      </c>
      <c r="K428" s="8">
        <f>IFERROR(MATCH(H428,'13W Cash Forecast'!$B$4:$N$4,1),1)</f>
        <v/>
      </c>
    </row>
    <row r="429">
      <c r="A429" s="8" t="inlineStr">
        <is>
          <t>AP</t>
        </is>
      </c>
      <c r="B429" s="8" t="inlineStr">
        <is>
          <t>AP-0005242</t>
        </is>
      </c>
      <c r="C429" s="8" t="inlineStr">
        <is>
          <t>ARM-2510</t>
        </is>
      </c>
      <c r="D429" s="8" t="inlineStr">
        <is>
          <t>Metro Electrical Contracting - Salem Group</t>
        </is>
      </c>
      <c r="E429" s="22" t="n">
        <v>46239</v>
      </c>
      <c r="F429" s="9" t="n">
        <v>14113.11</v>
      </c>
      <c r="G429" s="22" t="inlineStr">
        <is>
          <t>No</t>
        </is>
      </c>
      <c r="H429" s="23" t="n">
        <v>46239</v>
      </c>
      <c r="I429" s="24" t="inlineStr">
        <is>
          <t>Medium</t>
        </is>
      </c>
      <c r="J429" s="24" t="inlineStr">
        <is>
          <t>Pay to terms unless Controller releases otherwise</t>
        </is>
      </c>
      <c r="K429" s="8">
        <f>IFERROR(MATCH(H429,'13W Cash Forecast'!$B$4:$N$4,1),1)</f>
        <v/>
      </c>
    </row>
    <row r="430">
      <c r="A430" s="8" t="inlineStr">
        <is>
          <t>AP</t>
        </is>
      </c>
      <c r="B430" s="8" t="inlineStr">
        <is>
          <t>AP-0009908</t>
        </is>
      </c>
      <c r="C430" s="8" t="inlineStr">
        <is>
          <t>G&amp;A</t>
        </is>
      </c>
      <c r="D430" s="8" t="inlineStr">
        <is>
          <t>Bridge City Business Systems - Portland Group</t>
        </is>
      </c>
      <c r="E430" s="22" t="n">
        <v>46239</v>
      </c>
      <c r="F430" s="9" t="n">
        <v>7457.37</v>
      </c>
      <c r="G430" s="22" t="inlineStr">
        <is>
          <t>No</t>
        </is>
      </c>
      <c r="H430" s="23" t="n">
        <v>46239</v>
      </c>
      <c r="I430" s="24" t="inlineStr">
        <is>
          <t>Medium</t>
        </is>
      </c>
      <c r="J430" s="24" t="inlineStr">
        <is>
          <t>Pay to terms unless Controller releases otherwise</t>
        </is>
      </c>
      <c r="K430" s="8">
        <f>IFERROR(MATCH(H430,'13W Cash Forecast'!$B$4:$N$4,1),1)</f>
        <v/>
      </c>
    </row>
    <row r="431">
      <c r="A431" s="8" t="inlineStr">
        <is>
          <t>AP</t>
        </is>
      </c>
      <c r="B431" s="8" t="inlineStr">
        <is>
          <t>AP-0009929</t>
        </is>
      </c>
      <c r="C431" s="8" t="inlineStr">
        <is>
          <t>G&amp;A</t>
        </is>
      </c>
      <c r="D431" s="8" t="inlineStr">
        <is>
          <t>Bridge City Business Systems - Portland Group</t>
        </is>
      </c>
      <c r="E431" s="22" t="n">
        <v>46239</v>
      </c>
      <c r="F431" s="9" t="n">
        <v>3594.44</v>
      </c>
      <c r="G431" s="22" t="inlineStr">
        <is>
          <t>No</t>
        </is>
      </c>
      <c r="H431" s="23" t="n">
        <v>46239</v>
      </c>
      <c r="I431" s="24" t="inlineStr">
        <is>
          <t>Medium</t>
        </is>
      </c>
      <c r="J431" s="24" t="inlineStr">
        <is>
          <t>Pay to terms unless Controller releases otherwise</t>
        </is>
      </c>
      <c r="K431" s="8">
        <f>IFERROR(MATCH(H431,'13W Cash Forecast'!$B$4:$N$4,1),1)</f>
        <v/>
      </c>
    </row>
    <row r="432">
      <c r="A432" s="8" t="inlineStr">
        <is>
          <t>AP</t>
        </is>
      </c>
      <c r="B432" s="8" t="inlineStr">
        <is>
          <t>AP-0005247</t>
        </is>
      </c>
      <c r="C432" s="8" t="inlineStr">
        <is>
          <t>ARM-2510</t>
        </is>
      </c>
      <c r="D432" s="8" t="inlineStr">
        <is>
          <t>Bridge City Equipment Rental &amp; Services - Bend Group</t>
        </is>
      </c>
      <c r="E432" s="22" t="n">
        <v>46242</v>
      </c>
      <c r="F432" s="9" t="n">
        <v>21531.94</v>
      </c>
      <c r="G432" s="22" t="inlineStr">
        <is>
          <t>No</t>
        </is>
      </c>
      <c r="H432" s="23" t="n">
        <v>46242</v>
      </c>
      <c r="I432" s="24" t="inlineStr">
        <is>
          <t>Medium</t>
        </is>
      </c>
      <c r="J432" s="24" t="inlineStr">
        <is>
          <t>Pay to terms unless Controller releases otherwise</t>
        </is>
      </c>
      <c r="K432" s="8">
        <f>IFERROR(MATCH(H432,'13W Cash Forecast'!$B$4:$N$4,1),1)</f>
        <v/>
      </c>
    </row>
    <row r="433">
      <c r="A433" s="8" t="inlineStr">
        <is>
          <t>AP</t>
        </is>
      </c>
      <c r="B433" s="8" t="inlineStr">
        <is>
          <t>AP-0005640</t>
        </is>
      </c>
      <c r="C433" s="8" t="inlineStr">
        <is>
          <t>ARM-2526</t>
        </is>
      </c>
      <c r="D433" s="8" t="inlineStr">
        <is>
          <t>Northwest Pipe, Valve &amp; Fitting Supply - Vancouver Group</t>
        </is>
      </c>
      <c r="E433" s="22" t="n">
        <v>46242</v>
      </c>
      <c r="F433" s="9" t="n">
        <v>9011.68</v>
      </c>
      <c r="G433" s="22" t="inlineStr">
        <is>
          <t>No</t>
        </is>
      </c>
      <c r="H433" s="23" t="n">
        <v>46242</v>
      </c>
      <c r="I433" s="24" t="inlineStr">
        <is>
          <t>Medium</t>
        </is>
      </c>
      <c r="J433" s="24" t="inlineStr">
        <is>
          <t>Pay to terms unless Controller releases otherwise</t>
        </is>
      </c>
      <c r="K433" s="8">
        <f>IFERROR(MATCH(H433,'13W Cash Forecast'!$B$4:$N$4,1),1)</f>
        <v/>
      </c>
    </row>
    <row r="434">
      <c r="A434" s="8" t="inlineStr">
        <is>
          <t>AP</t>
        </is>
      </c>
      <c r="B434" s="8" t="inlineStr">
        <is>
          <t>AP-0005246</t>
        </is>
      </c>
      <c r="C434" s="8" t="inlineStr">
        <is>
          <t>ARM-2510</t>
        </is>
      </c>
      <c r="D434" s="8" t="inlineStr">
        <is>
          <t>Bridge City Equipment Rental &amp; Services - Bend Group</t>
        </is>
      </c>
      <c r="E434" s="22" t="n">
        <v>46243</v>
      </c>
      <c r="F434" s="9" t="n">
        <v>16256.52</v>
      </c>
      <c r="G434" s="22" t="inlineStr">
        <is>
          <t>No</t>
        </is>
      </c>
      <c r="H434" s="23" t="n">
        <v>46243</v>
      </c>
      <c r="I434" s="24" t="inlineStr">
        <is>
          <t>Medium</t>
        </is>
      </c>
      <c r="J434" s="24" t="inlineStr">
        <is>
          <t>Pay to terms unless Controller releases otherwise</t>
        </is>
      </c>
      <c r="K434" s="8">
        <f>IFERROR(MATCH(H434,'13W Cash Forecast'!$B$4:$N$4,1),1)</f>
        <v/>
      </c>
    </row>
    <row r="435">
      <c r="A435" s="8" t="inlineStr">
        <is>
          <t>AP</t>
        </is>
      </c>
      <c r="B435" s="8" t="inlineStr">
        <is>
          <t>AP-0005682</t>
        </is>
      </c>
      <c r="C435" s="8" t="inlineStr">
        <is>
          <t>ARM-2602</t>
        </is>
      </c>
      <c r="D435" s="8" t="inlineStr">
        <is>
          <t>Northwest Equipment Rental &amp; Services - Salem Group</t>
        </is>
      </c>
      <c r="E435" s="22" t="n">
        <v>46243</v>
      </c>
      <c r="F435" s="9" t="n">
        <v>7105.86</v>
      </c>
      <c r="G435" s="22" t="inlineStr">
        <is>
          <t>No</t>
        </is>
      </c>
      <c r="H435" s="23" t="n">
        <v>46243</v>
      </c>
      <c r="I435" s="24" t="inlineStr">
        <is>
          <t>Medium</t>
        </is>
      </c>
      <c r="J435" s="24" t="inlineStr">
        <is>
          <t>Pay to terms unless Controller releases otherwise</t>
        </is>
      </c>
      <c r="K435" s="8">
        <f>IFERROR(MATCH(H435,'13W Cash Forecast'!$B$4:$N$4,1),1)</f>
        <v/>
      </c>
    </row>
    <row r="436">
      <c r="A436" s="8" t="inlineStr">
        <is>
          <t>PO</t>
        </is>
      </c>
      <c r="B436" s="8" t="inlineStr">
        <is>
          <t>PO-26-01971</t>
        </is>
      </c>
      <c r="C436" s="8" t="inlineStr">
        <is>
          <t>ARM-2514</t>
        </is>
      </c>
      <c r="D436" s="8" t="inlineStr">
        <is>
          <t>Cascade Sheet Metal Fabrication</t>
        </is>
      </c>
      <c r="E436" s="22" t="n">
        <v>46220</v>
      </c>
      <c r="F436" s="9" t="n">
        <v>130500</v>
      </c>
      <c r="G436" s="22" t="inlineStr">
        <is>
          <t>No</t>
        </is>
      </c>
      <c r="H436" s="23" t="n">
        <v>46220</v>
      </c>
      <c r="I436" s="24" t="inlineStr">
        <is>
          <t>Low</t>
        </is>
      </c>
      <c r="J436" s="24" t="inlineStr">
        <is>
          <t>Release/payment timing to be confirmed with PM and vendor</t>
        </is>
      </c>
      <c r="K436" s="8">
        <f>IFERROR(MATCH(H436,'13W Cash Forecast'!$B$4:$N$4,1),1)</f>
        <v/>
      </c>
    </row>
    <row r="437">
      <c r="A437" s="8" t="inlineStr">
        <is>
          <t>PO</t>
        </is>
      </c>
      <c r="B437" s="8" t="inlineStr">
        <is>
          <t>PO-26-01874</t>
        </is>
      </c>
      <c r="C437" s="8" t="inlineStr">
        <is>
          <t>ARM-2506</t>
        </is>
      </c>
      <c r="D437" s="8" t="inlineStr">
        <is>
          <t>Trane U.S. Inc. - Pacific Northwest</t>
        </is>
      </c>
      <c r="E437" s="22" t="n">
        <v>46227</v>
      </c>
      <c r="F437" s="9" t="n">
        <v>740000</v>
      </c>
      <c r="G437" s="22" t="inlineStr">
        <is>
          <t>No</t>
        </is>
      </c>
      <c r="H437" s="23" t="n">
        <v>46227</v>
      </c>
      <c r="I437" s="24" t="inlineStr">
        <is>
          <t>Low</t>
        </is>
      </c>
      <c r="J437" s="24" t="inlineStr">
        <is>
          <t>Release/payment timing to be confirmed with PM and vendor</t>
        </is>
      </c>
      <c r="K437" s="8">
        <f>IFERROR(MATCH(H437,'13W Cash Forecast'!$B$4:$N$4,1),1)</f>
        <v/>
      </c>
    </row>
    <row r="438">
      <c r="A438" s="8" t="inlineStr">
        <is>
          <t>PO</t>
        </is>
      </c>
      <c r="B438" s="8" t="inlineStr">
        <is>
          <t>PO-26-02018</t>
        </is>
      </c>
      <c r="C438" s="8" t="inlineStr">
        <is>
          <t>ARM-2602</t>
        </is>
      </c>
      <c r="D438" s="8" t="inlineStr">
        <is>
          <t>Northwest Pipe &amp; Fittings, Inc.</t>
        </is>
      </c>
      <c r="E438" s="22" t="n">
        <v>46234</v>
      </c>
      <c r="F438" s="9" t="n">
        <v>538000</v>
      </c>
      <c r="G438" s="22" t="inlineStr">
        <is>
          <t>No</t>
        </is>
      </c>
      <c r="H438" s="23" t="n">
        <v>46234</v>
      </c>
      <c r="I438" s="24" t="inlineStr">
        <is>
          <t>Low</t>
        </is>
      </c>
      <c r="J438" s="24" t="inlineStr">
        <is>
          <t>Release/payment timing to be confirmed with PM and vendor</t>
        </is>
      </c>
      <c r="K438" s="8">
        <f>IFERROR(MATCH(H438,'13W Cash Forecast'!$B$4:$N$4,1),1)</f>
        <v/>
      </c>
    </row>
    <row r="439">
      <c r="A439" s="8" t="inlineStr">
        <is>
          <t>PO</t>
        </is>
      </c>
      <c r="B439" s="8" t="inlineStr">
        <is>
          <t>PO-26-02004</t>
        </is>
      </c>
      <c r="C439" s="8" t="inlineStr">
        <is>
          <t>ARM-2605</t>
        </is>
      </c>
      <c r="D439" s="8" t="inlineStr">
        <is>
          <t>Omega Morgan Rigging - Portland</t>
        </is>
      </c>
      <c r="E439" s="22" t="n">
        <v>46241</v>
      </c>
      <c r="F439" s="9" t="n">
        <v>188000</v>
      </c>
      <c r="G439" s="22" t="inlineStr">
        <is>
          <t>No</t>
        </is>
      </c>
      <c r="H439" s="23" t="n">
        <v>46241</v>
      </c>
      <c r="I439" s="24" t="inlineStr">
        <is>
          <t>Low</t>
        </is>
      </c>
      <c r="J439" s="24" t="inlineStr">
        <is>
          <t>Release/payment timing to be confirmed with PM and vendor</t>
        </is>
      </c>
      <c r="K439" s="8">
        <f>IFERROR(MATCH(H439,'13W Cash Forecast'!$B$4:$N$4,1),1)</f>
        <v/>
      </c>
    </row>
    <row r="440">
      <c r="A440" s="8" t="inlineStr">
        <is>
          <t>PO</t>
        </is>
      </c>
      <c r="B440" s="8" t="inlineStr">
        <is>
          <t>PO-26-01922</t>
        </is>
      </c>
      <c r="C440" s="8" t="inlineStr">
        <is>
          <t>ARM-2501</t>
        </is>
      </c>
      <c r="D440" s="8" t="inlineStr">
        <is>
          <t>Siemens Industry, Inc. - Smart Infrastructure</t>
        </is>
      </c>
      <c r="E440" s="22" t="n">
        <v>46248</v>
      </c>
      <c r="F440" s="9" t="n">
        <v>329600</v>
      </c>
      <c r="G440" s="22" t="inlineStr">
        <is>
          <t>No</t>
        </is>
      </c>
      <c r="H440" s="23" t="n">
        <v>46248</v>
      </c>
      <c r="I440" s="24" t="inlineStr">
        <is>
          <t>Low</t>
        </is>
      </c>
      <c r="J440" s="24" t="inlineStr">
        <is>
          <t>Release/payment timing to be confirmed with PM and vendor</t>
        </is>
      </c>
      <c r="K440" s="8">
        <f>IFERROR(MATCH(H440,'13W Cash Forecast'!$B$4:$N$4,1),1)</f>
        <v/>
      </c>
    </row>
    <row r="441">
      <c r="A441" s="8" t="inlineStr">
        <is>
          <t>PO</t>
        </is>
      </c>
      <c r="B441" s="8" t="inlineStr">
        <is>
          <t>PO-26-02027</t>
        </is>
      </c>
      <c r="C441" s="8" t="inlineStr">
        <is>
          <t>ARM-2522</t>
        </is>
      </c>
      <c r="D441" s="8" t="inlineStr">
        <is>
          <t>Consolidated Supply Co. - Portland</t>
        </is>
      </c>
      <c r="E441" s="22" t="n">
        <v>46255</v>
      </c>
      <c r="F441" s="9" t="n">
        <v>284000</v>
      </c>
      <c r="G441" s="22" t="inlineStr">
        <is>
          <t>No</t>
        </is>
      </c>
      <c r="H441" s="23" t="n">
        <v>46255</v>
      </c>
      <c r="I441" s="24" t="inlineStr">
        <is>
          <t>Low</t>
        </is>
      </c>
      <c r="J441" s="24" t="inlineStr">
        <is>
          <t>Release/payment timing to be confirmed with PM and vendor</t>
        </is>
      </c>
      <c r="K441" s="8">
        <f>IFERROR(MATCH(H441,'13W Cash Forecast'!$B$4:$N$4,1),1)</f>
        <v/>
      </c>
    </row>
  </sheetData>
  <mergeCells count="2">
    <mergeCell ref="A2:K2"/>
    <mergeCell ref="A1:K1"/>
  </mergeCells>
  <conditionalFormatting sqref="G6:G441">
    <cfRule type="containsText" priority="1" operator="containsText" dxfId="0" text="Yes"/>
  </conditionalFormatting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 outlineLevelRow="0"/>
  <cols>
    <col width="43" customWidth="1" min="1" max="1"/>
    <col width="24" customWidth="1" min="2" max="2"/>
    <col width="18" customWidth="1" min="3" max="3"/>
    <col width="25" customWidth="1" min="4" max="4"/>
    <col width="20" customWidth="1" min="5" max="5"/>
    <col width="66" customWidth="1" min="6" max="6"/>
  </cols>
  <sheetData>
    <row r="1" ht="23" customHeight="1">
      <c r="A1" s="1" t="inlineStr">
        <is>
          <t>Cash Forecast Assumptions</t>
        </is>
      </c>
      <c r="B1" s="32" t="n"/>
      <c r="C1" s="32" t="n"/>
      <c r="D1" s="32" t="n"/>
      <c r="E1" s="32" t="n"/>
      <c r="F1" s="32" t="n"/>
    </row>
    <row r="2" ht="23" customHeight="1">
      <c r="A2" s="2" t="inlineStr">
        <is>
          <t>Treasury policy, recurring cash flows and timing conventions</t>
        </is>
      </c>
    </row>
    <row r="3"/>
    <row r="4"/>
    <row r="5" ht="30" customHeight="1">
      <c r="A5" s="3" t="inlineStr">
        <is>
          <t>Assumption</t>
        </is>
      </c>
      <c r="B5" s="20" t="inlineStr">
        <is>
          <t>Value</t>
        </is>
      </c>
      <c r="C5" s="20" t="inlineStr">
        <is>
          <t>Units</t>
        </is>
      </c>
      <c r="D5" s="20" t="inlineStr">
        <is>
          <t>Cadence / Date</t>
        </is>
      </c>
      <c r="E5" s="20" t="inlineStr">
        <is>
          <t>Owner</t>
        </is>
      </c>
      <c r="F5" s="21" t="inlineStr">
        <is>
          <t>Source / Rationale</t>
        </is>
      </c>
    </row>
    <row r="6">
      <c r="A6" s="25" t="inlineStr">
        <is>
          <t>Minimum operating liquidity</t>
        </is>
      </c>
      <c r="B6" s="26" t="n">
        <v>1250000</v>
      </c>
      <c r="C6" s="25" t="inlineStr">
        <is>
          <t>USD</t>
        </is>
      </c>
      <c r="D6" s="25" t="inlineStr">
        <is>
          <t>Every week</t>
        </is>
      </c>
      <c r="E6" s="25" t="inlineStr">
        <is>
          <t>CFO</t>
        </is>
      </c>
      <c r="F6" s="25" t="inlineStr">
        <is>
          <t>Board-approved treasury policy</t>
        </is>
      </c>
    </row>
    <row r="7">
      <c r="A7" s="25" t="inlineStr">
        <is>
          <t>Committed revolver capacity</t>
        </is>
      </c>
      <c r="B7" s="26" t="n">
        <v>4000000</v>
      </c>
      <c r="C7" s="25" t="inlineStr">
        <is>
          <t>USD</t>
        </is>
      </c>
      <c r="D7" s="25" t="inlineStr">
        <is>
          <t>Through 2027-09-30</t>
        </is>
      </c>
      <c r="E7" s="25" t="inlineStr">
        <is>
          <t>CFO</t>
        </is>
      </c>
      <c r="F7" s="25" t="inlineStr">
        <is>
          <t>U.S. Bank facility amendment</t>
        </is>
      </c>
    </row>
    <row r="8">
      <c r="A8" s="25" t="inlineStr">
        <is>
          <t>Service / maintenance weekly receipts</t>
        </is>
      </c>
      <c r="B8" s="26" t="n">
        <v>195000</v>
      </c>
      <c r="C8" s="25" t="inlineStr">
        <is>
          <t>USD</t>
        </is>
      </c>
      <c r="D8" s="25" t="inlineStr">
        <is>
          <t>Weekly</t>
        </is>
      </c>
      <c r="E8" s="25" t="inlineStr">
        <is>
          <t>Service Finance</t>
        </is>
      </c>
      <c r="F8" s="25" t="inlineStr">
        <is>
          <t>Trailing 8-week receipts excluding project work</t>
        </is>
      </c>
    </row>
    <row r="9">
      <c r="A9" s="25" t="inlineStr">
        <is>
          <t>Biweekly gross payroll and field reimbursements</t>
        </is>
      </c>
      <c r="B9" s="26" t="n">
        <v>628000</v>
      </c>
      <c r="C9" s="25" t="inlineStr">
        <is>
          <t>USD</t>
        </is>
      </c>
      <c r="D9" s="25" t="inlineStr">
        <is>
          <t>Every other Friday</t>
        </is>
      </c>
      <c r="E9" s="25" t="inlineStr">
        <is>
          <t>Payroll Manager</t>
        </is>
      </c>
      <c r="F9" s="25" t="inlineStr">
        <is>
          <t>6/26 payroll register, before July wage changes</t>
        </is>
      </c>
    </row>
    <row r="10">
      <c r="A10" s="25" t="inlineStr">
        <is>
          <t>Weekly payroll tax and benefit remittance</t>
        </is>
      </c>
      <c r="B10" s="26" t="n">
        <v>104000</v>
      </c>
      <c r="C10" s="25" t="inlineStr">
        <is>
          <t>USD</t>
        </is>
      </c>
      <c r="D10" s="25" t="inlineStr">
        <is>
          <t>Weekly</t>
        </is>
      </c>
      <c r="E10" s="25" t="inlineStr">
        <is>
          <t>Controller</t>
        </is>
      </c>
      <c r="F10" s="25" t="inlineStr">
        <is>
          <t>Trailing 6-week average</t>
        </is>
      </c>
    </row>
    <row r="11">
      <c r="A11" s="25" t="inlineStr">
        <is>
          <t>Monthly occupancy</t>
        </is>
      </c>
      <c r="B11" s="26" t="n">
        <v>58500</v>
      </c>
      <c r="C11" s="25" t="inlineStr">
        <is>
          <t>USD</t>
        </is>
      </c>
      <c r="D11" s="25" t="inlineStr">
        <is>
          <t>First Friday of month</t>
        </is>
      </c>
      <c r="E11" s="25" t="inlineStr">
        <is>
          <t>AP Manager</t>
        </is>
      </c>
      <c r="F11" s="25" t="inlineStr">
        <is>
          <t>Leases and CAM schedules</t>
        </is>
      </c>
    </row>
    <row r="12">
      <c r="A12" s="25" t="inlineStr">
        <is>
          <t>Equipment debt service</t>
        </is>
      </c>
      <c r="B12" s="26" t="n">
        <v>57400</v>
      </c>
      <c r="C12" s="25" t="inlineStr">
        <is>
          <t>USD</t>
        </is>
      </c>
      <c r="D12" s="25" t="inlineStr">
        <is>
          <t>Month end</t>
        </is>
      </c>
      <c r="E12" s="25" t="inlineStr">
        <is>
          <t>Controller</t>
        </is>
      </c>
      <c r="F12" s="25" t="inlineStr">
        <is>
          <t>Debt amortization schedule</t>
        </is>
      </c>
    </row>
    <row r="13">
      <c r="A13" s="25" t="inlineStr">
        <is>
          <t>Forecast convention</t>
        </is>
      </c>
      <c r="B13" s="25" t="inlineStr">
        <is>
          <t>Friday week ending</t>
        </is>
      </c>
      <c r="C13" s="25" t="inlineStr">
        <is>
          <t>Text</t>
        </is>
      </c>
      <c r="D13" s="25" t="inlineStr">
        <is>
          <t>13 weeks</t>
        </is>
      </c>
      <c r="E13" s="25" t="inlineStr">
        <is>
          <t>Treasury</t>
        </is>
      </c>
      <c r="F13" s="25" t="inlineStr">
        <is>
          <t>Items on weekends roll to following week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 outlineLevelRow="0"/>
  <cols>
    <col width="45" customWidth="1" min="1" max="1"/>
    <col width="22" customWidth="1" min="2" max="2"/>
    <col width="20" customWidth="1" min="3" max="3"/>
    <col width="14" customWidth="1" min="4" max="4"/>
    <col width="54" customWidth="1" min="5" max="5"/>
  </cols>
  <sheetData>
    <row r="1" ht="23" customHeight="1">
      <c r="A1" s="1" t="inlineStr">
        <is>
          <t>Cash Forecast Control Checks</t>
        </is>
      </c>
      <c r="B1" s="32" t="n"/>
      <c r="C1" s="32" t="n"/>
      <c r="D1" s="32" t="n"/>
      <c r="E1" s="32" t="n"/>
    </row>
    <row r="2" ht="23" customHeight="1">
      <c r="A2" s="2" t="inlineStr">
        <is>
          <t>Version 09 preliminary controls</t>
        </is>
      </c>
    </row>
    <row r="3"/>
    <row r="4"/>
    <row r="5" ht="30" customHeight="1">
      <c r="A5" s="3" t="inlineStr">
        <is>
          <t>Check</t>
        </is>
      </c>
      <c r="B5" s="20" t="inlineStr">
        <is>
          <t>Expected</t>
        </is>
      </c>
      <c r="C5" s="20" t="inlineStr">
        <is>
          <t>Actual / Delta</t>
        </is>
      </c>
      <c r="D5" s="20" t="inlineStr">
        <is>
          <t>Status</t>
        </is>
      </c>
      <c r="E5" s="21" t="inlineStr">
        <is>
          <t>Where to fix</t>
        </is>
      </c>
    </row>
    <row r="6">
      <c r="A6" s="25" t="inlineStr">
        <is>
          <t>Opening cash agrees to accounting ledger</t>
        </is>
      </c>
      <c r="B6" s="25" t="inlineStr">
        <is>
          <t>Refresh required</t>
        </is>
      </c>
      <c r="C6" s="25">
        <f>'13W Cash Forecast'!B6-SUM('Assumptions'!B6*0)</f>
        <v/>
      </c>
      <c r="D6" s="25">
        <f>"REFRESH"</f>
        <v/>
      </c>
      <c r="E6" s="25" t="inlineStr">
        <is>
          <t>13W Cash Forecast B6 / accounting cash balances</t>
        </is>
      </c>
    </row>
    <row r="7">
      <c r="A7" s="25" t="inlineStr">
        <is>
          <t>All weeks roll beginning cash</t>
        </is>
      </c>
      <c r="B7" s="25" t="n">
        <v>0</v>
      </c>
      <c r="C7" s="25">
        <f>ABS('13W Cash Forecast'!C6-'13W Cash Forecast'!B21)+ABS('13W Cash Forecast'!D6-'13W Cash Forecast'!C21)+ABS('13W Cash Forecast'!E6-'13W Cash Forecast'!D21)+ABS('13W Cash Forecast'!F6-'13W Cash Forecast'!E21)+ABS('13W Cash Forecast'!G6-'13W Cash Forecast'!F21)+ABS('13W Cash Forecast'!H6-'13W Cash Forecast'!G21)+ABS('13W Cash Forecast'!I6-'13W Cash Forecast'!H21)+ABS('13W Cash Forecast'!J6-'13W Cash Forecast'!I21)+ABS('13W Cash Forecast'!K6-'13W Cash Forecast'!J21)+ABS('13W Cash Forecast'!L6-'13W Cash Forecast'!K21)+ABS('13W Cash Forecast'!M6-'13W Cash Forecast'!L21)+ABS('13W Cash Forecast'!N6-'13W Cash Forecast'!M21)</f>
        <v/>
      </c>
      <c r="D7" s="25">
        <f>IF(ABS(C7)&lt;0.01,"PASS","FAIL")</f>
        <v/>
      </c>
      <c r="E7" s="25" t="inlineStr">
        <is>
          <t>13W Cash Forecast row 6</t>
        </is>
      </c>
    </row>
    <row r="8">
      <c r="A8" s="25" t="inlineStr">
        <is>
          <t>Ending cash arithmetic</t>
        </is>
      </c>
      <c r="B8" s="25" t="n">
        <v>0</v>
      </c>
      <c r="C8" s="25">
        <f>ABS('13W Cash Forecast'!B21-('13W Cash Forecast'!B6+'13W Cash Forecast'!B10-'13W Cash Forecast'!B19+'13W Cash Forecast'!B24))+ABS('13W Cash Forecast'!C21-('13W Cash Forecast'!C6+'13W Cash Forecast'!C10-'13W Cash Forecast'!C19+'13W Cash Forecast'!C24))+ABS('13W Cash Forecast'!D21-('13W Cash Forecast'!D6+'13W Cash Forecast'!D10-'13W Cash Forecast'!D19+'13W Cash Forecast'!D24))+ABS('13W Cash Forecast'!E21-('13W Cash Forecast'!E6+'13W Cash Forecast'!E10-'13W Cash Forecast'!E19+'13W Cash Forecast'!E24))+ABS('13W Cash Forecast'!F21-('13W Cash Forecast'!F6+'13W Cash Forecast'!F10-'13W Cash Forecast'!F19+'13W Cash Forecast'!F24))+ABS('13W Cash Forecast'!G21-('13W Cash Forecast'!G6+'13W Cash Forecast'!G10-'13W Cash Forecast'!G19+'13W Cash Forecast'!G24))+ABS('13W Cash Forecast'!H21-('13W Cash Forecast'!H6+'13W Cash Forecast'!H10-'13W Cash Forecast'!H19+'13W Cash Forecast'!H24))+ABS('13W Cash Forecast'!I21-('13W Cash Forecast'!I6+'13W Cash Forecast'!I10-'13W Cash Forecast'!I19+'13W Cash Forecast'!I24))+ABS('13W Cash Forecast'!J21-('13W Cash Forecast'!J6+'13W Cash Forecast'!J10-'13W Cash Forecast'!J19+'13W Cash Forecast'!J24))+ABS('13W Cash Forecast'!K21-('13W Cash Forecast'!K6+'13W Cash Forecast'!K10-'13W Cash Forecast'!K19+'13W Cash Forecast'!K24))+ABS('13W Cash Forecast'!L21-('13W Cash Forecast'!L6+'13W Cash Forecast'!L10-'13W Cash Forecast'!L19+'13W Cash Forecast'!L24))+ABS('13W Cash Forecast'!M21-('13W Cash Forecast'!M6+'13W Cash Forecast'!M10-'13W Cash Forecast'!M19+'13W Cash Forecast'!M24))+ABS('13W Cash Forecast'!N21-('13W Cash Forecast'!N6+'13W Cash Forecast'!N10-'13W Cash Forecast'!N19+'13W Cash Forecast'!N24))</f>
        <v/>
      </c>
      <c r="D8" s="25">
        <f>IF(ABS(C8)&lt;0.01,"PASS","FAIL")</f>
        <v/>
      </c>
      <c r="E8" s="25" t="inlineStr">
        <is>
          <t>13W Cash Forecast row 21</t>
        </is>
      </c>
    </row>
    <row r="9">
      <c r="A9" s="25" t="inlineStr">
        <is>
          <t>Held AP excluded until documented release</t>
        </is>
      </c>
      <c r="B9" s="25" t="n">
        <v>0</v>
      </c>
      <c r="C9" s="25">
        <f>COUNTIFS('AP &amp; Commitments'!G6:G500,"Yes",'AP &amp; Commitments'!H6:H500,"&lt;2026-08-14")</f>
        <v/>
      </c>
      <c r="D9" s="25">
        <f>IF(C9=0,"PASS","FAIL")</f>
        <v/>
      </c>
      <c r="E9" s="25" t="inlineStr">
        <is>
          <t>AP &amp; Commitments hold rows</t>
        </is>
      </c>
    </row>
    <row r="10">
      <c r="A10" s="25" t="inlineStr">
        <is>
          <t>Forecast spans exactly 13 weeks</t>
        </is>
      </c>
      <c r="B10" s="25" t="n">
        <v>13</v>
      </c>
      <c r="C10" s="25">
        <f>COUNTA('13W Cash Forecast'!B4:N4)</f>
        <v/>
      </c>
      <c r="D10" s="25">
        <f>IF(C10=B10,"PASS","FAIL")</f>
        <v/>
      </c>
      <c r="E10" s="25" t="inlineStr">
        <is>
          <t>13W Cash Forecast B4:N4</t>
        </is>
      </c>
    </row>
  </sheetData>
  <mergeCells count="2">
    <mergeCell ref="A2:E2"/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selection activeCell="A1" sqref="A1"/>
    </sheetView>
  </sheetViews>
  <sheetFormatPr baseColWidth="8" defaultRowHeight="15" outlineLevelRow="0"/>
  <cols>
    <col width="17" customWidth="1" min="1" max="1"/>
    <col width="14" customWidth="1" min="2" max="2"/>
    <col width="13" customWidth="1" min="3" max="5"/>
    <col width="15" customWidth="1" min="6" max="7"/>
    <col width="12" customWidth="1" min="8" max="8"/>
    <col width="55" customWidth="1" min="9" max="9"/>
    <col width="18" customWidth="1" min="10" max="10"/>
  </cols>
  <sheetData>
    <row r="1">
      <c r="A1" s="27" t="inlineStr">
        <is>
          <t>AP-310 export 6/26/26 18:07 - includes paid/closed items and predates the 6/30 cutoff. Filter was left on Vendor ID when saved.</t>
        </is>
      </c>
    </row>
    <row r="2"/>
    <row r="3">
      <c r="A3" s="28" t="inlineStr">
        <is>
          <t>Bill</t>
        </is>
      </c>
      <c r="B3" s="28" t="inlineStr">
        <is>
          <t>Vendor ID</t>
        </is>
      </c>
      <c r="C3" s="28" t="inlineStr">
        <is>
          <t>Job</t>
        </is>
      </c>
      <c r="D3" s="28" t="inlineStr">
        <is>
          <t>Invoice date</t>
        </is>
      </c>
      <c r="E3" s="28" t="inlineStr">
        <is>
          <t>Due date</t>
        </is>
      </c>
      <c r="F3" s="28" t="inlineStr">
        <is>
          <t>Gross</t>
        </is>
      </c>
      <c r="G3" s="28" t="inlineStr">
        <is>
          <t>Paid</t>
        </is>
      </c>
      <c r="H3" s="28" t="inlineStr">
        <is>
          <t>Hold flag</t>
        </is>
      </c>
      <c r="I3" s="28" t="inlineStr">
        <is>
          <t>Hold reason</t>
        </is>
      </c>
      <c r="J3" s="28" t="inlineStr">
        <is>
          <t>Status</t>
        </is>
      </c>
    </row>
    <row r="4">
      <c r="A4" s="29" t="inlineStr">
        <is>
          <t>AP-0005228</t>
        </is>
      </c>
      <c r="B4" s="29" t="inlineStr">
        <is>
          <t>V-2440</t>
        </is>
      </c>
      <c r="C4" s="29" t="inlineStr">
        <is>
          <t>ARM-2510</t>
        </is>
      </c>
      <c r="D4" s="29" t="inlineStr">
        <is>
          <t>2026-05-04</t>
        </is>
      </c>
      <c r="E4" s="29" t="inlineStr">
        <is>
          <t>2026-05-19</t>
        </is>
      </c>
      <c r="F4" s="29" t="n">
        <v>16794.24</v>
      </c>
      <c r="G4" s="29" t="n">
        <v>16794.24</v>
      </c>
      <c r="H4" s="29" t="n"/>
      <c r="I4" s="29" t="n"/>
      <c r="J4" s="29" t="inlineStr">
        <is>
          <t>Paid</t>
        </is>
      </c>
    </row>
    <row r="5">
      <c r="A5" s="29" t="inlineStr">
        <is>
          <t>AP-0005632</t>
        </is>
      </c>
      <c r="B5" s="29" t="inlineStr">
        <is>
          <t>V-2265</t>
        </is>
      </c>
      <c r="C5" s="29" t="inlineStr">
        <is>
          <t>ARM-2526</t>
        </is>
      </c>
      <c r="D5" s="29" t="inlineStr">
        <is>
          <t>2026-05-04</t>
        </is>
      </c>
      <c r="E5" s="29" t="inlineStr">
        <is>
          <t>2026-05-19</t>
        </is>
      </c>
      <c r="F5" s="29" t="n">
        <v>11122.87</v>
      </c>
      <c r="G5" s="29" t="n">
        <v>11122.87</v>
      </c>
      <c r="H5" s="29" t="n"/>
      <c r="I5" s="29" t="n"/>
      <c r="J5" s="29" t="inlineStr">
        <is>
          <t>Paid</t>
        </is>
      </c>
    </row>
    <row r="6">
      <c r="A6" s="29" t="inlineStr">
        <is>
          <t>AP-0005424</t>
        </is>
      </c>
      <c r="B6" s="29" t="inlineStr">
        <is>
          <t>V-2450</t>
        </is>
      </c>
      <c r="C6" s="29" t="inlineStr">
        <is>
          <t>ARM-2514</t>
        </is>
      </c>
      <c r="D6" s="29" t="inlineStr">
        <is>
          <t>2026-05-05</t>
        </is>
      </c>
      <c r="E6" s="29" t="inlineStr">
        <is>
          <t>2026-05-20</t>
        </is>
      </c>
      <c r="F6" s="29" t="n">
        <v>4824.17</v>
      </c>
      <c r="G6" s="29" t="n">
        <v>4824.17</v>
      </c>
      <c r="H6" s="29" t="n"/>
      <c r="I6" s="29" t="n"/>
      <c r="J6" s="29" t="inlineStr">
        <is>
          <t>Paid</t>
        </is>
      </c>
    </row>
    <row r="7">
      <c r="A7" s="29" t="inlineStr">
        <is>
          <t>AP-0009870</t>
        </is>
      </c>
      <c r="B7" s="29" t="inlineStr">
        <is>
          <t>V-2235</t>
        </is>
      </c>
      <c r="C7" s="29" t="n"/>
      <c r="D7" s="29" t="inlineStr">
        <is>
          <t>2026-05-05</t>
        </is>
      </c>
      <c r="E7" s="29" t="inlineStr">
        <is>
          <t>2026-05-20</t>
        </is>
      </c>
      <c r="F7" s="29" t="n">
        <v>3700.48</v>
      </c>
      <c r="G7" s="29" t="n">
        <v>3700.48</v>
      </c>
      <c r="H7" s="29" t="n"/>
      <c r="I7" s="29" t="n"/>
      <c r="J7" s="29" t="inlineStr">
        <is>
          <t>Paid</t>
        </is>
      </c>
    </row>
    <row r="8">
      <c r="A8" s="29" t="inlineStr">
        <is>
          <t>AP-0009891</t>
        </is>
      </c>
      <c r="B8" s="29" t="inlineStr">
        <is>
          <t>V-2235</t>
        </is>
      </c>
      <c r="C8" s="29" t="n"/>
      <c r="D8" s="29" t="inlineStr">
        <is>
          <t>2026-05-05</t>
        </is>
      </c>
      <c r="E8" s="29" t="inlineStr">
        <is>
          <t>2026-05-20</t>
        </is>
      </c>
      <c r="F8" s="29" t="n">
        <v>3786.2</v>
      </c>
      <c r="G8" s="29" t="n">
        <v>3786.2</v>
      </c>
      <c r="H8" s="29" t="n"/>
      <c r="I8" s="29" t="n"/>
      <c r="J8" s="29" t="inlineStr">
        <is>
          <t>Paid</t>
        </is>
      </c>
    </row>
    <row r="9">
      <c r="A9" s="29" t="inlineStr">
        <is>
          <t>AP-0003877</t>
        </is>
      </c>
      <c r="B9" s="29" t="inlineStr">
        <is>
          <t>V-2305</t>
        </is>
      </c>
      <c r="C9" s="29" t="inlineStr">
        <is>
          <t>ARM-2318</t>
        </is>
      </c>
      <c r="D9" s="29" t="inlineStr">
        <is>
          <t>2026-05-06</t>
        </is>
      </c>
      <c r="E9" s="29" t="inlineStr">
        <is>
          <t>2026-05-21</t>
        </is>
      </c>
      <c r="F9" s="29" t="n">
        <v>34742.25</v>
      </c>
      <c r="G9" s="29" t="n">
        <v>34742.25</v>
      </c>
      <c r="H9" s="29" t="n"/>
      <c r="I9" s="29" t="n"/>
      <c r="J9" s="29" t="inlineStr">
        <is>
          <t>Paid</t>
        </is>
      </c>
    </row>
    <row r="10">
      <c r="A10" s="29" t="inlineStr">
        <is>
          <t>AP-0005415</t>
        </is>
      </c>
      <c r="B10" s="29" t="inlineStr">
        <is>
          <t>V-2355</t>
        </is>
      </c>
      <c r="C10" s="29" t="inlineStr">
        <is>
          <t>ARM-2514</t>
        </is>
      </c>
      <c r="D10" s="29" t="inlineStr">
        <is>
          <t>2026-05-06</t>
        </is>
      </c>
      <c r="E10" s="29" t="inlineStr">
        <is>
          <t>2026-05-21</t>
        </is>
      </c>
      <c r="F10" s="29" t="n">
        <v>13105.7</v>
      </c>
      <c r="G10" s="29" t="n">
        <v>13105.7</v>
      </c>
      <c r="H10" s="29" t="n"/>
      <c r="I10" s="29" t="n"/>
      <c r="J10" s="29" t="inlineStr">
        <is>
          <t>Paid</t>
        </is>
      </c>
    </row>
    <row r="11">
      <c r="A11" s="29" t="inlineStr">
        <is>
          <t>AP-0009873</t>
        </is>
      </c>
      <c r="B11" s="29" t="inlineStr">
        <is>
          <t>V-2265</t>
        </is>
      </c>
      <c r="C11" s="29" t="n"/>
      <c r="D11" s="29" t="inlineStr">
        <is>
          <t>2026-05-06</t>
        </is>
      </c>
      <c r="E11" s="29" t="inlineStr">
        <is>
          <t>2026-05-21</t>
        </is>
      </c>
      <c r="F11" s="29" t="n">
        <v>5436.5</v>
      </c>
      <c r="G11" s="29" t="n">
        <v>5436.5</v>
      </c>
      <c r="H11" s="29" t="n"/>
      <c r="I11" s="29" t="n"/>
      <c r="J11" s="29" t="inlineStr">
        <is>
          <t>Paid</t>
        </is>
      </c>
    </row>
    <row r="12">
      <c r="A12" s="29" t="inlineStr">
        <is>
          <t>AP-0009894</t>
        </is>
      </c>
      <c r="B12" s="29" t="inlineStr">
        <is>
          <t>V-2265</t>
        </is>
      </c>
      <c r="C12" s="29" t="n"/>
      <c r="D12" s="29" t="inlineStr">
        <is>
          <t>2026-05-06</t>
        </is>
      </c>
      <c r="E12" s="29" t="inlineStr">
        <is>
          <t>2026-05-21</t>
        </is>
      </c>
      <c r="F12" s="29" t="n">
        <v>3035.38</v>
      </c>
      <c r="G12" s="29" t="n">
        <v>3035.38</v>
      </c>
      <c r="H12" s="29" t="n"/>
      <c r="I12" s="29" t="n"/>
      <c r="J12" s="29" t="inlineStr">
        <is>
          <t>Paid</t>
        </is>
      </c>
    </row>
    <row r="13">
      <c r="A13" s="29" t="inlineStr">
        <is>
          <t>AP-0005636</t>
        </is>
      </c>
      <c r="B13" s="29" t="inlineStr">
        <is>
          <t>V-2310</t>
        </is>
      </c>
      <c r="C13" s="29" t="inlineStr">
        <is>
          <t>ARM-2526</t>
        </is>
      </c>
      <c r="D13" s="29" t="inlineStr">
        <is>
          <t>2026-05-07</t>
        </is>
      </c>
      <c r="E13" s="29" t="inlineStr">
        <is>
          <t>2026-05-22</t>
        </is>
      </c>
      <c r="F13" s="29" t="n">
        <v>5641.32</v>
      </c>
      <c r="G13" s="29" t="n">
        <v>5641.32</v>
      </c>
      <c r="H13" s="29" t="n"/>
      <c r="I13" s="29" t="n"/>
      <c r="J13" s="29" t="inlineStr">
        <is>
          <t>Paid</t>
        </is>
      </c>
    </row>
    <row r="14">
      <c r="A14" s="29" t="inlineStr">
        <is>
          <t>AP-0009876</t>
        </is>
      </c>
      <c r="B14" s="29" t="inlineStr">
        <is>
          <t>V-2290</t>
        </is>
      </c>
      <c r="C14" s="29" t="n"/>
      <c r="D14" s="29" t="inlineStr">
        <is>
          <t>2026-05-07</t>
        </is>
      </c>
      <c r="E14" s="29" t="inlineStr">
        <is>
          <t>2026-05-22</t>
        </is>
      </c>
      <c r="F14" s="29" t="n">
        <v>5131.28</v>
      </c>
      <c r="G14" s="29" t="n">
        <v>5131.28</v>
      </c>
      <c r="H14" s="29" t="n"/>
      <c r="I14" s="29" t="n"/>
      <c r="J14" s="29" t="inlineStr">
        <is>
          <t>Paid</t>
        </is>
      </c>
    </row>
    <row r="15">
      <c r="A15" s="29" t="inlineStr">
        <is>
          <t>AP-0009897</t>
        </is>
      </c>
      <c r="B15" s="29" t="inlineStr">
        <is>
          <t>V-2290</t>
        </is>
      </c>
      <c r="C15" s="29" t="n"/>
      <c r="D15" s="29" t="inlineStr">
        <is>
          <t>2026-05-07</t>
        </is>
      </c>
      <c r="E15" s="29" t="inlineStr">
        <is>
          <t>2026-05-22</t>
        </is>
      </c>
      <c r="F15" s="29" t="n">
        <v>4111.11</v>
      </c>
      <c r="G15" s="29" t="n">
        <v>4111.11</v>
      </c>
      <c r="H15" s="29" t="n"/>
      <c r="I15" s="29" t="n"/>
      <c r="J15" s="29" t="inlineStr">
        <is>
          <t>Paid</t>
        </is>
      </c>
    </row>
    <row r="16">
      <c r="A16" s="29" t="inlineStr">
        <is>
          <t>AP-0012002</t>
        </is>
      </c>
      <c r="B16" s="29" t="inlineStr">
        <is>
          <t>V-2480</t>
        </is>
      </c>
      <c r="C16" s="29" t="n"/>
      <c r="D16" s="29" t="inlineStr">
        <is>
          <t>2026-05-07</t>
        </is>
      </c>
      <c r="E16" s="29" t="inlineStr">
        <is>
          <t>2026-05-22</t>
        </is>
      </c>
      <c r="F16" s="29" t="n">
        <v>63000</v>
      </c>
      <c r="G16" s="29" t="n">
        <v>63000</v>
      </c>
      <c r="H16" s="29" t="n"/>
      <c r="I16" s="29" t="n"/>
      <c r="J16" s="29" t="inlineStr">
        <is>
          <t>Paid</t>
        </is>
      </c>
    </row>
    <row r="17">
      <c r="A17" s="29" t="inlineStr">
        <is>
          <t>AP-0005232</t>
        </is>
      </c>
      <c r="B17" s="29" t="inlineStr">
        <is>
          <t>V-2495</t>
        </is>
      </c>
      <c r="C17" s="29" t="inlineStr">
        <is>
          <t>ARM-2510</t>
        </is>
      </c>
      <c r="D17" s="29" t="inlineStr">
        <is>
          <t>2026-05-08</t>
        </is>
      </c>
      <c r="E17" s="29" t="inlineStr">
        <is>
          <t>2026-05-23</t>
        </is>
      </c>
      <c r="F17" s="29" t="n">
        <v>7790.26</v>
      </c>
      <c r="G17" s="29" t="n">
        <v>7790.26</v>
      </c>
      <c r="H17" s="29" t="n"/>
      <c r="I17" s="29" t="n"/>
      <c r="J17" s="29" t="inlineStr">
        <is>
          <t>Paid</t>
        </is>
      </c>
    </row>
    <row r="18">
      <c r="A18" s="29" t="inlineStr">
        <is>
          <t>AP-0009879</t>
        </is>
      </c>
      <c r="B18" s="29" t="inlineStr">
        <is>
          <t>V-2315</t>
        </is>
      </c>
      <c r="C18" s="29" t="n"/>
      <c r="D18" s="29" t="inlineStr">
        <is>
          <t>2026-05-08</t>
        </is>
      </c>
      <c r="E18" s="29" t="inlineStr">
        <is>
          <t>2026-05-23</t>
        </is>
      </c>
      <c r="F18" s="29" t="n">
        <v>4906.84</v>
      </c>
      <c r="G18" s="29" t="n">
        <v>4906.84</v>
      </c>
      <c r="H18" s="29" t="n"/>
      <c r="I18" s="29" t="n"/>
      <c r="J18" s="29" t="inlineStr">
        <is>
          <t>Paid</t>
        </is>
      </c>
    </row>
    <row r="19">
      <c r="A19" s="29" t="inlineStr">
        <is>
          <t>AP-0009900</t>
        </is>
      </c>
      <c r="B19" s="29" t="inlineStr">
        <is>
          <t>V-2315</t>
        </is>
      </c>
      <c r="C19" s="29" t="n"/>
      <c r="D19" s="29" t="inlineStr">
        <is>
          <t>2026-05-08</t>
        </is>
      </c>
      <c r="E19" s="29" t="inlineStr">
        <is>
          <t>2026-05-23</t>
        </is>
      </c>
      <c r="F19" s="29" t="n">
        <v>3748.14</v>
      </c>
      <c r="G19" s="29" t="n">
        <v>3748.14</v>
      </c>
      <c r="H19" s="29" t="n"/>
      <c r="I19" s="29" t="n"/>
      <c r="J19" s="29" t="inlineStr">
        <is>
          <t>Paid</t>
        </is>
      </c>
    </row>
    <row r="20">
      <c r="A20" s="29" t="inlineStr">
        <is>
          <t>AP-0005713</t>
        </is>
      </c>
      <c r="B20" s="29" t="inlineStr">
        <is>
          <t>V-2205</t>
        </is>
      </c>
      <c r="C20" s="29" t="inlineStr">
        <is>
          <t>ARM-2605</t>
        </is>
      </c>
      <c r="D20" s="29" t="inlineStr">
        <is>
          <t>2026-05-09</t>
        </is>
      </c>
      <c r="E20" s="29" t="inlineStr">
        <is>
          <t>2026-05-24</t>
        </is>
      </c>
      <c r="F20" s="29" t="n">
        <v>12185.03</v>
      </c>
      <c r="G20" s="29" t="n">
        <v>12185.03</v>
      </c>
      <c r="H20" s="29" t="n"/>
      <c r="I20" s="29" t="n"/>
      <c r="J20" s="29" t="inlineStr">
        <is>
          <t>Paid</t>
        </is>
      </c>
    </row>
    <row r="21">
      <c r="A21" s="29" t="inlineStr">
        <is>
          <t>AP-0003876</t>
        </is>
      </c>
      <c r="B21" s="29" t="inlineStr">
        <is>
          <t>V-2300</t>
        </is>
      </c>
      <c r="C21" s="29" t="inlineStr">
        <is>
          <t>ARM-2318</t>
        </is>
      </c>
      <c r="D21" s="29" t="inlineStr">
        <is>
          <t>2026-05-10</t>
        </is>
      </c>
      <c r="E21" s="29" t="inlineStr">
        <is>
          <t>2026-05-25</t>
        </is>
      </c>
      <c r="F21" s="29" t="n">
        <v>14123.79</v>
      </c>
      <c r="G21" s="29" t="n">
        <v>14123.79</v>
      </c>
      <c r="H21" s="29" t="n"/>
      <c r="I21" s="29" t="n"/>
      <c r="J21" s="29" t="inlineStr">
        <is>
          <t>Paid</t>
        </is>
      </c>
    </row>
    <row r="22">
      <c r="A22" s="29" t="inlineStr">
        <is>
          <t>AP-0004284</t>
        </is>
      </c>
      <c r="B22" s="29" t="inlineStr">
        <is>
          <t>V-2495</t>
        </is>
      </c>
      <c r="C22" s="29" t="inlineStr">
        <is>
          <t>ARM-2409</t>
        </is>
      </c>
      <c r="D22" s="29" t="inlineStr">
        <is>
          <t>2026-05-10</t>
        </is>
      </c>
      <c r="E22" s="29" t="inlineStr">
        <is>
          <t>2026-05-25</t>
        </is>
      </c>
      <c r="F22" s="29" t="n">
        <v>6632.28</v>
      </c>
      <c r="G22" s="29" t="n">
        <v>6632.28</v>
      </c>
      <c r="H22" s="29" t="n"/>
      <c r="I22" s="29" t="n"/>
      <c r="J22" s="29" t="inlineStr">
        <is>
          <t>Paid</t>
        </is>
      </c>
    </row>
    <row r="23">
      <c r="A23" s="29" t="inlineStr">
        <is>
          <t>AP-0005078</t>
        </is>
      </c>
      <c r="B23" s="29" t="inlineStr">
        <is>
          <t>V-2320</t>
        </is>
      </c>
      <c r="C23" s="29" t="inlineStr">
        <is>
          <t>ARM-2506</t>
        </is>
      </c>
      <c r="D23" s="29" t="inlineStr">
        <is>
          <t>2026-05-11</t>
        </is>
      </c>
      <c r="E23" s="29" t="inlineStr">
        <is>
          <t>2026-05-26</t>
        </is>
      </c>
      <c r="F23" s="29" t="n">
        <v>8009.35</v>
      </c>
      <c r="G23" s="29" t="n">
        <v>8009.35</v>
      </c>
      <c r="H23" s="29" t="n"/>
      <c r="I23" s="29" t="n"/>
      <c r="J23" s="29" t="inlineStr">
        <is>
          <t>Paid</t>
        </is>
      </c>
    </row>
    <row r="24">
      <c r="A24" s="29" t="inlineStr">
        <is>
          <t>AP-0005238</t>
        </is>
      </c>
      <c r="B24" s="29" t="inlineStr">
        <is>
          <t>V-2205</t>
        </is>
      </c>
      <c r="C24" s="29" t="inlineStr">
        <is>
          <t>ARM-2510</t>
        </is>
      </c>
      <c r="D24" s="29" t="inlineStr">
        <is>
          <t>2026-05-11</t>
        </is>
      </c>
      <c r="E24" s="29" t="inlineStr">
        <is>
          <t>2026-05-26</t>
        </is>
      </c>
      <c r="F24" s="29" t="n">
        <v>5610.98</v>
      </c>
      <c r="G24" s="29" t="n">
        <v>5610.98</v>
      </c>
      <c r="H24" s="29" t="n"/>
      <c r="I24" s="29" t="n"/>
      <c r="J24" s="29" t="inlineStr">
        <is>
          <t>Paid</t>
        </is>
      </c>
    </row>
    <row r="25">
      <c r="A25" s="29" t="inlineStr">
        <is>
          <t>AP-0009862</t>
        </is>
      </c>
      <c r="B25" s="29" t="inlineStr">
        <is>
          <t>V-2520</t>
        </is>
      </c>
      <c r="C25" s="29" t="n"/>
      <c r="D25" s="29" t="inlineStr">
        <is>
          <t>2026-05-11</t>
        </is>
      </c>
      <c r="E25" s="29" t="inlineStr">
        <is>
          <t>2026-05-26</t>
        </is>
      </c>
      <c r="F25" s="29" t="n">
        <v>6527.04</v>
      </c>
      <c r="G25" s="29" t="n">
        <v>6527.04</v>
      </c>
      <c r="H25" s="29" t="n"/>
      <c r="I25" s="29" t="n"/>
      <c r="J25" s="29" t="inlineStr">
        <is>
          <t>Paid</t>
        </is>
      </c>
    </row>
    <row r="26">
      <c r="A26" s="29" t="inlineStr">
        <is>
          <t>AP-0009883</t>
        </is>
      </c>
      <c r="B26" s="29" t="inlineStr">
        <is>
          <t>V-2520</t>
        </is>
      </c>
      <c r="C26" s="29" t="n"/>
      <c r="D26" s="29" t="inlineStr">
        <is>
          <t>2026-05-11</t>
        </is>
      </c>
      <c r="E26" s="29" t="inlineStr">
        <is>
          <t>2026-05-26</t>
        </is>
      </c>
      <c r="F26" s="29" t="n">
        <v>3252.76</v>
      </c>
      <c r="G26" s="29" t="n">
        <v>3252.76</v>
      </c>
      <c r="H26" s="29" t="n"/>
      <c r="I26" s="29" t="n"/>
      <c r="J26" s="29" t="inlineStr">
        <is>
          <t>Paid</t>
        </is>
      </c>
    </row>
    <row r="27">
      <c r="A27" s="29" t="inlineStr">
        <is>
          <t>AP-0004097</t>
        </is>
      </c>
      <c r="B27" s="29" t="inlineStr">
        <is>
          <t>V-2255</t>
        </is>
      </c>
      <c r="C27" s="29" t="inlineStr">
        <is>
          <t>ARM-2403</t>
        </is>
      </c>
      <c r="D27" s="29" t="inlineStr">
        <is>
          <t>2026-05-12</t>
        </is>
      </c>
      <c r="E27" s="29" t="inlineStr">
        <is>
          <t>2026-05-27</t>
        </is>
      </c>
      <c r="F27" s="29" t="n">
        <v>5503.38</v>
      </c>
      <c r="G27" s="29" t="n">
        <v>5503.38</v>
      </c>
      <c r="H27" s="29" t="n"/>
      <c r="I27" s="29" t="n"/>
      <c r="J27" s="29" t="inlineStr">
        <is>
          <t>Paid</t>
        </is>
      </c>
    </row>
    <row r="28">
      <c r="A28" s="29" t="inlineStr">
        <is>
          <t>AP-0005580</t>
        </is>
      </c>
      <c r="B28" s="29" t="inlineStr">
        <is>
          <t>V-2310</t>
        </is>
      </c>
      <c r="C28" s="29" t="inlineStr">
        <is>
          <t>ARM-2522</t>
        </is>
      </c>
      <c r="D28" s="29" t="inlineStr">
        <is>
          <t>2026-05-13</t>
        </is>
      </c>
      <c r="E28" s="29" t="inlineStr">
        <is>
          <t>2026-05-28</t>
        </is>
      </c>
      <c r="F28" s="29" t="n">
        <v>6167.58</v>
      </c>
      <c r="G28" s="29" t="n">
        <v>6167.58</v>
      </c>
      <c r="H28" s="29" t="n"/>
      <c r="I28" s="29" t="n"/>
      <c r="J28" s="29" t="inlineStr">
        <is>
          <t>Paid</t>
        </is>
      </c>
    </row>
    <row r="29">
      <c r="A29" s="29" t="inlineStr">
        <is>
          <t>AP-0005085</t>
        </is>
      </c>
      <c r="B29" s="29" t="inlineStr">
        <is>
          <t>V-2400</t>
        </is>
      </c>
      <c r="C29" s="29" t="inlineStr">
        <is>
          <t>ARM-2506</t>
        </is>
      </c>
      <c r="D29" s="29" t="inlineStr">
        <is>
          <t>2026-05-14</t>
        </is>
      </c>
      <c r="E29" s="29" t="inlineStr">
        <is>
          <t>2026-05-29</t>
        </is>
      </c>
      <c r="F29" s="29" t="n">
        <v>25914.51</v>
      </c>
      <c r="G29" s="29" t="n">
        <v>25914.51</v>
      </c>
      <c r="H29" s="29" t="n"/>
      <c r="I29" s="29" t="n"/>
      <c r="J29" s="29" t="inlineStr">
        <is>
          <t>Paid</t>
        </is>
      </c>
    </row>
    <row r="30">
      <c r="A30" s="29" t="inlineStr">
        <is>
          <t>AP-0005630</t>
        </is>
      </c>
      <c r="B30" s="29" t="inlineStr">
        <is>
          <t>V-2225</t>
        </is>
      </c>
      <c r="C30" s="29" t="inlineStr">
        <is>
          <t>ARM-2526</t>
        </is>
      </c>
      <c r="D30" s="29" t="inlineStr">
        <is>
          <t>2026-05-14</t>
        </is>
      </c>
      <c r="E30" s="29" t="inlineStr">
        <is>
          <t>2026-05-29</t>
        </is>
      </c>
      <c r="F30" s="29" t="n">
        <v>10196.1</v>
      </c>
      <c r="G30" s="29" t="n">
        <v>10196.1</v>
      </c>
      <c r="H30" s="29" t="n"/>
      <c r="I30" s="29" t="n"/>
      <c r="J30" s="29" t="inlineStr">
        <is>
          <t>Paid</t>
        </is>
      </c>
    </row>
    <row r="31">
      <c r="A31" s="29" t="inlineStr">
        <is>
          <t>AP-0004681</t>
        </is>
      </c>
      <c r="B31" s="29" t="inlineStr">
        <is>
          <t>V-2220</t>
        </is>
      </c>
      <c r="C31" s="29" t="inlineStr">
        <is>
          <t>ARM-2417</t>
        </is>
      </c>
      <c r="D31" s="29" t="inlineStr">
        <is>
          <t>2026-05-15</t>
        </is>
      </c>
      <c r="E31" s="29" t="inlineStr">
        <is>
          <t>2026-05-30</t>
        </is>
      </c>
      <c r="F31" s="29" t="n">
        <v>17991.76</v>
      </c>
      <c r="G31" s="29" t="n">
        <v>17991.76</v>
      </c>
      <c r="H31" s="29" t="n"/>
      <c r="I31" s="29" t="n"/>
      <c r="J31" s="29" t="inlineStr">
        <is>
          <t>Paid</t>
        </is>
      </c>
    </row>
    <row r="32">
      <c r="A32" s="29" t="inlineStr">
        <is>
          <t>AP-0004688</t>
        </is>
      </c>
      <c r="B32" s="29" t="inlineStr">
        <is>
          <t>V-2320</t>
        </is>
      </c>
      <c r="C32" s="29" t="inlineStr">
        <is>
          <t>ARM-2417</t>
        </is>
      </c>
      <c r="D32" s="29" t="inlineStr">
        <is>
          <t>2026-05-15</t>
        </is>
      </c>
      <c r="E32" s="29" t="inlineStr">
        <is>
          <t>2026-05-30</t>
        </is>
      </c>
      <c r="F32" s="29" t="n">
        <v>14722.51</v>
      </c>
      <c r="G32" s="29" t="n">
        <v>14722.51</v>
      </c>
      <c r="H32" s="29" t="n"/>
      <c r="I32" s="29" t="n"/>
      <c r="J32" s="29" t="inlineStr">
        <is>
          <t>Paid</t>
        </is>
      </c>
    </row>
    <row r="33">
      <c r="A33" s="29" t="inlineStr">
        <is>
          <t>AP-0005406</t>
        </is>
      </c>
      <c r="B33" s="29" t="inlineStr">
        <is>
          <t>V-2210</t>
        </is>
      </c>
      <c r="C33" s="29" t="inlineStr">
        <is>
          <t>ARM-2514</t>
        </is>
      </c>
      <c r="D33" s="29" t="inlineStr">
        <is>
          <t>2026-05-15</t>
        </is>
      </c>
      <c r="E33" s="29" t="inlineStr">
        <is>
          <t>2026-05-30</t>
        </is>
      </c>
      <c r="F33" s="29" t="n">
        <v>14440.19</v>
      </c>
      <c r="G33" s="29" t="n">
        <v>14440.19</v>
      </c>
      <c r="H33" s="29" t="n"/>
      <c r="I33" s="29" t="n"/>
      <c r="J33" s="29" t="inlineStr">
        <is>
          <t>Paid</t>
        </is>
      </c>
    </row>
    <row r="34">
      <c r="A34" s="29" t="inlineStr">
        <is>
          <t>AP-0005677</t>
        </is>
      </c>
      <c r="B34" s="29" t="inlineStr">
        <is>
          <t>V-2460</t>
        </is>
      </c>
      <c r="C34" s="29" t="inlineStr">
        <is>
          <t>ARM-2602</t>
        </is>
      </c>
      <c r="D34" s="29" t="inlineStr">
        <is>
          <t>2026-05-15</t>
        </is>
      </c>
      <c r="E34" s="29" t="inlineStr">
        <is>
          <t>2026-05-30</t>
        </is>
      </c>
      <c r="F34" s="29" t="n">
        <v>24874.1</v>
      </c>
      <c r="G34" s="29" t="n">
        <v>24874.1</v>
      </c>
      <c r="H34" s="29" t="n"/>
      <c r="I34" s="29" t="n"/>
      <c r="J34" s="29" t="inlineStr">
        <is>
          <t>Paid</t>
        </is>
      </c>
    </row>
    <row r="35">
      <c r="A35" s="29" t="inlineStr">
        <is>
          <t>AP-0005500</t>
        </is>
      </c>
      <c r="B35" s="29" t="inlineStr">
        <is>
          <t>V-2355</t>
        </is>
      </c>
      <c r="C35" s="29" t="inlineStr">
        <is>
          <t>ARM-2518</t>
        </is>
      </c>
      <c r="D35" s="29" t="inlineStr">
        <is>
          <t>2026-05-16</t>
        </is>
      </c>
      <c r="E35" s="29" t="inlineStr">
        <is>
          <t>2026-05-31</t>
        </is>
      </c>
      <c r="F35" s="29" t="n">
        <v>10885.74</v>
      </c>
      <c r="G35" s="29" t="n">
        <v>10885.74</v>
      </c>
      <c r="H35" s="29" t="n"/>
      <c r="I35" s="29" t="n"/>
      <c r="J35" s="29" t="inlineStr">
        <is>
          <t>Paid</t>
        </is>
      </c>
    </row>
    <row r="36">
      <c r="A36" s="29" t="inlineStr">
        <is>
          <t>AP-0005505</t>
        </is>
      </c>
      <c r="B36" s="29" t="inlineStr">
        <is>
          <t>V-2415</t>
        </is>
      </c>
      <c r="C36" s="29" t="inlineStr">
        <is>
          <t>ARM-2518</t>
        </is>
      </c>
      <c r="D36" s="29" t="inlineStr">
        <is>
          <t>2026-05-16</t>
        </is>
      </c>
      <c r="E36" s="29" t="inlineStr">
        <is>
          <t>2026-05-31</t>
        </is>
      </c>
      <c r="F36" s="29" t="n">
        <v>11892.37</v>
      </c>
      <c r="G36" s="29" t="n">
        <v>11892.37</v>
      </c>
      <c r="H36" s="29" t="n"/>
      <c r="I36" s="29" t="n"/>
      <c r="J36" s="29" t="inlineStr">
        <is>
          <t>Paid</t>
        </is>
      </c>
    </row>
    <row r="37">
      <c r="A37" s="29" t="inlineStr">
        <is>
          <t>AP-0004887</t>
        </is>
      </c>
      <c r="B37" s="29" t="inlineStr">
        <is>
          <t>V-2365</t>
        </is>
      </c>
      <c r="C37" s="29" t="inlineStr">
        <is>
          <t>ARM-2501</t>
        </is>
      </c>
      <c r="D37" s="29" t="inlineStr">
        <is>
          <t>2026-05-17</t>
        </is>
      </c>
      <c r="E37" s="29" t="inlineStr">
        <is>
          <t>2026-06-01</t>
        </is>
      </c>
      <c r="F37" s="29" t="n">
        <v>13775.23</v>
      </c>
      <c r="G37" s="29" t="n">
        <v>8586.219999999999</v>
      </c>
      <c r="H37" s="29" t="n"/>
      <c r="I37" s="29" t="n"/>
      <c r="J37" s="29" t="inlineStr">
        <is>
          <t>Partially Paid</t>
        </is>
      </c>
    </row>
    <row r="38">
      <c r="A38" s="29" t="inlineStr">
        <is>
          <t>AP-0009838</t>
        </is>
      </c>
      <c r="B38" s="29" t="inlineStr">
        <is>
          <t>V-2304</t>
        </is>
      </c>
      <c r="C38" s="29" t="n"/>
      <c r="D38" s="29" t="inlineStr">
        <is>
          <t>2026-04-17</t>
        </is>
      </c>
      <c r="E38" s="29" t="inlineStr">
        <is>
          <t>2026-06-01</t>
        </is>
      </c>
      <c r="F38" s="29" t="n">
        <v>6224.59</v>
      </c>
      <c r="G38" s="29" t="n">
        <v>2705.49</v>
      </c>
      <c r="H38" s="29" t="n"/>
      <c r="I38" s="29" t="n"/>
      <c r="J38" s="29" t="inlineStr">
        <is>
          <t>Partially Paid</t>
        </is>
      </c>
    </row>
    <row r="39">
      <c r="A39" s="29" t="inlineStr">
        <is>
          <t>AP-0009859</t>
        </is>
      </c>
      <c r="B39" s="29" t="inlineStr">
        <is>
          <t>V-2304</t>
        </is>
      </c>
      <c r="C39" s="29" t="n"/>
      <c r="D39" s="29" t="inlineStr">
        <is>
          <t>2026-04-17</t>
        </is>
      </c>
      <c r="E39" s="29" t="inlineStr">
        <is>
          <t>2026-06-01</t>
        </is>
      </c>
      <c r="F39" s="29" t="n">
        <v>2976.65</v>
      </c>
      <c r="G39" s="29" t="n">
        <v>1376.76</v>
      </c>
      <c r="H39" s="29" t="n"/>
      <c r="I39" s="29" t="n"/>
      <c r="J39" s="29" t="inlineStr">
        <is>
          <t>Partially Paid</t>
        </is>
      </c>
    </row>
    <row r="40">
      <c r="A40" s="29" t="inlineStr">
        <is>
          <t>AP-0009861</t>
        </is>
      </c>
      <c r="B40" s="29" t="inlineStr">
        <is>
          <t>V-2513</t>
        </is>
      </c>
      <c r="C40" s="29" t="n"/>
      <c r="D40" s="29" t="inlineStr">
        <is>
          <t>2026-05-02</t>
        </is>
      </c>
      <c r="E40" s="29" t="inlineStr">
        <is>
          <t>2026-06-01</t>
        </is>
      </c>
      <c r="F40" s="29" t="n">
        <v>4978.39</v>
      </c>
      <c r="G40" s="29" t="n">
        <v>3393.59</v>
      </c>
      <c r="H40" s="29" t="n"/>
      <c r="I40" s="29" t="n"/>
      <c r="J40" s="29" t="inlineStr">
        <is>
          <t>Partially Paid</t>
        </is>
      </c>
    </row>
    <row r="41">
      <c r="A41" s="29" t="inlineStr">
        <is>
          <t>AP-0009882</t>
        </is>
      </c>
      <c r="B41" s="29" t="inlineStr">
        <is>
          <t>V-2513</t>
        </is>
      </c>
      <c r="C41" s="29" t="n"/>
      <c r="D41" s="29" t="inlineStr">
        <is>
          <t>2026-05-02</t>
        </is>
      </c>
      <c r="E41" s="29" t="inlineStr">
        <is>
          <t>2026-06-01</t>
        </is>
      </c>
      <c r="F41" s="29" t="n">
        <v>2932.76</v>
      </c>
      <c r="G41" s="29" t="n">
        <v>1884.97</v>
      </c>
      <c r="H41" s="29" t="n"/>
      <c r="I41" s="29" t="n"/>
      <c r="J41" s="29" t="inlineStr">
        <is>
          <t>Partially Paid</t>
        </is>
      </c>
    </row>
    <row r="42">
      <c r="A42" s="29" t="inlineStr">
        <is>
          <t>AP-0011875</t>
        </is>
      </c>
      <c r="B42" s="29" t="inlineStr">
        <is>
          <t>V-2470</t>
        </is>
      </c>
      <c r="C42" s="29" t="n"/>
      <c r="D42" s="29" t="inlineStr">
        <is>
          <t>2026-05-17</t>
        </is>
      </c>
      <c r="E42" s="29" t="inlineStr">
        <is>
          <t>2026-06-01</t>
        </is>
      </c>
      <c r="F42" s="29" t="n">
        <v>5192.81</v>
      </c>
      <c r="G42" s="29" t="n">
        <v>1927.43</v>
      </c>
      <c r="H42" s="29" t="n"/>
      <c r="I42" s="29" t="n"/>
      <c r="J42" s="29" t="inlineStr">
        <is>
          <t>Partially Paid</t>
        </is>
      </c>
    </row>
    <row r="43">
      <c r="A43" s="29" t="inlineStr">
        <is>
          <t>AP-0003875</t>
        </is>
      </c>
      <c r="B43" s="29" t="inlineStr">
        <is>
          <t>V-2286</t>
        </is>
      </c>
      <c r="C43" s="29" t="inlineStr">
        <is>
          <t>ARM-2318</t>
        </is>
      </c>
      <c r="D43" s="29" t="inlineStr">
        <is>
          <t>2026-05-03</t>
        </is>
      </c>
      <c r="E43" s="29" t="inlineStr">
        <is>
          <t>2026-06-02</t>
        </is>
      </c>
      <c r="F43" s="29" t="n">
        <v>7281.86</v>
      </c>
      <c r="G43" s="29" t="n">
        <v>4547.67</v>
      </c>
      <c r="H43" s="29" t="n"/>
      <c r="I43" s="29" t="n"/>
      <c r="J43" s="29" t="inlineStr">
        <is>
          <t>Partially Paid</t>
        </is>
      </c>
    </row>
    <row r="44">
      <c r="A44" s="29" t="inlineStr">
        <is>
          <t>AP-0004278</t>
        </is>
      </c>
      <c r="B44" s="29" t="inlineStr">
        <is>
          <t>V-2422</t>
        </is>
      </c>
      <c r="C44" s="29" t="inlineStr">
        <is>
          <t>ARM-2409</t>
        </is>
      </c>
      <c r="D44" s="29" t="inlineStr">
        <is>
          <t>2026-05-03</t>
        </is>
      </c>
      <c r="E44" s="29" t="inlineStr">
        <is>
          <t>2026-06-02</t>
        </is>
      </c>
      <c r="F44" s="29" t="n">
        <v>12588.34</v>
      </c>
      <c r="G44" s="29" t="n">
        <v>4613.17</v>
      </c>
      <c r="H44" s="29" t="n"/>
      <c r="I44" s="29" t="n"/>
      <c r="J44" s="29" t="inlineStr">
        <is>
          <t>Partially Paid</t>
        </is>
      </c>
    </row>
    <row r="45">
      <c r="A45" s="29" t="inlineStr">
        <is>
          <t>AP-0004283</t>
        </is>
      </c>
      <c r="B45" s="29" t="inlineStr">
        <is>
          <t>V-2481</t>
        </is>
      </c>
      <c r="C45" s="29" t="inlineStr">
        <is>
          <t>ARM-2409</t>
        </is>
      </c>
      <c r="D45" s="29" t="inlineStr">
        <is>
          <t>2026-05-03</t>
        </is>
      </c>
      <c r="E45" s="29" t="inlineStr">
        <is>
          <t>2026-06-02</t>
        </is>
      </c>
      <c r="F45" s="29" t="n">
        <v>4442.24</v>
      </c>
      <c r="G45" s="29" t="n">
        <v>1858.96</v>
      </c>
      <c r="H45" s="29" t="n"/>
      <c r="I45" s="29" t="n"/>
      <c r="J45" s="29" t="inlineStr">
        <is>
          <t>Partially Paid</t>
        </is>
      </c>
    </row>
    <row r="46">
      <c r="A46" s="29" t="inlineStr">
        <is>
          <t>AP-0004435</t>
        </is>
      </c>
      <c r="B46" s="29" t="inlineStr">
        <is>
          <t>V-2294</t>
        </is>
      </c>
      <c r="C46" s="29" t="inlineStr">
        <is>
          <t>ARM-2412</t>
        </is>
      </c>
      <c r="D46" s="29" t="inlineStr">
        <is>
          <t>2026-04-18</t>
        </is>
      </c>
      <c r="E46" s="29" t="inlineStr">
        <is>
          <t>2026-06-02</t>
        </is>
      </c>
      <c r="F46" s="29" t="n">
        <v>10014.66</v>
      </c>
      <c r="G46" s="29" t="n">
        <v>5079.34</v>
      </c>
      <c r="H46" s="29" t="n"/>
      <c r="I46" s="29" t="n"/>
      <c r="J46" s="29" t="inlineStr">
        <is>
          <t>Partially Paid</t>
        </is>
      </c>
    </row>
    <row r="47">
      <c r="A47" s="29" t="inlineStr">
        <is>
          <t>AP-0004439</t>
        </is>
      </c>
      <c r="B47" s="29" t="inlineStr">
        <is>
          <t>V-2350</t>
        </is>
      </c>
      <c r="C47" s="29" t="inlineStr">
        <is>
          <t>ARM-2412</t>
        </is>
      </c>
      <c r="D47" s="29" t="inlineStr">
        <is>
          <t>2026-05-18</t>
        </is>
      </c>
      <c r="E47" s="29" t="inlineStr">
        <is>
          <t>2026-06-02</t>
        </is>
      </c>
      <c r="F47" s="29" t="n">
        <v>19532.06</v>
      </c>
      <c r="G47" s="29" t="n">
        <v>7283.87</v>
      </c>
      <c r="H47" s="29" t="n"/>
      <c r="I47" s="29" t="n"/>
      <c r="J47" s="29" t="inlineStr">
        <is>
          <t>Partially Paid</t>
        </is>
      </c>
    </row>
    <row r="48">
      <c r="A48" s="29" t="inlineStr">
        <is>
          <t>AP-0004885</t>
        </is>
      </c>
      <c r="B48" s="29" t="inlineStr">
        <is>
          <t>V-2338</t>
        </is>
      </c>
      <c r="C48" s="29" t="inlineStr">
        <is>
          <t>ARM-2501</t>
        </is>
      </c>
      <c r="D48" s="29" t="inlineStr">
        <is>
          <t>2026-05-03</t>
        </is>
      </c>
      <c r="E48" s="29" t="inlineStr">
        <is>
          <t>2026-06-02</t>
        </is>
      </c>
      <c r="F48" s="29" t="n">
        <v>17174.19</v>
      </c>
      <c r="G48" s="29" t="n">
        <v>10691.04</v>
      </c>
      <c r="H48" s="29" t="n"/>
      <c r="I48" s="29" t="n"/>
      <c r="J48" s="29" t="inlineStr">
        <is>
          <t>Partially Paid</t>
        </is>
      </c>
    </row>
    <row r="49">
      <c r="A49" s="29" t="inlineStr">
        <is>
          <t>AP-0004889</t>
        </is>
      </c>
      <c r="B49" s="29" t="inlineStr">
        <is>
          <t>V-2386</t>
        </is>
      </c>
      <c r="C49" s="29" t="inlineStr">
        <is>
          <t>ARM-2501</t>
        </is>
      </c>
      <c r="D49" s="29" t="inlineStr">
        <is>
          <t>2026-05-03</t>
        </is>
      </c>
      <c r="E49" s="29" t="inlineStr">
        <is>
          <t>2026-06-02</t>
        </is>
      </c>
      <c r="F49" s="29" t="n">
        <v>32905.55</v>
      </c>
      <c r="G49" s="29" t="n">
        <v>12689.42</v>
      </c>
      <c r="H49" s="29" t="n"/>
      <c r="I49" s="29" t="n"/>
      <c r="J49" s="29" t="inlineStr">
        <is>
          <t>Partially Paid</t>
        </is>
      </c>
    </row>
    <row r="50">
      <c r="A50" s="29" t="inlineStr">
        <is>
          <t>AP-0004890</t>
        </is>
      </c>
      <c r="B50" s="29" t="inlineStr">
        <is>
          <t>V-2398</t>
        </is>
      </c>
      <c r="C50" s="29" t="inlineStr">
        <is>
          <t>ARM-2501</t>
        </is>
      </c>
      <c r="D50" s="29" t="inlineStr">
        <is>
          <t>2026-05-03</t>
        </is>
      </c>
      <c r="E50" s="29" t="inlineStr">
        <is>
          <t>2026-06-02</t>
        </is>
      </c>
      <c r="F50" s="29" t="n">
        <v>10014.73</v>
      </c>
      <c r="G50" s="29" t="n">
        <v>3877.46</v>
      </c>
      <c r="H50" s="29" t="n"/>
      <c r="I50" s="29" t="n"/>
      <c r="J50" s="29" t="inlineStr">
        <is>
          <t>Partially Paid</t>
        </is>
      </c>
    </row>
    <row r="51">
      <c r="A51" s="29" t="inlineStr">
        <is>
          <t>AP-0009864</t>
        </is>
      </c>
      <c r="B51" s="29" t="inlineStr">
        <is>
          <t>V-2001</t>
        </is>
      </c>
      <c r="C51" s="29" t="n"/>
      <c r="D51" s="29" t="inlineStr">
        <is>
          <t>2026-05-03</t>
        </is>
      </c>
      <c r="E51" s="29" t="inlineStr">
        <is>
          <t>2026-06-02</t>
        </is>
      </c>
      <c r="F51" s="29" t="n">
        <v>5110.76</v>
      </c>
      <c r="G51" s="29" t="n">
        <v>3197.18</v>
      </c>
      <c r="H51" s="29" t="n"/>
      <c r="I51" s="29" t="n"/>
      <c r="J51" s="29" t="inlineStr">
        <is>
          <t>Partially Paid</t>
        </is>
      </c>
    </row>
    <row r="52">
      <c r="A52" s="29" t="inlineStr">
        <is>
          <t>AP-0009885</t>
        </is>
      </c>
      <c r="B52" s="29" t="inlineStr">
        <is>
          <t>V-2001</t>
        </is>
      </c>
      <c r="C52" s="29" t="n"/>
      <c r="D52" s="29" t="inlineStr">
        <is>
          <t>2026-05-03</t>
        </is>
      </c>
      <c r="E52" s="29" t="inlineStr">
        <is>
          <t>2026-06-02</t>
        </is>
      </c>
      <c r="F52" s="29" t="n">
        <v>3033.43</v>
      </c>
      <c r="G52" s="29" t="n">
        <v>1141.99</v>
      </c>
      <c r="H52" s="29" t="n"/>
      <c r="I52" s="29" t="n"/>
      <c r="J52" s="29" t="inlineStr">
        <is>
          <t>Partially Paid</t>
        </is>
      </c>
    </row>
    <row r="53">
      <c r="A53" s="29" t="inlineStr">
        <is>
          <t>AP-0004437</t>
        </is>
      </c>
      <c r="B53" s="29" t="inlineStr">
        <is>
          <t>V-2322</t>
        </is>
      </c>
      <c r="C53" s="29" t="inlineStr">
        <is>
          <t>ARM-2412</t>
        </is>
      </c>
      <c r="D53" s="29" t="inlineStr">
        <is>
          <t>2026-05-04</t>
        </is>
      </c>
      <c r="E53" s="29" t="inlineStr">
        <is>
          <t>2026-06-03</t>
        </is>
      </c>
      <c r="F53" s="29" t="n">
        <v>12471.06</v>
      </c>
      <c r="G53" s="29" t="n">
        <v>7543.08</v>
      </c>
      <c r="H53" s="29" t="n"/>
      <c r="I53" s="29" t="n"/>
      <c r="J53" s="29" t="inlineStr">
        <is>
          <t>Partially Paid</t>
        </is>
      </c>
    </row>
    <row r="54">
      <c r="A54" s="29" t="inlineStr">
        <is>
          <t>AP-0004678</t>
        </is>
      </c>
      <c r="B54" s="29" t="inlineStr">
        <is>
          <t>V-2534</t>
        </is>
      </c>
      <c r="C54" s="29" t="inlineStr">
        <is>
          <t>ARM-2417</t>
        </is>
      </c>
      <c r="D54" s="29" t="inlineStr">
        <is>
          <t>2026-04-19</t>
        </is>
      </c>
      <c r="E54" s="29" t="inlineStr">
        <is>
          <t>2026-06-03</t>
        </is>
      </c>
      <c r="F54" s="29" t="n">
        <v>28888.99</v>
      </c>
      <c r="G54" s="29" t="n">
        <v>13326.82</v>
      </c>
      <c r="H54" s="29" t="n"/>
      <c r="I54" s="29" t="n"/>
      <c r="J54" s="29" t="inlineStr">
        <is>
          <t>Partially Paid</t>
        </is>
      </c>
    </row>
    <row r="55">
      <c r="A55" s="29" t="inlineStr">
        <is>
          <t>AP-0005077</t>
        </is>
      </c>
      <c r="B55" s="29" t="inlineStr">
        <is>
          <t>V-2307</t>
        </is>
      </c>
      <c r="C55" s="29" t="inlineStr">
        <is>
          <t>ARM-2506</t>
        </is>
      </c>
      <c r="D55" s="29" t="inlineStr">
        <is>
          <t>2026-05-04</t>
        </is>
      </c>
      <c r="E55" s="29" t="inlineStr">
        <is>
          <t>2026-06-03</t>
        </is>
      </c>
      <c r="F55" s="29" t="n">
        <v>15692.15</v>
      </c>
      <c r="G55" s="29" t="n">
        <v>6310.13</v>
      </c>
      <c r="H55" s="29" t="n"/>
      <c r="I55" s="29" t="n"/>
      <c r="J55" s="29" t="inlineStr">
        <is>
          <t>Partially Paid</t>
        </is>
      </c>
    </row>
    <row r="56">
      <c r="A56" s="29" t="inlineStr">
        <is>
          <t>AP-0005237</t>
        </is>
      </c>
      <c r="B56" s="29" t="inlineStr">
        <is>
          <t>V-2033</t>
        </is>
      </c>
      <c r="C56" s="29" t="inlineStr">
        <is>
          <t>ARM-2510</t>
        </is>
      </c>
      <c r="D56" s="29" t="inlineStr">
        <is>
          <t>2026-05-04</t>
        </is>
      </c>
      <c r="E56" s="29" t="inlineStr">
        <is>
          <t>2026-06-03</t>
        </is>
      </c>
      <c r="F56" s="29" t="n">
        <v>6964.79</v>
      </c>
      <c r="G56" s="29" t="n">
        <v>3588.9</v>
      </c>
      <c r="H56" s="29" t="n"/>
      <c r="I56" s="29" t="n"/>
      <c r="J56" s="29" t="inlineStr">
        <is>
          <t>Partially Paid</t>
        </is>
      </c>
    </row>
    <row r="57">
      <c r="A57" s="29" t="inlineStr">
        <is>
          <t>AP-0005666</t>
        </is>
      </c>
      <c r="B57" s="29" t="inlineStr">
        <is>
          <t>V-2329</t>
        </is>
      </c>
      <c r="C57" s="29" t="inlineStr">
        <is>
          <t>ARM-2602</t>
        </is>
      </c>
      <c r="D57" s="29" t="inlineStr">
        <is>
          <t>2026-04-19</t>
        </is>
      </c>
      <c r="E57" s="29" t="inlineStr">
        <is>
          <t>2026-06-03</t>
        </is>
      </c>
      <c r="F57" s="29" t="n">
        <v>19429.33</v>
      </c>
      <c r="G57" s="29" t="n">
        <v>8846.07</v>
      </c>
      <c r="H57" s="29" t="n"/>
      <c r="I57" s="29" t="n"/>
      <c r="J57" s="29" t="inlineStr">
        <is>
          <t>Partially Paid</t>
        </is>
      </c>
    </row>
    <row r="58">
      <c r="A58" s="29" t="inlineStr">
        <is>
          <t>AP-0005671</t>
        </is>
      </c>
      <c r="B58" s="29" t="inlineStr">
        <is>
          <t>V-2389</t>
        </is>
      </c>
      <c r="C58" s="29" t="inlineStr">
        <is>
          <t>ARM-2602</t>
        </is>
      </c>
      <c r="D58" s="29" t="inlineStr">
        <is>
          <t>2026-04-19</t>
        </is>
      </c>
      <c r="E58" s="29" t="inlineStr">
        <is>
          <t>2026-06-03</t>
        </is>
      </c>
      <c r="F58" s="29" t="n">
        <v>6278.93</v>
      </c>
      <c r="G58" s="29" t="n">
        <v>4137.65</v>
      </c>
      <c r="H58" s="29" t="n"/>
      <c r="I58" s="29" t="n"/>
      <c r="J58" s="29" t="inlineStr">
        <is>
          <t>Partially Paid</t>
        </is>
      </c>
    </row>
    <row r="59">
      <c r="A59" s="29" t="inlineStr">
        <is>
          <t>AP-0005676</t>
        </is>
      </c>
      <c r="B59" s="29" t="inlineStr">
        <is>
          <t>V-2455</t>
        </is>
      </c>
      <c r="C59" s="29" t="inlineStr">
        <is>
          <t>ARM-2602</t>
        </is>
      </c>
      <c r="D59" s="29" t="inlineStr">
        <is>
          <t>2026-05-19</t>
        </is>
      </c>
      <c r="E59" s="29" t="inlineStr">
        <is>
          <t>2026-06-03</t>
        </is>
      </c>
      <c r="F59" s="29" t="n">
        <v>17033.38</v>
      </c>
      <c r="G59" s="29" t="n">
        <v>10255.99</v>
      </c>
      <c r="H59" s="29" t="n"/>
      <c r="I59" s="29" t="n"/>
      <c r="J59" s="29" t="inlineStr">
        <is>
          <t>Partially Paid</t>
        </is>
      </c>
    </row>
    <row r="60">
      <c r="A60" s="29" t="inlineStr">
        <is>
          <t>AP-0005716</t>
        </is>
      </c>
      <c r="B60" s="29" t="inlineStr">
        <is>
          <t>V-2255</t>
        </is>
      </c>
      <c r="C60" s="29" t="inlineStr">
        <is>
          <t>ARM-2605</t>
        </is>
      </c>
      <c r="D60" s="29" t="inlineStr">
        <is>
          <t>2026-05-19</t>
        </is>
      </c>
      <c r="E60" s="29" t="inlineStr">
        <is>
          <t>2026-06-03</t>
        </is>
      </c>
      <c r="F60" s="29" t="n">
        <v>3743.9</v>
      </c>
      <c r="G60" s="29" t="n">
        <v>1828.98</v>
      </c>
      <c r="H60" s="29" t="n"/>
      <c r="I60" s="29" t="n"/>
      <c r="J60" s="29" t="inlineStr">
        <is>
          <t>Partially Paid</t>
        </is>
      </c>
    </row>
    <row r="61">
      <c r="A61" s="29" t="inlineStr">
        <is>
          <t>AP-0009867</t>
        </is>
      </c>
      <c r="B61" s="29" t="inlineStr">
        <is>
          <t>V-2098</t>
        </is>
      </c>
      <c r="C61" s="29" t="n"/>
      <c r="D61" s="29" t="inlineStr">
        <is>
          <t>2026-05-04</t>
        </is>
      </c>
      <c r="E61" s="29" t="inlineStr">
        <is>
          <t>2026-06-03</t>
        </is>
      </c>
      <c r="F61" s="29" t="n">
        <v>6003.03</v>
      </c>
      <c r="G61" s="29" t="n">
        <v>3310.6</v>
      </c>
      <c r="H61" s="29" t="n"/>
      <c r="I61" s="29" t="n"/>
      <c r="J61" s="29" t="inlineStr">
        <is>
          <t>Partially Paid</t>
        </is>
      </c>
    </row>
    <row r="62">
      <c r="A62" s="29" t="inlineStr">
        <is>
          <t>AP-0009888</t>
        </is>
      </c>
      <c r="B62" s="29" t="inlineStr">
        <is>
          <t>V-2098</t>
        </is>
      </c>
      <c r="C62" s="29" t="n"/>
      <c r="D62" s="29" t="inlineStr">
        <is>
          <t>2026-05-04</t>
        </is>
      </c>
      <c r="E62" s="29" t="inlineStr">
        <is>
          <t>2026-06-03</t>
        </is>
      </c>
      <c r="F62" s="29" t="n">
        <v>3708.66</v>
      </c>
      <c r="G62" s="29" t="n">
        <v>1663.87</v>
      </c>
      <c r="H62" s="29" t="n"/>
      <c r="I62" s="29" t="n"/>
      <c r="J62" s="29" t="inlineStr">
        <is>
          <t>Partially Paid</t>
        </is>
      </c>
    </row>
    <row r="63">
      <c r="A63" s="29" t="inlineStr">
        <is>
          <t>AP-0011883</t>
        </is>
      </c>
      <c r="B63" s="29" t="inlineStr">
        <is>
          <t>V-2508</t>
        </is>
      </c>
      <c r="C63" s="29" t="n"/>
      <c r="D63" s="29" t="inlineStr">
        <is>
          <t>2026-05-04</t>
        </is>
      </c>
      <c r="E63" s="29" t="inlineStr">
        <is>
          <t>2026-06-03</t>
        </is>
      </c>
      <c r="F63" s="29" t="n">
        <v>4470.83</v>
      </c>
      <c r="G63" s="29" t="n">
        <v>2949.58</v>
      </c>
      <c r="H63" s="29" t="n"/>
      <c r="I63" s="29" t="n"/>
      <c r="J63" s="29" t="inlineStr">
        <is>
          <t>Partially Paid</t>
        </is>
      </c>
    </row>
    <row r="64">
      <c r="A64" s="29" t="inlineStr">
        <is>
          <t>AP-0004683</t>
        </is>
      </c>
      <c r="B64" s="29" t="inlineStr">
        <is>
          <t>V-2258</t>
        </is>
      </c>
      <c r="C64" s="29" t="inlineStr">
        <is>
          <t>ARM-2417</t>
        </is>
      </c>
      <c r="D64" s="29" t="inlineStr">
        <is>
          <t>2026-05-05</t>
        </is>
      </c>
      <c r="E64" s="29" t="inlineStr">
        <is>
          <t>2026-06-04</t>
        </is>
      </c>
      <c r="F64" s="29" t="n">
        <v>10683.43</v>
      </c>
      <c r="G64" s="29" t="n">
        <v>4192.33</v>
      </c>
      <c r="H64" s="29" t="n"/>
      <c r="I64" s="29" t="n"/>
      <c r="J64" s="29" t="inlineStr">
        <is>
          <t>Partially Paid</t>
        </is>
      </c>
    </row>
    <row r="65">
      <c r="A65" s="29" t="inlineStr">
        <is>
          <t>AP-0004690</t>
        </is>
      </c>
      <c r="B65" s="29" t="inlineStr">
        <is>
          <t>V-2348</t>
        </is>
      </c>
      <c r="C65" s="29" t="inlineStr">
        <is>
          <t>ARM-2417</t>
        </is>
      </c>
      <c r="D65" s="29" t="inlineStr">
        <is>
          <t>2026-05-05</t>
        </is>
      </c>
      <c r="E65" s="29" t="inlineStr">
        <is>
          <t>2026-06-04</t>
        </is>
      </c>
      <c r="F65" s="29" t="n">
        <v>20443.55</v>
      </c>
      <c r="G65" s="29" t="n">
        <v>7690.66</v>
      </c>
      <c r="H65" s="29" t="n"/>
      <c r="I65" s="29" t="n"/>
      <c r="J65" s="29" t="inlineStr">
        <is>
          <t>Partially Paid</t>
        </is>
      </c>
    </row>
    <row r="66">
      <c r="A66" s="29" t="inlineStr">
        <is>
          <t>AP-0005408</t>
        </is>
      </c>
      <c r="B66" s="29" t="inlineStr">
        <is>
          <t>V-2253</t>
        </is>
      </c>
      <c r="C66" s="29" t="inlineStr">
        <is>
          <t>ARM-2514</t>
        </is>
      </c>
      <c r="D66" s="29" t="inlineStr">
        <is>
          <t>2026-05-05</t>
        </is>
      </c>
      <c r="E66" s="29" t="inlineStr">
        <is>
          <t>2026-06-04</t>
        </is>
      </c>
      <c r="F66" s="29" t="n">
        <v>17659.72</v>
      </c>
      <c r="G66" s="29" t="n">
        <v>10852.68</v>
      </c>
      <c r="H66" s="29" t="n"/>
      <c r="I66" s="29" t="n"/>
      <c r="J66" s="29" t="inlineStr">
        <is>
          <t>Partially Paid</t>
        </is>
      </c>
    </row>
    <row r="67">
      <c r="A67" s="29" t="inlineStr">
        <is>
          <t>AP-0005420</t>
        </is>
      </c>
      <c r="B67" s="29" t="inlineStr">
        <is>
          <t>V-2403</t>
        </is>
      </c>
      <c r="C67" s="29" t="inlineStr">
        <is>
          <t>ARM-2514</t>
        </is>
      </c>
      <c r="D67" s="29" t="inlineStr">
        <is>
          <t>2026-05-05</t>
        </is>
      </c>
      <c r="E67" s="29" t="inlineStr">
        <is>
          <t>2026-06-04</t>
        </is>
      </c>
      <c r="F67" s="29" t="n">
        <v>30391.83</v>
      </c>
      <c r="G67" s="29" t="n">
        <v>15735.45</v>
      </c>
      <c r="H67" s="29" t="n"/>
      <c r="I67" s="29" t="n"/>
      <c r="J67" s="29" t="inlineStr">
        <is>
          <t>Partially Paid</t>
        </is>
      </c>
    </row>
    <row r="68">
      <c r="A68" s="29" t="inlineStr">
        <is>
          <t>AP-0005573</t>
        </is>
      </c>
      <c r="B68" s="29" t="inlineStr">
        <is>
          <t>V-2205</t>
        </is>
      </c>
      <c r="C68" s="29" t="inlineStr">
        <is>
          <t>ARM-2522</t>
        </is>
      </c>
      <c r="D68" s="29" t="inlineStr">
        <is>
          <t>2026-05-20</t>
        </is>
      </c>
      <c r="E68" s="29" t="inlineStr">
        <is>
          <t>2026-06-04</t>
        </is>
      </c>
      <c r="F68" s="29" t="n">
        <v>13484.08</v>
      </c>
      <c r="G68" s="29" t="n">
        <v>7292.62</v>
      </c>
      <c r="H68" s="29" t="n"/>
      <c r="I68" s="29" t="n"/>
      <c r="J68" s="29" t="inlineStr">
        <is>
          <t>Partially Paid</t>
        </is>
      </c>
    </row>
    <row r="69">
      <c r="A69" s="29" t="inlineStr">
        <is>
          <t>AP-0011857</t>
        </is>
      </c>
      <c r="B69" s="29" t="inlineStr">
        <is>
          <t>V-2219</t>
        </is>
      </c>
      <c r="C69" s="29" t="n"/>
      <c r="D69" s="29" t="inlineStr">
        <is>
          <t>2026-04-20</t>
        </is>
      </c>
      <c r="E69" s="29" t="inlineStr">
        <is>
          <t>2026-06-04</t>
        </is>
      </c>
      <c r="F69" s="29" t="n">
        <v>9942.469999999999</v>
      </c>
      <c r="G69" s="29" t="n">
        <v>5622.88</v>
      </c>
      <c r="H69" s="29" t="n"/>
      <c r="I69" s="29" t="n"/>
      <c r="J69" s="29" t="inlineStr">
        <is>
          <t>Partially Paid</t>
        </is>
      </c>
    </row>
    <row r="70">
      <c r="A70" s="29" t="inlineStr">
        <is>
          <t>AP-0011868</t>
        </is>
      </c>
      <c r="B70" s="29" t="inlineStr">
        <is>
          <t>V-2518</t>
        </is>
      </c>
      <c r="C70" s="29" t="n"/>
      <c r="D70" s="29" t="inlineStr">
        <is>
          <t>2026-05-05</t>
        </is>
      </c>
      <c r="E70" s="29" t="inlineStr">
        <is>
          <t>2026-06-04</t>
        </is>
      </c>
      <c r="F70" s="29" t="n">
        <v>50052.34</v>
      </c>
      <c r="G70" s="29" t="n">
        <v>30439.38</v>
      </c>
      <c r="H70" s="29" t="n"/>
      <c r="I70" s="29" t="n"/>
      <c r="J70" s="29" t="inlineStr">
        <is>
          <t>Partially Paid</t>
        </is>
      </c>
    </row>
    <row r="71">
      <c r="A71" s="29" t="inlineStr">
        <is>
          <t>AP-0003872</t>
        </is>
      </c>
      <c r="B71" s="29" t="inlineStr">
        <is>
          <t>V-2232</t>
        </is>
      </c>
      <c r="C71" s="29" t="inlineStr">
        <is>
          <t>ARM-2318</t>
        </is>
      </c>
      <c r="D71" s="29" t="inlineStr">
        <is>
          <t>2026-05-06</t>
        </is>
      </c>
      <c r="E71" s="29" t="inlineStr">
        <is>
          <t>2026-06-05</t>
        </is>
      </c>
      <c r="F71" s="29" t="n">
        <v>14260.93</v>
      </c>
      <c r="G71" s="29" t="n">
        <v>9593.690000000001</v>
      </c>
      <c r="H71" s="29" t="n"/>
      <c r="I71" s="29" t="n"/>
      <c r="J71" s="29" t="inlineStr">
        <is>
          <t>Partially Paid</t>
        </is>
      </c>
    </row>
    <row r="72">
      <c r="A72" s="29" t="inlineStr">
        <is>
          <t>AP-0003878</t>
        </is>
      </c>
      <c r="B72" s="29" t="inlineStr">
        <is>
          <t>V-2317</t>
        </is>
      </c>
      <c r="C72" s="29" t="inlineStr">
        <is>
          <t>ARM-2318</t>
        </is>
      </c>
      <c r="D72" s="29" t="inlineStr">
        <is>
          <t>2026-05-06</t>
        </is>
      </c>
      <c r="E72" s="29" t="inlineStr">
        <is>
          <t>2026-06-05</t>
        </is>
      </c>
      <c r="F72" s="29" t="n">
        <v>6932.8</v>
      </c>
      <c r="G72" s="29" t="n">
        <v>3595.5</v>
      </c>
      <c r="H72" s="29" t="n"/>
      <c r="I72" s="29" t="n"/>
      <c r="J72" s="29" t="inlineStr">
        <is>
          <t>Partially Paid</t>
        </is>
      </c>
    </row>
    <row r="73">
      <c r="A73" s="29" t="inlineStr">
        <is>
          <t>AP-0005234</t>
        </is>
      </c>
      <c r="B73" s="29" t="inlineStr">
        <is>
          <t>V-2510</t>
        </is>
      </c>
      <c r="C73" s="29" t="inlineStr">
        <is>
          <t>ARM-2510</t>
        </is>
      </c>
      <c r="D73" s="29" t="inlineStr">
        <is>
          <t>2026-05-21</t>
        </is>
      </c>
      <c r="E73" s="29" t="inlineStr">
        <is>
          <t>2026-06-05</t>
        </is>
      </c>
      <c r="F73" s="29" t="n">
        <v>25929.05</v>
      </c>
      <c r="G73" s="29" t="n">
        <v>13548.54</v>
      </c>
      <c r="H73" s="29" t="n"/>
      <c r="I73" s="29" t="n"/>
      <c r="J73" s="29" t="inlineStr">
        <is>
          <t>Partially Paid</t>
        </is>
      </c>
    </row>
    <row r="74">
      <c r="A74" s="29" t="inlineStr">
        <is>
          <t>AP-0005502</t>
        </is>
      </c>
      <c r="B74" s="29" t="inlineStr">
        <is>
          <t>V-2383</t>
        </is>
      </c>
      <c r="C74" s="29" t="inlineStr">
        <is>
          <t>ARM-2518</t>
        </is>
      </c>
      <c r="D74" s="29" t="inlineStr">
        <is>
          <t>2026-05-06</t>
        </is>
      </c>
      <c r="E74" s="29" t="inlineStr">
        <is>
          <t>2026-06-05</t>
        </is>
      </c>
      <c r="F74" s="29" t="n">
        <v>14860.7</v>
      </c>
      <c r="G74" s="29" t="n">
        <v>5446.92</v>
      </c>
      <c r="H74" s="29" t="n"/>
      <c r="I74" s="29" t="n"/>
      <c r="J74" s="29" t="inlineStr">
        <is>
          <t>Partially Paid</t>
        </is>
      </c>
    </row>
    <row r="75">
      <c r="A75" s="29" t="inlineStr">
        <is>
          <t>AP-0005577</t>
        </is>
      </c>
      <c r="B75" s="29" t="inlineStr">
        <is>
          <t>V-2272</t>
        </is>
      </c>
      <c r="C75" s="29" t="inlineStr">
        <is>
          <t>ARM-2522</t>
        </is>
      </c>
      <c r="D75" s="29" t="inlineStr">
        <is>
          <t>2026-05-06</t>
        </is>
      </c>
      <c r="E75" s="29" t="inlineStr">
        <is>
          <t>2026-06-05</t>
        </is>
      </c>
      <c r="F75" s="29" t="n">
        <v>22383.56</v>
      </c>
      <c r="G75" s="29" t="n">
        <v>10697.28</v>
      </c>
      <c r="H75" s="29" t="n"/>
      <c r="I75" s="29" t="n"/>
      <c r="J75" s="29" t="inlineStr">
        <is>
          <t>Partially Paid</t>
        </is>
      </c>
    </row>
    <row r="76">
      <c r="A76" s="29" t="inlineStr">
        <is>
          <t>AP-0005579</t>
        </is>
      </c>
      <c r="B76" s="29" t="inlineStr">
        <is>
          <t>V-2296</t>
        </is>
      </c>
      <c r="C76" s="29" t="inlineStr">
        <is>
          <t>ARM-2522</t>
        </is>
      </c>
      <c r="D76" s="29" t="inlineStr">
        <is>
          <t>2026-05-06</t>
        </is>
      </c>
      <c r="E76" s="29" t="inlineStr">
        <is>
          <t>2026-06-05</t>
        </is>
      </c>
      <c r="F76" s="29" t="n">
        <v>9972.389999999999</v>
      </c>
      <c r="G76" s="29" t="n">
        <v>4060.58</v>
      </c>
      <c r="H76" s="29" t="n"/>
      <c r="I76" s="29" t="n"/>
      <c r="J76" s="29" t="inlineStr">
        <is>
          <t>Partially Paid</t>
        </is>
      </c>
    </row>
    <row r="77">
      <c r="A77" s="29" t="inlineStr">
        <is>
          <t>AP-0005625</t>
        </is>
      </c>
      <c r="B77" s="29" t="inlineStr">
        <is>
          <t>V-2509</t>
        </is>
      </c>
      <c r="C77" s="29" t="inlineStr">
        <is>
          <t>ARM-2526</t>
        </is>
      </c>
      <c r="D77" s="29" t="inlineStr">
        <is>
          <t>2026-04-21</t>
        </is>
      </c>
      <c r="E77" s="29" t="inlineStr">
        <is>
          <t>2026-06-05</t>
        </is>
      </c>
      <c r="F77" s="29" t="n">
        <v>34590.98</v>
      </c>
      <c r="G77" s="29" t="n">
        <v>17959.44</v>
      </c>
      <c r="H77" s="29" t="n"/>
      <c r="I77" s="29" t="n"/>
      <c r="J77" s="29" t="inlineStr">
        <is>
          <t>Partially Paid</t>
        </is>
      </c>
    </row>
    <row r="78">
      <c r="A78" s="29" t="inlineStr">
        <is>
          <t>AP-0005740</t>
        </is>
      </c>
      <c r="B78" s="29" t="inlineStr">
        <is>
          <t>V-2037</t>
        </is>
      </c>
      <c r="C78" s="29" t="inlineStr">
        <is>
          <t>ARM-2608</t>
        </is>
      </c>
      <c r="D78" s="29" t="inlineStr">
        <is>
          <t>2026-05-06</t>
        </is>
      </c>
      <c r="E78" s="29" t="inlineStr">
        <is>
          <t>2026-06-05</t>
        </is>
      </c>
      <c r="F78" s="29" t="n">
        <v>10285.88</v>
      </c>
      <c r="G78" s="29" t="n">
        <v>5283.12</v>
      </c>
      <c r="H78" s="29" t="n"/>
      <c r="I78" s="29" t="n"/>
      <c r="J78" s="29" t="inlineStr">
        <is>
          <t>Partially Paid</t>
        </is>
      </c>
    </row>
    <row r="79">
      <c r="A79" s="29" t="inlineStr">
        <is>
          <t>AP-0011878</t>
        </is>
      </c>
      <c r="B79" s="29" t="inlineStr">
        <is>
          <t>V-2276</t>
        </is>
      </c>
      <c r="C79" s="29" t="n"/>
      <c r="D79" s="29" t="inlineStr">
        <is>
          <t>2026-05-06</t>
        </is>
      </c>
      <c r="E79" s="29" t="inlineStr">
        <is>
          <t>2026-06-05</t>
        </is>
      </c>
      <c r="F79" s="29" t="n">
        <v>7153.72</v>
      </c>
      <c r="G79" s="29" t="n">
        <v>4386.35</v>
      </c>
      <c r="H79" s="29" t="n"/>
      <c r="I79" s="29" t="n"/>
      <c r="J79" s="29" t="inlineStr">
        <is>
          <t>Partially Paid</t>
        </is>
      </c>
    </row>
    <row r="80">
      <c r="A80" s="29" t="inlineStr">
        <is>
          <t>AP-0004692</t>
        </is>
      </c>
      <c r="B80" s="29" t="inlineStr">
        <is>
          <t>V-2370</t>
        </is>
      </c>
      <c r="C80" s="29" t="inlineStr">
        <is>
          <t>ARM-2417</t>
        </is>
      </c>
      <c r="D80" s="29" t="inlineStr">
        <is>
          <t>2026-05-22</t>
        </is>
      </c>
      <c r="E80" s="29" t="inlineStr">
        <is>
          <t>2026-06-06</t>
        </is>
      </c>
      <c r="F80" s="29" t="n">
        <v>5325.67</v>
      </c>
      <c r="G80" s="29" t="n">
        <v>3249.09</v>
      </c>
      <c r="H80" s="29" t="n"/>
      <c r="I80" s="29" t="n"/>
      <c r="J80" s="29" t="inlineStr">
        <is>
          <t>Partially Paid</t>
        </is>
      </c>
    </row>
    <row r="81">
      <c r="A81" s="29" t="inlineStr">
        <is>
          <t>AP-0005074</t>
        </is>
      </c>
      <c r="B81" s="29" t="inlineStr">
        <is>
          <t>V-2262</t>
        </is>
      </c>
      <c r="C81" s="29" t="inlineStr">
        <is>
          <t>ARM-2506</t>
        </is>
      </c>
      <c r="D81" s="29" t="inlineStr">
        <is>
          <t>2026-05-07</t>
        </is>
      </c>
      <c r="E81" s="29" t="inlineStr">
        <is>
          <t>2026-06-06</t>
        </is>
      </c>
      <c r="F81" s="29" t="n">
        <v>8817.030000000001</v>
      </c>
      <c r="G81" s="29" t="n">
        <v>4063.97</v>
      </c>
      <c r="H81" s="29" t="n"/>
      <c r="I81" s="29" t="n"/>
      <c r="J81" s="29" t="inlineStr">
        <is>
          <t>Partially Paid</t>
        </is>
      </c>
    </row>
    <row r="82">
      <c r="A82" s="29" t="inlineStr">
        <is>
          <t>AP-0005084</t>
        </is>
      </c>
      <c r="B82" s="29" t="inlineStr">
        <is>
          <t>V-2386</t>
        </is>
      </c>
      <c r="C82" s="29" t="inlineStr">
        <is>
          <t>ARM-2506</t>
        </is>
      </c>
      <c r="D82" s="29" t="inlineStr">
        <is>
          <t>2026-05-07</t>
        </is>
      </c>
      <c r="E82" s="29" t="inlineStr">
        <is>
          <t>2026-06-06</t>
        </is>
      </c>
      <c r="F82" s="29" t="n">
        <v>23696.36</v>
      </c>
      <c r="G82" s="29" t="n">
        <v>12986.65</v>
      </c>
      <c r="H82" s="29" t="n"/>
      <c r="I82" s="29" t="n"/>
      <c r="J82" s="29" t="inlineStr">
        <is>
          <t>Partially Paid</t>
        </is>
      </c>
    </row>
    <row r="83">
      <c r="A83" s="29" t="inlineStr">
        <is>
          <t>AP-0005087</t>
        </is>
      </c>
      <c r="B83" s="29" t="inlineStr">
        <is>
          <t>V-2422</t>
        </is>
      </c>
      <c r="C83" s="29" t="inlineStr">
        <is>
          <t>ARM-2506</t>
        </is>
      </c>
      <c r="D83" s="29" t="inlineStr">
        <is>
          <t>2026-05-07</t>
        </is>
      </c>
      <c r="E83" s="29" t="inlineStr">
        <is>
          <t>2026-06-06</t>
        </is>
      </c>
      <c r="F83" s="29" t="n">
        <v>8537.84</v>
      </c>
      <c r="G83" s="29" t="n">
        <v>4184.93</v>
      </c>
      <c r="H83" s="29" t="n"/>
      <c r="I83" s="29" t="n"/>
      <c r="J83" s="29" t="inlineStr">
        <is>
          <t>Partially Paid</t>
        </is>
      </c>
    </row>
    <row r="84">
      <c r="A84" s="29" t="inlineStr">
        <is>
          <t>AP-0005629</t>
        </is>
      </c>
      <c r="B84" s="29" t="inlineStr">
        <is>
          <t>V-2201</t>
        </is>
      </c>
      <c r="C84" s="29" t="inlineStr">
        <is>
          <t>ARM-2526</t>
        </is>
      </c>
      <c r="D84" s="29" t="inlineStr">
        <is>
          <t>2026-05-07</t>
        </is>
      </c>
      <c r="E84" s="29" t="inlineStr">
        <is>
          <t>2026-06-06</t>
        </is>
      </c>
      <c r="F84" s="29" t="n">
        <v>9108.209999999999</v>
      </c>
      <c r="G84" s="29" t="n">
        <v>3457.54</v>
      </c>
      <c r="H84" s="29" t="n"/>
      <c r="I84" s="29" t="n"/>
      <c r="J84" s="29" t="inlineStr">
        <is>
          <t>Partially Paid</t>
        </is>
      </c>
    </row>
    <row r="85">
      <c r="A85" s="29" t="inlineStr">
        <is>
          <t>AP-0005634</t>
        </is>
      </c>
      <c r="B85" s="29" t="inlineStr">
        <is>
          <t>V-2286</t>
        </is>
      </c>
      <c r="C85" s="29" t="inlineStr">
        <is>
          <t>ARM-2526</t>
        </is>
      </c>
      <c r="D85" s="29" t="inlineStr">
        <is>
          <t>2026-05-07</t>
        </is>
      </c>
      <c r="E85" s="29" t="inlineStr">
        <is>
          <t>2026-06-06</t>
        </is>
      </c>
      <c r="F85" s="29" t="n">
        <v>13502.52</v>
      </c>
      <c r="G85" s="29" t="n">
        <v>8361.280000000001</v>
      </c>
      <c r="H85" s="29" t="n"/>
      <c r="I85" s="29" t="n"/>
      <c r="J85" s="29" t="inlineStr">
        <is>
          <t>Partially Paid</t>
        </is>
      </c>
    </row>
    <row r="86">
      <c r="A86" s="29" t="inlineStr">
        <is>
          <t>AP-0005673</t>
        </is>
      </c>
      <c r="B86" s="29" t="inlineStr">
        <is>
          <t>V-2415</t>
        </is>
      </c>
      <c r="C86" s="29" t="inlineStr">
        <is>
          <t>ARM-2602</t>
        </is>
      </c>
      <c r="D86" s="29" t="inlineStr">
        <is>
          <t>2026-05-22</t>
        </is>
      </c>
      <c r="E86" s="29" t="inlineStr">
        <is>
          <t>2026-06-06</t>
        </is>
      </c>
      <c r="F86" s="29" t="n">
        <v>9220.469999999999</v>
      </c>
      <c r="G86" s="29" t="n">
        <v>3669.19</v>
      </c>
      <c r="H86" s="29" t="n"/>
      <c r="I86" s="29" t="n"/>
      <c r="J86" s="29" t="inlineStr">
        <is>
          <t>Partially Paid</t>
        </is>
      </c>
    </row>
    <row r="87">
      <c r="A87" s="29" t="inlineStr">
        <is>
          <t>AP-0011852</t>
        </is>
      </c>
      <c r="B87" s="29" t="inlineStr">
        <is>
          <t>V-2299</t>
        </is>
      </c>
      <c r="C87" s="29" t="n"/>
      <c r="D87" s="29" t="inlineStr">
        <is>
          <t>2026-04-22</t>
        </is>
      </c>
      <c r="E87" s="29" t="inlineStr">
        <is>
          <t>2026-06-06</t>
        </is>
      </c>
      <c r="F87" s="29" t="n">
        <v>21323.32</v>
      </c>
      <c r="G87" s="29" t="n">
        <v>8601.370000000001</v>
      </c>
      <c r="H87" s="29" t="n"/>
      <c r="I87" s="29" t="n"/>
      <c r="J87" s="29" t="inlineStr">
        <is>
          <t>Partially Paid</t>
        </is>
      </c>
    </row>
    <row r="88">
      <c r="A88" s="29" t="inlineStr">
        <is>
          <t>AP-0011872</t>
        </is>
      </c>
      <c r="B88" s="29" t="inlineStr">
        <is>
          <t>V-2325</t>
        </is>
      </c>
      <c r="C88" s="29" t="n"/>
      <c r="D88" s="29" t="inlineStr">
        <is>
          <t>2026-05-22</t>
        </is>
      </c>
      <c r="E88" s="29" t="inlineStr">
        <is>
          <t>2026-06-06</t>
        </is>
      </c>
      <c r="F88" s="29" t="n">
        <v>15467.97</v>
      </c>
      <c r="G88" s="29" t="n">
        <v>8784.889999999999</v>
      </c>
      <c r="H88" s="29" t="n"/>
      <c r="I88" s="29" t="n"/>
      <c r="J88" s="29" t="inlineStr">
        <is>
          <t>Partially Paid</t>
        </is>
      </c>
    </row>
    <row r="89">
      <c r="A89" s="29" t="inlineStr">
        <is>
          <t>AP-0005081</t>
        </is>
      </c>
      <c r="B89" s="29" t="inlineStr">
        <is>
          <t>V-2362</t>
        </is>
      </c>
      <c r="C89" s="29" t="inlineStr">
        <is>
          <t>ARM-2506</t>
        </is>
      </c>
      <c r="D89" s="29" t="inlineStr">
        <is>
          <t>2026-05-08</t>
        </is>
      </c>
      <c r="E89" s="29" t="inlineStr">
        <is>
          <t>2026-06-07</t>
        </is>
      </c>
      <c r="F89" s="29" t="n">
        <v>10923.6</v>
      </c>
      <c r="G89" s="29" t="n">
        <v>6409.39</v>
      </c>
      <c r="H89" s="29" t="n"/>
      <c r="I89" s="29" t="n"/>
      <c r="J89" s="29" t="inlineStr">
        <is>
          <t>Partially Paid</t>
        </is>
      </c>
    </row>
    <row r="90">
      <c r="A90" s="29" t="inlineStr">
        <is>
          <t>AP-0011869</t>
        </is>
      </c>
      <c r="B90" s="29" t="inlineStr">
        <is>
          <t>V-2297</t>
        </is>
      </c>
      <c r="C90" s="29" t="n"/>
      <c r="D90" s="29" t="inlineStr">
        <is>
          <t>2026-05-08</t>
        </is>
      </c>
      <c r="E90" s="29" t="inlineStr">
        <is>
          <t>2026-06-07</t>
        </is>
      </c>
      <c r="F90" s="29" t="n">
        <v>15070.05</v>
      </c>
      <c r="G90" s="29" t="n">
        <v>6345.79</v>
      </c>
      <c r="H90" s="29" t="n"/>
      <c r="I90" s="29" t="n"/>
      <c r="J90" s="29" t="inlineStr">
        <is>
          <t>Partially Paid</t>
        </is>
      </c>
    </row>
    <row r="91">
      <c r="A91" s="29" t="inlineStr">
        <is>
          <t>AP-0011873</t>
        </is>
      </c>
      <c r="B91" s="29" t="inlineStr">
        <is>
          <t>V-2337</t>
        </is>
      </c>
      <c r="C91" s="29" t="n"/>
      <c r="D91" s="29" t="inlineStr">
        <is>
          <t>2026-05-08</t>
        </is>
      </c>
      <c r="E91" s="29" t="inlineStr">
        <is>
          <t>2026-06-07</t>
        </is>
      </c>
      <c r="F91" s="29" t="n">
        <v>15744.55</v>
      </c>
      <c r="G91" s="29" t="n">
        <v>6774.89</v>
      </c>
      <c r="H91" s="29" t="n"/>
      <c r="I91" s="29" t="n"/>
      <c r="J91" s="29" t="inlineStr">
        <is>
          <t>Partially Paid</t>
        </is>
      </c>
    </row>
    <row r="92">
      <c r="A92" s="29" t="inlineStr">
        <is>
          <t>AP-0003868</t>
        </is>
      </c>
      <c r="B92" s="29" t="inlineStr">
        <is>
          <t>V-2534</t>
        </is>
      </c>
      <c r="C92" s="29" t="inlineStr">
        <is>
          <t>ARM-2318</t>
        </is>
      </c>
      <c r="D92" s="29" t="inlineStr">
        <is>
          <t>2026-04-24</t>
        </is>
      </c>
      <c r="E92" s="29" t="inlineStr">
        <is>
          <t>2026-06-08</t>
        </is>
      </c>
      <c r="F92" s="29" t="n">
        <v>8558.1</v>
      </c>
      <c r="G92" s="29" t="n">
        <v>5244.68</v>
      </c>
      <c r="H92" s="29" t="n"/>
      <c r="I92" s="29" t="n"/>
      <c r="J92" s="29" t="inlineStr">
        <is>
          <t>Partially Paid</t>
        </is>
      </c>
    </row>
    <row r="93">
      <c r="A93" s="29" t="inlineStr">
        <is>
          <t>AP-0004275</t>
        </is>
      </c>
      <c r="B93" s="29" t="inlineStr">
        <is>
          <t>V-2384</t>
        </is>
      </c>
      <c r="C93" s="29" t="inlineStr">
        <is>
          <t>ARM-2409</t>
        </is>
      </c>
      <c r="D93" s="29" t="inlineStr">
        <is>
          <t>2026-04-24</t>
        </is>
      </c>
      <c r="E93" s="29" t="inlineStr">
        <is>
          <t>2026-06-08</t>
        </is>
      </c>
      <c r="F93" s="29" t="n">
        <v>27799.66</v>
      </c>
      <c r="G93" s="29" t="n">
        <v>17327.73</v>
      </c>
      <c r="H93" s="29" t="n"/>
      <c r="I93" s="29" t="n"/>
      <c r="J93" s="29" t="inlineStr">
        <is>
          <t>Partially Paid</t>
        </is>
      </c>
    </row>
    <row r="94">
      <c r="A94" s="29" t="inlineStr">
        <is>
          <t>AP-0004884</t>
        </is>
      </c>
      <c r="B94" s="29" t="inlineStr">
        <is>
          <t>V-2324</t>
        </is>
      </c>
      <c r="C94" s="29" t="inlineStr">
        <is>
          <t>ARM-2501</t>
        </is>
      </c>
      <c r="D94" s="29" t="inlineStr">
        <is>
          <t>2026-04-24</t>
        </is>
      </c>
      <c r="E94" s="29" t="inlineStr">
        <is>
          <t>2026-06-08</t>
        </is>
      </c>
      <c r="F94" s="29" t="n">
        <v>10445.44</v>
      </c>
      <c r="G94" s="29" t="n">
        <v>5828.95</v>
      </c>
      <c r="H94" s="29" t="n"/>
      <c r="I94" s="29" t="n"/>
      <c r="J94" s="29" t="inlineStr">
        <is>
          <t>Partially Paid</t>
        </is>
      </c>
    </row>
    <row r="95">
      <c r="A95" s="29" t="inlineStr">
        <is>
          <t>AP-0005412</t>
        </is>
      </c>
      <c r="B95" s="29" t="inlineStr">
        <is>
          <t>V-2313</t>
        </is>
      </c>
      <c r="C95" s="29" t="inlineStr">
        <is>
          <t>ARM-2514</t>
        </is>
      </c>
      <c r="D95" s="29" t="inlineStr">
        <is>
          <t>2026-05-09</t>
        </is>
      </c>
      <c r="E95" s="29" t="inlineStr">
        <is>
          <t>2026-06-08</t>
        </is>
      </c>
      <c r="F95" s="29" t="n">
        <v>13252.93</v>
      </c>
      <c r="G95" s="29" t="n">
        <v>6094.74</v>
      </c>
      <c r="H95" s="29" t="n"/>
      <c r="I95" s="29" t="n"/>
      <c r="J95" s="29" t="inlineStr">
        <is>
          <t>Partially Paid</t>
        </is>
      </c>
    </row>
    <row r="96">
      <c r="A96" s="29" t="inlineStr">
        <is>
          <t>AP-0005499</t>
        </is>
      </c>
      <c r="B96" s="29" t="inlineStr">
        <is>
          <t>V-2341</t>
        </is>
      </c>
      <c r="C96" s="29" t="inlineStr">
        <is>
          <t>ARM-2518</t>
        </is>
      </c>
      <c r="D96" s="29" t="inlineStr">
        <is>
          <t>2026-05-09</t>
        </is>
      </c>
      <c r="E96" s="29" t="inlineStr">
        <is>
          <t>2026-06-08</t>
        </is>
      </c>
      <c r="F96" s="29" t="n">
        <v>7633.86</v>
      </c>
      <c r="G96" s="29" t="n">
        <v>3992.09</v>
      </c>
      <c r="H96" s="29" t="n"/>
      <c r="I96" s="29" t="n"/>
      <c r="J96" s="29" t="inlineStr">
        <is>
          <t>Partially Paid</t>
        </is>
      </c>
    </row>
    <row r="97">
      <c r="A97" s="29" t="inlineStr">
        <is>
          <t>AP-0005504</t>
        </is>
      </c>
      <c r="B97" s="29" t="inlineStr">
        <is>
          <t>V-2402</t>
        </is>
      </c>
      <c r="C97" s="29" t="inlineStr">
        <is>
          <t>ARM-2518</t>
        </is>
      </c>
      <c r="D97" s="29" t="inlineStr">
        <is>
          <t>2026-05-09</t>
        </is>
      </c>
      <c r="E97" s="29" t="inlineStr">
        <is>
          <t>2026-06-08</t>
        </is>
      </c>
      <c r="F97" s="29" t="n">
        <v>24425.93</v>
      </c>
      <c r="G97" s="29" t="n">
        <v>10399.43</v>
      </c>
      <c r="H97" s="29" t="n"/>
      <c r="I97" s="29" t="n"/>
      <c r="J97" s="29" t="inlineStr">
        <is>
          <t>Partially Paid</t>
        </is>
      </c>
    </row>
    <row r="98">
      <c r="A98" s="29" t="inlineStr">
        <is>
          <t>AP-0005506</t>
        </is>
      </c>
      <c r="B98" s="29" t="inlineStr">
        <is>
          <t>V-2426</t>
        </is>
      </c>
      <c r="C98" s="29" t="inlineStr">
        <is>
          <t>ARM-2518</t>
        </is>
      </c>
      <c r="D98" s="29" t="inlineStr">
        <is>
          <t>2026-05-09</t>
        </is>
      </c>
      <c r="E98" s="29" t="inlineStr">
        <is>
          <t>2026-06-08</t>
        </is>
      </c>
      <c r="F98" s="29" t="n">
        <v>5160.89</v>
      </c>
      <c r="G98" s="29" t="n">
        <v>3557.43</v>
      </c>
      <c r="H98" s="29" t="n"/>
      <c r="I98" s="29" t="n"/>
      <c r="J98" s="29" t="inlineStr">
        <is>
          <t>Partially Paid</t>
        </is>
      </c>
    </row>
    <row r="99">
      <c r="A99" s="29" t="inlineStr">
        <is>
          <t>AP-0005741</t>
        </is>
      </c>
      <c r="B99" s="29" t="inlineStr">
        <is>
          <t>V-2094</t>
        </is>
      </c>
      <c r="C99" s="29" t="inlineStr">
        <is>
          <t>ARM-2608</t>
        </is>
      </c>
      <c r="D99" s="29" t="inlineStr">
        <is>
          <t>2026-05-09</t>
        </is>
      </c>
      <c r="E99" s="29" t="inlineStr">
        <is>
          <t>2026-06-08</t>
        </is>
      </c>
      <c r="F99" s="29" t="n">
        <v>31895.01</v>
      </c>
      <c r="G99" s="29" t="n">
        <v>15236.13</v>
      </c>
      <c r="H99" s="29" t="n"/>
      <c r="I99" s="29" t="n"/>
      <c r="J99" s="29" t="inlineStr">
        <is>
          <t>Partially Paid</t>
        </is>
      </c>
    </row>
    <row r="100">
      <c r="A100" s="29" t="inlineStr">
        <is>
          <t>AP-0005742</t>
        </is>
      </c>
      <c r="B100" s="29" t="inlineStr">
        <is>
          <t>V-2217</t>
        </is>
      </c>
      <c r="C100" s="29" t="inlineStr">
        <is>
          <t>ARM-2608</t>
        </is>
      </c>
      <c r="D100" s="29" t="inlineStr">
        <is>
          <t>2026-05-09</t>
        </is>
      </c>
      <c r="E100" s="29" t="inlineStr">
        <is>
          <t>2026-06-08</t>
        </is>
      </c>
      <c r="F100" s="29" t="n">
        <v>7358.94</v>
      </c>
      <c r="G100" s="29" t="n">
        <v>2919.3</v>
      </c>
      <c r="H100" s="29" t="n"/>
      <c r="I100" s="29" t="n"/>
      <c r="J100" s="29" t="inlineStr">
        <is>
          <t>Partially Paid</t>
        </is>
      </c>
    </row>
    <row r="101">
      <c r="A101" s="29" t="inlineStr">
        <is>
          <t>AP-0004094</t>
        </is>
      </c>
      <c r="B101" s="29" t="inlineStr">
        <is>
          <t>V-2205</t>
        </is>
      </c>
      <c r="C101" s="29" t="inlineStr">
        <is>
          <t>ARM-2403</t>
        </is>
      </c>
      <c r="D101" s="29" t="inlineStr">
        <is>
          <t>2026-05-25</t>
        </is>
      </c>
      <c r="E101" s="29" t="inlineStr">
        <is>
          <t>2026-06-09</t>
        </is>
      </c>
      <c r="F101" s="29" t="n">
        <v>14500.26</v>
      </c>
      <c r="G101" s="29" t="n">
        <v>5242.69</v>
      </c>
      <c r="H101" s="29" t="n"/>
      <c r="I101" s="29" t="n"/>
      <c r="J101" s="29" t="inlineStr">
        <is>
          <t>Partially Paid</t>
        </is>
      </c>
    </row>
    <row r="102">
      <c r="A102" s="29" t="inlineStr">
        <is>
          <t>AP-0004279</t>
        </is>
      </c>
      <c r="B102" s="29" t="inlineStr">
        <is>
          <t>V-2436</t>
        </is>
      </c>
      <c r="C102" s="29" t="inlineStr">
        <is>
          <t>ARM-2409</t>
        </is>
      </c>
      <c r="D102" s="29" t="inlineStr">
        <is>
          <t>2026-05-10</t>
        </is>
      </c>
      <c r="E102" s="29" t="inlineStr">
        <is>
          <t>2026-06-09</t>
        </is>
      </c>
      <c r="F102" s="29" t="n">
        <v>10003.09</v>
      </c>
      <c r="G102" s="29" t="n">
        <v>5477.46</v>
      </c>
      <c r="H102" s="29" t="n"/>
      <c r="I102" s="29" t="n"/>
      <c r="J102" s="29" t="inlineStr">
        <is>
          <t>Partially Paid</t>
        </is>
      </c>
    </row>
    <row r="103">
      <c r="A103" s="29" t="inlineStr">
        <is>
          <t>AP-0004672</t>
        </is>
      </c>
      <c r="B103" s="29" t="inlineStr">
        <is>
          <t>V-2464</t>
        </is>
      </c>
      <c r="C103" s="29" t="inlineStr">
        <is>
          <t>ARM-2417</t>
        </is>
      </c>
      <c r="D103" s="29" t="inlineStr">
        <is>
          <t>2026-04-25</t>
        </is>
      </c>
      <c r="E103" s="29" t="inlineStr">
        <is>
          <t>2026-06-09</t>
        </is>
      </c>
      <c r="F103" s="29" t="n">
        <v>14027.31</v>
      </c>
      <c r="G103" s="29" t="n">
        <v>6772.66</v>
      </c>
      <c r="H103" s="29" t="n"/>
      <c r="I103" s="29" t="n"/>
      <c r="J103" s="29" t="inlineStr">
        <is>
          <t>Partially Paid</t>
        </is>
      </c>
    </row>
    <row r="104">
      <c r="A104" s="29" t="inlineStr">
        <is>
          <t>AP-0004686</t>
        </is>
      </c>
      <c r="B104" s="29" t="inlineStr">
        <is>
          <t>V-2305</t>
        </is>
      </c>
      <c r="C104" s="29" t="inlineStr">
        <is>
          <t>ARM-2417</t>
        </is>
      </c>
      <c r="D104" s="29" t="inlineStr">
        <is>
          <t>2026-05-25</t>
        </is>
      </c>
      <c r="E104" s="29" t="inlineStr">
        <is>
          <t>2026-06-09</t>
        </is>
      </c>
      <c r="F104" s="29" t="n">
        <v>11046.05</v>
      </c>
      <c r="G104" s="29" t="n">
        <v>6643</v>
      </c>
      <c r="H104" s="29" t="n"/>
      <c r="I104" s="29" t="n"/>
      <c r="J104" s="29" t="inlineStr">
        <is>
          <t>Partially Paid</t>
        </is>
      </c>
    </row>
    <row r="105">
      <c r="A105" s="29" t="inlineStr">
        <is>
          <t>AP-0004886</t>
        </is>
      </c>
      <c r="B105" s="29" t="inlineStr">
        <is>
          <t>V-2351</t>
        </is>
      </c>
      <c r="C105" s="29" t="inlineStr">
        <is>
          <t>ARM-2501</t>
        </is>
      </c>
      <c r="D105" s="29" t="inlineStr">
        <is>
          <t>2026-05-10</t>
        </is>
      </c>
      <c r="E105" s="29" t="inlineStr">
        <is>
          <t>2026-06-09</t>
        </is>
      </c>
      <c r="F105" s="29" t="n">
        <v>10137.7</v>
      </c>
      <c r="G105" s="29" t="n">
        <v>5586.4</v>
      </c>
      <c r="H105" s="29" t="n"/>
      <c r="I105" s="29" t="n"/>
      <c r="J105" s="29" t="inlineStr">
        <is>
          <t>Partially Paid</t>
        </is>
      </c>
    </row>
    <row r="106">
      <c r="A106" s="29" t="inlineStr">
        <is>
          <t>AP-0005411</t>
        </is>
      </c>
      <c r="B106" s="29" t="inlineStr">
        <is>
          <t>V-2300</t>
        </is>
      </c>
      <c r="C106" s="29" t="inlineStr">
        <is>
          <t>ARM-2514</t>
        </is>
      </c>
      <c r="D106" s="29" t="inlineStr">
        <is>
          <t>2026-05-25</t>
        </is>
      </c>
      <c r="E106" s="29" t="inlineStr">
        <is>
          <t>2026-06-09</t>
        </is>
      </c>
      <c r="F106" s="29" t="n">
        <v>12759.06</v>
      </c>
      <c r="G106" s="29" t="n">
        <v>5594.34</v>
      </c>
      <c r="H106" s="29" t="n"/>
      <c r="I106" s="29" t="n"/>
      <c r="J106" s="29" t="inlineStr">
        <is>
          <t>Partially Paid</t>
        </is>
      </c>
    </row>
    <row r="107">
      <c r="A107" s="29" t="inlineStr">
        <is>
          <t>AP-0005575</t>
        </is>
      </c>
      <c r="B107" s="29" t="inlineStr">
        <is>
          <t>V-2246</t>
        </is>
      </c>
      <c r="C107" s="29" t="inlineStr">
        <is>
          <t>ARM-2522</t>
        </is>
      </c>
      <c r="D107" s="29" t="inlineStr">
        <is>
          <t>2026-05-10</t>
        </is>
      </c>
      <c r="E107" s="29" t="inlineStr">
        <is>
          <t>2026-06-09</t>
        </is>
      </c>
      <c r="F107" s="29" t="n">
        <v>12304.45</v>
      </c>
      <c r="G107" s="29" t="n">
        <v>8558.48</v>
      </c>
      <c r="H107" s="29" t="n"/>
      <c r="I107" s="29" t="n"/>
      <c r="J107" s="29" t="inlineStr">
        <is>
          <t>Partially Paid</t>
        </is>
      </c>
    </row>
    <row r="108">
      <c r="A108" s="29" t="inlineStr">
        <is>
          <t>AP-0011854</t>
        </is>
      </c>
      <c r="B108" s="29" t="inlineStr">
        <is>
          <t>V-2494</t>
        </is>
      </c>
      <c r="C108" s="29" t="n"/>
      <c r="D108" s="29" t="inlineStr">
        <is>
          <t>2026-04-25</t>
        </is>
      </c>
      <c r="E108" s="29" t="inlineStr">
        <is>
          <t>2026-06-09</t>
        </is>
      </c>
      <c r="F108" s="29" t="n">
        <v>10186.07</v>
      </c>
      <c r="G108" s="29" t="n">
        <v>4671.16</v>
      </c>
      <c r="H108" s="29" t="n"/>
      <c r="I108" s="29" t="n"/>
      <c r="J108" s="29" t="inlineStr">
        <is>
          <t>Partially Paid</t>
        </is>
      </c>
    </row>
    <row r="109">
      <c r="A109" s="29" t="inlineStr">
        <is>
          <t>AP-0004438</t>
        </is>
      </c>
      <c r="B109" s="29" t="inlineStr">
        <is>
          <t>V-2336</t>
        </is>
      </c>
      <c r="C109" s="29" t="inlineStr">
        <is>
          <t>ARM-2412</t>
        </is>
      </c>
      <c r="D109" s="29" t="inlineStr">
        <is>
          <t>2026-05-11</t>
        </is>
      </c>
      <c r="E109" s="29" t="inlineStr">
        <is>
          <t>2026-06-10</t>
        </is>
      </c>
      <c r="F109" s="29" t="n">
        <v>9217.66</v>
      </c>
      <c r="G109" s="29" t="n">
        <v>4616.41</v>
      </c>
      <c r="H109" s="29" t="n"/>
      <c r="I109" s="29" t="n"/>
      <c r="J109" s="29" t="inlineStr">
        <is>
          <t>Partially Paid</t>
        </is>
      </c>
    </row>
    <row r="110">
      <c r="A110" s="29" t="inlineStr">
        <is>
          <t>AP-0005229</t>
        </is>
      </c>
      <c r="B110" s="29" t="inlineStr">
        <is>
          <t>V-2453</t>
        </is>
      </c>
      <c r="C110" s="29" t="inlineStr">
        <is>
          <t>ARM-2510</t>
        </is>
      </c>
      <c r="D110" s="29" t="inlineStr">
        <is>
          <t>2026-05-11</t>
        </is>
      </c>
      <c r="E110" s="29" t="inlineStr">
        <is>
          <t>2026-06-10</t>
        </is>
      </c>
      <c r="F110" s="29" t="n">
        <v>13556.6</v>
      </c>
      <c r="G110" s="29" t="n">
        <v>8857.049999999999</v>
      </c>
      <c r="H110" s="29" t="n"/>
      <c r="I110" s="29" t="n"/>
      <c r="J110" s="29" t="inlineStr">
        <is>
          <t>Partially Paid</t>
        </is>
      </c>
    </row>
    <row r="111">
      <c r="A111" s="29" t="inlineStr">
        <is>
          <t>AP-0011871</t>
        </is>
      </c>
      <c r="B111" s="29" t="inlineStr">
        <is>
          <t>V-2318</t>
        </is>
      </c>
      <c r="C111" s="29" t="n"/>
      <c r="D111" s="29" t="inlineStr">
        <is>
          <t>2026-05-11</t>
        </is>
      </c>
      <c r="E111" s="29" t="inlineStr">
        <is>
          <t>2026-06-10</t>
        </is>
      </c>
      <c r="F111" s="29" t="n">
        <v>12997.07</v>
      </c>
      <c r="G111" s="29" t="n">
        <v>8992.440000000001</v>
      </c>
      <c r="H111" s="29" t="n"/>
      <c r="I111" s="29" t="n"/>
      <c r="J111" s="29" t="inlineStr">
        <is>
          <t>Partially Paid</t>
        </is>
      </c>
    </row>
    <row r="112">
      <c r="A112" s="29" t="inlineStr">
        <is>
          <t>AP-0004096</t>
        </is>
      </c>
      <c r="B112" s="29" t="inlineStr">
        <is>
          <t>V-2237</t>
        </is>
      </c>
      <c r="C112" s="29" t="inlineStr">
        <is>
          <t>ARM-2403</t>
        </is>
      </c>
      <c r="D112" s="29" t="inlineStr">
        <is>
          <t>2026-05-12</t>
        </is>
      </c>
      <c r="E112" s="29" t="inlineStr">
        <is>
          <t>2026-06-11</t>
        </is>
      </c>
      <c r="F112" s="29" t="n">
        <v>29367.36</v>
      </c>
      <c r="G112" s="29" t="n">
        <v>14914.65</v>
      </c>
      <c r="H112" s="29" t="n"/>
      <c r="I112" s="29" t="n"/>
      <c r="J112" s="29" t="inlineStr">
        <is>
          <t>Partially Paid</t>
        </is>
      </c>
    </row>
    <row r="113">
      <c r="A113" s="29" t="inlineStr">
        <is>
          <t>AP-0004684</t>
        </is>
      </c>
      <c r="B113" s="29" t="inlineStr">
        <is>
          <t>V-2277</t>
        </is>
      </c>
      <c r="C113" s="29" t="inlineStr">
        <is>
          <t>ARM-2417</t>
        </is>
      </c>
      <c r="D113" s="29" t="inlineStr">
        <is>
          <t>2026-05-12</t>
        </is>
      </c>
      <c r="E113" s="29" t="inlineStr">
        <is>
          <t>2026-06-11</t>
        </is>
      </c>
      <c r="F113" s="29" t="n">
        <v>18925.19</v>
      </c>
      <c r="G113" s="29" t="n">
        <v>8245.01</v>
      </c>
      <c r="H113" s="29" t="n"/>
      <c r="I113" s="29" t="n"/>
      <c r="J113" s="29" t="inlineStr">
        <is>
          <t>Partially Paid</t>
        </is>
      </c>
    </row>
    <row r="114">
      <c r="A114" s="29" t="inlineStr">
        <is>
          <t>AP-0004694</t>
        </is>
      </c>
      <c r="B114" s="29" t="inlineStr">
        <is>
          <t>V-2398</t>
        </is>
      </c>
      <c r="C114" s="29" t="inlineStr">
        <is>
          <t>ARM-2417</t>
        </is>
      </c>
      <c r="D114" s="29" t="inlineStr">
        <is>
          <t>2026-05-12</t>
        </is>
      </c>
      <c r="E114" s="29" t="inlineStr">
        <is>
          <t>2026-06-11</t>
        </is>
      </c>
      <c r="F114" s="29" t="n">
        <v>7426.23</v>
      </c>
      <c r="G114" s="29" t="n">
        <v>3721.74</v>
      </c>
      <c r="H114" s="29" t="n"/>
      <c r="I114" s="29" t="n"/>
      <c r="J114" s="29" t="inlineStr">
        <is>
          <t>Partially Paid</t>
        </is>
      </c>
    </row>
    <row r="115">
      <c r="A115" s="29" t="inlineStr">
        <is>
          <t>AP-0005409</t>
        </is>
      </c>
      <c r="B115" s="29" t="inlineStr">
        <is>
          <t>V-2272</t>
        </is>
      </c>
      <c r="C115" s="29" t="inlineStr">
        <is>
          <t>ARM-2514</t>
        </is>
      </c>
      <c r="D115" s="29" t="inlineStr">
        <is>
          <t>2026-05-12</t>
        </is>
      </c>
      <c r="E115" s="29" t="inlineStr">
        <is>
          <t>2026-06-11</t>
        </is>
      </c>
      <c r="F115" s="29" t="n">
        <v>10403.87</v>
      </c>
      <c r="G115" s="29" t="n">
        <v>4521.57</v>
      </c>
      <c r="H115" s="29" t="n"/>
      <c r="I115" s="29" t="n"/>
      <c r="J115" s="29" t="inlineStr">
        <is>
          <t>Partially Paid</t>
        </is>
      </c>
    </row>
    <row r="116">
      <c r="A116" s="29" t="inlineStr">
        <is>
          <t>AP-0005421</t>
        </is>
      </c>
      <c r="B116" s="29" t="inlineStr">
        <is>
          <t>V-2417</t>
        </is>
      </c>
      <c r="C116" s="29" t="inlineStr">
        <is>
          <t>ARM-2514</t>
        </is>
      </c>
      <c r="D116" s="29" t="inlineStr">
        <is>
          <t>2026-05-12</t>
        </is>
      </c>
      <c r="E116" s="29" t="inlineStr">
        <is>
          <t>2026-06-11</t>
        </is>
      </c>
      <c r="F116" s="29" t="n">
        <v>18990.64</v>
      </c>
      <c r="G116" s="29" t="n">
        <v>9712.809999999999</v>
      </c>
      <c r="H116" s="29" t="n"/>
      <c r="I116" s="29" t="n"/>
      <c r="J116" s="29" t="inlineStr">
        <is>
          <t>Partially Paid</t>
        </is>
      </c>
    </row>
    <row r="117">
      <c r="A117" s="29" t="inlineStr">
        <is>
          <t>AP-0005675</t>
        </is>
      </c>
      <c r="B117" s="29" t="inlineStr">
        <is>
          <t>V-2441</t>
        </is>
      </c>
      <c r="C117" s="29" t="inlineStr">
        <is>
          <t>ARM-2602</t>
        </is>
      </c>
      <c r="D117" s="29" t="inlineStr">
        <is>
          <t>2026-05-12</t>
        </is>
      </c>
      <c r="E117" s="29" t="inlineStr">
        <is>
          <t>2026-06-11</t>
        </is>
      </c>
      <c r="F117" s="29" t="n">
        <v>17317.25</v>
      </c>
      <c r="G117" s="29" t="n">
        <v>6488.93</v>
      </c>
      <c r="H117" s="29" t="n"/>
      <c r="I117" s="29" t="n"/>
      <c r="J117" s="29" t="inlineStr">
        <is>
          <t>Partially Paid</t>
        </is>
      </c>
    </row>
    <row r="118">
      <c r="A118" s="29" t="inlineStr">
        <is>
          <t>AP-0005710</t>
        </is>
      </c>
      <c r="B118" s="29" t="inlineStr">
        <is>
          <t>V-2521</t>
        </is>
      </c>
      <c r="C118" s="29" t="inlineStr">
        <is>
          <t>ARM-2605</t>
        </is>
      </c>
      <c r="D118" s="29" t="inlineStr">
        <is>
          <t>2026-05-12</t>
        </is>
      </c>
      <c r="E118" s="29" t="inlineStr">
        <is>
          <t>2026-06-11</t>
        </is>
      </c>
      <c r="F118" s="29" t="n">
        <v>11971.54</v>
      </c>
      <c r="G118" s="29" t="n">
        <v>6498.62</v>
      </c>
      <c r="H118" s="29" t="n"/>
      <c r="I118" s="29" t="n"/>
      <c r="J118" s="29" t="inlineStr">
        <is>
          <t>Partially Paid</t>
        </is>
      </c>
    </row>
    <row r="119">
      <c r="A119" s="29" t="inlineStr">
        <is>
          <t>AP-0005714</t>
        </is>
      </c>
      <c r="B119" s="29" t="inlineStr">
        <is>
          <t>V-2217</t>
        </is>
      </c>
      <c r="C119" s="29" t="inlineStr">
        <is>
          <t>ARM-2605</t>
        </is>
      </c>
      <c r="D119" s="29" t="inlineStr">
        <is>
          <t>2026-05-12</t>
        </is>
      </c>
      <c r="E119" s="29" t="inlineStr">
        <is>
          <t>2026-06-11</t>
        </is>
      </c>
      <c r="F119" s="29" t="n">
        <v>33833.98</v>
      </c>
      <c r="G119" s="29" t="n">
        <v>22423.44</v>
      </c>
      <c r="H119" s="29" t="n"/>
      <c r="I119" s="29" t="n"/>
      <c r="J119" s="29" t="inlineStr">
        <is>
          <t>Partially Paid</t>
        </is>
      </c>
    </row>
    <row r="120">
      <c r="A120" s="29" t="inlineStr">
        <is>
          <t>AP-0009865</t>
        </is>
      </c>
      <c r="B120" s="29" t="inlineStr">
        <is>
          <t>V-2033</t>
        </is>
      </c>
      <c r="C120" s="29" t="n"/>
      <c r="D120" s="29" t="inlineStr">
        <is>
          <t>2026-05-12</t>
        </is>
      </c>
      <c r="E120" s="29" t="inlineStr">
        <is>
          <t>2026-06-11</t>
        </is>
      </c>
      <c r="F120" s="29" t="n">
        <v>5209.84</v>
      </c>
      <c r="G120" s="29" t="n">
        <v>3397.81</v>
      </c>
      <c r="H120" s="29" t="n"/>
      <c r="I120" s="29" t="n"/>
      <c r="J120" s="29" t="inlineStr">
        <is>
          <t>Partially Paid</t>
        </is>
      </c>
    </row>
    <row r="121">
      <c r="A121" s="29" t="inlineStr">
        <is>
          <t>AP-0009886</t>
        </is>
      </c>
      <c r="B121" s="29" t="inlineStr">
        <is>
          <t>V-2033</t>
        </is>
      </c>
      <c r="C121" s="29" t="n"/>
      <c r="D121" s="29" t="inlineStr">
        <is>
          <t>2026-05-12</t>
        </is>
      </c>
      <c r="E121" s="29" t="inlineStr">
        <is>
          <t>2026-06-11</t>
        </is>
      </c>
      <c r="F121" s="29" t="n">
        <v>3647.37</v>
      </c>
      <c r="G121" s="29" t="n">
        <v>2536.68</v>
      </c>
      <c r="H121" s="29" t="n"/>
      <c r="I121" s="29" t="n"/>
      <c r="J121" s="29" t="inlineStr">
        <is>
          <t>Partially Paid</t>
        </is>
      </c>
    </row>
    <row r="122">
      <c r="A122" s="29" t="inlineStr">
        <is>
          <t>AP-0011882</t>
        </is>
      </c>
      <c r="B122" s="29" t="inlineStr">
        <is>
          <t>V-2413</t>
        </is>
      </c>
      <c r="C122" s="29" t="n"/>
      <c r="D122" s="29" t="inlineStr">
        <is>
          <t>2026-05-12</t>
        </is>
      </c>
      <c r="E122" s="29" t="inlineStr">
        <is>
          <t>2026-06-11</t>
        </is>
      </c>
      <c r="F122" s="29" t="n">
        <v>7006.43</v>
      </c>
      <c r="G122" s="29" t="n">
        <v>4743.51</v>
      </c>
      <c r="H122" s="29" t="n"/>
      <c r="I122" s="29" t="n"/>
      <c r="J122" s="29" t="inlineStr">
        <is>
          <t>Partially Paid</t>
        </is>
      </c>
    </row>
    <row r="123">
      <c r="A123" s="29" t="inlineStr">
        <is>
          <t>AP-0003873</t>
        </is>
      </c>
      <c r="B123" s="29" t="inlineStr">
        <is>
          <t>V-2253</t>
        </is>
      </c>
      <c r="C123" s="29" t="inlineStr">
        <is>
          <t>ARM-2318</t>
        </is>
      </c>
      <c r="D123" s="29" t="inlineStr">
        <is>
          <t>2026-05-13</t>
        </is>
      </c>
      <c r="E123" s="29" t="inlineStr">
        <is>
          <t>2026-06-12</t>
        </is>
      </c>
      <c r="F123" s="29" t="n">
        <v>11077.29</v>
      </c>
      <c r="G123" s="29" t="n">
        <v>4787.33</v>
      </c>
      <c r="H123" s="29" t="n"/>
      <c r="I123" s="29" t="n"/>
      <c r="J123" s="29" t="inlineStr">
        <is>
          <t>Partially Paid</t>
        </is>
      </c>
    </row>
    <row r="124">
      <c r="A124" s="29" t="inlineStr">
        <is>
          <t>AP-0003879</t>
        </is>
      </c>
      <c r="B124" s="29" t="inlineStr">
        <is>
          <t>V-2331</t>
        </is>
      </c>
      <c r="C124" s="29" t="inlineStr">
        <is>
          <t>ARM-2318</t>
        </is>
      </c>
      <c r="D124" s="29" t="inlineStr">
        <is>
          <t>2026-05-13</t>
        </is>
      </c>
      <c r="E124" s="29" t="inlineStr">
        <is>
          <t>2026-06-12</t>
        </is>
      </c>
      <c r="F124" s="29" t="n">
        <v>5700.74</v>
      </c>
      <c r="G124" s="29" t="n">
        <v>3441.67</v>
      </c>
      <c r="H124" s="29" t="n"/>
      <c r="I124" s="29" t="n"/>
      <c r="J124" s="29" t="inlineStr">
        <is>
          <t>Partially Paid</t>
        </is>
      </c>
    </row>
    <row r="125">
      <c r="A125" s="29" t="inlineStr">
        <is>
          <t>AP-0005503</t>
        </is>
      </c>
      <c r="B125" s="29" t="inlineStr">
        <is>
          <t>V-2396</t>
        </is>
      </c>
      <c r="C125" s="29" t="inlineStr">
        <is>
          <t>ARM-2518</t>
        </is>
      </c>
      <c r="D125" s="29" t="inlineStr">
        <is>
          <t>2026-05-13</t>
        </is>
      </c>
      <c r="E125" s="29" t="inlineStr">
        <is>
          <t>2026-06-12</t>
        </is>
      </c>
      <c r="F125" s="29" t="n">
        <v>12370.26</v>
      </c>
      <c r="G125" s="29" t="n">
        <v>8103.53</v>
      </c>
      <c r="H125" s="29" t="n"/>
      <c r="I125" s="29" t="n"/>
      <c r="J125" s="29" t="inlineStr">
        <is>
          <t>Partially Paid</t>
        </is>
      </c>
    </row>
    <row r="126">
      <c r="A126" s="29" t="inlineStr">
        <is>
          <t>AP-0005572</t>
        </is>
      </c>
      <c r="B126" s="29" t="inlineStr">
        <is>
          <t>V-2033</t>
        </is>
      </c>
      <c r="C126" s="29" t="inlineStr">
        <is>
          <t>ARM-2522</t>
        </is>
      </c>
      <c r="D126" s="29" t="inlineStr">
        <is>
          <t>2026-05-13</t>
        </is>
      </c>
      <c r="E126" s="29" t="inlineStr">
        <is>
          <t>2026-06-12</t>
        </is>
      </c>
      <c r="F126" s="29" t="n">
        <v>9859.83</v>
      </c>
      <c r="G126" s="29" t="n">
        <v>5819.58</v>
      </c>
      <c r="H126" s="29" t="n"/>
      <c r="I126" s="29" t="n"/>
      <c r="J126" s="29" t="inlineStr">
        <is>
          <t>Partially Paid</t>
        </is>
      </c>
    </row>
    <row r="127">
      <c r="A127" s="29" t="inlineStr">
        <is>
          <t>AP-0005578</t>
        </is>
      </c>
      <c r="B127" s="29" t="inlineStr">
        <is>
          <t>V-2286</t>
        </is>
      </c>
      <c r="C127" s="29" t="inlineStr">
        <is>
          <t>ARM-2522</t>
        </is>
      </c>
      <c r="D127" s="29" t="inlineStr">
        <is>
          <t>2026-05-13</t>
        </is>
      </c>
      <c r="E127" s="29" t="inlineStr">
        <is>
          <t>2026-06-12</t>
        </is>
      </c>
      <c r="F127" s="29" t="n">
        <v>22001.36</v>
      </c>
      <c r="G127" s="29" t="n">
        <v>13947.28</v>
      </c>
      <c r="H127" s="29" t="n"/>
      <c r="I127" s="29" t="n"/>
      <c r="J127" s="29" t="inlineStr">
        <is>
          <t>Partially Paid</t>
        </is>
      </c>
    </row>
    <row r="128">
      <c r="A128" s="29" t="inlineStr">
        <is>
          <t>AP-0009868</t>
        </is>
      </c>
      <c r="B128" s="29" t="inlineStr">
        <is>
          <t>V-2208</t>
        </is>
      </c>
      <c r="C128" s="29" t="n"/>
      <c r="D128" s="29" t="inlineStr">
        <is>
          <t>2026-05-13</t>
        </is>
      </c>
      <c r="E128" s="29" t="inlineStr">
        <is>
          <t>2026-06-12</t>
        </is>
      </c>
      <c r="F128" s="29" t="n">
        <v>5110.82</v>
      </c>
      <c r="G128" s="29" t="n">
        <v>3464.32</v>
      </c>
      <c r="H128" s="29" t="n"/>
      <c r="I128" s="29" t="n"/>
      <c r="J128" s="29" t="inlineStr">
        <is>
          <t>Partially Paid</t>
        </is>
      </c>
    </row>
    <row r="129">
      <c r="A129" s="29" t="inlineStr">
        <is>
          <t>AP-0009889</t>
        </is>
      </c>
      <c r="B129" s="29" t="inlineStr">
        <is>
          <t>V-2208</t>
        </is>
      </c>
      <c r="C129" s="29" t="n"/>
      <c r="D129" s="29" t="inlineStr">
        <is>
          <t>2026-05-13</t>
        </is>
      </c>
      <c r="E129" s="29" t="inlineStr">
        <is>
          <t>2026-06-12</t>
        </is>
      </c>
      <c r="F129" s="29" t="n">
        <v>2776.88</v>
      </c>
      <c r="G129" s="29" t="n">
        <v>1538.97</v>
      </c>
      <c r="H129" s="29" t="n"/>
      <c r="I129" s="29" t="n"/>
      <c r="J129" s="29" t="inlineStr">
        <is>
          <t>Partially Paid</t>
        </is>
      </c>
    </row>
    <row r="130">
      <c r="A130" s="29" t="inlineStr">
        <is>
          <t>AP-0011866</t>
        </is>
      </c>
      <c r="B130" s="29" t="inlineStr">
        <is>
          <t>V-2428</t>
        </is>
      </c>
      <c r="C130" s="29" t="n"/>
      <c r="D130" s="29" t="inlineStr">
        <is>
          <t>2026-05-13</t>
        </is>
      </c>
      <c r="E130" s="29" t="inlineStr">
        <is>
          <t>2026-06-12</t>
        </is>
      </c>
      <c r="F130" s="29" t="n">
        <v>18951.77</v>
      </c>
      <c r="G130" s="29" t="n">
        <v>10482.34</v>
      </c>
      <c r="H130" s="29" t="n"/>
      <c r="I130" s="29" t="n"/>
      <c r="J130" s="29" t="inlineStr">
        <is>
          <t>Partially Paid</t>
        </is>
      </c>
    </row>
    <row r="131">
      <c r="A131" s="29" t="inlineStr">
        <is>
          <t>AP-0005088</t>
        </is>
      </c>
      <c r="B131" s="29" t="inlineStr">
        <is>
          <t>V-2436</t>
        </is>
      </c>
      <c r="C131" s="29" t="inlineStr">
        <is>
          <t>ARM-2506</t>
        </is>
      </c>
      <c r="D131" s="29" t="inlineStr">
        <is>
          <t>2026-05-14</t>
        </is>
      </c>
      <c r="E131" s="29" t="inlineStr">
        <is>
          <t>2026-06-13</t>
        </is>
      </c>
      <c r="F131" s="29" t="n">
        <v>6567.84</v>
      </c>
      <c r="G131" s="29" t="n">
        <v>2419.46</v>
      </c>
      <c r="H131" s="29" t="n"/>
      <c r="I131" s="29" t="n"/>
      <c r="J131" s="29" t="inlineStr">
        <is>
          <t>Partially Paid</t>
        </is>
      </c>
    </row>
    <row r="132">
      <c r="A132" s="29" t="inlineStr">
        <is>
          <t>AP-0009871</t>
        </is>
      </c>
      <c r="B132" s="29" t="inlineStr">
        <is>
          <t>V-2247</t>
        </is>
      </c>
      <c r="C132" s="29" t="n"/>
      <c r="D132" s="29" t="inlineStr">
        <is>
          <t>2026-05-14</t>
        </is>
      </c>
      <c r="E132" s="29" t="inlineStr">
        <is>
          <t>2026-06-13</t>
        </is>
      </c>
      <c r="F132" s="29" t="n">
        <v>5863.72</v>
      </c>
      <c r="G132" s="29" t="n">
        <v>2154.58</v>
      </c>
      <c r="H132" s="29" t="n"/>
      <c r="I132" s="29" t="n"/>
      <c r="J132" s="29" t="inlineStr">
        <is>
          <t>Partially Paid</t>
        </is>
      </c>
    </row>
    <row r="133">
      <c r="A133" s="29" t="inlineStr">
        <is>
          <t>AP-0009892</t>
        </is>
      </c>
      <c r="B133" s="29" t="inlineStr">
        <is>
          <t>V-2247</t>
        </is>
      </c>
      <c r="C133" s="29" t="n"/>
      <c r="D133" s="29" t="inlineStr">
        <is>
          <t>2026-05-14</t>
        </is>
      </c>
      <c r="E133" s="29" t="inlineStr">
        <is>
          <t>2026-06-13</t>
        </is>
      </c>
      <c r="F133" s="29" t="n">
        <v>2367.51</v>
      </c>
      <c r="G133" s="29" t="n">
        <v>853.04</v>
      </c>
      <c r="H133" s="29" t="n"/>
      <c r="I133" s="29" t="n"/>
      <c r="J133" s="29" t="inlineStr">
        <is>
          <t>Partially Paid</t>
        </is>
      </c>
    </row>
    <row r="134">
      <c r="A134" s="29" t="inlineStr">
        <is>
          <t>AP-0011874</t>
        </is>
      </c>
      <c r="B134" s="29" t="inlineStr">
        <is>
          <t>V-2513</t>
        </is>
      </c>
      <c r="C134" s="29" t="n"/>
      <c r="D134" s="29" t="inlineStr">
        <is>
          <t>2026-05-14</t>
        </is>
      </c>
      <c r="E134" s="29" t="inlineStr">
        <is>
          <t>2026-06-13</t>
        </is>
      </c>
      <c r="F134" s="29" t="n">
        <v>32646.15</v>
      </c>
      <c r="G134" s="29" t="n">
        <v>18213.52</v>
      </c>
      <c r="H134" s="29" t="n"/>
      <c r="I134" s="29" t="n"/>
      <c r="J134" s="29" t="inlineStr">
        <is>
          <t>Partially Paid</t>
        </is>
      </c>
    </row>
    <row r="135">
      <c r="A135" s="29" t="inlineStr">
        <is>
          <t>AP-0012009</t>
        </is>
      </c>
      <c r="B135" s="29" t="inlineStr">
        <is>
          <t>V-2416</t>
        </is>
      </c>
      <c r="C135" s="29" t="n"/>
      <c r="D135" s="29" t="inlineStr">
        <is>
          <t>2026-05-14</t>
        </is>
      </c>
      <c r="E135" s="29" t="inlineStr">
        <is>
          <t>2026-06-13</t>
        </is>
      </c>
      <c r="F135" s="29" t="n">
        <v>63000</v>
      </c>
      <c r="G135" s="29" t="n">
        <v>36142.75</v>
      </c>
      <c r="H135" s="29" t="n"/>
      <c r="I135" s="29" t="n"/>
      <c r="J135" s="29" t="inlineStr">
        <is>
          <t>Partially Paid</t>
        </is>
      </c>
    </row>
    <row r="136">
      <c r="A136" s="29" t="inlineStr">
        <is>
          <t>AP-0004691</t>
        </is>
      </c>
      <c r="B136" s="29" t="inlineStr">
        <is>
          <t>V-2357</t>
        </is>
      </c>
      <c r="C136" s="29" t="inlineStr">
        <is>
          <t>ARM-2417</t>
        </is>
      </c>
      <c r="D136" s="29" t="inlineStr">
        <is>
          <t>2026-05-15</t>
        </is>
      </c>
      <c r="E136" s="29" t="inlineStr">
        <is>
          <t>2026-06-14</t>
        </is>
      </c>
      <c r="F136" s="29" t="n">
        <v>7568.43</v>
      </c>
      <c r="G136" s="29" t="n">
        <v>4280.94</v>
      </c>
      <c r="H136" s="29" t="n"/>
      <c r="I136" s="29" t="n"/>
      <c r="J136" s="29" t="inlineStr">
        <is>
          <t>Partially Paid</t>
        </is>
      </c>
    </row>
    <row r="137">
      <c r="A137" s="29" t="inlineStr">
        <is>
          <t>AP-0005082</t>
        </is>
      </c>
      <c r="B137" s="29" t="inlineStr">
        <is>
          <t>V-2376</t>
        </is>
      </c>
      <c r="C137" s="29" t="inlineStr">
        <is>
          <t>ARM-2506</t>
        </is>
      </c>
      <c r="D137" s="29" t="inlineStr">
        <is>
          <t>2026-05-15</t>
        </is>
      </c>
      <c r="E137" s="29" t="inlineStr">
        <is>
          <t>2026-06-14</t>
        </is>
      </c>
      <c r="F137" s="29" t="n">
        <v>10716.22</v>
      </c>
      <c r="G137" s="29" t="n">
        <v>6455.75</v>
      </c>
      <c r="H137" s="29" t="n"/>
      <c r="I137" s="29" t="n"/>
      <c r="J137" s="29" t="inlineStr">
        <is>
          <t>Partially Paid</t>
        </is>
      </c>
    </row>
    <row r="138">
      <c r="A138" s="29" t="inlineStr">
        <is>
          <t>AP-0005418</t>
        </is>
      </c>
      <c r="B138" s="29" t="inlineStr">
        <is>
          <t>V-2376</t>
        </is>
      </c>
      <c r="C138" s="29" t="inlineStr">
        <is>
          <t>ARM-2514</t>
        </is>
      </c>
      <c r="D138" s="29" t="inlineStr">
        <is>
          <t>2026-05-15</t>
        </is>
      </c>
      <c r="E138" s="29" t="inlineStr">
        <is>
          <t>2026-06-14</t>
        </is>
      </c>
      <c r="F138" s="29" t="n">
        <v>23585.14</v>
      </c>
      <c r="G138" s="29" t="n">
        <v>15486.76</v>
      </c>
      <c r="H138" s="29" t="n"/>
      <c r="I138" s="29" t="n"/>
      <c r="J138" s="29" t="inlineStr">
        <is>
          <t>Partially Paid</t>
        </is>
      </c>
    </row>
    <row r="139">
      <c r="A139" s="29" t="inlineStr">
        <is>
          <t>AP-0005672</t>
        </is>
      </c>
      <c r="B139" s="29" t="inlineStr">
        <is>
          <t>V-2402</t>
        </is>
      </c>
      <c r="C139" s="29" t="inlineStr">
        <is>
          <t>ARM-2602</t>
        </is>
      </c>
      <c r="D139" s="29" t="inlineStr">
        <is>
          <t>2026-05-15</t>
        </is>
      </c>
      <c r="E139" s="29" t="inlineStr">
        <is>
          <t>2026-06-14</t>
        </is>
      </c>
      <c r="F139" s="29" t="n">
        <v>11651.87</v>
      </c>
      <c r="G139" s="29" t="n">
        <v>5285.82</v>
      </c>
      <c r="H139" s="29" t="n"/>
      <c r="I139" s="29" t="n"/>
      <c r="J139" s="29" t="inlineStr">
        <is>
          <t>Partially Paid</t>
        </is>
      </c>
    </row>
    <row r="140">
      <c r="A140" s="29" t="inlineStr">
        <is>
          <t>AP-0009874</t>
        </is>
      </c>
      <c r="B140" s="29" t="inlineStr">
        <is>
          <t>V-2277</t>
        </is>
      </c>
      <c r="C140" s="29" t="n"/>
      <c r="D140" s="29" t="inlineStr">
        <is>
          <t>2026-05-15</t>
        </is>
      </c>
      <c r="E140" s="29" t="inlineStr">
        <is>
          <t>2026-06-14</t>
        </is>
      </c>
      <c r="F140" s="29" t="n">
        <v>4339.98</v>
      </c>
      <c r="G140" s="29" t="n">
        <v>2835.93</v>
      </c>
      <c r="H140" s="29" t="n"/>
      <c r="I140" s="29" t="n"/>
      <c r="J140" s="29" t="inlineStr">
        <is>
          <t>Partially Paid</t>
        </is>
      </c>
    </row>
    <row r="141">
      <c r="A141" s="29" t="inlineStr">
        <is>
          <t>AP-0009895</t>
        </is>
      </c>
      <c r="B141" s="29" t="inlineStr">
        <is>
          <t>V-2277</t>
        </is>
      </c>
      <c r="C141" s="29" t="n"/>
      <c r="D141" s="29" t="inlineStr">
        <is>
          <t>2026-05-15</t>
        </is>
      </c>
      <c r="E141" s="29" t="inlineStr">
        <is>
          <t>2026-06-14</t>
        </is>
      </c>
      <c r="F141" s="29" t="n">
        <v>2229.42</v>
      </c>
      <c r="G141" s="29" t="n">
        <v>1254.64</v>
      </c>
      <c r="H141" s="29" t="n"/>
      <c r="I141" s="29" t="n"/>
      <c r="J141" s="29" t="inlineStr">
        <is>
          <t>Partially Paid</t>
        </is>
      </c>
    </row>
    <row r="142">
      <c r="A142" s="29" t="inlineStr">
        <is>
          <t>AP-0011884</t>
        </is>
      </c>
      <c r="B142" s="29" t="inlineStr">
        <is>
          <t>V-2527</t>
        </is>
      </c>
      <c r="C142" s="29" t="n"/>
      <c r="D142" s="29" t="inlineStr">
        <is>
          <t>2026-05-15</t>
        </is>
      </c>
      <c r="E142" s="29" t="inlineStr">
        <is>
          <t>2026-06-14</t>
        </is>
      </c>
      <c r="F142" s="29" t="n">
        <v>6109.23</v>
      </c>
      <c r="G142" s="29" t="n">
        <v>4102.61</v>
      </c>
      <c r="H142" s="29" t="n"/>
      <c r="I142" s="29" t="n"/>
      <c r="J142" s="29" t="inlineStr">
        <is>
          <t>Partially Paid</t>
        </is>
      </c>
    </row>
    <row r="143">
      <c r="A143" s="29" t="inlineStr">
        <is>
          <t>AP-0005413</t>
        </is>
      </c>
      <c r="B143" s="29" t="inlineStr">
        <is>
          <t>V-2327</t>
        </is>
      </c>
      <c r="C143" s="29" t="inlineStr">
        <is>
          <t>ARM-2514</t>
        </is>
      </c>
      <c r="D143" s="29" t="inlineStr">
        <is>
          <t>2026-05-16</t>
        </is>
      </c>
      <c r="E143" s="29" t="inlineStr">
        <is>
          <t>2026-06-15</t>
        </is>
      </c>
      <c r="F143" s="29" t="n">
        <v>12982.85</v>
      </c>
      <c r="G143" s="29" t="n">
        <v>5517.21</v>
      </c>
      <c r="H143" s="29" t="n"/>
      <c r="I143" s="29" t="n"/>
      <c r="J143" s="29" t="inlineStr">
        <is>
          <t>Partially Paid</t>
        </is>
      </c>
    </row>
    <row r="144">
      <c r="A144" s="29" t="inlineStr">
        <is>
          <t>AP-0005738</t>
        </is>
      </c>
      <c r="B144" s="29" t="inlineStr">
        <is>
          <t>V-2522</t>
        </is>
      </c>
      <c r="C144" s="29" t="inlineStr">
        <is>
          <t>ARM-2608</t>
        </is>
      </c>
      <c r="D144" s="29" t="inlineStr">
        <is>
          <t>2026-05-16</t>
        </is>
      </c>
      <c r="E144" s="29" t="inlineStr">
        <is>
          <t>2026-06-15</t>
        </is>
      </c>
      <c r="F144" s="29" t="n">
        <v>10905.39</v>
      </c>
      <c r="G144" s="29" t="n">
        <v>7336.52</v>
      </c>
      <c r="H144" s="29" t="n"/>
      <c r="I144" s="29" t="n"/>
      <c r="J144" s="29" t="inlineStr">
        <is>
          <t>Partially Paid</t>
        </is>
      </c>
    </row>
    <row r="145">
      <c r="A145" s="29" t="inlineStr">
        <is>
          <t>AP-0005743</t>
        </is>
      </c>
      <c r="B145" s="29" t="inlineStr">
        <is>
          <t>V-2237</t>
        </is>
      </c>
      <c r="C145" s="29" t="inlineStr">
        <is>
          <t>ARM-2608</t>
        </is>
      </c>
      <c r="D145" s="29" t="inlineStr">
        <is>
          <t>2026-05-16</t>
        </is>
      </c>
      <c r="E145" s="29" t="inlineStr">
        <is>
          <t>2026-06-15</t>
        </is>
      </c>
      <c r="F145" s="29" t="n">
        <v>5121.72</v>
      </c>
      <c r="G145" s="29" t="n">
        <v>2589.5</v>
      </c>
      <c r="H145" s="29" t="n"/>
      <c r="I145" s="29" t="n"/>
      <c r="J145" s="29" t="inlineStr">
        <is>
          <t>Partially Paid</t>
        </is>
      </c>
    </row>
    <row r="146">
      <c r="A146" s="29" t="inlineStr">
        <is>
          <t>AP-0009877</t>
        </is>
      </c>
      <c r="B146" s="29" t="inlineStr">
        <is>
          <t>V-2297</t>
        </is>
      </c>
      <c r="C146" s="29" t="n"/>
      <c r="D146" s="29" t="inlineStr">
        <is>
          <t>2026-05-16</t>
        </is>
      </c>
      <c r="E146" s="29" t="inlineStr">
        <is>
          <t>2026-06-15</t>
        </is>
      </c>
      <c r="F146" s="29" t="n">
        <v>6595.39</v>
      </c>
      <c r="G146" s="29" t="n">
        <v>4494.18</v>
      </c>
      <c r="H146" s="29" t="n"/>
      <c r="I146" s="29" t="n"/>
      <c r="J146" s="29" t="inlineStr">
        <is>
          <t>Partially Paid</t>
        </is>
      </c>
    </row>
    <row r="147">
      <c r="A147" s="29" t="inlineStr">
        <is>
          <t>AP-0009898</t>
        </is>
      </c>
      <c r="B147" s="29" t="inlineStr">
        <is>
          <t>V-2297</t>
        </is>
      </c>
      <c r="C147" s="29" t="n"/>
      <c r="D147" s="29" t="inlineStr">
        <is>
          <t>2026-05-16</t>
        </is>
      </c>
      <c r="E147" s="29" t="inlineStr">
        <is>
          <t>2026-06-15</t>
        </is>
      </c>
      <c r="F147" s="29" t="n">
        <v>2878.5</v>
      </c>
      <c r="G147" s="29" t="n">
        <v>1169.33</v>
      </c>
      <c r="H147" s="29" t="n"/>
      <c r="I147" s="29" t="n"/>
      <c r="J147" s="29" t="inlineStr">
        <is>
          <t>Partially Paid</t>
        </is>
      </c>
    </row>
    <row r="148">
      <c r="A148" s="29" t="inlineStr">
        <is>
          <t>AP-0004280</t>
        </is>
      </c>
      <c r="B148" s="29" t="inlineStr">
        <is>
          <t>V-2448</t>
        </is>
      </c>
      <c r="C148" s="29" t="inlineStr">
        <is>
          <t>ARM-2409</t>
        </is>
      </c>
      <c r="D148" s="29" t="inlineStr">
        <is>
          <t>2026-05-17</t>
        </is>
      </c>
      <c r="E148" s="29" t="inlineStr">
        <is>
          <t>2026-06-16</t>
        </is>
      </c>
      <c r="F148" s="29" t="n">
        <v>14783.05</v>
      </c>
      <c r="G148" s="29" t="n">
        <v>7826.77</v>
      </c>
      <c r="H148" s="29" t="n"/>
      <c r="I148" s="29" t="n"/>
      <c r="J148" s="29" t="inlineStr">
        <is>
          <t>Partially Paid</t>
        </is>
      </c>
    </row>
    <row r="149">
      <c r="A149" s="29" t="inlineStr">
        <is>
          <t>AP-0005576</t>
        </is>
      </c>
      <c r="B149" s="29" t="inlineStr">
        <is>
          <t>V-2267</t>
        </is>
      </c>
      <c r="C149" s="29" t="inlineStr">
        <is>
          <t>ARM-2522</t>
        </is>
      </c>
      <c r="D149" s="29" t="inlineStr">
        <is>
          <t>2026-05-17</t>
        </is>
      </c>
      <c r="E149" s="29" t="inlineStr">
        <is>
          <t>2026-06-16</t>
        </is>
      </c>
      <c r="F149" s="29" t="n">
        <v>14214.2</v>
      </c>
      <c r="G149" s="29" t="n">
        <v>8667.35</v>
      </c>
      <c r="H149" s="29" t="n"/>
      <c r="I149" s="29" t="n"/>
      <c r="J149" s="29" t="inlineStr">
        <is>
          <t>Partially Paid</t>
        </is>
      </c>
    </row>
    <row r="150">
      <c r="A150" s="29" t="inlineStr">
        <is>
          <t>AP-0009880</t>
        </is>
      </c>
      <c r="B150" s="29" t="inlineStr">
        <is>
          <t>V-2322</t>
        </is>
      </c>
      <c r="C150" s="29" t="n"/>
      <c r="D150" s="29" t="inlineStr">
        <is>
          <t>2026-05-17</t>
        </is>
      </c>
      <c r="E150" s="29" t="inlineStr">
        <is>
          <t>2026-06-16</t>
        </is>
      </c>
      <c r="F150" s="29" t="n">
        <v>6493.43</v>
      </c>
      <c r="G150" s="29" t="n">
        <v>4365.59</v>
      </c>
      <c r="H150" s="29" t="n"/>
      <c r="I150" s="29" t="n"/>
      <c r="J150" s="29" t="inlineStr">
        <is>
          <t>Partially Paid</t>
        </is>
      </c>
    </row>
    <row r="151">
      <c r="A151" s="29" t="inlineStr">
        <is>
          <t>AP-0009901</t>
        </is>
      </c>
      <c r="B151" s="29" t="inlineStr">
        <is>
          <t>V-2322</t>
        </is>
      </c>
      <c r="C151" s="29" t="n"/>
      <c r="D151" s="29" t="inlineStr">
        <is>
          <t>2026-05-17</t>
        </is>
      </c>
      <c r="E151" s="29" t="inlineStr">
        <is>
          <t>2026-06-16</t>
        </is>
      </c>
      <c r="F151" s="29" t="n">
        <v>2929.36</v>
      </c>
      <c r="G151" s="29" t="n">
        <v>1336.69</v>
      </c>
      <c r="H151" s="29" t="n"/>
      <c r="I151" s="29" t="n"/>
      <c r="J151" s="29" t="inlineStr">
        <is>
          <t>Partially Paid</t>
        </is>
      </c>
    </row>
    <row r="152">
      <c r="A152" s="29" t="inlineStr">
        <is>
          <t>AP-0011865</t>
        </is>
      </c>
      <c r="B152" s="29" t="inlineStr">
        <is>
          <t>V-2409</t>
        </is>
      </c>
      <c r="C152" s="29" t="n"/>
      <c r="D152" s="29" t="inlineStr">
        <is>
          <t>2026-05-02</t>
        </is>
      </c>
      <c r="E152" s="29" t="inlineStr">
        <is>
          <t>2026-06-16</t>
        </is>
      </c>
      <c r="F152" s="29" t="n">
        <v>25506.12</v>
      </c>
      <c r="G152" s="29" t="n">
        <v>11135.54</v>
      </c>
      <c r="H152" s="29" t="n"/>
      <c r="I152" s="29" t="n"/>
      <c r="J152" s="29" t="inlineStr">
        <is>
          <t>Partially Paid</t>
        </is>
      </c>
    </row>
    <row r="153">
      <c r="A153" s="29" t="inlineStr">
        <is>
          <t>AP-0011879</t>
        </is>
      </c>
      <c r="B153" s="29" t="inlineStr">
        <is>
          <t>V-2283</t>
        </is>
      </c>
      <c r="C153" s="29" t="n"/>
      <c r="D153" s="29" t="inlineStr">
        <is>
          <t>2026-05-17</t>
        </is>
      </c>
      <c r="E153" s="29" t="inlineStr">
        <is>
          <t>2026-06-16</t>
        </is>
      </c>
      <c r="F153" s="29" t="n">
        <v>4776.22</v>
      </c>
      <c r="G153" s="29" t="n">
        <v>2281.49</v>
      </c>
      <c r="H153" s="29" t="n"/>
      <c r="I153" s="29" t="n"/>
      <c r="J153" s="29" t="inlineStr">
        <is>
          <t>Partially Paid</t>
        </is>
      </c>
    </row>
    <row r="154">
      <c r="A154" s="29" t="inlineStr">
        <is>
          <t>AP-0004282</t>
        </is>
      </c>
      <c r="B154" s="29" t="inlineStr">
        <is>
          <t>V-2469</t>
        </is>
      </c>
      <c r="C154" s="29" t="inlineStr">
        <is>
          <t>ARM-2409</t>
        </is>
      </c>
      <c r="D154" s="29" t="inlineStr">
        <is>
          <t>2026-05-03</t>
        </is>
      </c>
      <c r="E154" s="29" t="inlineStr">
        <is>
          <t>2026-06-17</t>
        </is>
      </c>
      <c r="F154" s="29" t="n">
        <v>31839.27</v>
      </c>
      <c r="G154" s="29" t="n">
        <v>0</v>
      </c>
      <c r="H154" s="29" t="inlineStr">
        <is>
          <t>Y</t>
        </is>
      </c>
      <c r="I154" s="29" t="inlineStr">
        <is>
          <t>Pending backcharge resolution and project-manager release</t>
        </is>
      </c>
      <c r="J154" s="29" t="inlineStr">
        <is>
          <t>Open</t>
        </is>
      </c>
    </row>
    <row r="155">
      <c r="A155" s="29" t="inlineStr">
        <is>
          <t>AP-0005230</t>
        </is>
      </c>
      <c r="B155" s="29" t="inlineStr">
        <is>
          <t>V-2467</t>
        </is>
      </c>
      <c r="C155" s="29" t="inlineStr">
        <is>
          <t>ARM-2510</t>
        </is>
      </c>
      <c r="D155" s="29" t="inlineStr">
        <is>
          <t>2026-05-18</t>
        </is>
      </c>
      <c r="E155" s="29" t="inlineStr">
        <is>
          <t>2026-06-17</t>
        </is>
      </c>
      <c r="F155" s="29" t="n">
        <v>14279.41</v>
      </c>
      <c r="G155" s="29" t="n">
        <v>7336.92</v>
      </c>
      <c r="H155" s="29" t="n"/>
      <c r="I155" s="29" t="n"/>
      <c r="J155" s="29" t="inlineStr">
        <is>
          <t>Partially Paid</t>
        </is>
      </c>
    </row>
    <row r="156">
      <c r="A156" s="29" t="inlineStr">
        <is>
          <t>AP-0005574</t>
        </is>
      </c>
      <c r="B156" s="29" t="inlineStr">
        <is>
          <t>V-2229</t>
        </is>
      </c>
      <c r="C156" s="29" t="inlineStr">
        <is>
          <t>ARM-2522</t>
        </is>
      </c>
      <c r="D156" s="29" t="inlineStr">
        <is>
          <t>2026-05-03</t>
        </is>
      </c>
      <c r="E156" s="29" t="inlineStr">
        <is>
          <t>2026-06-17</t>
        </is>
      </c>
      <c r="F156" s="29" t="n">
        <v>7690.62</v>
      </c>
      <c r="G156" s="29" t="n">
        <v>4456.56</v>
      </c>
      <c r="H156" s="29" t="n"/>
      <c r="I156" s="29" t="n"/>
      <c r="J156" s="29" t="inlineStr">
        <is>
          <t>Partially Paid</t>
        </is>
      </c>
    </row>
    <row r="157">
      <c r="A157" s="29" t="inlineStr">
        <is>
          <t>AP-0009903</t>
        </is>
      </c>
      <c r="B157" s="29" t="inlineStr">
        <is>
          <t>V-2530</t>
        </is>
      </c>
      <c r="C157" s="29" t="n"/>
      <c r="D157" s="29" t="inlineStr">
        <is>
          <t>2026-06-02</t>
        </is>
      </c>
      <c r="E157" s="29" t="inlineStr">
        <is>
          <t>2026-06-17</t>
        </is>
      </c>
      <c r="F157" s="29" t="n">
        <v>6127.01</v>
      </c>
      <c r="G157" s="29" t="n">
        <v>2699.77</v>
      </c>
      <c r="H157" s="29" t="n"/>
      <c r="I157" s="29" t="n"/>
      <c r="J157" s="29" t="inlineStr">
        <is>
          <t>Partially Paid</t>
        </is>
      </c>
    </row>
    <row r="158">
      <c r="A158" s="29" t="inlineStr">
        <is>
          <t>AP-0009924</t>
        </is>
      </c>
      <c r="B158" s="29" t="inlineStr">
        <is>
          <t>V-2530</t>
        </is>
      </c>
      <c r="C158" s="29" t="n"/>
      <c r="D158" s="29" t="inlineStr">
        <is>
          <t>2026-06-02</t>
        </is>
      </c>
      <c r="E158" s="29" t="inlineStr">
        <is>
          <t>2026-06-17</t>
        </is>
      </c>
      <c r="F158" s="29" t="n">
        <v>3639.51</v>
      </c>
      <c r="G158" s="29" t="n">
        <v>1281</v>
      </c>
      <c r="H158" s="29" t="n"/>
      <c r="I158" s="29" t="n"/>
      <c r="J158" s="29" t="inlineStr">
        <is>
          <t>Partially Paid</t>
        </is>
      </c>
    </row>
    <row r="159">
      <c r="A159" s="29" t="inlineStr">
        <is>
          <t>AP-0011876</t>
        </is>
      </c>
      <c r="B159" s="29" t="inlineStr">
        <is>
          <t>V-2489</t>
        </is>
      </c>
      <c r="C159" s="29" t="n"/>
      <c r="D159" s="29" t="inlineStr">
        <is>
          <t>2026-05-03</t>
        </is>
      </c>
      <c r="E159" s="29" t="inlineStr">
        <is>
          <t>2026-06-17</t>
        </is>
      </c>
      <c r="F159" s="29" t="n">
        <v>6157.07</v>
      </c>
      <c r="G159" s="29" t="n">
        <v>2385.18</v>
      </c>
      <c r="H159" s="29" t="n"/>
      <c r="I159" s="29" t="n"/>
      <c r="J159" s="29" t="inlineStr">
        <is>
          <t>Partially Paid</t>
        </is>
      </c>
    </row>
    <row r="160">
      <c r="A160" s="29" t="inlineStr">
        <is>
          <t>AP-0004093</t>
        </is>
      </c>
      <c r="B160" s="29" t="inlineStr">
        <is>
          <t>V-2033</t>
        </is>
      </c>
      <c r="C160" s="29" t="inlineStr">
        <is>
          <t>ARM-2403</t>
        </is>
      </c>
      <c r="D160" s="29" t="inlineStr">
        <is>
          <t>2026-05-19</t>
        </is>
      </c>
      <c r="E160" s="29" t="inlineStr">
        <is>
          <t>2026-06-18</t>
        </is>
      </c>
      <c r="F160" s="29" t="n">
        <v>8351.120000000001</v>
      </c>
      <c r="G160" s="29" t="n">
        <v>4390.55</v>
      </c>
      <c r="H160" s="29" t="n"/>
      <c r="I160" s="29" t="n"/>
      <c r="J160" s="29" t="inlineStr">
        <is>
          <t>Partially Paid</t>
        </is>
      </c>
    </row>
    <row r="161">
      <c r="A161" s="29" t="inlineStr">
        <is>
          <t>AP-0004685</t>
        </is>
      </c>
      <c r="B161" s="29" t="inlineStr">
        <is>
          <t>V-2291</t>
        </is>
      </c>
      <c r="C161" s="29" t="inlineStr">
        <is>
          <t>ARM-2417</t>
        </is>
      </c>
      <c r="D161" s="29" t="inlineStr">
        <is>
          <t>2026-05-19</t>
        </is>
      </c>
      <c r="E161" s="29" t="inlineStr">
        <is>
          <t>2026-06-18</t>
        </is>
      </c>
      <c r="F161" s="29" t="n">
        <v>11836.56</v>
      </c>
      <c r="G161" s="29" t="n">
        <v>6220.2</v>
      </c>
      <c r="H161" s="29" t="n"/>
      <c r="I161" s="29" t="n"/>
      <c r="J161" s="29" t="inlineStr">
        <is>
          <t>Partially Paid</t>
        </is>
      </c>
    </row>
    <row r="162">
      <c r="A162" s="29" t="inlineStr">
        <is>
          <t>AP-0005102</t>
        </is>
      </c>
      <c r="B162" s="29" t="inlineStr">
        <is>
          <t>V-2265</t>
        </is>
      </c>
      <c r="C162" s="29" t="inlineStr">
        <is>
          <t>ARM-2506</t>
        </is>
      </c>
      <c r="D162" s="29" t="inlineStr">
        <is>
          <t>2026-06-03</t>
        </is>
      </c>
      <c r="E162" s="29" t="inlineStr">
        <is>
          <t>2026-06-18</t>
        </is>
      </c>
      <c r="F162" s="29" t="n">
        <v>30382.97</v>
      </c>
      <c r="G162" s="29" t="n">
        <v>15274.22</v>
      </c>
      <c r="H162" s="29" t="n"/>
      <c r="I162" s="29" t="n"/>
      <c r="J162" s="29" t="inlineStr">
        <is>
          <t>Partially Paid</t>
        </is>
      </c>
    </row>
    <row r="163">
      <c r="A163" s="29" t="inlineStr">
        <is>
          <t>AP-0005106</t>
        </is>
      </c>
      <c r="B163" s="29" t="inlineStr">
        <is>
          <t>V-2315</t>
        </is>
      </c>
      <c r="C163" s="29" t="inlineStr">
        <is>
          <t>ARM-2506</t>
        </is>
      </c>
      <c r="D163" s="29" t="inlineStr">
        <is>
          <t>2026-06-03</t>
        </is>
      </c>
      <c r="E163" s="29" t="inlineStr">
        <is>
          <t>2026-06-18</t>
        </is>
      </c>
      <c r="F163" s="29" t="n">
        <v>6608.65</v>
      </c>
      <c r="G163" s="29" t="n">
        <v>3986.34</v>
      </c>
      <c r="H163" s="29" t="n"/>
      <c r="I163" s="29" t="n"/>
      <c r="J163" s="29" t="inlineStr">
        <is>
          <t>Partially Paid</t>
        </is>
      </c>
    </row>
    <row r="164">
      <c r="A164" s="29" t="inlineStr">
        <is>
          <t>AP-0005235</t>
        </is>
      </c>
      <c r="B164" s="29" t="inlineStr">
        <is>
          <t>V-2524</t>
        </is>
      </c>
      <c r="C164" s="29" t="inlineStr">
        <is>
          <t>ARM-2510</t>
        </is>
      </c>
      <c r="D164" s="29" t="inlineStr">
        <is>
          <t>2026-05-04</t>
        </is>
      </c>
      <c r="E164" s="29" t="inlineStr">
        <is>
          <t>2026-06-18</t>
        </is>
      </c>
      <c r="F164" s="29" t="n">
        <v>30354.27</v>
      </c>
      <c r="G164" s="29" t="n">
        <v>17770.23</v>
      </c>
      <c r="H164" s="29" t="n"/>
      <c r="I164" s="29" t="n"/>
      <c r="J164" s="29" t="inlineStr">
        <is>
          <t>Partially Paid</t>
        </is>
      </c>
    </row>
    <row r="165">
      <c r="A165" s="29" t="inlineStr">
        <is>
          <t>AP-0005410</t>
        </is>
      </c>
      <c r="B165" s="29" t="inlineStr">
        <is>
          <t>V-2286</t>
        </is>
      </c>
      <c r="C165" s="29" t="inlineStr">
        <is>
          <t>ARM-2514</t>
        </is>
      </c>
      <c r="D165" s="29" t="inlineStr">
        <is>
          <t>2026-05-19</t>
        </is>
      </c>
      <c r="E165" s="29" t="inlineStr">
        <is>
          <t>2026-06-18</t>
        </is>
      </c>
      <c r="F165" s="29" t="n">
        <v>12492.22</v>
      </c>
      <c r="G165" s="29" t="n">
        <v>8629.940000000001</v>
      </c>
      <c r="H165" s="29" t="n"/>
      <c r="I165" s="29" t="n"/>
      <c r="J165" s="29" t="inlineStr">
        <is>
          <t>Partially Paid</t>
        </is>
      </c>
    </row>
    <row r="166">
      <c r="A166" s="29" t="inlineStr">
        <is>
          <t>AP-0005426</t>
        </is>
      </c>
      <c r="B166" s="29" t="inlineStr">
        <is>
          <t>V-2477</t>
        </is>
      </c>
      <c r="C166" s="29" t="inlineStr">
        <is>
          <t>ARM-2514</t>
        </is>
      </c>
      <c r="D166" s="29" t="inlineStr">
        <is>
          <t>2026-05-19</t>
        </is>
      </c>
      <c r="E166" s="29" t="inlineStr">
        <is>
          <t>2026-06-18</t>
        </is>
      </c>
      <c r="F166" s="29" t="n">
        <v>8215.51</v>
      </c>
      <c r="G166" s="29" t="n">
        <v>4713.25</v>
      </c>
      <c r="H166" s="29" t="n"/>
      <c r="I166" s="29" t="n"/>
      <c r="J166" s="29" t="inlineStr">
        <is>
          <t>Partially Paid</t>
        </is>
      </c>
    </row>
    <row r="167">
      <c r="A167" s="29" t="inlineStr">
        <is>
          <t>AP-0005587</t>
        </is>
      </c>
      <c r="B167" s="29" t="inlineStr">
        <is>
          <t>V-2405</t>
        </is>
      </c>
      <c r="C167" s="29" t="inlineStr">
        <is>
          <t>ARM-2522</t>
        </is>
      </c>
      <c r="D167" s="29" t="inlineStr">
        <is>
          <t>2026-06-03</t>
        </is>
      </c>
      <c r="E167" s="29" t="inlineStr">
        <is>
          <t>2026-06-18</t>
        </is>
      </c>
      <c r="F167" s="29" t="n">
        <v>17066.68</v>
      </c>
      <c r="G167" s="29" t="n">
        <v>10428.94</v>
      </c>
      <c r="H167" s="29" t="n"/>
      <c r="I167" s="29" t="n"/>
      <c r="J167" s="29" t="inlineStr">
        <is>
          <t>Partially Paid</t>
        </is>
      </c>
    </row>
    <row r="168">
      <c r="A168" s="29" t="inlineStr">
        <is>
          <t>AP-0003874</t>
        </is>
      </c>
      <c r="B168" s="29" t="inlineStr">
        <is>
          <t>V-2272</t>
        </is>
      </c>
      <c r="C168" s="29" t="inlineStr">
        <is>
          <t>ARM-2318</t>
        </is>
      </c>
      <c r="D168" s="29" t="inlineStr">
        <is>
          <t>2026-05-20</t>
        </is>
      </c>
      <c r="E168" s="29" t="inlineStr">
        <is>
          <t>2026-06-19</t>
        </is>
      </c>
      <c r="F168" s="29" t="n">
        <v>10107.09</v>
      </c>
      <c r="G168" s="29" t="n">
        <v>5668.8</v>
      </c>
      <c r="H168" s="29" t="n"/>
      <c r="I168" s="29" t="n"/>
      <c r="J168" s="29" t="inlineStr">
        <is>
          <t>Partially Paid</t>
        </is>
      </c>
    </row>
    <row r="169">
      <c r="A169" s="29" t="inlineStr">
        <is>
          <t>AP-0004693</t>
        </is>
      </c>
      <c r="B169" s="29" t="inlineStr">
        <is>
          <t>V-2384</t>
        </is>
      </c>
      <c r="C169" s="29" t="inlineStr">
        <is>
          <t>ARM-2417</t>
        </is>
      </c>
      <c r="D169" s="29" t="inlineStr">
        <is>
          <t>2026-05-05</t>
        </is>
      </c>
      <c r="E169" s="29" t="inlineStr">
        <is>
          <t>2026-06-19</t>
        </is>
      </c>
      <c r="F169" s="29" t="n">
        <v>4436.43</v>
      </c>
      <c r="G169" s="29" t="n">
        <v>2405.61</v>
      </c>
      <c r="H169" s="29" t="n"/>
      <c r="I169" s="29" t="n"/>
      <c r="J169" s="29" t="inlineStr">
        <is>
          <t>Partially Paid</t>
        </is>
      </c>
    </row>
    <row r="170">
      <c r="A170" s="29" t="inlineStr">
        <is>
          <t>AP-0005417</t>
        </is>
      </c>
      <c r="B170" s="29" t="inlineStr">
        <is>
          <t>V-2383</t>
        </is>
      </c>
      <c r="C170" s="29" t="inlineStr">
        <is>
          <t>ARM-2514</t>
        </is>
      </c>
      <c r="D170" s="29" t="inlineStr">
        <is>
          <t>2026-05-20</t>
        </is>
      </c>
      <c r="E170" s="29" t="inlineStr">
        <is>
          <t>2026-06-19</t>
        </is>
      </c>
      <c r="F170" s="29" t="n">
        <v>11276.82</v>
      </c>
      <c r="G170" s="29" t="n">
        <v>4662.44</v>
      </c>
      <c r="H170" s="29" t="n"/>
      <c r="I170" s="29" t="n"/>
      <c r="J170" s="29" t="inlineStr">
        <is>
          <t>Partially Paid</t>
        </is>
      </c>
    </row>
    <row r="171">
      <c r="A171" s="29" t="inlineStr">
        <is>
          <t>AP-0005674</t>
        </is>
      </c>
      <c r="B171" s="29" t="inlineStr">
        <is>
          <t>V-2429</t>
        </is>
      </c>
      <c r="C171" s="29" t="inlineStr">
        <is>
          <t>ARM-2602</t>
        </is>
      </c>
      <c r="D171" s="29" t="inlineStr">
        <is>
          <t>2026-05-05</t>
        </is>
      </c>
      <c r="E171" s="29" t="inlineStr">
        <is>
          <t>2026-06-19</t>
        </is>
      </c>
      <c r="F171" s="29" t="n">
        <v>9799.5</v>
      </c>
      <c r="G171" s="29" t="n">
        <v>6449.73</v>
      </c>
      <c r="H171" s="29" t="n"/>
      <c r="I171" s="29" t="n"/>
      <c r="J171" s="29" t="inlineStr">
        <is>
          <t>Partially Paid</t>
        </is>
      </c>
    </row>
    <row r="172">
      <c r="A172" s="29" t="inlineStr">
        <is>
          <t>AP-0009863</t>
        </is>
      </c>
      <c r="B172" s="29" t="inlineStr">
        <is>
          <t>V-2528</t>
        </is>
      </c>
      <c r="C172" s="29" t="n"/>
      <c r="D172" s="29" t="inlineStr">
        <is>
          <t>2026-05-20</t>
        </is>
      </c>
      <c r="E172" s="29" t="inlineStr">
        <is>
          <t>2026-06-19</t>
        </is>
      </c>
      <c r="F172" s="29" t="n">
        <v>4247.47</v>
      </c>
      <c r="G172" s="29" t="n">
        <v>1945.32</v>
      </c>
      <c r="H172" s="29" t="n"/>
      <c r="I172" s="29" t="n"/>
      <c r="J172" s="29" t="inlineStr">
        <is>
          <t>Partially Paid</t>
        </is>
      </c>
    </row>
    <row r="173">
      <c r="A173" s="29" t="inlineStr">
        <is>
          <t>AP-0009884</t>
        </is>
      </c>
      <c r="B173" s="29" t="inlineStr">
        <is>
          <t>V-2528</t>
        </is>
      </c>
      <c r="C173" s="29" t="n"/>
      <c r="D173" s="29" t="inlineStr">
        <is>
          <t>2026-05-20</t>
        </is>
      </c>
      <c r="E173" s="29" t="inlineStr">
        <is>
          <t>2026-06-19</t>
        </is>
      </c>
      <c r="F173" s="29" t="n">
        <v>3140.38</v>
      </c>
      <c r="G173" s="29" t="n">
        <v>1897.45</v>
      </c>
      <c r="H173" s="29" t="n"/>
      <c r="I173" s="29" t="n"/>
      <c r="J173" s="29" t="inlineStr">
        <is>
          <t>Partially Paid</t>
        </is>
      </c>
    </row>
    <row r="174">
      <c r="A174" s="29" t="inlineStr">
        <is>
          <t>AP-0004436</t>
        </is>
      </c>
      <c r="B174" s="29" t="inlineStr">
        <is>
          <t>V-2308</t>
        </is>
      </c>
      <c r="C174" s="29" t="inlineStr">
        <is>
          <t>ARM-2412</t>
        </is>
      </c>
      <c r="D174" s="29" t="inlineStr">
        <is>
          <t>2026-05-21</t>
        </is>
      </c>
      <c r="E174" s="29" t="inlineStr">
        <is>
          <t>2026-06-20</t>
        </is>
      </c>
      <c r="F174" s="29" t="n">
        <v>10902.84</v>
      </c>
      <c r="G174" s="29" t="n">
        <v>6725.96</v>
      </c>
      <c r="H174" s="29" t="n"/>
      <c r="I174" s="29" t="n"/>
      <c r="J174" s="29" t="inlineStr">
        <is>
          <t>Partially Paid</t>
        </is>
      </c>
    </row>
    <row r="175">
      <c r="A175" s="29" t="inlineStr">
        <is>
          <t>AP-0004440</t>
        </is>
      </c>
      <c r="B175" s="29" t="inlineStr">
        <is>
          <t>V-2357</t>
        </is>
      </c>
      <c r="C175" s="29" t="inlineStr">
        <is>
          <t>ARM-2412</t>
        </is>
      </c>
      <c r="D175" s="29" t="inlineStr">
        <is>
          <t>2026-05-21</t>
        </is>
      </c>
      <c r="E175" s="29" t="inlineStr">
        <is>
          <t>2026-06-20</t>
        </is>
      </c>
      <c r="F175" s="29" t="n">
        <v>31548.5</v>
      </c>
      <c r="G175" s="29" t="n">
        <v>20678.71</v>
      </c>
      <c r="H175" s="29" t="n"/>
      <c r="I175" s="29" t="n"/>
      <c r="J175" s="29" t="inlineStr">
        <is>
          <t>Partially Paid</t>
        </is>
      </c>
    </row>
    <row r="176">
      <c r="A176" s="29" t="inlineStr">
        <is>
          <t>AP-0005076</t>
        </is>
      </c>
      <c r="B176" s="29" t="inlineStr">
        <is>
          <t>V-2293</t>
        </is>
      </c>
      <c r="C176" s="29" t="inlineStr">
        <is>
          <t>ARM-2506</t>
        </is>
      </c>
      <c r="D176" s="29" t="inlineStr">
        <is>
          <t>2026-05-21</t>
        </is>
      </c>
      <c r="E176" s="29" t="inlineStr">
        <is>
          <t>2026-06-20</t>
        </is>
      </c>
      <c r="F176" s="29" t="n">
        <v>15985.27</v>
      </c>
      <c r="G176" s="29" t="n">
        <v>10413.79</v>
      </c>
      <c r="H176" s="29" t="n"/>
      <c r="I176" s="29" t="n"/>
      <c r="J176" s="29" t="inlineStr">
        <is>
          <t>Partially Paid</t>
        </is>
      </c>
    </row>
    <row r="177">
      <c r="A177" s="29" t="inlineStr">
        <is>
          <t>AP-0005089</t>
        </is>
      </c>
      <c r="B177" s="29" t="inlineStr">
        <is>
          <t>V-2448</t>
        </is>
      </c>
      <c r="C177" s="29" t="inlineStr">
        <is>
          <t>ARM-2506</t>
        </is>
      </c>
      <c r="D177" s="29" t="inlineStr">
        <is>
          <t>2026-05-21</t>
        </is>
      </c>
      <c r="E177" s="29" t="inlineStr">
        <is>
          <t>2026-06-20</t>
        </is>
      </c>
      <c r="F177" s="29" t="n">
        <v>4367.68</v>
      </c>
      <c r="G177" s="29" t="n">
        <v>2646.84</v>
      </c>
      <c r="H177" s="29" t="n"/>
      <c r="I177" s="29" t="n"/>
      <c r="J177" s="29" t="inlineStr">
        <is>
          <t>Partially Paid</t>
        </is>
      </c>
    </row>
    <row r="178">
      <c r="A178" s="29" t="inlineStr">
        <is>
          <t>AP-0005227</t>
        </is>
      </c>
      <c r="B178" s="29" t="inlineStr">
        <is>
          <t>V-2427</t>
        </is>
      </c>
      <c r="C178" s="29" t="inlineStr">
        <is>
          <t>ARM-2510</t>
        </is>
      </c>
      <c r="D178" s="29" t="inlineStr">
        <is>
          <t>2026-05-21</t>
        </is>
      </c>
      <c r="E178" s="29" t="inlineStr">
        <is>
          <t>2026-06-20</t>
        </is>
      </c>
      <c r="F178" s="29" t="n">
        <v>7667.07</v>
      </c>
      <c r="G178" s="29" t="n">
        <v>4516.84</v>
      </c>
      <c r="H178" s="29" t="n"/>
      <c r="I178" s="29" t="n"/>
      <c r="J178" s="29" t="inlineStr">
        <is>
          <t>Partially Paid</t>
        </is>
      </c>
    </row>
    <row r="179">
      <c r="A179" s="29" t="inlineStr">
        <is>
          <t>AP-0005571</t>
        </is>
      </c>
      <c r="B179" s="29" t="inlineStr">
        <is>
          <t>V-2534</t>
        </is>
      </c>
      <c r="C179" s="29" t="inlineStr">
        <is>
          <t>ARM-2522</t>
        </is>
      </c>
      <c r="D179" s="29" t="inlineStr">
        <is>
          <t>2026-05-06</t>
        </is>
      </c>
      <c r="E179" s="29" t="inlineStr">
        <is>
          <t>2026-06-20</t>
        </is>
      </c>
      <c r="F179" s="29" t="n">
        <v>15076.69</v>
      </c>
      <c r="G179" s="29" t="n">
        <v>7474.86</v>
      </c>
      <c r="H179" s="29" t="n"/>
      <c r="I179" s="29" t="n"/>
      <c r="J179" s="29" t="inlineStr">
        <is>
          <t>Partially Paid</t>
        </is>
      </c>
    </row>
    <row r="180">
      <c r="A180" s="29" t="inlineStr">
        <is>
          <t>AP-0005719</t>
        </is>
      </c>
      <c r="B180" s="29" t="inlineStr">
        <is>
          <t>V-2300</t>
        </is>
      </c>
      <c r="C180" s="29" t="inlineStr">
        <is>
          <t>ARM-2605</t>
        </is>
      </c>
      <c r="D180" s="29" t="inlineStr">
        <is>
          <t>2026-06-05</t>
        </is>
      </c>
      <c r="E180" s="29" t="inlineStr">
        <is>
          <t>2026-06-20</t>
        </is>
      </c>
      <c r="F180" s="29" t="n">
        <v>17792.65</v>
      </c>
      <c r="G180" s="29" t="n">
        <v>10266.86</v>
      </c>
      <c r="H180" s="29" t="n"/>
      <c r="I180" s="29" t="n"/>
      <c r="J180" s="29" t="inlineStr">
        <is>
          <t>Partially Paid</t>
        </is>
      </c>
    </row>
    <row r="181">
      <c r="A181" s="29" t="inlineStr">
        <is>
          <t>AP-0009866</t>
        </is>
      </c>
      <c r="B181" s="29" t="inlineStr">
        <is>
          <t>V-2078</t>
        </is>
      </c>
      <c r="C181" s="29" t="n"/>
      <c r="D181" s="29" t="inlineStr">
        <is>
          <t>2026-05-21</t>
        </is>
      </c>
      <c r="E181" s="29" t="inlineStr">
        <is>
          <t>2026-06-20</t>
        </is>
      </c>
      <c r="F181" s="29" t="n">
        <v>6372.1</v>
      </c>
      <c r="G181" s="29" t="n">
        <v>4251.85</v>
      </c>
      <c r="H181" s="29" t="n"/>
      <c r="I181" s="29" t="n"/>
      <c r="J181" s="29" t="inlineStr">
        <is>
          <t>Partially Paid</t>
        </is>
      </c>
    </row>
    <row r="182">
      <c r="A182" s="29" t="inlineStr">
        <is>
          <t>AP-0009887</t>
        </is>
      </c>
      <c r="B182" s="29" t="inlineStr">
        <is>
          <t>V-2078</t>
        </is>
      </c>
      <c r="C182" s="29" t="n"/>
      <c r="D182" s="29" t="inlineStr">
        <is>
          <t>2026-05-21</t>
        </is>
      </c>
      <c r="E182" s="29" t="inlineStr">
        <is>
          <t>2026-06-20</t>
        </is>
      </c>
      <c r="F182" s="29" t="n">
        <v>3602</v>
      </c>
      <c r="G182" s="29" t="n">
        <v>1528.71</v>
      </c>
      <c r="H182" s="29" t="n"/>
      <c r="I182" s="29" t="n"/>
      <c r="J182" s="29" t="inlineStr">
        <is>
          <t>Partially Paid</t>
        </is>
      </c>
    </row>
    <row r="183">
      <c r="A183" s="29" t="inlineStr">
        <is>
          <t>AP-0004682</t>
        </is>
      </c>
      <c r="B183" s="29" t="inlineStr">
        <is>
          <t>V-2241</t>
        </is>
      </c>
      <c r="C183" s="29" t="inlineStr">
        <is>
          <t>ARM-2417</t>
        </is>
      </c>
      <c r="D183" s="29" t="inlineStr">
        <is>
          <t>2026-05-22</t>
        </is>
      </c>
      <c r="E183" s="29" t="inlineStr">
        <is>
          <t>2026-06-21</t>
        </is>
      </c>
      <c r="F183" s="29" t="n">
        <v>11717.4</v>
      </c>
      <c r="G183" s="29" t="n">
        <v>6284.51</v>
      </c>
      <c r="H183" s="29" t="n"/>
      <c r="I183" s="29" t="n"/>
      <c r="J183" s="29" t="inlineStr">
        <is>
          <t>Partially Paid</t>
        </is>
      </c>
    </row>
    <row r="184">
      <c r="A184" s="29" t="inlineStr">
        <is>
          <t>AP-0004898</t>
        </is>
      </c>
      <c r="B184" s="29" t="inlineStr">
        <is>
          <t>V-2495</t>
        </is>
      </c>
      <c r="C184" s="29" t="inlineStr">
        <is>
          <t>ARM-2501</t>
        </is>
      </c>
      <c r="D184" s="29" t="inlineStr">
        <is>
          <t>2026-06-06</t>
        </is>
      </c>
      <c r="E184" s="29" t="inlineStr">
        <is>
          <t>2026-06-21</t>
        </is>
      </c>
      <c r="F184" s="29" t="n">
        <v>8435.41</v>
      </c>
      <c r="G184" s="29" t="n">
        <v>5779.6</v>
      </c>
      <c r="H184" s="29" t="n"/>
      <c r="I184" s="29" t="n"/>
      <c r="J184" s="29" t="inlineStr">
        <is>
          <t>Partially Paid</t>
        </is>
      </c>
    </row>
    <row r="185">
      <c r="A185" s="29" t="inlineStr">
        <is>
          <t>AP-0005407</t>
        </is>
      </c>
      <c r="B185" s="29" t="inlineStr">
        <is>
          <t>V-2232</t>
        </is>
      </c>
      <c r="C185" s="29" t="inlineStr">
        <is>
          <t>ARM-2514</t>
        </is>
      </c>
      <c r="D185" s="29" t="inlineStr">
        <is>
          <t>2026-05-22</t>
        </is>
      </c>
      <c r="E185" s="29" t="inlineStr">
        <is>
          <t>2026-06-21</t>
        </is>
      </c>
      <c r="F185" s="29" t="n">
        <v>10244.44</v>
      </c>
      <c r="G185" s="29" t="n">
        <v>4072.26</v>
      </c>
      <c r="H185" s="29" t="n"/>
      <c r="I185" s="29" t="n"/>
      <c r="J185" s="29" t="inlineStr">
        <is>
          <t>Partially Paid</t>
        </is>
      </c>
    </row>
    <row r="186">
      <c r="A186" s="29" t="inlineStr">
        <is>
          <t>AP-0005423</t>
        </is>
      </c>
      <c r="B186" s="29" t="inlineStr">
        <is>
          <t>V-2438</t>
        </is>
      </c>
      <c r="C186" s="29" t="inlineStr">
        <is>
          <t>ARM-2514</t>
        </is>
      </c>
      <c r="D186" s="29" t="inlineStr">
        <is>
          <t>2026-05-22</t>
        </is>
      </c>
      <c r="E186" s="29" t="inlineStr">
        <is>
          <t>2026-06-21</t>
        </is>
      </c>
      <c r="F186" s="29" t="n">
        <v>7422.08</v>
      </c>
      <c r="G186" s="29" t="n">
        <v>5127.25</v>
      </c>
      <c r="H186" s="29" t="n"/>
      <c r="I186" s="29" t="n"/>
      <c r="J186" s="29" t="inlineStr">
        <is>
          <t>Partially Paid</t>
        </is>
      </c>
    </row>
    <row r="187">
      <c r="A187" s="29" t="inlineStr">
        <is>
          <t>AP-0005439</t>
        </is>
      </c>
      <c r="B187" s="29" t="inlineStr">
        <is>
          <t>V-2315</t>
        </is>
      </c>
      <c r="C187" s="29" t="inlineStr">
        <is>
          <t>ARM-2514</t>
        </is>
      </c>
      <c r="D187" s="29" t="inlineStr">
        <is>
          <t>2026-06-06</t>
        </is>
      </c>
      <c r="E187" s="29" t="inlineStr">
        <is>
          <t>2026-06-21</t>
        </is>
      </c>
      <c r="F187" s="29" t="n">
        <v>12655.33</v>
      </c>
      <c r="G187" s="29" t="n">
        <v>6565.76</v>
      </c>
      <c r="H187" s="29" t="n"/>
      <c r="I187" s="29" t="n"/>
      <c r="J187" s="29" t="inlineStr">
        <is>
          <t>Partially Paid</t>
        </is>
      </c>
    </row>
    <row r="188">
      <c r="A188" s="29" t="inlineStr">
        <is>
          <t>AP-0005680</t>
        </is>
      </c>
      <c r="B188" s="29" t="inlineStr">
        <is>
          <t>V-2498</t>
        </is>
      </c>
      <c r="C188" s="29" t="inlineStr">
        <is>
          <t>ARM-2602</t>
        </is>
      </c>
      <c r="D188" s="29" t="inlineStr">
        <is>
          <t>2026-05-22</t>
        </is>
      </c>
      <c r="E188" s="29" t="inlineStr">
        <is>
          <t>2026-06-21</t>
        </is>
      </c>
      <c r="F188" s="29" t="n">
        <v>6138.49</v>
      </c>
      <c r="G188" s="29" t="n">
        <v>3746.88</v>
      </c>
      <c r="H188" s="29" t="n"/>
      <c r="I188" s="29" t="n"/>
      <c r="J188" s="29" t="inlineStr">
        <is>
          <t>Partially Paid</t>
        </is>
      </c>
    </row>
    <row r="189">
      <c r="A189" s="29" t="inlineStr">
        <is>
          <t>AP-0009869</t>
        </is>
      </c>
      <c r="B189" s="29" t="inlineStr">
        <is>
          <t>V-2223</t>
        </is>
      </c>
      <c r="C189" s="29" t="n"/>
      <c r="D189" s="29" t="inlineStr">
        <is>
          <t>2026-05-22</t>
        </is>
      </c>
      <c r="E189" s="29" t="inlineStr">
        <is>
          <t>2026-06-21</t>
        </is>
      </c>
      <c r="F189" s="29" t="n">
        <v>3915.28</v>
      </c>
      <c r="G189" s="29" t="n">
        <v>2412.08</v>
      </c>
      <c r="H189" s="29" t="n"/>
      <c r="I189" s="29" t="n"/>
      <c r="J189" s="29" t="inlineStr">
        <is>
          <t>Partially Paid</t>
        </is>
      </c>
    </row>
    <row r="190">
      <c r="A190" s="29" t="inlineStr">
        <is>
          <t>AP-0009890</t>
        </is>
      </c>
      <c r="B190" s="29" t="inlineStr">
        <is>
          <t>V-2223</t>
        </is>
      </c>
      <c r="C190" s="29" t="n"/>
      <c r="D190" s="29" t="inlineStr">
        <is>
          <t>2026-05-22</t>
        </is>
      </c>
      <c r="E190" s="29" t="inlineStr">
        <is>
          <t>2026-06-21</t>
        </is>
      </c>
      <c r="F190" s="29" t="n">
        <v>3658.77</v>
      </c>
      <c r="G190" s="29" t="n">
        <v>1971.42</v>
      </c>
      <c r="H190" s="29" t="n"/>
      <c r="I190" s="29" t="n"/>
      <c r="J190" s="29" t="inlineStr">
        <is>
          <t>Partially Paid</t>
        </is>
      </c>
    </row>
    <row r="191">
      <c r="A191" s="29" t="inlineStr">
        <is>
          <t>AP-0009915</t>
        </is>
      </c>
      <c r="B191" s="29" t="inlineStr">
        <is>
          <t>V-2285</t>
        </is>
      </c>
      <c r="C191" s="29" t="n"/>
      <c r="D191" s="29" t="inlineStr">
        <is>
          <t>2026-06-06</t>
        </is>
      </c>
      <c r="E191" s="29" t="inlineStr">
        <is>
          <t>2026-06-21</t>
        </is>
      </c>
      <c r="F191" s="29" t="n">
        <v>4133.86</v>
      </c>
      <c r="G191" s="29" t="n">
        <v>2730.44</v>
      </c>
      <c r="H191" s="29" t="n"/>
      <c r="I191" s="29" t="n"/>
      <c r="J191" s="29" t="inlineStr">
        <is>
          <t>Partially Paid</t>
        </is>
      </c>
    </row>
    <row r="192">
      <c r="A192" s="29" t="inlineStr">
        <is>
          <t>AP-0009936</t>
        </is>
      </c>
      <c r="B192" s="29" t="inlineStr">
        <is>
          <t>V-2285</t>
        </is>
      </c>
      <c r="C192" s="29" t="n"/>
      <c r="D192" s="29" t="inlineStr">
        <is>
          <t>2026-06-06</t>
        </is>
      </c>
      <c r="E192" s="29" t="inlineStr">
        <is>
          <t>2026-06-21</t>
        </is>
      </c>
      <c r="F192" s="29" t="n">
        <v>3483.15</v>
      </c>
      <c r="G192" s="29" t="n">
        <v>2316.23</v>
      </c>
      <c r="H192" s="29" t="n"/>
      <c r="I192" s="29" t="n"/>
      <c r="J192" s="29" t="inlineStr">
        <is>
          <t>Partially Paid</t>
        </is>
      </c>
    </row>
    <row r="193">
      <c r="A193" s="29" t="inlineStr">
        <is>
          <t>AP-0005414</t>
        </is>
      </c>
      <c r="B193" s="29" t="inlineStr">
        <is>
          <t>V-2341</t>
        </is>
      </c>
      <c r="C193" s="29" t="inlineStr">
        <is>
          <t>ARM-2514</t>
        </is>
      </c>
      <c r="D193" s="29" t="inlineStr">
        <is>
          <t>2026-05-23</t>
        </is>
      </c>
      <c r="E193" s="29" t="inlineStr">
        <is>
          <t>2026-06-22</t>
        </is>
      </c>
      <c r="F193" s="29" t="n">
        <v>8420.549999999999</v>
      </c>
      <c r="G193" s="29" t="n">
        <v>4385.23</v>
      </c>
      <c r="H193" s="29" t="n"/>
      <c r="I193" s="29" t="n"/>
      <c r="J193" s="29" t="inlineStr">
        <is>
          <t>Partially Paid</t>
        </is>
      </c>
    </row>
    <row r="194">
      <c r="A194" s="29" t="inlineStr">
        <is>
          <t>AP-0005739</t>
        </is>
      </c>
      <c r="B194" s="29" t="inlineStr">
        <is>
          <t>V-2001</t>
        </is>
      </c>
      <c r="C194" s="29" t="inlineStr">
        <is>
          <t>ARM-2608</t>
        </is>
      </c>
      <c r="D194" s="29" t="inlineStr">
        <is>
          <t>2026-05-23</t>
        </is>
      </c>
      <c r="E194" s="29" t="inlineStr">
        <is>
          <t>2026-06-22</t>
        </is>
      </c>
      <c r="F194" s="29" t="n">
        <v>14097.26</v>
      </c>
      <c r="G194" s="29" t="n">
        <v>9403.559999999999</v>
      </c>
      <c r="H194" s="29" t="n"/>
      <c r="I194" s="29" t="n"/>
      <c r="J194" s="29" t="inlineStr">
        <is>
          <t>Partially Paid</t>
        </is>
      </c>
    </row>
    <row r="195">
      <c r="A195" s="29" t="inlineStr">
        <is>
          <t>AP-0009872</t>
        </is>
      </c>
      <c r="B195" s="29" t="inlineStr">
        <is>
          <t>V-2258</t>
        </is>
      </c>
      <c r="C195" s="29" t="n"/>
      <c r="D195" s="29" t="inlineStr">
        <is>
          <t>2026-05-23</t>
        </is>
      </c>
      <c r="E195" s="29" t="inlineStr">
        <is>
          <t>2026-06-22</t>
        </is>
      </c>
      <c r="F195" s="29" t="n">
        <v>6102.11</v>
      </c>
      <c r="G195" s="29" t="n">
        <v>4123.35</v>
      </c>
      <c r="H195" s="29" t="n"/>
      <c r="I195" s="29" t="n"/>
      <c r="J195" s="29" t="inlineStr">
        <is>
          <t>Partially Paid</t>
        </is>
      </c>
    </row>
    <row r="196">
      <c r="A196" s="29" t="inlineStr">
        <is>
          <t>AP-0009893</t>
        </is>
      </c>
      <c r="B196" s="29" t="inlineStr">
        <is>
          <t>V-2258</t>
        </is>
      </c>
      <c r="C196" s="29" t="n"/>
      <c r="D196" s="29" t="inlineStr">
        <is>
          <t>2026-05-23</t>
        </is>
      </c>
      <c r="E196" s="29" t="inlineStr">
        <is>
          <t>2026-06-22</t>
        </is>
      </c>
      <c r="F196" s="29" t="n">
        <v>3598.66</v>
      </c>
      <c r="G196" s="29" t="n">
        <v>1925.56</v>
      </c>
      <c r="H196" s="29" t="n"/>
      <c r="I196" s="29" t="n"/>
      <c r="J196" s="29" t="inlineStr">
        <is>
          <t>Partially Paid</t>
        </is>
      </c>
    </row>
    <row r="197">
      <c r="A197" s="29" t="inlineStr">
        <is>
          <t>AP-0011880</t>
        </is>
      </c>
      <c r="B197" s="29" t="inlineStr">
        <is>
          <t>V-2337</t>
        </is>
      </c>
      <c r="C197" s="29" t="n"/>
      <c r="D197" s="29" t="inlineStr">
        <is>
          <t>2026-05-23</t>
        </is>
      </c>
      <c r="E197" s="29" t="inlineStr">
        <is>
          <t>2026-06-22</t>
        </is>
      </c>
      <c r="F197" s="29" t="n">
        <v>21357.29</v>
      </c>
      <c r="G197" s="29" t="n">
        <v>11523.91</v>
      </c>
      <c r="H197" s="29" t="n"/>
      <c r="I197" s="29" t="n"/>
      <c r="J197" s="29" t="inlineStr">
        <is>
          <t>Partially Paid</t>
        </is>
      </c>
    </row>
    <row r="198">
      <c r="A198" s="29" t="inlineStr">
        <is>
          <t>AP-0004095</t>
        </is>
      </c>
      <c r="B198" s="29" t="inlineStr">
        <is>
          <t>V-2229</t>
        </is>
      </c>
      <c r="C198" s="29" t="inlineStr">
        <is>
          <t>ARM-2403</t>
        </is>
      </c>
      <c r="D198" s="29" t="inlineStr">
        <is>
          <t>2026-05-09</t>
        </is>
      </c>
      <c r="E198" s="29" t="inlineStr">
        <is>
          <t>2026-06-23</t>
        </is>
      </c>
      <c r="F198" s="29" t="n">
        <v>10069.67</v>
      </c>
      <c r="G198" s="29" t="n">
        <v>4111</v>
      </c>
      <c r="H198" s="29" t="n"/>
      <c r="I198" s="29" t="n"/>
      <c r="J198" s="29" t="inlineStr">
        <is>
          <t>Partially Paid</t>
        </is>
      </c>
    </row>
    <row r="199">
      <c r="A199" s="29" t="inlineStr">
        <is>
          <t>AP-0004281</t>
        </is>
      </c>
      <c r="B199" s="29" t="inlineStr">
        <is>
          <t>V-2462</t>
        </is>
      </c>
      <c r="C199" s="29" t="inlineStr">
        <is>
          <t>ARM-2409</t>
        </is>
      </c>
      <c r="D199" s="29" t="inlineStr">
        <is>
          <t>2026-05-24</t>
        </is>
      </c>
      <c r="E199" s="29" t="inlineStr">
        <is>
          <t>2026-06-23</t>
        </is>
      </c>
      <c r="F199" s="29" t="n">
        <v>12460.9</v>
      </c>
      <c r="G199" s="29" t="n">
        <v>5180.57</v>
      </c>
      <c r="H199" s="29" t="n"/>
      <c r="I199" s="29" t="n"/>
      <c r="J199" s="29" t="inlineStr">
        <is>
          <t>Partially Paid</t>
        </is>
      </c>
    </row>
    <row r="200">
      <c r="A200" s="29" t="inlineStr">
        <is>
          <t>AP-0004687</t>
        </is>
      </c>
      <c r="B200" s="29" t="inlineStr">
        <is>
          <t>V-2319</t>
        </is>
      </c>
      <c r="C200" s="29" t="inlineStr">
        <is>
          <t>ARM-2417</t>
        </is>
      </c>
      <c r="D200" s="29" t="inlineStr">
        <is>
          <t>2026-05-09</t>
        </is>
      </c>
      <c r="E200" s="29" t="inlineStr">
        <is>
          <t>2026-06-23</t>
        </is>
      </c>
      <c r="F200" s="29" t="n">
        <v>11325.14</v>
      </c>
      <c r="G200" s="29" t="n">
        <v>4003.56</v>
      </c>
      <c r="H200" s="29" t="n"/>
      <c r="I200" s="29" t="n"/>
      <c r="J200" s="29" t="inlineStr">
        <is>
          <t>Partially Paid</t>
        </is>
      </c>
    </row>
    <row r="201">
      <c r="A201" s="29" t="inlineStr">
        <is>
          <t>AP-0005073</t>
        </is>
      </c>
      <c r="B201" s="29" t="inlineStr">
        <is>
          <t>V-2243</t>
        </is>
      </c>
      <c r="C201" s="29" t="inlineStr">
        <is>
          <t>ARM-2506</t>
        </is>
      </c>
      <c r="D201" s="29" t="inlineStr">
        <is>
          <t>2026-05-24</t>
        </is>
      </c>
      <c r="E201" s="29" t="inlineStr">
        <is>
          <t>2026-06-23</t>
        </is>
      </c>
      <c r="F201" s="29" t="n">
        <v>9588</v>
      </c>
      <c r="G201" s="29" t="n">
        <v>4024.8</v>
      </c>
      <c r="H201" s="29" t="n"/>
      <c r="I201" s="29" t="n"/>
      <c r="J201" s="29" t="inlineStr">
        <is>
          <t>Partially Paid</t>
        </is>
      </c>
    </row>
    <row r="202">
      <c r="A202" s="29" t="inlineStr">
        <is>
          <t>AP-0005083</t>
        </is>
      </c>
      <c r="B202" s="29" t="inlineStr">
        <is>
          <t>V-2372</t>
        </is>
      </c>
      <c r="C202" s="29" t="inlineStr">
        <is>
          <t>ARM-2506</t>
        </is>
      </c>
      <c r="D202" s="29" t="inlineStr">
        <is>
          <t>2026-05-24</t>
        </is>
      </c>
      <c r="E202" s="29" t="inlineStr">
        <is>
          <t>2026-06-23</t>
        </is>
      </c>
      <c r="F202" s="29" t="n">
        <v>26112.02</v>
      </c>
      <c r="G202" s="29" t="n">
        <v>14777.45</v>
      </c>
      <c r="H202" s="29" t="n"/>
      <c r="I202" s="29" t="n"/>
      <c r="J202" s="29" t="inlineStr">
        <is>
          <t>Partially Paid</t>
        </is>
      </c>
    </row>
    <row r="203">
      <c r="A203" s="29" t="inlineStr">
        <is>
          <t>AP-0005086</t>
        </is>
      </c>
      <c r="B203" s="29" t="inlineStr">
        <is>
          <t>V-2408</t>
        </is>
      </c>
      <c r="C203" s="29" t="inlineStr">
        <is>
          <t>ARM-2506</t>
        </is>
      </c>
      <c r="D203" s="29" t="inlineStr">
        <is>
          <t>2026-05-24</t>
        </is>
      </c>
      <c r="E203" s="29" t="inlineStr">
        <is>
          <t>2026-06-23</t>
        </is>
      </c>
      <c r="F203" s="29" t="n">
        <v>8062.24</v>
      </c>
      <c r="G203" s="29" t="n">
        <v>4223.53</v>
      </c>
      <c r="H203" s="29" t="n"/>
      <c r="I203" s="29" t="n"/>
      <c r="J203" s="29" t="inlineStr">
        <is>
          <t>Partially Paid</t>
        </is>
      </c>
    </row>
    <row r="204">
      <c r="A204" s="29" t="inlineStr">
        <is>
          <t>AP-0005447</t>
        </is>
      </c>
      <c r="B204" s="29" t="inlineStr">
        <is>
          <t>V-2395</t>
        </is>
      </c>
      <c r="C204" s="29" t="inlineStr">
        <is>
          <t>ARM-2514</t>
        </is>
      </c>
      <c r="D204" s="29" t="inlineStr">
        <is>
          <t>2026-06-08</t>
        </is>
      </c>
      <c r="E204" s="29" t="inlineStr">
        <is>
          <t>2026-06-23</t>
        </is>
      </c>
      <c r="F204" s="29" t="n">
        <v>8324.290000000001</v>
      </c>
      <c r="G204" s="29" t="n">
        <v>3254.55</v>
      </c>
      <c r="H204" s="29" t="n"/>
      <c r="I204" s="29" t="n"/>
      <c r="J204" s="29" t="inlineStr">
        <is>
          <t>Partially Paid</t>
        </is>
      </c>
    </row>
    <row r="205">
      <c r="A205" s="29" t="inlineStr">
        <is>
          <t>AP-0005628</t>
        </is>
      </c>
      <c r="B205" s="29" t="inlineStr">
        <is>
          <t>V-2029</t>
        </is>
      </c>
      <c r="C205" s="29" t="inlineStr">
        <is>
          <t>ARM-2526</t>
        </is>
      </c>
      <c r="D205" s="29" t="inlineStr">
        <is>
          <t>2026-05-24</t>
        </is>
      </c>
      <c r="E205" s="29" t="inlineStr">
        <is>
          <t>2026-06-23</t>
        </is>
      </c>
      <c r="F205" s="29" t="n">
        <v>17703.32</v>
      </c>
      <c r="G205" s="29" t="n">
        <v>9070.549999999999</v>
      </c>
      <c r="H205" s="29" t="n"/>
      <c r="I205" s="29" t="n"/>
      <c r="J205" s="29" t="inlineStr">
        <is>
          <t>Partially Paid</t>
        </is>
      </c>
    </row>
    <row r="206">
      <c r="A206" s="29" t="inlineStr">
        <is>
          <t>AP-0005633</t>
        </is>
      </c>
      <c r="B206" s="29" t="inlineStr">
        <is>
          <t>V-2272</t>
        </is>
      </c>
      <c r="C206" s="29" t="inlineStr">
        <is>
          <t>ARM-2526</t>
        </is>
      </c>
      <c r="D206" s="29" t="inlineStr">
        <is>
          <t>2026-05-24</t>
        </is>
      </c>
      <c r="E206" s="29" t="inlineStr">
        <is>
          <t>2026-06-23</t>
        </is>
      </c>
      <c r="F206" s="29" t="n">
        <v>23477.09</v>
      </c>
      <c r="G206" s="29" t="n">
        <v>16097.25</v>
      </c>
      <c r="H206" s="29" t="n"/>
      <c r="I206" s="29" t="n"/>
      <c r="J206" s="29" t="inlineStr">
        <is>
          <t>Partially Paid</t>
        </is>
      </c>
    </row>
    <row r="207">
      <c r="A207" s="29" t="inlineStr">
        <is>
          <t>AP-0005635</t>
        </is>
      </c>
      <c r="B207" s="29" t="inlineStr">
        <is>
          <t>V-2296</t>
        </is>
      </c>
      <c r="C207" s="29" t="inlineStr">
        <is>
          <t>ARM-2526</t>
        </is>
      </c>
      <c r="D207" s="29" t="inlineStr">
        <is>
          <t>2026-05-24</t>
        </is>
      </c>
      <c r="E207" s="29" t="inlineStr">
        <is>
          <t>2026-06-23</t>
        </is>
      </c>
      <c r="F207" s="29" t="n">
        <v>6124.92</v>
      </c>
      <c r="G207" s="29" t="n">
        <v>3089.77</v>
      </c>
      <c r="H207" s="29" t="n"/>
      <c r="I207" s="29" t="n"/>
      <c r="J207" s="29" t="inlineStr">
        <is>
          <t>Partially Paid</t>
        </is>
      </c>
    </row>
    <row r="208">
      <c r="A208" s="29" t="inlineStr">
        <is>
          <t>AP-0005691</t>
        </is>
      </c>
      <c r="B208" s="29" t="inlineStr">
        <is>
          <t>V-2300</t>
        </is>
      </c>
      <c r="C208" s="29" t="inlineStr">
        <is>
          <t>ARM-2602</t>
        </is>
      </c>
      <c r="D208" s="29" t="inlineStr">
        <is>
          <t>2026-06-08</t>
        </is>
      </c>
      <c r="E208" s="29" t="inlineStr">
        <is>
          <t>2026-06-23</t>
        </is>
      </c>
      <c r="F208" s="29" t="n">
        <v>5742.92</v>
      </c>
      <c r="G208" s="29" t="n">
        <v>3822.51</v>
      </c>
      <c r="H208" s="29" t="n"/>
      <c r="I208" s="29" t="n"/>
      <c r="J208" s="29" t="inlineStr">
        <is>
          <t>Partially Paid</t>
        </is>
      </c>
    </row>
    <row r="209">
      <c r="A209" s="29" t="inlineStr">
        <is>
          <t>AP-0005737</t>
        </is>
      </c>
      <c r="B209" s="29" t="inlineStr">
        <is>
          <t>V-2509</t>
        </is>
      </c>
      <c r="C209" s="29" t="inlineStr">
        <is>
          <t>ARM-2608</t>
        </is>
      </c>
      <c r="D209" s="29" t="inlineStr">
        <is>
          <t>2026-05-09</t>
        </is>
      </c>
      <c r="E209" s="29" t="inlineStr">
        <is>
          <t>2026-06-23</t>
        </is>
      </c>
      <c r="F209" s="29" t="n">
        <v>11860.62</v>
      </c>
      <c r="G209" s="29" t="n">
        <v>5644.54</v>
      </c>
      <c r="H209" s="29" t="n"/>
      <c r="I209" s="29" t="n"/>
      <c r="J209" s="29" t="inlineStr">
        <is>
          <t>Partially Paid</t>
        </is>
      </c>
    </row>
    <row r="210">
      <c r="A210" s="29" t="inlineStr">
        <is>
          <t>AP-0009921</t>
        </is>
      </c>
      <c r="B210" s="29" t="inlineStr">
        <is>
          <t>V-2330</t>
        </is>
      </c>
      <c r="C210" s="29" t="n"/>
      <c r="D210" s="29" t="inlineStr">
        <is>
          <t>2026-06-08</t>
        </is>
      </c>
      <c r="E210" s="29" t="inlineStr">
        <is>
          <t>2026-06-23</t>
        </is>
      </c>
      <c r="F210" s="29" t="n">
        <v>5529.4</v>
      </c>
      <c r="G210" s="29" t="n">
        <v>2787.32</v>
      </c>
      <c r="H210" s="29" t="n"/>
      <c r="I210" s="29" t="n"/>
      <c r="J210" s="29" t="inlineStr">
        <is>
          <t>Partially Paid</t>
        </is>
      </c>
    </row>
    <row r="211">
      <c r="A211" s="29" t="inlineStr">
        <is>
          <t>AP-0009942</t>
        </is>
      </c>
      <c r="B211" s="29" t="inlineStr">
        <is>
          <t>V-2330</t>
        </is>
      </c>
      <c r="C211" s="29" t="n"/>
      <c r="D211" s="29" t="inlineStr">
        <is>
          <t>2026-06-08</t>
        </is>
      </c>
      <c r="E211" s="29" t="inlineStr">
        <is>
          <t>2026-06-23</t>
        </is>
      </c>
      <c r="F211" s="29" t="n">
        <v>3504.79</v>
      </c>
      <c r="G211" s="29" t="n">
        <v>1970.2</v>
      </c>
      <c r="H211" s="29" t="n"/>
      <c r="I211" s="29" t="n"/>
      <c r="J211" s="29" t="inlineStr">
        <is>
          <t>Partially Paid</t>
        </is>
      </c>
    </row>
    <row r="212">
      <c r="A212" s="29" t="inlineStr">
        <is>
          <t>AP-0011867</t>
        </is>
      </c>
      <c r="B212" s="29" t="inlineStr">
        <is>
          <t>V-2447</t>
        </is>
      </c>
      <c r="C212" s="29" t="n"/>
      <c r="D212" s="29" t="inlineStr">
        <is>
          <t>2026-05-24</t>
        </is>
      </c>
      <c r="E212" s="29" t="inlineStr">
        <is>
          <t>2026-06-23</t>
        </is>
      </c>
      <c r="F212" s="29" t="n">
        <v>20803.89</v>
      </c>
      <c r="G212" s="29" t="n">
        <v>11398.27</v>
      </c>
      <c r="H212" s="29" t="n"/>
      <c r="I212" s="29" t="n"/>
      <c r="J212" s="29" t="inlineStr">
        <is>
          <t>Partially Paid</t>
        </is>
      </c>
    </row>
    <row r="213">
      <c r="A213" s="29" t="inlineStr">
        <is>
          <t>AP-0005080</t>
        </is>
      </c>
      <c r="B213" s="29" t="inlineStr">
        <is>
          <t>V-2348</t>
        </is>
      </c>
      <c r="C213" s="29" t="inlineStr">
        <is>
          <t>ARM-2506</t>
        </is>
      </c>
      <c r="D213" s="29" t="inlineStr">
        <is>
          <t>2026-05-25</t>
        </is>
      </c>
      <c r="E213" s="29" t="inlineStr">
        <is>
          <t>2026-06-24</t>
        </is>
      </c>
      <c r="F213" s="29" t="n">
        <v>15177.1</v>
      </c>
      <c r="G213" s="29" t="n">
        <v>7209.83</v>
      </c>
      <c r="H213" s="29" t="n"/>
      <c r="I213" s="29" t="n"/>
      <c r="J213" s="29" t="inlineStr">
        <is>
          <t>Partially Paid</t>
        </is>
      </c>
    </row>
    <row r="214">
      <c r="A214" s="29" t="inlineStr">
        <is>
          <t>AP-0005231</t>
        </is>
      </c>
      <c r="B214" s="29" t="inlineStr">
        <is>
          <t>V-2481</t>
        </is>
      </c>
      <c r="C214" s="29" t="inlineStr">
        <is>
          <t>ARM-2510</t>
        </is>
      </c>
      <c r="D214" s="29" t="inlineStr">
        <is>
          <t>2026-05-25</t>
        </is>
      </c>
      <c r="E214" s="29" t="inlineStr">
        <is>
          <t>2026-06-24</t>
        </is>
      </c>
      <c r="F214" s="29" t="n">
        <v>13378.5</v>
      </c>
      <c r="G214" s="29" t="n">
        <v>5476.69</v>
      </c>
      <c r="H214" s="29" t="n"/>
      <c r="I214" s="29" t="n"/>
      <c r="J214" s="29" t="inlineStr">
        <is>
          <t>Partially Paid</t>
        </is>
      </c>
    </row>
    <row r="215">
      <c r="A215" s="29" t="inlineStr">
        <is>
          <t>AP-0005712</t>
        </is>
      </c>
      <c r="B215" s="29" t="inlineStr">
        <is>
          <t>V-2033</t>
        </is>
      </c>
      <c r="C215" s="29" t="inlineStr">
        <is>
          <t>ARM-2605</t>
        </is>
      </c>
      <c r="D215" s="29" t="inlineStr">
        <is>
          <t>2026-05-25</t>
        </is>
      </c>
      <c r="E215" s="29" t="inlineStr">
        <is>
          <t>2026-06-24</t>
        </is>
      </c>
      <c r="F215" s="29" t="n">
        <v>16936.51</v>
      </c>
      <c r="G215" s="29" t="n">
        <v>6681.3</v>
      </c>
      <c r="H215" s="29" t="n"/>
      <c r="I215" s="29" t="n"/>
      <c r="J215" s="29" t="inlineStr">
        <is>
          <t>Partially Paid</t>
        </is>
      </c>
    </row>
    <row r="216">
      <c r="A216" s="29" t="inlineStr">
        <is>
          <t>AP-0009878</t>
        </is>
      </c>
      <c r="B216" s="29" t="inlineStr">
        <is>
          <t>V-2307</t>
        </is>
      </c>
      <c r="C216" s="29" t="n"/>
      <c r="D216" s="29" t="inlineStr">
        <is>
          <t>2026-05-25</t>
        </is>
      </c>
      <c r="E216" s="29" t="inlineStr">
        <is>
          <t>2026-06-24</t>
        </is>
      </c>
      <c r="F216" s="29" t="n">
        <v>5518.91</v>
      </c>
      <c r="G216" s="29" t="n">
        <v>3554.3</v>
      </c>
      <c r="H216" s="29" t="n"/>
      <c r="I216" s="29" t="n"/>
      <c r="J216" s="29" t="inlineStr">
        <is>
          <t>Partially Paid</t>
        </is>
      </c>
    </row>
    <row r="217">
      <c r="A217" s="29" t="inlineStr">
        <is>
          <t>AP-0009899</t>
        </is>
      </c>
      <c r="B217" s="29" t="inlineStr">
        <is>
          <t>V-2307</t>
        </is>
      </c>
      <c r="C217" s="29" t="n"/>
      <c r="D217" s="29" t="inlineStr">
        <is>
          <t>2026-05-25</t>
        </is>
      </c>
      <c r="E217" s="29" t="inlineStr">
        <is>
          <t>2026-06-24</t>
        </is>
      </c>
      <c r="F217" s="29" t="n">
        <v>3574.61</v>
      </c>
      <c r="G217" s="29" t="n">
        <v>2438.64</v>
      </c>
      <c r="H217" s="29" t="n"/>
      <c r="I217" s="29" t="n"/>
      <c r="J217" s="29" t="inlineStr">
        <is>
          <t>Partially Paid</t>
        </is>
      </c>
    </row>
    <row r="218">
      <c r="A218" s="29" t="inlineStr">
        <is>
          <t>AP-0011900</t>
        </is>
      </c>
      <c r="B218" s="29" t="inlineStr">
        <is>
          <t>V-2375</t>
        </is>
      </c>
      <c r="C218" s="29" t="n"/>
      <c r="D218" s="29" t="inlineStr">
        <is>
          <t>2026-06-09</t>
        </is>
      </c>
      <c r="E218" s="29" t="inlineStr">
        <is>
          <t>2026-06-24</t>
        </is>
      </c>
      <c r="F218" s="29" t="n">
        <v>11862.23</v>
      </c>
      <c r="G218" s="29" t="n">
        <v>5488.58</v>
      </c>
      <c r="H218" s="29" t="n"/>
      <c r="I218" s="29" t="n"/>
      <c r="J218" s="29" t="inlineStr">
        <is>
          <t>Partially Paid</t>
        </is>
      </c>
    </row>
    <row r="219">
      <c r="A219" s="29" t="inlineStr">
        <is>
          <t>AP-0004289</t>
        </is>
      </c>
      <c r="B219" s="29" t="inlineStr">
        <is>
          <t>V-2205</t>
        </is>
      </c>
      <c r="C219" s="29" t="inlineStr">
        <is>
          <t>ARM-2409</t>
        </is>
      </c>
      <c r="D219" s="29" t="inlineStr">
        <is>
          <t>2026-06-10</t>
        </is>
      </c>
      <c r="E219" s="29" t="inlineStr">
        <is>
          <t>2026-06-25</t>
        </is>
      </c>
      <c r="F219" s="29" t="n">
        <v>11013.7</v>
      </c>
      <c r="G219" s="29" t="n">
        <v>7186.31</v>
      </c>
      <c r="H219" s="29" t="n"/>
      <c r="I219" s="29" t="n"/>
      <c r="J219" s="29" t="inlineStr">
        <is>
          <t>Partially Paid</t>
        </is>
      </c>
    </row>
    <row r="220">
      <c r="A220" s="29" t="inlineStr">
        <is>
          <t>AP-0004895</t>
        </is>
      </c>
      <c r="B220" s="29" t="inlineStr">
        <is>
          <t>V-2465</t>
        </is>
      </c>
      <c r="C220" s="29" t="inlineStr">
        <is>
          <t>ARM-2501</t>
        </is>
      </c>
      <c r="D220" s="29" t="inlineStr">
        <is>
          <t>2026-06-10</t>
        </is>
      </c>
      <c r="E220" s="29" t="inlineStr">
        <is>
          <t>2026-06-25</t>
        </is>
      </c>
      <c r="F220" s="29" t="n">
        <v>11454.91</v>
      </c>
      <c r="G220" s="29" t="n">
        <v>7654.23</v>
      </c>
      <c r="H220" s="29" t="n"/>
      <c r="I220" s="29" t="n"/>
      <c r="J220" s="29" t="inlineStr">
        <is>
          <t>Partially Paid</t>
        </is>
      </c>
    </row>
    <row r="221">
      <c r="A221" s="29" t="inlineStr">
        <is>
          <t>AP-0009881</t>
        </is>
      </c>
      <c r="B221" s="29" t="inlineStr">
        <is>
          <t>V-2328</t>
        </is>
      </c>
      <c r="C221" s="29" t="n"/>
      <c r="D221" s="29" t="inlineStr">
        <is>
          <t>2026-05-26</t>
        </is>
      </c>
      <c r="E221" s="29" t="inlineStr">
        <is>
          <t>2026-06-25</t>
        </is>
      </c>
      <c r="F221" s="29" t="n">
        <v>5436</v>
      </c>
      <c r="G221" s="29" t="n">
        <v>2541.73</v>
      </c>
      <c r="H221" s="29" t="n"/>
      <c r="I221" s="29" t="n"/>
      <c r="J221" s="29" t="inlineStr">
        <is>
          <t>Partially Paid</t>
        </is>
      </c>
    </row>
    <row r="222">
      <c r="A222" s="29" t="inlineStr">
        <is>
          <t>AP-0009902</t>
        </is>
      </c>
      <c r="B222" s="29" t="inlineStr">
        <is>
          <t>V-2328</t>
        </is>
      </c>
      <c r="C222" s="29" t="n"/>
      <c r="D222" s="29" t="inlineStr">
        <is>
          <t>2026-05-26</t>
        </is>
      </c>
      <c r="E222" s="29" t="inlineStr">
        <is>
          <t>2026-06-25</t>
        </is>
      </c>
      <c r="F222" s="29" t="n">
        <v>3267.66</v>
      </c>
      <c r="G222" s="29" t="n">
        <v>2262.56</v>
      </c>
      <c r="H222" s="29" t="n"/>
      <c r="I222" s="29" t="n"/>
      <c r="J222" s="29" t="inlineStr">
        <is>
          <t>Partially Paid</t>
        </is>
      </c>
    </row>
    <row r="223">
      <c r="A223" s="29" t="inlineStr">
        <is>
          <t>AP-0011881</t>
        </is>
      </c>
      <c r="B223" s="29" t="inlineStr">
        <is>
          <t>V-2401</t>
        </is>
      </c>
      <c r="C223" s="29" t="n"/>
      <c r="D223" s="29" t="inlineStr">
        <is>
          <t>2026-05-26</t>
        </is>
      </c>
      <c r="E223" s="29" t="inlineStr">
        <is>
          <t>2026-06-25</t>
        </is>
      </c>
      <c r="F223" s="29" t="n">
        <v>8782.709999999999</v>
      </c>
      <c r="G223" s="29" t="n">
        <v>5024.72</v>
      </c>
      <c r="H223" s="29" t="n"/>
      <c r="I223" s="29" t="n"/>
      <c r="J223" s="29" t="inlineStr">
        <is>
          <t>Partially Paid</t>
        </is>
      </c>
    </row>
    <row r="224">
      <c r="A224" s="29" t="inlineStr">
        <is>
          <t>AP-0011885</t>
        </is>
      </c>
      <c r="B224" s="29" t="inlineStr">
        <is>
          <t>V-2065</t>
        </is>
      </c>
      <c r="C224" s="29" t="n"/>
      <c r="D224" s="29" t="inlineStr">
        <is>
          <t>2026-05-26</t>
        </is>
      </c>
      <c r="E224" s="29" t="inlineStr">
        <is>
          <t>2026-06-25</t>
        </is>
      </c>
      <c r="F224" s="29" t="n">
        <v>5743.01</v>
      </c>
      <c r="G224" s="29" t="n">
        <v>2360.85</v>
      </c>
      <c r="H224" s="29" t="n"/>
      <c r="I224" s="29" t="n"/>
      <c r="J224" s="29" t="inlineStr">
        <is>
          <t>Partially Paid</t>
        </is>
      </c>
    </row>
    <row r="225">
      <c r="A225" s="29" t="inlineStr">
        <is>
          <t>AP-0004092</t>
        </is>
      </c>
      <c r="B225" s="29" t="inlineStr">
        <is>
          <t>V-2534</t>
        </is>
      </c>
      <c r="C225" s="29" t="inlineStr">
        <is>
          <t>ARM-2403</t>
        </is>
      </c>
      <c r="D225" s="29" t="inlineStr">
        <is>
          <t>2026-05-12</t>
        </is>
      </c>
      <c r="E225" s="29" t="inlineStr">
        <is>
          <t>2026-06-26</t>
        </is>
      </c>
      <c r="F225" s="29" t="n">
        <v>15134.63</v>
      </c>
      <c r="G225" s="29" t="n">
        <v>10426.91</v>
      </c>
      <c r="H225" s="29" t="n"/>
      <c r="I225" s="29" t="n"/>
      <c r="J225" s="29" t="inlineStr">
        <is>
          <t>Partially Paid</t>
        </is>
      </c>
    </row>
    <row r="226">
      <c r="A226" s="29" t="inlineStr">
        <is>
          <t>AP-0005425</t>
        </is>
      </c>
      <c r="B226" s="29" t="inlineStr">
        <is>
          <t>V-2464</t>
        </is>
      </c>
      <c r="C226" s="29" t="inlineStr">
        <is>
          <t>ARM-2514</t>
        </is>
      </c>
      <c r="D226" s="29" t="inlineStr">
        <is>
          <t>2026-05-12</t>
        </is>
      </c>
      <c r="E226" s="29" t="inlineStr">
        <is>
          <t>2026-06-26</t>
        </is>
      </c>
      <c r="F226" s="29" t="n">
        <v>7746.98</v>
      </c>
      <c r="G226" s="29" t="n">
        <v>2812.69</v>
      </c>
      <c r="H226" s="29" t="n"/>
      <c r="I226" s="29" t="n"/>
      <c r="J226" s="29" t="inlineStr">
        <is>
          <t>Partially Paid</t>
        </is>
      </c>
    </row>
    <row r="227">
      <c r="A227" s="29" t="inlineStr">
        <is>
          <t>AP-0005715</t>
        </is>
      </c>
      <c r="B227" s="29" t="inlineStr">
        <is>
          <t>V-2234</t>
        </is>
      </c>
      <c r="C227" s="29" t="inlineStr">
        <is>
          <t>ARM-2605</t>
        </is>
      </c>
      <c r="D227" s="29" t="inlineStr">
        <is>
          <t>2026-05-12</t>
        </is>
      </c>
      <c r="E227" s="29" t="inlineStr">
        <is>
          <t>2026-06-26</t>
        </is>
      </c>
      <c r="F227" s="29" t="n">
        <v>8559.360000000001</v>
      </c>
      <c r="G227" s="29" t="n">
        <v>5656.65</v>
      </c>
      <c r="H227" s="29" t="n"/>
      <c r="I227" s="29" t="n"/>
      <c r="J227" s="29" t="inlineStr">
        <is>
          <t>Partially Paid</t>
        </is>
      </c>
    </row>
    <row r="228">
      <c r="A228" s="29" t="inlineStr">
        <is>
          <t>AP-0005416</t>
        </is>
      </c>
      <c r="B228" s="29" t="inlineStr">
        <is>
          <t>V-2369</t>
        </is>
      </c>
      <c r="C228" s="29" t="inlineStr">
        <is>
          <t>ARM-2514</t>
        </is>
      </c>
      <c r="D228" s="29" t="inlineStr">
        <is>
          <t>2026-05-13</t>
        </is>
      </c>
      <c r="E228" s="29" t="inlineStr">
        <is>
          <t>2026-06-27</t>
        </is>
      </c>
      <c r="F228" s="29" t="n">
        <v>7688.77</v>
      </c>
      <c r="G228" s="29" t="n">
        <v>3377.63</v>
      </c>
      <c r="H228" s="29" t="n"/>
      <c r="I228" s="29" t="n"/>
      <c r="J228" s="29" t="inlineStr">
        <is>
          <t>Partially Paid</t>
        </is>
      </c>
    </row>
    <row r="229">
      <c r="A229" s="29" t="inlineStr">
        <is>
          <t>AP-0005508</t>
        </is>
      </c>
      <c r="B229" s="29" t="inlineStr">
        <is>
          <t>V-2450</t>
        </is>
      </c>
      <c r="C229" s="29" t="inlineStr">
        <is>
          <t>ARM-2518</t>
        </is>
      </c>
      <c r="D229" s="29" t="inlineStr">
        <is>
          <t>2026-06-12</t>
        </is>
      </c>
      <c r="E229" s="29" t="inlineStr">
        <is>
          <t>2026-06-27</t>
        </is>
      </c>
      <c r="F229" s="29" t="n">
        <v>15247.38</v>
      </c>
      <c r="G229" s="29" t="n">
        <v>6189.66</v>
      </c>
      <c r="H229" s="29" t="n"/>
      <c r="I229" s="29" t="n"/>
      <c r="J229" s="29" t="inlineStr">
        <is>
          <t>Partially Paid</t>
        </is>
      </c>
    </row>
    <row r="230">
      <c r="A230" s="29" t="inlineStr">
        <is>
          <t>AP-0005513</t>
        </is>
      </c>
      <c r="B230" s="29" t="inlineStr">
        <is>
          <t>V-2510</t>
        </is>
      </c>
      <c r="C230" s="29" t="inlineStr">
        <is>
          <t>ARM-2518</t>
        </is>
      </c>
      <c r="D230" s="29" t="inlineStr">
        <is>
          <t>2026-06-12</t>
        </is>
      </c>
      <c r="E230" s="29" t="inlineStr">
        <is>
          <t>2026-06-27</t>
        </is>
      </c>
      <c r="F230" s="29" t="n">
        <v>13292.7</v>
      </c>
      <c r="G230" s="29" t="n">
        <v>7447.49</v>
      </c>
      <c r="H230" s="29" t="n"/>
      <c r="I230" s="29" t="n"/>
      <c r="J230" s="29" t="inlineStr">
        <is>
          <t>Partially Paid</t>
        </is>
      </c>
    </row>
    <row r="231">
      <c r="A231" s="29" t="inlineStr">
        <is>
          <t>AP-0005744</t>
        </is>
      </c>
      <c r="B231" s="29" t="inlineStr">
        <is>
          <t>V-2255</t>
        </is>
      </c>
      <c r="C231" s="29" t="inlineStr">
        <is>
          <t>ARM-2608</t>
        </is>
      </c>
      <c r="D231" s="29" t="inlineStr">
        <is>
          <t>2026-06-12</t>
        </is>
      </c>
      <c r="E231" s="29" t="inlineStr">
        <is>
          <t>2026-06-27</t>
        </is>
      </c>
      <c r="F231" s="29" t="n">
        <v>12019.48</v>
      </c>
      <c r="G231" s="29" t="n">
        <v>6636.28</v>
      </c>
      <c r="H231" s="29" t="n"/>
      <c r="I231" s="29" t="n"/>
      <c r="J231" s="29" t="inlineStr">
        <is>
          <t>Partially Paid</t>
        </is>
      </c>
    </row>
    <row r="232">
      <c r="A232" s="29" t="inlineStr">
        <is>
          <t>AP-0005749</t>
        </is>
      </c>
      <c r="B232" s="29" t="inlineStr">
        <is>
          <t>V-2320</t>
        </is>
      </c>
      <c r="C232" s="29" t="inlineStr">
        <is>
          <t>ARM-2608</t>
        </is>
      </c>
      <c r="D232" s="29" t="inlineStr">
        <is>
          <t>2026-06-12</t>
        </is>
      </c>
      <c r="E232" s="29" t="inlineStr">
        <is>
          <t>2026-06-27</t>
        </is>
      </c>
      <c r="F232" s="29" t="n">
        <v>35325.37</v>
      </c>
      <c r="G232" s="29" t="n">
        <v>20411.61</v>
      </c>
      <c r="H232" s="29" t="n"/>
      <c r="I232" s="29" t="n"/>
      <c r="J232" s="29" t="inlineStr">
        <is>
          <t>Partially Paid</t>
        </is>
      </c>
    </row>
    <row r="233">
      <c r="A233" s="29" t="inlineStr">
        <is>
          <t>AP-0005075</t>
        </is>
      </c>
      <c r="B233" s="29" t="inlineStr">
        <is>
          <t>V-2279</t>
        </is>
      </c>
      <c r="C233" s="29" t="inlineStr">
        <is>
          <t>ARM-2506</t>
        </is>
      </c>
      <c r="D233" s="29" t="inlineStr">
        <is>
          <t>2026-05-14</t>
        </is>
      </c>
      <c r="E233" s="29" t="inlineStr">
        <is>
          <t>2026-06-28</t>
        </is>
      </c>
      <c r="F233" s="29" t="n">
        <v>13464.27</v>
      </c>
      <c r="G233" s="29" t="n">
        <v>5659.38</v>
      </c>
      <c r="H233" s="29" t="n"/>
      <c r="I233" s="29" t="n"/>
      <c r="J233" s="29" t="inlineStr">
        <is>
          <t>Partially Paid</t>
        </is>
      </c>
    </row>
    <row r="234">
      <c r="A234" s="29" t="inlineStr">
        <is>
          <t>AP-0009910</t>
        </is>
      </c>
      <c r="B234" s="29" t="inlineStr">
        <is>
          <t>V-2240</t>
        </is>
      </c>
      <c r="C234" s="29" t="n"/>
      <c r="D234" s="29" t="inlineStr">
        <is>
          <t>2026-06-13</t>
        </is>
      </c>
      <c r="E234" s="29" t="inlineStr">
        <is>
          <t>2026-06-28</t>
        </is>
      </c>
      <c r="F234" s="29" t="n">
        <v>5758.85</v>
      </c>
      <c r="G234" s="29" t="n">
        <v>2190.54</v>
      </c>
      <c r="H234" s="29" t="n"/>
      <c r="I234" s="29" t="n"/>
      <c r="J234" s="29" t="inlineStr">
        <is>
          <t>Partially Paid</t>
        </is>
      </c>
    </row>
    <row r="235">
      <c r="A235" s="29" t="inlineStr">
        <is>
          <t>AP-0009931</t>
        </is>
      </c>
      <c r="B235" s="29" t="inlineStr">
        <is>
          <t>V-2240</t>
        </is>
      </c>
      <c r="C235" s="29" t="n"/>
      <c r="D235" s="29" t="inlineStr">
        <is>
          <t>2026-06-13</t>
        </is>
      </c>
      <c r="E235" s="29" t="inlineStr">
        <is>
          <t>2026-06-28</t>
        </is>
      </c>
      <c r="F235" s="29" t="n">
        <v>4354.4</v>
      </c>
      <c r="G235" s="29" t="n">
        <v>2646.9</v>
      </c>
      <c r="H235" s="29" t="n"/>
      <c r="I235" s="29" t="n"/>
      <c r="J235" s="29" t="inlineStr">
        <is>
          <t>Partially Paid</t>
        </is>
      </c>
    </row>
    <row r="236">
      <c r="A236" s="29" t="inlineStr">
        <is>
          <t>AP-0004444</t>
        </is>
      </c>
      <c r="B236" s="29" t="inlineStr">
        <is>
          <t>V-2410</t>
        </is>
      </c>
      <c r="C236" s="29" t="inlineStr">
        <is>
          <t>ARM-2412</t>
        </is>
      </c>
      <c r="D236" s="29" t="inlineStr">
        <is>
          <t>2026-06-14</t>
        </is>
      </c>
      <c r="E236" s="29" t="inlineStr">
        <is>
          <t>2026-06-29</t>
        </is>
      </c>
      <c r="F236" s="29" t="n">
        <v>7964.03</v>
      </c>
      <c r="G236" s="29" t="n">
        <v>3679.94</v>
      </c>
      <c r="H236" s="29" t="n"/>
      <c r="I236" s="29" t="n"/>
      <c r="J236" s="29" t="inlineStr">
        <is>
          <t>Partially Paid</t>
        </is>
      </c>
    </row>
    <row r="237">
      <c r="A237" s="29" t="inlineStr">
        <is>
          <t>AP-0005233</t>
        </is>
      </c>
      <c r="B237" s="29" t="inlineStr">
        <is>
          <t>V-2509</t>
        </is>
      </c>
      <c r="C237" s="29" t="inlineStr">
        <is>
          <t>ARM-2510</t>
        </is>
      </c>
      <c r="D237" s="29" t="inlineStr">
        <is>
          <t>2026-05-15</t>
        </is>
      </c>
      <c r="E237" s="29" t="inlineStr">
        <is>
          <t>2026-06-29</t>
        </is>
      </c>
      <c r="F237" s="29" t="n">
        <v>9735.35</v>
      </c>
      <c r="G237" s="29" t="n">
        <v>4391.32</v>
      </c>
      <c r="H237" s="29" t="n"/>
      <c r="I237" s="29" t="n"/>
      <c r="J237" s="29" t="inlineStr">
        <is>
          <t>Partially Paid</t>
        </is>
      </c>
    </row>
    <row r="238">
      <c r="A238" s="29" t="inlineStr">
        <is>
          <t>AP-0005422</t>
        </is>
      </c>
      <c r="B238" s="29" t="inlineStr">
        <is>
          <t>V-2424</t>
        </is>
      </c>
      <c r="C238" s="29" t="inlineStr">
        <is>
          <t>ARM-2514</t>
        </is>
      </c>
      <c r="D238" s="29" t="inlineStr">
        <is>
          <t>2026-05-15</t>
        </is>
      </c>
      <c r="E238" s="29" t="inlineStr">
        <is>
          <t>2026-06-29</t>
        </is>
      </c>
      <c r="F238" s="29" t="n">
        <v>3952.84</v>
      </c>
      <c r="G238" s="29" t="n">
        <v>1720.05</v>
      </c>
      <c r="H238" s="29" t="n"/>
      <c r="I238" s="29" t="n"/>
      <c r="J238" s="29" t="inlineStr">
        <is>
          <t>Partially Paid</t>
        </is>
      </c>
    </row>
    <row r="239">
      <c r="A239" s="29" t="inlineStr">
        <is>
          <t>AP-0005679</t>
        </is>
      </c>
      <c r="B239" s="29" t="inlineStr">
        <is>
          <t>V-2484</t>
        </is>
      </c>
      <c r="C239" s="29" t="inlineStr">
        <is>
          <t>ARM-2602</t>
        </is>
      </c>
      <c r="D239" s="29" t="inlineStr">
        <is>
          <t>2026-05-15</t>
        </is>
      </c>
      <c r="E239" s="29" t="inlineStr">
        <is>
          <t>2026-06-29</t>
        </is>
      </c>
      <c r="F239" s="29" t="n">
        <v>5839.33</v>
      </c>
      <c r="G239" s="29" t="n">
        <v>3271.4</v>
      </c>
      <c r="H239" s="29" t="n"/>
      <c r="I239" s="29" t="n"/>
      <c r="J239" s="29" t="inlineStr">
        <is>
          <t>Partially Paid</t>
        </is>
      </c>
    </row>
    <row r="240">
      <c r="A240" s="29" t="inlineStr">
        <is>
          <t>AP-0004710</t>
        </is>
      </c>
      <c r="B240" s="29" t="inlineStr">
        <is>
          <t>V-2250</t>
        </is>
      </c>
      <c r="C240" s="29" t="inlineStr">
        <is>
          <t>ARM-2417</t>
        </is>
      </c>
      <c r="D240" s="29" t="inlineStr">
        <is>
          <t>2026-06-15</t>
        </is>
      </c>
      <c r="E240" s="29" t="inlineStr">
        <is>
          <t>2026-06-30</t>
        </is>
      </c>
      <c r="F240" s="29" t="n">
        <v>7410.87</v>
      </c>
      <c r="G240" s="29" t="n">
        <v>2963.51</v>
      </c>
      <c r="H240" s="29" t="n"/>
      <c r="I240" s="29" t="n"/>
      <c r="J240" s="29" t="inlineStr">
        <is>
          <t>Partially Paid</t>
        </is>
      </c>
    </row>
    <row r="241">
      <c r="A241" s="29" t="inlineStr">
        <is>
          <t>AP-0005444</t>
        </is>
      </c>
      <c r="B241" s="29" t="inlineStr">
        <is>
          <t>V-2360</t>
        </is>
      </c>
      <c r="C241" s="29" t="inlineStr">
        <is>
          <t>ARM-2514</t>
        </is>
      </c>
      <c r="D241" s="29" t="inlineStr">
        <is>
          <t>2026-06-15</t>
        </is>
      </c>
      <c r="E241" s="29" t="inlineStr">
        <is>
          <t>2026-06-30</t>
        </is>
      </c>
      <c r="F241" s="29" t="n">
        <v>21263.81</v>
      </c>
      <c r="G241" s="29" t="n">
        <v>10548.48</v>
      </c>
      <c r="H241" s="29" t="n"/>
      <c r="I241" s="29" t="n"/>
      <c r="J241" s="29" t="inlineStr">
        <is>
          <t>Partially Paid</t>
        </is>
      </c>
    </row>
    <row r="242">
      <c r="A242" s="29" t="inlineStr">
        <is>
          <t>AP-0005507</t>
        </is>
      </c>
      <c r="B242" s="29" t="inlineStr">
        <is>
          <t>V-2439</t>
        </is>
      </c>
      <c r="C242" s="29" t="inlineStr">
        <is>
          <t>ARM-2518</t>
        </is>
      </c>
      <c r="D242" s="29" t="inlineStr">
        <is>
          <t>2026-05-16</t>
        </is>
      </c>
      <c r="E242" s="29" t="inlineStr">
        <is>
          <t>2026-06-30</t>
        </is>
      </c>
      <c r="F242" s="29" t="n">
        <v>5892.51</v>
      </c>
      <c r="G242" s="29" t="n">
        <v>3752.56</v>
      </c>
      <c r="H242" s="29" t="n"/>
      <c r="I242" s="29" t="n"/>
      <c r="J242" s="29" t="inlineStr">
        <is>
          <t>Partially Paid</t>
        </is>
      </c>
    </row>
    <row r="243">
      <c r="A243" s="29" t="inlineStr">
        <is>
          <t>AP-0003888</t>
        </is>
      </c>
      <c r="B243" s="29" t="inlineStr">
        <is>
          <t>V-2440</t>
        </is>
      </c>
      <c r="C243" s="29" t="inlineStr">
        <is>
          <t>ARM-2318</t>
        </is>
      </c>
      <c r="D243" s="29" t="inlineStr">
        <is>
          <t>2026-06-16</t>
        </is>
      </c>
      <c r="E243" s="29" t="inlineStr">
        <is>
          <t>2026-07-01</t>
        </is>
      </c>
      <c r="F243" s="29" t="n">
        <v>4793.93</v>
      </c>
      <c r="G243" s="29" t="n">
        <v>0</v>
      </c>
      <c r="H243" s="29" t="n"/>
      <c r="I243" s="29" t="n"/>
      <c r="J243" s="29" t="inlineStr">
        <is>
          <t>Open</t>
        </is>
      </c>
    </row>
    <row r="244">
      <c r="A244" s="29" t="inlineStr">
        <is>
          <t>AP-0005512</t>
        </is>
      </c>
      <c r="B244" s="29" t="inlineStr">
        <is>
          <t>V-2505</t>
        </is>
      </c>
      <c r="C244" s="29" t="inlineStr">
        <is>
          <t>ARM-2518</t>
        </is>
      </c>
      <c r="D244" s="29" t="inlineStr">
        <is>
          <t>2026-06-16</t>
        </is>
      </c>
      <c r="E244" s="29" t="inlineStr">
        <is>
          <t>2026-07-01</t>
        </is>
      </c>
      <c r="F244" s="29" t="n">
        <v>11138.68</v>
      </c>
      <c r="G244" s="29" t="n">
        <v>0</v>
      </c>
      <c r="H244" s="29" t="n"/>
      <c r="I244" s="29" t="n"/>
      <c r="J244" s="29" t="inlineStr">
        <is>
          <t>Open</t>
        </is>
      </c>
    </row>
    <row r="245">
      <c r="A245" s="29" t="inlineStr">
        <is>
          <t>AP-0005748</t>
        </is>
      </c>
      <c r="B245" s="29" t="inlineStr">
        <is>
          <t>V-2315</t>
        </is>
      </c>
      <c r="C245" s="29" t="inlineStr">
        <is>
          <t>ARM-2608</t>
        </is>
      </c>
      <c r="D245" s="29" t="inlineStr">
        <is>
          <t>2026-06-16</t>
        </is>
      </c>
      <c r="E245" s="29" t="inlineStr">
        <is>
          <t>2026-07-01</t>
        </is>
      </c>
      <c r="F245" s="29" t="n">
        <v>16668.02</v>
      </c>
      <c r="G245" s="29" t="n">
        <v>0</v>
      </c>
      <c r="H245" s="29" t="n"/>
      <c r="I245" s="29" t="n"/>
      <c r="J245" s="29" t="inlineStr">
        <is>
          <t>Open</t>
        </is>
      </c>
    </row>
    <row r="246">
      <c r="A246" s="29" t="inlineStr">
        <is>
          <t>AP-0005079</t>
        </is>
      </c>
      <c r="B246" s="29" t="inlineStr">
        <is>
          <t>V-2334</t>
        </is>
      </c>
      <c r="C246" s="29" t="inlineStr">
        <is>
          <t>ARM-2506</t>
        </is>
      </c>
      <c r="D246" s="29" t="inlineStr">
        <is>
          <t>2026-05-18</t>
        </is>
      </c>
      <c r="E246" s="29" t="inlineStr">
        <is>
          <t>2026-07-02</t>
        </is>
      </c>
      <c r="F246" s="29" t="n">
        <v>15537.2</v>
      </c>
      <c r="G246" s="29" t="n">
        <v>0</v>
      </c>
      <c r="H246" s="29" t="n"/>
      <c r="I246" s="29" t="n"/>
      <c r="J246" s="29" t="inlineStr">
        <is>
          <t>Open</t>
        </is>
      </c>
    </row>
    <row r="247">
      <c r="A247" s="29" t="inlineStr">
        <is>
          <t>AP-0005639</t>
        </is>
      </c>
      <c r="B247" s="29" t="inlineStr">
        <is>
          <t>V-2350</t>
        </is>
      </c>
      <c r="C247" s="29" t="inlineStr">
        <is>
          <t>ARM-2526</t>
        </is>
      </c>
      <c r="D247" s="29" t="inlineStr">
        <is>
          <t>2026-06-17</t>
        </is>
      </c>
      <c r="E247" s="29" t="inlineStr">
        <is>
          <t>2026-07-02</t>
        </is>
      </c>
      <c r="F247" s="29" t="n">
        <v>17265.22</v>
      </c>
      <c r="G247" s="29" t="n">
        <v>0</v>
      </c>
      <c r="H247" s="29" t="n"/>
      <c r="I247" s="29" t="n"/>
      <c r="J247" s="29" t="inlineStr">
        <is>
          <t>Open</t>
        </is>
      </c>
    </row>
    <row r="248">
      <c r="A248" s="29" t="inlineStr">
        <is>
          <t>AP-0004098</t>
        </is>
      </c>
      <c r="B248" s="29" t="inlineStr">
        <is>
          <t>V-2274</t>
        </is>
      </c>
      <c r="C248" s="29" t="inlineStr">
        <is>
          <t>ARM-2403</t>
        </is>
      </c>
      <c r="D248" s="29" t="inlineStr">
        <is>
          <t>2026-05-19</t>
        </is>
      </c>
      <c r="E248" s="29" t="inlineStr">
        <is>
          <t>2026-07-03</t>
        </is>
      </c>
      <c r="F248" s="29" t="n">
        <v>5175.65</v>
      </c>
      <c r="G248" s="29" t="n">
        <v>0</v>
      </c>
      <c r="H248" s="29" t="n"/>
      <c r="I248" s="29" t="n"/>
      <c r="J248" s="29" t="inlineStr">
        <is>
          <t>Open</t>
        </is>
      </c>
    </row>
    <row r="249">
      <c r="A249" s="29" t="inlineStr">
        <is>
          <t>AP-0004288</t>
        </is>
      </c>
      <c r="B249" s="29" t="inlineStr">
        <is>
          <t>V-2033</t>
        </is>
      </c>
      <c r="C249" s="29" t="inlineStr">
        <is>
          <t>ARM-2409</t>
        </is>
      </c>
      <c r="D249" s="29" t="inlineStr">
        <is>
          <t>2026-06-03</t>
        </is>
      </c>
      <c r="E249" s="29" t="inlineStr">
        <is>
          <t>2026-07-03</t>
        </is>
      </c>
      <c r="F249" s="29" t="n">
        <v>14627.02</v>
      </c>
      <c r="G249" s="29" t="n">
        <v>0</v>
      </c>
      <c r="H249" s="29" t="n"/>
      <c r="I249" s="29" t="n"/>
      <c r="J249" s="29" t="inlineStr">
        <is>
          <t>Open</t>
        </is>
      </c>
    </row>
    <row r="250">
      <c r="A250" s="29" t="inlineStr">
        <is>
          <t>AP-0004894</t>
        </is>
      </c>
      <c r="B250" s="29" t="inlineStr">
        <is>
          <t>V-2452</t>
        </is>
      </c>
      <c r="C250" s="29" t="inlineStr">
        <is>
          <t>ARM-2501</t>
        </is>
      </c>
      <c r="D250" s="29" t="inlineStr">
        <is>
          <t>2026-06-03</t>
        </is>
      </c>
      <c r="E250" s="29" t="inlineStr">
        <is>
          <t>2026-07-03</t>
        </is>
      </c>
      <c r="F250" s="29" t="n">
        <v>14553.99</v>
      </c>
      <c r="G250" s="29" t="n">
        <v>0</v>
      </c>
      <c r="H250" s="29" t="n"/>
      <c r="I250" s="29" t="n"/>
      <c r="J250" s="29" t="inlineStr">
        <is>
          <t>Open</t>
        </is>
      </c>
    </row>
    <row r="251">
      <c r="A251" s="29" t="inlineStr">
        <is>
          <t>AP-0005090</t>
        </is>
      </c>
      <c r="B251" s="29" t="inlineStr">
        <is>
          <t>V-2457</t>
        </is>
      </c>
      <c r="C251" s="29" t="inlineStr">
        <is>
          <t>ARM-2506</t>
        </is>
      </c>
      <c r="D251" s="29" t="inlineStr">
        <is>
          <t>2026-06-03</t>
        </is>
      </c>
      <c r="E251" s="29" t="inlineStr">
        <is>
          <t>2026-07-03</t>
        </is>
      </c>
      <c r="F251" s="29" t="n">
        <v>12766.28</v>
      </c>
      <c r="G251" s="29" t="n">
        <v>0</v>
      </c>
      <c r="H251" s="29" t="n"/>
      <c r="I251" s="29" t="n"/>
      <c r="J251" s="29" t="inlineStr">
        <is>
          <t>Open</t>
        </is>
      </c>
    </row>
    <row r="252">
      <c r="A252" s="29" t="inlineStr">
        <is>
          <t>AP-0005245</t>
        </is>
      </c>
      <c r="B252" s="29" t="inlineStr">
        <is>
          <t>V-2320</t>
        </is>
      </c>
      <c r="C252" s="29" t="inlineStr">
        <is>
          <t>ARM-2510</t>
        </is>
      </c>
      <c r="D252" s="29" t="inlineStr">
        <is>
          <t>2026-06-18</t>
        </is>
      </c>
      <c r="E252" s="29" t="inlineStr">
        <is>
          <t>2026-07-03</t>
        </is>
      </c>
      <c r="F252" s="29" t="n">
        <v>8795.469999999999</v>
      </c>
      <c r="G252" s="29" t="n">
        <v>0</v>
      </c>
      <c r="H252" s="29" t="n"/>
      <c r="I252" s="29" t="n"/>
      <c r="J252" s="29" t="inlineStr">
        <is>
          <t>Open</t>
        </is>
      </c>
    </row>
    <row r="253">
      <c r="A253" s="29" t="inlineStr">
        <is>
          <t>AP-0005637</t>
        </is>
      </c>
      <c r="B253" s="29" t="inlineStr">
        <is>
          <t>V-2322</t>
        </is>
      </c>
      <c r="C253" s="29" t="inlineStr">
        <is>
          <t>ARM-2526</t>
        </is>
      </c>
      <c r="D253" s="29" t="inlineStr">
        <is>
          <t>2026-06-03</t>
        </is>
      </c>
      <c r="E253" s="29" t="inlineStr">
        <is>
          <t>2026-07-03</t>
        </is>
      </c>
      <c r="F253" s="29" t="n">
        <v>14759.88</v>
      </c>
      <c r="G253" s="29" t="n">
        <v>0</v>
      </c>
      <c r="H253" s="29" t="n"/>
      <c r="I253" s="29" t="n"/>
      <c r="J253" s="29" t="inlineStr">
        <is>
          <t>Open</t>
        </is>
      </c>
    </row>
    <row r="254">
      <c r="A254" s="29" t="inlineStr">
        <is>
          <t>AP-0005642</t>
        </is>
      </c>
      <c r="B254" s="29" t="inlineStr">
        <is>
          <t>V-2383</t>
        </is>
      </c>
      <c r="C254" s="29" t="inlineStr">
        <is>
          <t>ARM-2526</t>
        </is>
      </c>
      <c r="D254" s="29" t="inlineStr">
        <is>
          <t>2026-06-03</t>
        </is>
      </c>
      <c r="E254" s="29" t="inlineStr">
        <is>
          <t>2026-07-03</t>
        </is>
      </c>
      <c r="F254" s="29" t="n">
        <v>25194.5</v>
      </c>
      <c r="G254" s="29" t="n">
        <v>0</v>
      </c>
      <c r="H254" s="29" t="n"/>
      <c r="I254" s="29" t="n"/>
      <c r="J254" s="29" t="inlineStr">
        <is>
          <t>Open</t>
        </is>
      </c>
    </row>
    <row r="255">
      <c r="A255" s="29" t="inlineStr">
        <is>
          <t>AP-0005644</t>
        </is>
      </c>
      <c r="B255" s="29" t="inlineStr">
        <is>
          <t>V-2407</t>
        </is>
      </c>
      <c r="C255" s="29" t="inlineStr">
        <is>
          <t>ARM-2526</t>
        </is>
      </c>
      <c r="D255" s="29" t="inlineStr">
        <is>
          <t>2026-06-03</t>
        </is>
      </c>
      <c r="E255" s="29" t="inlineStr">
        <is>
          <t>2026-07-03</t>
        </is>
      </c>
      <c r="F255" s="29" t="n">
        <v>6942.56</v>
      </c>
      <c r="G255" s="29" t="n">
        <v>0</v>
      </c>
      <c r="H255" s="29" t="n"/>
      <c r="I255" s="29" t="n"/>
      <c r="J255" s="29" t="inlineStr">
        <is>
          <t>Open</t>
        </is>
      </c>
    </row>
    <row r="256">
      <c r="A256" s="29" t="inlineStr">
        <is>
          <t>AP-0005681</t>
        </is>
      </c>
      <c r="B256" s="29" t="inlineStr">
        <is>
          <t>V-2510</t>
        </is>
      </c>
      <c r="C256" s="29" t="inlineStr">
        <is>
          <t>ARM-2602</t>
        </is>
      </c>
      <c r="D256" s="29" t="inlineStr">
        <is>
          <t>2026-06-18</t>
        </is>
      </c>
      <c r="E256" s="29" t="inlineStr">
        <is>
          <t>2026-07-03</t>
        </is>
      </c>
      <c r="F256" s="29" t="n">
        <v>13145.46</v>
      </c>
      <c r="G256" s="29" t="n">
        <v>0</v>
      </c>
      <c r="H256" s="29" t="n"/>
      <c r="I256" s="29" t="n"/>
      <c r="J256" s="29" t="inlineStr">
        <is>
          <t>Open</t>
        </is>
      </c>
    </row>
    <row r="257">
      <c r="A257" s="29" t="inlineStr">
        <is>
          <t>AP-0005711</t>
        </is>
      </c>
      <c r="B257" s="29" t="inlineStr">
        <is>
          <t>V-2534</t>
        </is>
      </c>
      <c r="C257" s="29" t="inlineStr">
        <is>
          <t>ARM-2605</t>
        </is>
      </c>
      <c r="D257" s="29" t="inlineStr">
        <is>
          <t>2026-05-19</t>
        </is>
      </c>
      <c r="E257" s="29" t="inlineStr">
        <is>
          <t>2026-07-03</t>
        </is>
      </c>
      <c r="F257" s="29" t="n">
        <v>14271.61</v>
      </c>
      <c r="G257" s="29" t="n">
        <v>0</v>
      </c>
      <c r="H257" s="29" t="n"/>
      <c r="I257" s="29" t="n"/>
      <c r="J257" s="29" t="inlineStr">
        <is>
          <t>Open</t>
        </is>
      </c>
    </row>
    <row r="258">
      <c r="A258" s="29" t="inlineStr">
        <is>
          <t>AP-0009906</t>
        </is>
      </c>
      <c r="B258" s="29" t="inlineStr">
        <is>
          <t>V-2082</t>
        </is>
      </c>
      <c r="C258" s="29" t="n"/>
      <c r="D258" s="29" t="inlineStr">
        <is>
          <t>2026-06-03</t>
        </is>
      </c>
      <c r="E258" s="29" t="inlineStr">
        <is>
          <t>2026-07-03</t>
        </is>
      </c>
      <c r="F258" s="29" t="n">
        <v>7079.12</v>
      </c>
      <c r="G258" s="29" t="n">
        <v>0</v>
      </c>
      <c r="H258" s="29" t="n"/>
      <c r="I258" s="29" t="n"/>
      <c r="J258" s="29" t="inlineStr">
        <is>
          <t>Open</t>
        </is>
      </c>
    </row>
    <row r="259">
      <c r="A259" s="29" t="inlineStr">
        <is>
          <t>AP-0009927</t>
        </is>
      </c>
      <c r="B259" s="29" t="inlineStr">
        <is>
          <t>V-2082</t>
        </is>
      </c>
      <c r="C259" s="29" t="n"/>
      <c r="D259" s="29" t="inlineStr">
        <is>
          <t>2026-06-03</t>
        </is>
      </c>
      <c r="E259" s="29" t="inlineStr">
        <is>
          <t>2026-07-03</t>
        </is>
      </c>
      <c r="F259" s="29" t="n">
        <v>2468.86</v>
      </c>
      <c r="G259" s="29" t="n">
        <v>0</v>
      </c>
      <c r="H259" s="29" t="n"/>
      <c r="I259" s="29" t="n"/>
      <c r="J259" s="29" t="inlineStr">
        <is>
          <t>Open</t>
        </is>
      </c>
    </row>
    <row r="260">
      <c r="A260" s="29" t="inlineStr">
        <is>
          <t>AP-0011870</t>
        </is>
      </c>
      <c r="B260" s="29" t="inlineStr">
        <is>
          <t>V-2304</t>
        </is>
      </c>
      <c r="C260" s="29" t="n"/>
      <c r="D260" s="29" t="inlineStr">
        <is>
          <t>2026-05-19</t>
        </is>
      </c>
      <c r="E260" s="29" t="inlineStr">
        <is>
          <t>2026-07-03</t>
        </is>
      </c>
      <c r="F260" s="29" t="n">
        <v>18491.41</v>
      </c>
      <c r="G260" s="29" t="n">
        <v>0</v>
      </c>
      <c r="H260" s="29" t="n"/>
      <c r="I260" s="29" t="n"/>
      <c r="J260" s="29" t="inlineStr">
        <is>
          <t>Open</t>
        </is>
      </c>
    </row>
    <row r="261">
      <c r="A261" s="29" t="inlineStr">
        <is>
          <t>AP-0011896</t>
        </is>
      </c>
      <c r="B261" s="29" t="inlineStr">
        <is>
          <t>V-2065</t>
        </is>
      </c>
      <c r="C261" s="29" t="n"/>
      <c r="D261" s="29" t="inlineStr">
        <is>
          <t>2026-06-03</t>
        </is>
      </c>
      <c r="E261" s="29" t="inlineStr">
        <is>
          <t>2026-07-03</t>
        </is>
      </c>
      <c r="F261" s="29" t="n">
        <v>3458.17</v>
      </c>
      <c r="G261" s="29" t="n">
        <v>0</v>
      </c>
      <c r="H261" s="29" t="n"/>
      <c r="I261" s="29" t="n"/>
      <c r="J261" s="29" t="inlineStr">
        <is>
          <t>Open</t>
        </is>
      </c>
    </row>
    <row r="262">
      <c r="A262" s="29" t="inlineStr">
        <is>
          <t>AP-0005097</t>
        </is>
      </c>
      <c r="B262" s="29" t="inlineStr">
        <is>
          <t>V-2056</t>
        </is>
      </c>
      <c r="C262" s="29" t="inlineStr">
        <is>
          <t>ARM-2506</t>
        </is>
      </c>
      <c r="D262" s="29" t="inlineStr">
        <is>
          <t>2026-06-04</t>
        </is>
      </c>
      <c r="E262" s="29" t="inlineStr">
        <is>
          <t>2026-07-04</t>
        </is>
      </c>
      <c r="F262" s="29" t="n">
        <v>8756.24</v>
      </c>
      <c r="G262" s="29" t="n">
        <v>0</v>
      </c>
      <c r="H262" s="29" t="n"/>
      <c r="I262" s="29" t="n"/>
      <c r="J262" s="29" t="inlineStr">
        <is>
          <t>Open</t>
        </is>
      </c>
    </row>
    <row r="263">
      <c r="A263" s="29" t="inlineStr">
        <is>
          <t>AP-0005243</t>
        </is>
      </c>
      <c r="B263" s="29" t="inlineStr">
        <is>
          <t>V-2293</t>
        </is>
      </c>
      <c r="C263" s="29" t="inlineStr">
        <is>
          <t>ARM-2510</t>
        </is>
      </c>
      <c r="D263" s="29" t="inlineStr">
        <is>
          <t>2026-06-04</t>
        </is>
      </c>
      <c r="E263" s="29" t="inlineStr">
        <is>
          <t>2026-07-04</t>
        </is>
      </c>
      <c r="F263" s="29" t="n">
        <v>16708.6</v>
      </c>
      <c r="G263" s="29" t="n">
        <v>0</v>
      </c>
      <c r="H263" s="29" t="n"/>
      <c r="I263" s="29" t="n"/>
      <c r="J263" s="29" t="inlineStr">
        <is>
          <t>Open</t>
        </is>
      </c>
    </row>
    <row r="264">
      <c r="A264" s="29" t="inlineStr">
        <is>
          <t>AP-0009909</t>
        </is>
      </c>
      <c r="B264" s="29" t="inlineStr">
        <is>
          <t>V-2228</t>
        </is>
      </c>
      <c r="C264" s="29" t="n"/>
      <c r="D264" s="29" t="inlineStr">
        <is>
          <t>2026-06-04</t>
        </is>
      </c>
      <c r="E264" s="29" t="inlineStr">
        <is>
          <t>2026-07-04</t>
        </is>
      </c>
      <c r="F264" s="29" t="n">
        <v>6841.26</v>
      </c>
      <c r="G264" s="29" t="n">
        <v>0</v>
      </c>
      <c r="H264" s="29" t="n"/>
      <c r="I264" s="29" t="n"/>
      <c r="J264" s="29" t="inlineStr">
        <is>
          <t>Open</t>
        </is>
      </c>
    </row>
    <row r="265">
      <c r="A265" s="29" t="inlineStr">
        <is>
          <t>AP-0009930</t>
        </is>
      </c>
      <c r="B265" s="29" t="inlineStr">
        <is>
          <t>V-2228</t>
        </is>
      </c>
      <c r="C265" s="29" t="n"/>
      <c r="D265" s="29" t="inlineStr">
        <is>
          <t>2026-06-04</t>
        </is>
      </c>
      <c r="E265" s="29" t="inlineStr">
        <is>
          <t>2026-07-04</t>
        </is>
      </c>
      <c r="F265" s="29" t="n">
        <v>4495.02</v>
      </c>
      <c r="G265" s="29" t="n">
        <v>0</v>
      </c>
      <c r="H265" s="29" t="n"/>
      <c r="I265" s="29" t="n"/>
      <c r="J265" s="29" t="inlineStr">
        <is>
          <t>Open</t>
        </is>
      </c>
    </row>
    <row r="266">
      <c r="A266" s="29" t="inlineStr">
        <is>
          <t>AP-0011877</t>
        </is>
      </c>
      <c r="B266" s="29" t="inlineStr">
        <is>
          <t>V-2264</t>
        </is>
      </c>
      <c r="C266" s="29" t="n"/>
      <c r="D266" s="29" t="inlineStr">
        <is>
          <t>2026-05-20</t>
        </is>
      </c>
      <c r="E266" s="29" t="inlineStr">
        <is>
          <t>2026-07-04</t>
        </is>
      </c>
      <c r="F266" s="29" t="n">
        <v>5735.59</v>
      </c>
      <c r="G266" s="29" t="n">
        <v>0</v>
      </c>
      <c r="H266" s="29" t="n"/>
      <c r="I266" s="29" t="n"/>
      <c r="J266" s="29" t="inlineStr">
        <is>
          <t>Open</t>
        </is>
      </c>
    </row>
    <row r="267">
      <c r="A267" s="29" t="inlineStr">
        <is>
          <t>AP-0011890</t>
        </is>
      </c>
      <c r="B267" s="29" t="inlineStr">
        <is>
          <t>V-2335</t>
        </is>
      </c>
      <c r="C267" s="29" t="n"/>
      <c r="D267" s="29" t="inlineStr">
        <is>
          <t>2026-06-19</t>
        </is>
      </c>
      <c r="E267" s="29" t="inlineStr">
        <is>
          <t>2026-07-04</t>
        </is>
      </c>
      <c r="F267" s="29" t="n">
        <v>12172.91</v>
      </c>
      <c r="G267" s="29" t="n">
        <v>0</v>
      </c>
      <c r="H267" s="29" t="n"/>
      <c r="I267" s="29" t="n"/>
      <c r="J267" s="29" t="inlineStr">
        <is>
          <t>Open</t>
        </is>
      </c>
    </row>
    <row r="268">
      <c r="A268" s="29" t="inlineStr">
        <is>
          <t>AP-0011904</t>
        </is>
      </c>
      <c r="B268" s="29" t="inlineStr">
        <is>
          <t>V-2070</t>
        </is>
      </c>
      <c r="C268" s="29" t="n"/>
      <c r="D268" s="29" t="inlineStr">
        <is>
          <t>2026-06-04</t>
        </is>
      </c>
      <c r="E268" s="29" t="inlineStr">
        <is>
          <t>2026-07-04</t>
        </is>
      </c>
      <c r="F268" s="29" t="n">
        <v>14187.34</v>
      </c>
      <c r="G268" s="29" t="n">
        <v>0</v>
      </c>
      <c r="H268" s="29" t="n"/>
      <c r="I268" s="29" t="n"/>
      <c r="J268" s="29" t="inlineStr">
        <is>
          <t>Open</t>
        </is>
      </c>
    </row>
    <row r="269">
      <c r="A269" s="29" t="inlineStr">
        <is>
          <t>AP-0004101</t>
        </is>
      </c>
      <c r="B269" s="29" t="inlineStr">
        <is>
          <t>V-2313</t>
        </is>
      </c>
      <c r="C269" s="29" t="inlineStr">
        <is>
          <t>ARM-2403</t>
        </is>
      </c>
      <c r="D269" s="29" t="inlineStr">
        <is>
          <t>2026-06-05</t>
        </is>
      </c>
      <c r="E269" s="29" t="inlineStr">
        <is>
          <t>2026-07-05</t>
        </is>
      </c>
      <c r="F269" s="29" t="n">
        <v>17675.69</v>
      </c>
      <c r="G269" s="29" t="n">
        <v>0</v>
      </c>
      <c r="H269" s="29" t="n"/>
      <c r="I269" s="29" t="n"/>
      <c r="J269" s="29" t="inlineStr">
        <is>
          <t>Open</t>
        </is>
      </c>
    </row>
    <row r="270">
      <c r="A270" s="29" t="inlineStr">
        <is>
          <t>AP-0004441</t>
        </is>
      </c>
      <c r="B270" s="29" t="inlineStr">
        <is>
          <t>V-2369</t>
        </is>
      </c>
      <c r="C270" s="29" t="inlineStr">
        <is>
          <t>ARM-2412</t>
        </is>
      </c>
      <c r="D270" s="29" t="inlineStr">
        <is>
          <t>2026-05-21</t>
        </is>
      </c>
      <c r="E270" s="29" t="inlineStr">
        <is>
          <t>2026-07-05</t>
        </is>
      </c>
      <c r="F270" s="29" t="n">
        <v>9601.719999999999</v>
      </c>
      <c r="G270" s="29" t="n">
        <v>0</v>
      </c>
      <c r="H270" s="29" t="n"/>
      <c r="I270" s="29" t="n"/>
      <c r="J270" s="29" t="inlineStr">
        <is>
          <t>Open</t>
        </is>
      </c>
    </row>
    <row r="271">
      <c r="A271" s="29" t="inlineStr">
        <is>
          <t>AP-0005236</t>
        </is>
      </c>
      <c r="B271" s="29" t="inlineStr">
        <is>
          <t>V-2534</t>
        </is>
      </c>
      <c r="C271" s="29" t="inlineStr">
        <is>
          <t>ARM-2510</t>
        </is>
      </c>
      <c r="D271" s="29" t="inlineStr">
        <is>
          <t>2026-05-21</t>
        </is>
      </c>
      <c r="E271" s="29" t="inlineStr">
        <is>
          <t>2026-07-05</t>
        </is>
      </c>
      <c r="F271" s="29" t="n">
        <v>9448.129999999999</v>
      </c>
      <c r="G271" s="29" t="n">
        <v>0</v>
      </c>
      <c r="H271" s="29" t="n"/>
      <c r="I271" s="29" t="n"/>
      <c r="J271" s="29" t="inlineStr">
        <is>
          <t>Open</t>
        </is>
      </c>
    </row>
    <row r="272">
      <c r="A272" s="29" t="inlineStr">
        <is>
          <t>AP-0005432</t>
        </is>
      </c>
      <c r="B272" s="29" t="inlineStr">
        <is>
          <t>V-2056</t>
        </is>
      </c>
      <c r="C272" s="29" t="inlineStr">
        <is>
          <t>ARM-2514</t>
        </is>
      </c>
      <c r="D272" s="29" t="inlineStr">
        <is>
          <t>2026-06-05</t>
        </is>
      </c>
      <c r="E272" s="29" t="inlineStr">
        <is>
          <t>2026-07-05</t>
        </is>
      </c>
      <c r="F272" s="29" t="n">
        <v>11378.12</v>
      </c>
      <c r="G272" s="29" t="n">
        <v>0</v>
      </c>
      <c r="H272" s="29" t="n"/>
      <c r="I272" s="29" t="n"/>
      <c r="J272" s="29" t="inlineStr">
        <is>
          <t>Open</t>
        </is>
      </c>
    </row>
    <row r="273">
      <c r="A273" s="29" t="inlineStr">
        <is>
          <t>AP-0005631</t>
        </is>
      </c>
      <c r="B273" s="29" t="inlineStr">
        <is>
          <t>V-2244</t>
        </is>
      </c>
      <c r="C273" s="29" t="inlineStr">
        <is>
          <t>ARM-2526</t>
        </is>
      </c>
      <c r="D273" s="29" t="inlineStr">
        <is>
          <t>2026-05-21</t>
        </is>
      </c>
      <c r="E273" s="29" t="inlineStr">
        <is>
          <t>2026-07-05</t>
        </is>
      </c>
      <c r="F273" s="29" t="n">
        <v>15743.37</v>
      </c>
      <c r="G273" s="29" t="n">
        <v>0</v>
      </c>
      <c r="H273" s="29" t="n"/>
      <c r="I273" s="29" t="n"/>
      <c r="J273" s="29" t="inlineStr">
        <is>
          <t>Open</t>
        </is>
      </c>
    </row>
    <row r="274">
      <c r="A274" s="29" t="inlineStr">
        <is>
          <t>AP-0005686</t>
        </is>
      </c>
      <c r="B274" s="29" t="inlineStr">
        <is>
          <t>V-2232</t>
        </is>
      </c>
      <c r="C274" s="29" t="inlineStr">
        <is>
          <t>ARM-2602</t>
        </is>
      </c>
      <c r="D274" s="29" t="inlineStr">
        <is>
          <t>2026-06-05</t>
        </is>
      </c>
      <c r="E274" s="29" t="inlineStr">
        <is>
          <t>2026-07-05</t>
        </is>
      </c>
      <c r="F274" s="29" t="n">
        <v>11295.93</v>
      </c>
      <c r="G274" s="29" t="n">
        <v>0</v>
      </c>
      <c r="H274" s="29" t="n"/>
      <c r="I274" s="29" t="n"/>
      <c r="J274" s="29" t="inlineStr">
        <is>
          <t>Open</t>
        </is>
      </c>
    </row>
    <row r="275">
      <c r="A275" s="29" t="inlineStr">
        <is>
          <t>AP-0011887</t>
        </is>
      </c>
      <c r="B275" s="29" t="inlineStr">
        <is>
          <t>V-2247</t>
        </is>
      </c>
      <c r="C275" s="29" t="n"/>
      <c r="D275" s="29" t="inlineStr">
        <is>
          <t>2026-06-05</t>
        </is>
      </c>
      <c r="E275" s="29" t="inlineStr">
        <is>
          <t>2026-07-05</t>
        </is>
      </c>
      <c r="F275" s="29" t="n">
        <v>25089.16</v>
      </c>
      <c r="G275" s="29" t="n">
        <v>0</v>
      </c>
      <c r="H275" s="29" t="n"/>
      <c r="I275" s="29" t="n"/>
      <c r="J275" s="29" t="inlineStr">
        <is>
          <t>Open</t>
        </is>
      </c>
    </row>
    <row r="276">
      <c r="A276" s="29" t="inlineStr">
        <is>
          <t>AP-0011891</t>
        </is>
      </c>
      <c r="B276" s="29" t="inlineStr">
        <is>
          <t>V-2342</t>
        </is>
      </c>
      <c r="C276" s="29" t="n"/>
      <c r="D276" s="29" t="inlineStr">
        <is>
          <t>2026-06-05</t>
        </is>
      </c>
      <c r="E276" s="29" t="inlineStr">
        <is>
          <t>2026-07-05</t>
        </is>
      </c>
      <c r="F276" s="29" t="n">
        <v>11813.56</v>
      </c>
      <c r="G276" s="29" t="n">
        <v>0</v>
      </c>
      <c r="H276" s="29" t="n"/>
      <c r="I276" s="29" t="n"/>
      <c r="J276" s="29" t="inlineStr">
        <is>
          <t>Open</t>
        </is>
      </c>
    </row>
    <row r="277">
      <c r="A277" s="29" t="inlineStr">
        <is>
          <t>AP-0011898</t>
        </is>
      </c>
      <c r="B277" s="29" t="inlineStr">
        <is>
          <t>V-2295</t>
        </is>
      </c>
      <c r="C277" s="29" t="n"/>
      <c r="D277" s="29" t="inlineStr">
        <is>
          <t>2026-06-20</t>
        </is>
      </c>
      <c r="E277" s="29" t="inlineStr">
        <is>
          <t>2026-07-05</t>
        </is>
      </c>
      <c r="F277" s="29" t="n">
        <v>18306.25</v>
      </c>
      <c r="G277" s="29" t="n">
        <v>0</v>
      </c>
      <c r="H277" s="29" t="n"/>
      <c r="I277" s="29" t="n"/>
      <c r="J277" s="29" t="inlineStr">
        <is>
          <t>Open</t>
        </is>
      </c>
    </row>
    <row r="278">
      <c r="A278" s="29" t="inlineStr">
        <is>
          <t>AP-0004285</t>
        </is>
      </c>
      <c r="B278" s="29" t="inlineStr">
        <is>
          <t>V-2507</t>
        </is>
      </c>
      <c r="C278" s="29" t="inlineStr">
        <is>
          <t>ARM-2409</t>
        </is>
      </c>
      <c r="D278" s="29" t="inlineStr">
        <is>
          <t>2026-06-06</t>
        </is>
      </c>
      <c r="E278" s="29" t="inlineStr">
        <is>
          <t>2026-07-06</t>
        </is>
      </c>
      <c r="F278" s="29" t="n">
        <v>12796.21</v>
      </c>
      <c r="G278" s="29" t="n">
        <v>0</v>
      </c>
      <c r="H278" s="29" t="n"/>
      <c r="I278" s="29" t="n"/>
      <c r="J278" s="29" t="inlineStr">
        <is>
          <t>Open</t>
        </is>
      </c>
    </row>
    <row r="279">
      <c r="A279" s="29" t="inlineStr">
        <is>
          <t>AP-0004290</t>
        </is>
      </c>
      <c r="B279" s="29" t="inlineStr">
        <is>
          <t>V-2213</t>
        </is>
      </c>
      <c r="C279" s="29" t="inlineStr">
        <is>
          <t>ARM-2409</t>
        </is>
      </c>
      <c r="D279" s="29" t="inlineStr">
        <is>
          <t>2026-06-06</t>
        </is>
      </c>
      <c r="E279" s="29" t="inlineStr">
        <is>
          <t>2026-07-06</t>
        </is>
      </c>
      <c r="F279" s="29" t="n">
        <v>35263.63</v>
      </c>
      <c r="G279" s="29" t="n">
        <v>0</v>
      </c>
      <c r="H279" s="29" t="inlineStr">
        <is>
          <t>Y</t>
        </is>
      </c>
      <c r="I279" s="29" t="inlineStr">
        <is>
          <t>Pending backcharge resolution and project-manager release</t>
        </is>
      </c>
      <c r="J279" s="29" t="inlineStr">
        <is>
          <t>Open</t>
        </is>
      </c>
    </row>
    <row r="280">
      <c r="A280" s="29" t="inlineStr">
        <is>
          <t>AP-0004291</t>
        </is>
      </c>
      <c r="B280" s="29" t="inlineStr">
        <is>
          <t>V-2232</t>
        </is>
      </c>
      <c r="C280" s="29" t="inlineStr">
        <is>
          <t>ARM-2409</t>
        </is>
      </c>
      <c r="D280" s="29" t="inlineStr">
        <is>
          <t>2026-06-06</t>
        </is>
      </c>
      <c r="E280" s="29" t="inlineStr">
        <is>
          <t>2026-07-06</t>
        </is>
      </c>
      <c r="F280" s="29" t="n">
        <v>3890.18</v>
      </c>
      <c r="G280" s="29" t="n">
        <v>0</v>
      </c>
      <c r="H280" s="29" t="n"/>
      <c r="I280" s="29" t="n"/>
      <c r="J280" s="29" t="inlineStr">
        <is>
          <t>Open</t>
        </is>
      </c>
    </row>
    <row r="281">
      <c r="A281" s="29" t="inlineStr">
        <is>
          <t>AP-0004689</t>
        </is>
      </c>
      <c r="B281" s="29" t="inlineStr">
        <is>
          <t>V-2334</t>
        </is>
      </c>
      <c r="C281" s="29" t="inlineStr">
        <is>
          <t>ARM-2417</t>
        </is>
      </c>
      <c r="D281" s="29" t="inlineStr">
        <is>
          <t>2026-05-22</t>
        </is>
      </c>
      <c r="E281" s="29" t="inlineStr">
        <is>
          <t>2026-07-06</t>
        </is>
      </c>
      <c r="F281" s="29" t="n">
        <v>28101.21</v>
      </c>
      <c r="G281" s="29" t="n">
        <v>0</v>
      </c>
      <c r="H281" s="29" t="n"/>
      <c r="I281" s="29" t="n"/>
      <c r="J281" s="29" t="inlineStr">
        <is>
          <t>Open</t>
        </is>
      </c>
    </row>
    <row r="282">
      <c r="A282" s="29" t="inlineStr">
        <is>
          <t>AP-0004891</t>
        </is>
      </c>
      <c r="B282" s="29" t="inlineStr">
        <is>
          <t>V-2412</t>
        </is>
      </c>
      <c r="C282" s="29" t="inlineStr">
        <is>
          <t>ARM-2501</t>
        </is>
      </c>
      <c r="D282" s="29" t="inlineStr">
        <is>
          <t>2026-06-06</t>
        </is>
      </c>
      <c r="E282" s="29" t="inlineStr">
        <is>
          <t>2026-07-06</t>
        </is>
      </c>
      <c r="F282" s="29" t="n">
        <v>9295.48</v>
      </c>
      <c r="G282" s="29" t="n">
        <v>0</v>
      </c>
      <c r="H282" s="29" t="n"/>
      <c r="I282" s="29" t="n"/>
      <c r="J282" s="29" t="inlineStr">
        <is>
          <t>Open</t>
        </is>
      </c>
    </row>
    <row r="283">
      <c r="A283" s="29" t="inlineStr">
        <is>
          <t>AP-0004896</t>
        </is>
      </c>
      <c r="B283" s="29" t="inlineStr">
        <is>
          <t>V-2471</t>
        </is>
      </c>
      <c r="C283" s="29" t="inlineStr">
        <is>
          <t>ARM-2501</t>
        </is>
      </c>
      <c r="D283" s="29" t="inlineStr">
        <is>
          <t>2026-06-06</t>
        </is>
      </c>
      <c r="E283" s="29" t="inlineStr">
        <is>
          <t>2026-07-06</t>
        </is>
      </c>
      <c r="F283" s="29" t="n">
        <v>20945.24</v>
      </c>
      <c r="G283" s="29" t="n">
        <v>0</v>
      </c>
      <c r="H283" s="29" t="n"/>
      <c r="I283" s="29" t="n"/>
      <c r="J283" s="29" t="inlineStr">
        <is>
          <t>Open</t>
        </is>
      </c>
    </row>
    <row r="284">
      <c r="A284" s="29" t="inlineStr">
        <is>
          <t>AP-0005419</t>
        </is>
      </c>
      <c r="B284" s="29" t="inlineStr">
        <is>
          <t>V-2389</t>
        </is>
      </c>
      <c r="C284" s="29" t="inlineStr">
        <is>
          <t>ARM-2514</t>
        </is>
      </c>
      <c r="D284" s="29" t="inlineStr">
        <is>
          <t>2026-05-22</t>
        </is>
      </c>
      <c r="E284" s="29" t="inlineStr">
        <is>
          <t>2026-07-06</t>
        </is>
      </c>
      <c r="F284" s="29" t="n">
        <v>19496.94</v>
      </c>
      <c r="G284" s="29" t="n">
        <v>0</v>
      </c>
      <c r="H284" s="29" t="n"/>
      <c r="I284" s="29" t="n"/>
      <c r="J284" s="29" t="inlineStr">
        <is>
          <t>Open</t>
        </is>
      </c>
    </row>
    <row r="285">
      <c r="A285" s="29" t="inlineStr">
        <is>
          <t>AP-0005678</t>
        </is>
      </c>
      <c r="B285" s="29" t="inlineStr">
        <is>
          <t>V-2474</t>
        </is>
      </c>
      <c r="C285" s="29" t="inlineStr">
        <is>
          <t>ARM-2602</t>
        </is>
      </c>
      <c r="D285" s="29" t="inlineStr">
        <is>
          <t>2026-05-22</t>
        </is>
      </c>
      <c r="E285" s="29" t="inlineStr">
        <is>
          <t>2026-07-06</t>
        </is>
      </c>
      <c r="F285" s="29" t="n">
        <v>14481.61</v>
      </c>
      <c r="G285" s="29" t="n">
        <v>0</v>
      </c>
      <c r="H285" s="29" t="n"/>
      <c r="I285" s="29" t="n"/>
      <c r="J285" s="29" t="inlineStr">
        <is>
          <t>Open</t>
        </is>
      </c>
    </row>
    <row r="286">
      <c r="A286" s="29" t="inlineStr">
        <is>
          <t>AP-0004100</t>
        </is>
      </c>
      <c r="B286" s="29" t="inlineStr">
        <is>
          <t>V-2300</t>
        </is>
      </c>
      <c r="C286" s="29" t="inlineStr">
        <is>
          <t>ARM-2403</t>
        </is>
      </c>
      <c r="D286" s="29" t="inlineStr">
        <is>
          <t>2026-06-22</t>
        </is>
      </c>
      <c r="E286" s="29" t="inlineStr">
        <is>
          <t>2026-07-07</t>
        </is>
      </c>
      <c r="F286" s="29" t="n">
        <v>9607.68</v>
      </c>
      <c r="G286" s="29" t="n">
        <v>0</v>
      </c>
      <c r="H286" s="29" t="n"/>
      <c r="I286" s="29" t="n"/>
      <c r="J286" s="29" t="inlineStr">
        <is>
          <t>Open</t>
        </is>
      </c>
    </row>
    <row r="287">
      <c r="A287" s="29" t="inlineStr">
        <is>
          <t>AP-0004443</t>
        </is>
      </c>
      <c r="B287" s="29" t="inlineStr">
        <is>
          <t>V-2396</t>
        </is>
      </c>
      <c r="C287" s="29" t="inlineStr">
        <is>
          <t>ARM-2412</t>
        </is>
      </c>
      <c r="D287" s="29" t="inlineStr">
        <is>
          <t>2026-06-07</t>
        </is>
      </c>
      <c r="E287" s="29" t="inlineStr">
        <is>
          <t>2026-07-07</t>
        </is>
      </c>
      <c r="F287" s="29" t="n">
        <v>16497.24</v>
      </c>
      <c r="G287" s="29" t="n">
        <v>0</v>
      </c>
      <c r="H287" s="29" t="n"/>
      <c r="I287" s="29" t="n"/>
      <c r="J287" s="29" t="inlineStr">
        <is>
          <t>Open</t>
        </is>
      </c>
    </row>
    <row r="288">
      <c r="A288" s="29" t="inlineStr">
        <is>
          <t>AP-0004447</t>
        </is>
      </c>
      <c r="B288" s="29" t="inlineStr">
        <is>
          <t>V-2443</t>
        </is>
      </c>
      <c r="C288" s="29" t="inlineStr">
        <is>
          <t>ARM-2412</t>
        </is>
      </c>
      <c r="D288" s="29" t="inlineStr">
        <is>
          <t>2026-06-07</t>
        </is>
      </c>
      <c r="E288" s="29" t="inlineStr">
        <is>
          <t>2026-07-07</t>
        </is>
      </c>
      <c r="F288" s="29" t="n">
        <v>15964.28</v>
      </c>
      <c r="G288" s="29" t="n">
        <v>0</v>
      </c>
      <c r="H288" s="29" t="n"/>
      <c r="I288" s="29" t="n"/>
      <c r="J288" s="29" t="inlineStr">
        <is>
          <t>Open</t>
        </is>
      </c>
    </row>
    <row r="289">
      <c r="A289" s="29" t="inlineStr">
        <is>
          <t>AP-0004449</t>
        </is>
      </c>
      <c r="B289" s="29" t="inlineStr">
        <is>
          <t>V-2467</t>
        </is>
      </c>
      <c r="C289" s="29" t="inlineStr">
        <is>
          <t>ARM-2412</t>
        </is>
      </c>
      <c r="D289" s="29" t="inlineStr">
        <is>
          <t>2026-06-07</t>
        </is>
      </c>
      <c r="E289" s="29" t="inlineStr">
        <is>
          <t>2026-07-07</t>
        </is>
      </c>
      <c r="F289" s="29" t="n">
        <v>7468.14</v>
      </c>
      <c r="G289" s="29" t="n">
        <v>0</v>
      </c>
      <c r="H289" s="29" t="n"/>
      <c r="I289" s="29" t="n"/>
      <c r="J289" s="29" t="inlineStr">
        <is>
          <t>Open</t>
        </is>
      </c>
    </row>
    <row r="290">
      <c r="A290" s="29" t="inlineStr">
        <is>
          <t>AP-0004699</t>
        </is>
      </c>
      <c r="B290" s="29" t="inlineStr">
        <is>
          <t>V-2460</t>
        </is>
      </c>
      <c r="C290" s="29" t="inlineStr">
        <is>
          <t>ARM-2417</t>
        </is>
      </c>
      <c r="D290" s="29" t="inlineStr">
        <is>
          <t>2026-06-22</t>
        </is>
      </c>
      <c r="E290" s="29" t="inlineStr">
        <is>
          <t>2026-07-07</t>
        </is>
      </c>
      <c r="F290" s="29" t="n">
        <v>11215.89</v>
      </c>
      <c r="G290" s="29" t="n">
        <v>0</v>
      </c>
      <c r="H290" s="29" t="n"/>
      <c r="I290" s="29" t="n"/>
      <c r="J290" s="29" t="inlineStr">
        <is>
          <t>Open</t>
        </is>
      </c>
    </row>
    <row r="291">
      <c r="A291" s="29" t="inlineStr">
        <is>
          <t>AP-0005094</t>
        </is>
      </c>
      <c r="B291" s="29" t="inlineStr">
        <is>
          <t>V-2512</t>
        </is>
      </c>
      <c r="C291" s="29" t="inlineStr">
        <is>
          <t>ARM-2506</t>
        </is>
      </c>
      <c r="D291" s="29" t="inlineStr">
        <is>
          <t>2026-06-07</t>
        </is>
      </c>
      <c r="E291" s="29" t="inlineStr">
        <is>
          <t>2026-07-07</t>
        </is>
      </c>
      <c r="F291" s="29" t="n">
        <v>17274.47</v>
      </c>
      <c r="G291" s="29" t="n">
        <v>0</v>
      </c>
      <c r="H291" s="29" t="n"/>
      <c r="I291" s="29" t="n"/>
      <c r="J291" s="29" t="inlineStr">
        <is>
          <t>Open</t>
        </is>
      </c>
    </row>
    <row r="292">
      <c r="A292" s="29" t="inlineStr">
        <is>
          <t>AP-0005240</t>
        </is>
      </c>
      <c r="B292" s="29" t="inlineStr">
        <is>
          <t>V-2243</t>
        </is>
      </c>
      <c r="C292" s="29" t="inlineStr">
        <is>
          <t>ARM-2510</t>
        </is>
      </c>
      <c r="D292" s="29" t="inlineStr">
        <is>
          <t>2026-06-07</t>
        </is>
      </c>
      <c r="E292" s="29" t="inlineStr">
        <is>
          <t>2026-07-07</t>
        </is>
      </c>
      <c r="F292" s="29" t="n">
        <v>11175.19</v>
      </c>
      <c r="G292" s="29" t="n">
        <v>0</v>
      </c>
      <c r="H292" s="29" t="n"/>
      <c r="I292" s="29" t="n"/>
      <c r="J292" s="29" t="inlineStr">
        <is>
          <t>Open</t>
        </is>
      </c>
    </row>
    <row r="293">
      <c r="A293" s="29" t="inlineStr">
        <is>
          <t>AP-0005248</t>
        </is>
      </c>
      <c r="B293" s="29" t="inlineStr">
        <is>
          <t>V-2348</t>
        </is>
      </c>
      <c r="C293" s="29" t="inlineStr">
        <is>
          <t>ARM-2510</t>
        </is>
      </c>
      <c r="D293" s="29" t="inlineStr">
        <is>
          <t>2026-06-07</t>
        </is>
      </c>
      <c r="E293" s="29" t="inlineStr">
        <is>
          <t>2026-07-07</t>
        </is>
      </c>
      <c r="F293" s="29" t="n">
        <v>15034.67</v>
      </c>
      <c r="G293" s="29" t="n">
        <v>0</v>
      </c>
      <c r="H293" s="29" t="n"/>
      <c r="I293" s="29" t="n"/>
      <c r="J293" s="29" t="inlineStr">
        <is>
          <t>Open</t>
        </is>
      </c>
    </row>
    <row r="294">
      <c r="A294" s="29" t="inlineStr">
        <is>
          <t>AP-0005501</t>
        </is>
      </c>
      <c r="B294" s="29" t="inlineStr">
        <is>
          <t>V-2369</t>
        </is>
      </c>
      <c r="C294" s="29" t="inlineStr">
        <is>
          <t>ARM-2518</t>
        </is>
      </c>
      <c r="D294" s="29" t="inlineStr">
        <is>
          <t>2026-05-23</t>
        </is>
      </c>
      <c r="E294" s="29" t="inlineStr">
        <is>
          <t>2026-07-07</t>
        </is>
      </c>
      <c r="F294" s="29" t="n">
        <v>14253.59</v>
      </c>
      <c r="G294" s="29" t="n">
        <v>0</v>
      </c>
      <c r="H294" s="29" t="n"/>
      <c r="I294" s="29" t="n"/>
      <c r="J294" s="29" t="inlineStr">
        <is>
          <t>Open</t>
        </is>
      </c>
    </row>
    <row r="295">
      <c r="A295" s="29" t="inlineStr">
        <is>
          <t>AP-0005641</t>
        </is>
      </c>
      <c r="B295" s="29" t="inlineStr">
        <is>
          <t>V-2377</t>
        </is>
      </c>
      <c r="C295" s="29" t="inlineStr">
        <is>
          <t>ARM-2526</t>
        </is>
      </c>
      <c r="D295" s="29" t="inlineStr">
        <is>
          <t>2026-06-07</t>
        </is>
      </c>
      <c r="E295" s="29" t="inlineStr">
        <is>
          <t>2026-07-07</t>
        </is>
      </c>
      <c r="F295" s="29" t="n">
        <v>13603.16</v>
      </c>
      <c r="G295" s="29" t="n">
        <v>0</v>
      </c>
      <c r="H295" s="29" t="n"/>
      <c r="I295" s="29" t="n"/>
      <c r="J295" s="29" t="inlineStr">
        <is>
          <t>Open</t>
        </is>
      </c>
    </row>
    <row r="296">
      <c r="A296" s="29" t="inlineStr">
        <is>
          <t>AP-0005685</t>
        </is>
      </c>
      <c r="B296" s="29" t="inlineStr">
        <is>
          <t>V-2210</t>
        </is>
      </c>
      <c r="C296" s="29" t="inlineStr">
        <is>
          <t>ARM-2602</t>
        </is>
      </c>
      <c r="D296" s="29" t="inlineStr">
        <is>
          <t>2026-06-22</t>
        </is>
      </c>
      <c r="E296" s="29" t="inlineStr">
        <is>
          <t>2026-07-07</t>
        </is>
      </c>
      <c r="F296" s="29" t="n">
        <v>14198.96</v>
      </c>
      <c r="G296" s="29" t="n">
        <v>0</v>
      </c>
      <c r="H296" s="29" t="n"/>
      <c r="I296" s="29" t="n"/>
      <c r="J296" s="29" t="inlineStr">
        <is>
          <t>Open</t>
        </is>
      </c>
    </row>
    <row r="297">
      <c r="A297" s="29" t="inlineStr">
        <is>
          <t>AP-0005725</t>
        </is>
      </c>
      <c r="B297" s="29" t="inlineStr">
        <is>
          <t>V-2370</t>
        </is>
      </c>
      <c r="C297" s="29" t="inlineStr">
        <is>
          <t>ARM-2605</t>
        </is>
      </c>
      <c r="D297" s="29" t="inlineStr">
        <is>
          <t>2026-06-22</t>
        </is>
      </c>
      <c r="E297" s="29" t="inlineStr">
        <is>
          <t>2026-07-07</t>
        </is>
      </c>
      <c r="F297" s="29" t="n">
        <v>5554.63</v>
      </c>
      <c r="G297" s="29" t="n">
        <v>0</v>
      </c>
      <c r="H297" s="29" t="n"/>
      <c r="I297" s="29" t="n"/>
      <c r="J297" s="29" t="inlineStr">
        <is>
          <t>Open</t>
        </is>
      </c>
    </row>
    <row r="298">
      <c r="A298" s="29" t="inlineStr">
        <is>
          <t>AP-0009911</t>
        </is>
      </c>
      <c r="B298" s="29" t="inlineStr">
        <is>
          <t>V-2250</t>
        </is>
      </c>
      <c r="C298" s="29" t="n"/>
      <c r="D298" s="29" t="inlineStr">
        <is>
          <t>2026-06-22</t>
        </is>
      </c>
      <c r="E298" s="29" t="inlineStr">
        <is>
          <t>2026-07-07</t>
        </is>
      </c>
      <c r="F298" s="29" t="n">
        <v>4547.48</v>
      </c>
      <c r="G298" s="29" t="n">
        <v>0</v>
      </c>
      <c r="H298" s="29" t="n"/>
      <c r="I298" s="29" t="n"/>
      <c r="J298" s="29" t="inlineStr">
        <is>
          <t>Open</t>
        </is>
      </c>
    </row>
    <row r="299">
      <c r="A299" s="29" t="inlineStr">
        <is>
          <t>AP-0009932</t>
        </is>
      </c>
      <c r="B299" s="29" t="inlineStr">
        <is>
          <t>V-2250</t>
        </is>
      </c>
      <c r="C299" s="29" t="n"/>
      <c r="D299" s="29" t="inlineStr">
        <is>
          <t>2026-06-22</t>
        </is>
      </c>
      <c r="E299" s="29" t="inlineStr">
        <is>
          <t>2026-07-07</t>
        </is>
      </c>
      <c r="F299" s="29" t="n">
        <v>3804.7</v>
      </c>
      <c r="G299" s="29" t="n">
        <v>0</v>
      </c>
      <c r="H299" s="29" t="n"/>
      <c r="I299" s="29" t="n"/>
      <c r="J299" s="29" t="inlineStr">
        <is>
          <t>Open</t>
        </is>
      </c>
    </row>
    <row r="300">
      <c r="A300" s="29" t="inlineStr">
        <is>
          <t>AP-0003882</t>
        </is>
      </c>
      <c r="B300" s="29" t="inlineStr">
        <is>
          <t>V-2370</t>
        </is>
      </c>
      <c r="C300" s="29" t="inlineStr">
        <is>
          <t>ARM-2318</t>
        </is>
      </c>
      <c r="D300" s="29" t="inlineStr">
        <is>
          <t>2026-06-23</t>
        </is>
      </c>
      <c r="E300" s="29" t="inlineStr">
        <is>
          <t>2026-07-08</t>
        </is>
      </c>
      <c r="F300" s="29" t="n">
        <v>8513.450000000001</v>
      </c>
      <c r="G300" s="29" t="n">
        <v>0</v>
      </c>
      <c r="H300" s="29" t="n"/>
      <c r="I300" s="29" t="n"/>
      <c r="J300" s="29" t="inlineStr">
        <is>
          <t>Open</t>
        </is>
      </c>
    </row>
    <row r="301">
      <c r="A301" s="29" t="inlineStr">
        <is>
          <t>AP-0004706</t>
        </is>
      </c>
      <c r="B301" s="29" t="inlineStr">
        <is>
          <t>V-2018</t>
        </is>
      </c>
      <c r="C301" s="29" t="inlineStr">
        <is>
          <t>ARM-2417</t>
        </is>
      </c>
      <c r="D301" s="29" t="inlineStr">
        <is>
          <t>2026-06-08</t>
        </is>
      </c>
      <c r="E301" s="29" t="inlineStr">
        <is>
          <t>2026-07-08</t>
        </is>
      </c>
      <c r="F301" s="29" t="n">
        <v>20866.04</v>
      </c>
      <c r="G301" s="29" t="n">
        <v>0</v>
      </c>
      <c r="H301" s="29" t="n"/>
      <c r="I301" s="29" t="n"/>
      <c r="J301" s="29" t="inlineStr">
        <is>
          <t>Open</t>
        </is>
      </c>
    </row>
    <row r="302">
      <c r="A302" s="29" t="inlineStr">
        <is>
          <t>AP-0004709</t>
        </is>
      </c>
      <c r="B302" s="29" t="inlineStr">
        <is>
          <t>V-2231</t>
        </is>
      </c>
      <c r="C302" s="29" t="inlineStr">
        <is>
          <t>ARM-2417</t>
        </is>
      </c>
      <c r="D302" s="29" t="inlineStr">
        <is>
          <t>2026-06-08</t>
        </is>
      </c>
      <c r="E302" s="29" t="inlineStr">
        <is>
          <t>2026-07-08</t>
        </is>
      </c>
      <c r="F302" s="29" t="n">
        <v>5192.86</v>
      </c>
      <c r="G302" s="29" t="n">
        <v>0</v>
      </c>
      <c r="H302" s="29" t="n"/>
      <c r="I302" s="29" t="n"/>
      <c r="J302" s="29" t="inlineStr">
        <is>
          <t>Open</t>
        </is>
      </c>
    </row>
    <row r="303">
      <c r="A303" s="29" t="inlineStr">
        <is>
          <t>AP-0004888</t>
        </is>
      </c>
      <c r="B303" s="29" t="inlineStr">
        <is>
          <t>V-2379</t>
        </is>
      </c>
      <c r="C303" s="29" t="inlineStr">
        <is>
          <t>ARM-2501</t>
        </is>
      </c>
      <c r="D303" s="29" t="inlineStr">
        <is>
          <t>2026-05-24</t>
        </is>
      </c>
      <c r="E303" s="29" t="inlineStr">
        <is>
          <t>2026-07-08</t>
        </is>
      </c>
      <c r="F303" s="29" t="n">
        <v>13278.57</v>
      </c>
      <c r="G303" s="29" t="n">
        <v>0</v>
      </c>
      <c r="H303" s="29" t="n"/>
      <c r="I303" s="29" t="n"/>
      <c r="J303" s="29" t="inlineStr">
        <is>
          <t>Open</t>
        </is>
      </c>
    </row>
    <row r="304">
      <c r="A304" s="29" t="inlineStr">
        <is>
          <t>AP-0005429</t>
        </is>
      </c>
      <c r="B304" s="29" t="inlineStr">
        <is>
          <t>V-2512</t>
        </is>
      </c>
      <c r="C304" s="29" t="inlineStr">
        <is>
          <t>ARM-2514</t>
        </is>
      </c>
      <c r="D304" s="29" t="inlineStr">
        <is>
          <t>2026-06-08</t>
        </is>
      </c>
      <c r="E304" s="29" t="inlineStr">
        <is>
          <t>2026-07-08</t>
        </is>
      </c>
      <c r="F304" s="29" t="n">
        <v>14641.98</v>
      </c>
      <c r="G304" s="29" t="n">
        <v>0</v>
      </c>
      <c r="H304" s="29" t="n"/>
      <c r="I304" s="29" t="n"/>
      <c r="J304" s="29" t="inlineStr">
        <is>
          <t>Open</t>
        </is>
      </c>
    </row>
    <row r="305">
      <c r="A305" s="29" t="inlineStr">
        <is>
          <t>AP-0005443</t>
        </is>
      </c>
      <c r="B305" s="29" t="inlineStr">
        <is>
          <t>V-2346</t>
        </is>
      </c>
      <c r="C305" s="29" t="inlineStr">
        <is>
          <t>ARM-2514</t>
        </is>
      </c>
      <c r="D305" s="29" t="inlineStr">
        <is>
          <t>2026-06-08</t>
        </is>
      </c>
      <c r="E305" s="29" t="inlineStr">
        <is>
          <t>2026-07-08</t>
        </is>
      </c>
      <c r="F305" s="29" t="n">
        <v>18892.35</v>
      </c>
      <c r="G305" s="29" t="n">
        <v>0</v>
      </c>
      <c r="H305" s="29" t="n"/>
      <c r="I305" s="29" t="n"/>
      <c r="J305" s="29" t="inlineStr">
        <is>
          <t>Open</t>
        </is>
      </c>
    </row>
    <row r="306">
      <c r="A306" s="29" t="inlineStr">
        <is>
          <t>AP-0005583</t>
        </is>
      </c>
      <c r="B306" s="29" t="inlineStr">
        <is>
          <t>V-2350</t>
        </is>
      </c>
      <c r="C306" s="29" t="inlineStr">
        <is>
          <t>ARM-2522</t>
        </is>
      </c>
      <c r="D306" s="29" t="inlineStr">
        <is>
          <t>2026-06-23</t>
        </is>
      </c>
      <c r="E306" s="29" t="inlineStr">
        <is>
          <t>2026-07-08</t>
        </is>
      </c>
      <c r="F306" s="29" t="n">
        <v>10438.98</v>
      </c>
      <c r="G306" s="29" t="n">
        <v>0</v>
      </c>
      <c r="H306" s="29" t="n"/>
      <c r="I306" s="29" t="n"/>
      <c r="J306" s="29" t="inlineStr">
        <is>
          <t>Open</t>
        </is>
      </c>
    </row>
    <row r="307">
      <c r="A307" s="29" t="inlineStr">
        <is>
          <t>AP-0005683</t>
        </is>
      </c>
      <c r="B307" s="29" t="inlineStr">
        <is>
          <t>V-2010</t>
        </is>
      </c>
      <c r="C307" s="29" t="inlineStr">
        <is>
          <t>ARM-2602</t>
        </is>
      </c>
      <c r="D307" s="29" t="inlineStr">
        <is>
          <t>2026-06-08</t>
        </is>
      </c>
      <c r="E307" s="29" t="inlineStr">
        <is>
          <t>2026-07-08</t>
        </is>
      </c>
      <c r="F307" s="29" t="n">
        <v>12019.41</v>
      </c>
      <c r="G307" s="29" t="n">
        <v>0</v>
      </c>
      <c r="H307" s="29" t="n"/>
      <c r="I307" s="29" t="n"/>
      <c r="J307" s="29" t="inlineStr">
        <is>
          <t>Open</t>
        </is>
      </c>
    </row>
    <row r="308">
      <c r="A308" s="29" t="inlineStr">
        <is>
          <t>AP-0009875</t>
        </is>
      </c>
      <c r="B308" s="29" t="inlineStr">
        <is>
          <t>V-2284</t>
        </is>
      </c>
      <c r="C308" s="29" t="n"/>
      <c r="D308" s="29" t="inlineStr">
        <is>
          <t>2026-05-24</t>
        </is>
      </c>
      <c r="E308" s="29" t="inlineStr">
        <is>
          <t>2026-07-08</t>
        </is>
      </c>
      <c r="F308" s="29" t="n">
        <v>5870.6</v>
      </c>
      <c r="G308" s="29" t="n">
        <v>0</v>
      </c>
      <c r="H308" s="29" t="n"/>
      <c r="I308" s="29" t="n"/>
      <c r="J308" s="29" t="inlineStr">
        <is>
          <t>Open</t>
        </is>
      </c>
    </row>
    <row r="309">
      <c r="A309" s="29" t="inlineStr">
        <is>
          <t>AP-0009896</t>
        </is>
      </c>
      <c r="B309" s="29" t="inlineStr">
        <is>
          <t>V-2284</t>
        </is>
      </c>
      <c r="C309" s="29" t="n"/>
      <c r="D309" s="29" t="inlineStr">
        <is>
          <t>2026-05-24</t>
        </is>
      </c>
      <c r="E309" s="29" t="inlineStr">
        <is>
          <t>2026-07-08</t>
        </is>
      </c>
      <c r="F309" s="29" t="n">
        <v>2378.22</v>
      </c>
      <c r="G309" s="29" t="n">
        <v>0</v>
      </c>
      <c r="H309" s="29" t="n"/>
      <c r="I309" s="29" t="n"/>
      <c r="J309" s="29" t="inlineStr">
        <is>
          <t>Open</t>
        </is>
      </c>
    </row>
    <row r="310">
      <c r="A310" s="29" t="inlineStr">
        <is>
          <t>AP-0011889</t>
        </is>
      </c>
      <c r="B310" s="29" t="inlineStr">
        <is>
          <t>V-2323</t>
        </is>
      </c>
      <c r="C310" s="29" t="n"/>
      <c r="D310" s="29" t="inlineStr">
        <is>
          <t>2026-06-08</t>
        </is>
      </c>
      <c r="E310" s="29" t="inlineStr">
        <is>
          <t>2026-07-08</t>
        </is>
      </c>
      <c r="F310" s="29" t="n">
        <v>10749.64</v>
      </c>
      <c r="G310" s="29" t="n">
        <v>0</v>
      </c>
      <c r="H310" s="29" t="n"/>
      <c r="I310" s="29" t="n"/>
      <c r="J310" s="29" t="inlineStr">
        <is>
          <t>Open</t>
        </is>
      </c>
    </row>
    <row r="311">
      <c r="A311" s="29" t="inlineStr">
        <is>
          <t>AP-0011903</t>
        </is>
      </c>
      <c r="B311" s="29" t="inlineStr">
        <is>
          <t>V-2470</t>
        </is>
      </c>
      <c r="C311" s="29" t="n"/>
      <c r="D311" s="29" t="inlineStr">
        <is>
          <t>2026-06-23</t>
        </is>
      </c>
      <c r="E311" s="29" t="inlineStr">
        <is>
          <t>2026-07-08</t>
        </is>
      </c>
      <c r="F311" s="29" t="n">
        <v>5347.43</v>
      </c>
      <c r="G311" s="29" t="n">
        <v>0</v>
      </c>
      <c r="H311" s="29" t="n"/>
      <c r="I311" s="29" t="n"/>
      <c r="J311" s="29" t="inlineStr">
        <is>
          <t>Open</t>
        </is>
      </c>
    </row>
    <row r="312">
      <c r="A312" s="29" t="inlineStr">
        <is>
          <t>AP-0003880</t>
        </is>
      </c>
      <c r="B312" s="29" t="inlineStr">
        <is>
          <t>V-2343</t>
        </is>
      </c>
      <c r="C312" s="29" t="inlineStr">
        <is>
          <t>ARM-2318</t>
        </is>
      </c>
      <c r="D312" s="29" t="inlineStr">
        <is>
          <t>2026-06-09</t>
        </is>
      </c>
      <c r="E312" s="29" t="inlineStr">
        <is>
          <t>2026-07-09</t>
        </is>
      </c>
      <c r="F312" s="29" t="n">
        <v>18060.7</v>
      </c>
      <c r="G312" s="29" t="n">
        <v>0</v>
      </c>
      <c r="H312" s="29" t="n"/>
      <c r="I312" s="29" t="n"/>
      <c r="J312" s="29" t="inlineStr">
        <is>
          <t>Open</t>
        </is>
      </c>
    </row>
    <row r="313">
      <c r="A313" s="29" t="inlineStr">
        <is>
          <t>AP-0003885</t>
        </is>
      </c>
      <c r="B313" s="29" t="inlineStr">
        <is>
          <t>V-2403</t>
        </is>
      </c>
      <c r="C313" s="29" t="inlineStr">
        <is>
          <t>ARM-2318</t>
        </is>
      </c>
      <c r="D313" s="29" t="inlineStr">
        <is>
          <t>2026-06-09</t>
        </is>
      </c>
      <c r="E313" s="29" t="inlineStr">
        <is>
          <t>2026-07-09</t>
        </is>
      </c>
      <c r="F313" s="29" t="n">
        <v>20908.78</v>
      </c>
      <c r="G313" s="29" t="n">
        <v>0</v>
      </c>
      <c r="H313" s="29" t="n"/>
      <c r="I313" s="29" t="n"/>
      <c r="J313" s="29" t="inlineStr">
        <is>
          <t>Open</t>
        </is>
      </c>
    </row>
    <row r="314">
      <c r="A314" s="29" t="inlineStr">
        <is>
          <t>AP-0003887</t>
        </is>
      </c>
      <c r="B314" s="29" t="inlineStr">
        <is>
          <t>V-2427</t>
        </is>
      </c>
      <c r="C314" s="29" t="inlineStr">
        <is>
          <t>ARM-2318</t>
        </is>
      </c>
      <c r="D314" s="29" t="inlineStr">
        <is>
          <t>2026-06-09</t>
        </is>
      </c>
      <c r="E314" s="29" t="inlineStr">
        <is>
          <t>2026-07-09</t>
        </is>
      </c>
      <c r="F314" s="29" t="n">
        <v>7754.87</v>
      </c>
      <c r="G314" s="29" t="n">
        <v>0</v>
      </c>
      <c r="H314" s="29" t="n"/>
      <c r="I314" s="29" t="n"/>
      <c r="J314" s="29" t="inlineStr">
        <is>
          <t>Open</t>
        </is>
      </c>
    </row>
    <row r="315">
      <c r="A315" s="29" t="inlineStr">
        <is>
          <t>AP-0005250</t>
        </is>
      </c>
      <c r="B315" s="29" t="inlineStr">
        <is>
          <t>V-2370</t>
        </is>
      </c>
      <c r="C315" s="29" t="inlineStr">
        <is>
          <t>ARM-2510</t>
        </is>
      </c>
      <c r="D315" s="29" t="inlineStr">
        <is>
          <t>2026-06-24</t>
        </is>
      </c>
      <c r="E315" s="29" t="inlineStr">
        <is>
          <t>2026-07-09</t>
        </is>
      </c>
      <c r="F315" s="29" t="n">
        <v>7111.95</v>
      </c>
      <c r="G315" s="29" t="n">
        <v>0</v>
      </c>
      <c r="H315" s="29" t="n"/>
      <c r="I315" s="29" t="n"/>
      <c r="J315" s="29" t="inlineStr">
        <is>
          <t>Open</t>
        </is>
      </c>
    </row>
    <row r="316">
      <c r="A316" s="29" t="inlineStr">
        <is>
          <t>AP-0005511</t>
        </is>
      </c>
      <c r="B316" s="29" t="inlineStr">
        <is>
          <t>V-2491</t>
        </is>
      </c>
      <c r="C316" s="29" t="inlineStr">
        <is>
          <t>ARM-2518</t>
        </is>
      </c>
      <c r="D316" s="29" t="inlineStr">
        <is>
          <t>2026-06-09</t>
        </is>
      </c>
      <c r="E316" s="29" t="inlineStr">
        <is>
          <t>2026-07-09</t>
        </is>
      </c>
      <c r="F316" s="29" t="n">
        <v>14804.57</v>
      </c>
      <c r="G316" s="29" t="n">
        <v>0</v>
      </c>
      <c r="H316" s="29" t="n"/>
      <c r="I316" s="29" t="n"/>
      <c r="J316" s="29" t="inlineStr">
        <is>
          <t>Open</t>
        </is>
      </c>
    </row>
    <row r="317">
      <c r="A317" s="29" t="inlineStr">
        <is>
          <t>AP-0005581</t>
        </is>
      </c>
      <c r="B317" s="29" t="inlineStr">
        <is>
          <t>V-2322</t>
        </is>
      </c>
      <c r="C317" s="29" t="inlineStr">
        <is>
          <t>ARM-2522</t>
        </is>
      </c>
      <c r="D317" s="29" t="inlineStr">
        <is>
          <t>2026-06-09</t>
        </is>
      </c>
      <c r="E317" s="29" t="inlineStr">
        <is>
          <t>2026-07-09</t>
        </is>
      </c>
      <c r="F317" s="29" t="n">
        <v>11276.47</v>
      </c>
      <c r="G317" s="29" t="n">
        <v>0</v>
      </c>
      <c r="H317" s="29" t="n"/>
      <c r="I317" s="29" t="n"/>
      <c r="J317" s="29" t="inlineStr">
        <is>
          <t>Open</t>
        </is>
      </c>
    </row>
    <row r="318">
      <c r="A318" s="29" t="inlineStr">
        <is>
          <t>AP-0005588</t>
        </is>
      </c>
      <c r="B318" s="29" t="inlineStr">
        <is>
          <t>V-2407</t>
        </is>
      </c>
      <c r="C318" s="29" t="inlineStr">
        <is>
          <t>ARM-2522</t>
        </is>
      </c>
      <c r="D318" s="29" t="inlineStr">
        <is>
          <t>2026-06-09</t>
        </is>
      </c>
      <c r="E318" s="29" t="inlineStr">
        <is>
          <t>2026-07-09</t>
        </is>
      </c>
      <c r="F318" s="29" t="n">
        <v>23921.87</v>
      </c>
      <c r="G318" s="29" t="n">
        <v>0</v>
      </c>
      <c r="H318" s="29" t="n"/>
      <c r="I318" s="29" t="n"/>
      <c r="J318" s="29" t="inlineStr">
        <is>
          <t>Open</t>
        </is>
      </c>
    </row>
    <row r="319">
      <c r="A319" s="29" t="inlineStr">
        <is>
          <t>AP-0005590</t>
        </is>
      </c>
      <c r="B319" s="29" t="inlineStr">
        <is>
          <t>V-2431</t>
        </is>
      </c>
      <c r="C319" s="29" t="inlineStr">
        <is>
          <t>ARM-2522</t>
        </is>
      </c>
      <c r="D319" s="29" t="inlineStr">
        <is>
          <t>2026-06-09</t>
        </is>
      </c>
      <c r="E319" s="29" t="inlineStr">
        <is>
          <t>2026-07-09</t>
        </is>
      </c>
      <c r="F319" s="29" t="n">
        <v>10029.47</v>
      </c>
      <c r="G319" s="29" t="n">
        <v>0</v>
      </c>
      <c r="H319" s="29" t="n"/>
      <c r="I319" s="29" t="n"/>
      <c r="J319" s="29" t="inlineStr">
        <is>
          <t>Open</t>
        </is>
      </c>
    </row>
    <row r="320">
      <c r="A320" s="29" t="inlineStr">
        <is>
          <t>AP-0005747</t>
        </is>
      </c>
      <c r="B320" s="29" t="inlineStr">
        <is>
          <t>V-2301</t>
        </is>
      </c>
      <c r="C320" s="29" t="inlineStr">
        <is>
          <t>ARM-2608</t>
        </is>
      </c>
      <c r="D320" s="29" t="inlineStr">
        <is>
          <t>2026-06-09</t>
        </is>
      </c>
      <c r="E320" s="29" t="inlineStr">
        <is>
          <t>2026-07-09</t>
        </is>
      </c>
      <c r="F320" s="29" t="n">
        <v>8492.690000000001</v>
      </c>
      <c r="G320" s="29" t="n">
        <v>0</v>
      </c>
      <c r="H320" s="29" t="n"/>
      <c r="I320" s="29" t="n"/>
      <c r="J320" s="29" t="inlineStr">
        <is>
          <t>Open</t>
        </is>
      </c>
    </row>
    <row r="321">
      <c r="A321" s="29" t="inlineStr">
        <is>
          <t>AP-0004703</t>
        </is>
      </c>
      <c r="B321" s="29" t="inlineStr">
        <is>
          <t>V-2515</t>
        </is>
      </c>
      <c r="C321" s="29" t="inlineStr">
        <is>
          <t>ARM-2417</t>
        </is>
      </c>
      <c r="D321" s="29" t="inlineStr">
        <is>
          <t>2026-06-25</t>
        </is>
      </c>
      <c r="E321" s="29" t="inlineStr">
        <is>
          <t>2026-07-10</t>
        </is>
      </c>
      <c r="F321" s="29" t="n">
        <v>14163.5</v>
      </c>
      <c r="G321" s="29" t="n">
        <v>0</v>
      </c>
      <c r="H321" s="29" t="n"/>
      <c r="I321" s="29" t="n"/>
      <c r="J321" s="29" t="inlineStr">
        <is>
          <t>Open</t>
        </is>
      </c>
    </row>
    <row r="322">
      <c r="A322" s="29" t="inlineStr">
        <is>
          <t>AP-0005091</t>
        </is>
      </c>
      <c r="B322" s="29" t="inlineStr">
        <is>
          <t>V-2471</t>
        </is>
      </c>
      <c r="C322" s="29" t="inlineStr">
        <is>
          <t>ARM-2506</t>
        </is>
      </c>
      <c r="D322" s="29" t="inlineStr">
        <is>
          <t>2026-06-10</t>
        </is>
      </c>
      <c r="E322" s="29" t="inlineStr">
        <is>
          <t>2026-07-10</t>
        </is>
      </c>
      <c r="F322" s="29" t="n">
        <v>16696.1</v>
      </c>
      <c r="G322" s="29" t="n">
        <v>0</v>
      </c>
      <c r="H322" s="29" t="n"/>
      <c r="I322" s="29" t="n"/>
      <c r="J322" s="29" t="inlineStr">
        <is>
          <t>Open</t>
        </is>
      </c>
    </row>
    <row r="323">
      <c r="A323" s="29" t="inlineStr">
        <is>
          <t>AP-0005100</t>
        </is>
      </c>
      <c r="B323" s="29" t="inlineStr">
        <is>
          <t>V-2255</t>
        </is>
      </c>
      <c r="C323" s="29" t="inlineStr">
        <is>
          <t>ARM-2506</t>
        </is>
      </c>
      <c r="D323" s="29" t="inlineStr">
        <is>
          <t>2026-06-25</t>
        </is>
      </c>
      <c r="E323" s="29" t="inlineStr">
        <is>
          <t>2026-07-10</t>
        </is>
      </c>
      <c r="F323" s="29" t="n">
        <v>8727.030000000001</v>
      </c>
      <c r="G323" s="29" t="n">
        <v>0</v>
      </c>
      <c r="H323" s="29" t="n"/>
      <c r="I323" s="29" t="n"/>
      <c r="J323" s="29" t="inlineStr">
        <is>
          <t>Open</t>
        </is>
      </c>
    </row>
    <row r="324">
      <c r="A324" s="29" t="inlineStr">
        <is>
          <t>AP-0005103</t>
        </is>
      </c>
      <c r="B324" s="29" t="inlineStr">
        <is>
          <t>V-2281</t>
        </is>
      </c>
      <c r="C324" s="29" t="inlineStr">
        <is>
          <t>ARM-2506</t>
        </is>
      </c>
      <c r="D324" s="29" t="inlineStr">
        <is>
          <t>2026-06-10</t>
        </is>
      </c>
      <c r="E324" s="29" t="inlineStr">
        <is>
          <t>2026-07-10</t>
        </is>
      </c>
      <c r="F324" s="29" t="n">
        <v>24373.92</v>
      </c>
      <c r="G324" s="29" t="n">
        <v>0</v>
      </c>
      <c r="H324" s="29" t="n"/>
      <c r="I324" s="29" t="n"/>
      <c r="J324" s="29" t="inlineStr">
        <is>
          <t>Open</t>
        </is>
      </c>
    </row>
    <row r="325">
      <c r="A325" s="29" t="inlineStr">
        <is>
          <t>AP-0005435</t>
        </is>
      </c>
      <c r="B325" s="29" t="inlineStr">
        <is>
          <t>V-2255</t>
        </is>
      </c>
      <c r="C325" s="29" t="inlineStr">
        <is>
          <t>ARM-2514</t>
        </is>
      </c>
      <c r="D325" s="29" t="inlineStr">
        <is>
          <t>2026-06-25</t>
        </is>
      </c>
      <c r="E325" s="29" t="inlineStr">
        <is>
          <t>2026-07-10</t>
        </is>
      </c>
      <c r="F325" s="29" t="n">
        <v>9586.049999999999</v>
      </c>
      <c r="G325" s="29" t="n">
        <v>0</v>
      </c>
      <c r="H325" s="29" t="n"/>
      <c r="I325" s="29" t="n"/>
      <c r="J325" s="29" t="inlineStr">
        <is>
          <t>Open</t>
        </is>
      </c>
    </row>
    <row r="326">
      <c r="A326" s="29" t="inlineStr">
        <is>
          <t>AP-0005638</t>
        </is>
      </c>
      <c r="B326" s="29" t="inlineStr">
        <is>
          <t>V-2336</t>
        </is>
      </c>
      <c r="C326" s="29" t="inlineStr">
        <is>
          <t>ARM-2526</t>
        </is>
      </c>
      <c r="D326" s="29" t="inlineStr">
        <is>
          <t>2026-06-10</t>
        </is>
      </c>
      <c r="E326" s="29" t="inlineStr">
        <is>
          <t>2026-07-10</t>
        </is>
      </c>
      <c r="F326" s="29" t="n">
        <v>12195.84</v>
      </c>
      <c r="G326" s="29" t="n">
        <v>0</v>
      </c>
      <c r="H326" s="29" t="n"/>
      <c r="I326" s="29" t="n"/>
      <c r="J326" s="29" t="inlineStr">
        <is>
          <t>Open</t>
        </is>
      </c>
    </row>
    <row r="327">
      <c r="A327" s="29" t="inlineStr">
        <is>
          <t>AP-0005643</t>
        </is>
      </c>
      <c r="B327" s="29" t="inlineStr">
        <is>
          <t>V-2396</t>
        </is>
      </c>
      <c r="C327" s="29" t="inlineStr">
        <is>
          <t>ARM-2526</t>
        </is>
      </c>
      <c r="D327" s="29" t="inlineStr">
        <is>
          <t>2026-06-10</t>
        </is>
      </c>
      <c r="E327" s="29" t="inlineStr">
        <is>
          <t>2026-07-10</t>
        </is>
      </c>
      <c r="F327" s="29" t="n">
        <v>20017.94</v>
      </c>
      <c r="G327" s="29" t="n">
        <v>0</v>
      </c>
      <c r="H327" s="29" t="n"/>
      <c r="I327" s="29" t="n"/>
      <c r="J327" s="29" t="inlineStr">
        <is>
          <t>Open</t>
        </is>
      </c>
    </row>
    <row r="328">
      <c r="A328" s="29" t="inlineStr">
        <is>
          <t>AP-0005645</t>
        </is>
      </c>
      <c r="B328" s="29" t="inlineStr">
        <is>
          <t>V-2421</t>
        </is>
      </c>
      <c r="C328" s="29" t="inlineStr">
        <is>
          <t>ARM-2526</t>
        </is>
      </c>
      <c r="D328" s="29" t="inlineStr">
        <is>
          <t>2026-06-10</t>
        </is>
      </c>
      <c r="E328" s="29" t="inlineStr">
        <is>
          <t>2026-07-10</t>
        </is>
      </c>
      <c r="F328" s="29" t="n">
        <v>4082.09</v>
      </c>
      <c r="G328" s="29" t="n">
        <v>0</v>
      </c>
      <c r="H328" s="29" t="n"/>
      <c r="I328" s="29" t="n"/>
      <c r="J328" s="29" t="inlineStr">
        <is>
          <t>Open</t>
        </is>
      </c>
    </row>
    <row r="329">
      <c r="A329" s="29" t="inlineStr">
        <is>
          <t>AP-0012041</t>
        </is>
      </c>
      <c r="B329" s="29" t="inlineStr">
        <is>
          <t>V-2353</t>
        </is>
      </c>
      <c r="C329" s="29" t="n"/>
      <c r="D329" s="29" t="inlineStr">
        <is>
          <t>2026-06-10</t>
        </is>
      </c>
      <c r="E329" s="29" t="inlineStr">
        <is>
          <t>2026-07-10</t>
        </is>
      </c>
      <c r="F329" s="29" t="n">
        <v>143000</v>
      </c>
      <c r="G329" s="29" t="n">
        <v>0</v>
      </c>
      <c r="H329" s="29" t="n"/>
      <c r="I329" s="29" t="n"/>
      <c r="J329" s="29" t="inlineStr">
        <is>
          <t>Open</t>
        </is>
      </c>
    </row>
    <row r="330">
      <c r="A330" s="29" t="inlineStr">
        <is>
          <t>AP-0005098</t>
        </is>
      </c>
      <c r="B330" s="29" t="inlineStr">
        <is>
          <t>V-2213</t>
        </is>
      </c>
      <c r="C330" s="29" t="inlineStr">
        <is>
          <t>ARM-2506</t>
        </is>
      </c>
      <c r="D330" s="29" t="inlineStr">
        <is>
          <t>2026-06-11</t>
        </is>
      </c>
      <c r="E330" s="29" t="inlineStr">
        <is>
          <t>2026-07-11</t>
        </is>
      </c>
      <c r="F330" s="29" t="n">
        <v>12538</v>
      </c>
      <c r="G330" s="29" t="n">
        <v>0</v>
      </c>
      <c r="H330" s="29" t="n"/>
      <c r="I330" s="29" t="n"/>
      <c r="J330" s="29" t="inlineStr">
        <is>
          <t>Open</t>
        </is>
      </c>
    </row>
    <row r="331">
      <c r="A331" s="29" t="inlineStr">
        <is>
          <t>AP-0005244</t>
        </is>
      </c>
      <c r="B331" s="29" t="inlineStr">
        <is>
          <t>V-2307</t>
        </is>
      </c>
      <c r="C331" s="29" t="inlineStr">
        <is>
          <t>ARM-2510</t>
        </is>
      </c>
      <c r="D331" s="29" t="inlineStr">
        <is>
          <t>2026-06-11</t>
        </is>
      </c>
      <c r="E331" s="29" t="inlineStr">
        <is>
          <t>2026-07-11</t>
        </is>
      </c>
      <c r="F331" s="29" t="n">
        <v>15225.95</v>
      </c>
      <c r="G331" s="29" t="n">
        <v>0</v>
      </c>
      <c r="H331" s="29" t="n"/>
      <c r="I331" s="29" t="n"/>
      <c r="J331" s="29" t="inlineStr">
        <is>
          <t>Open</t>
        </is>
      </c>
    </row>
    <row r="332">
      <c r="A332" s="29" t="inlineStr">
        <is>
          <t>AP-0009904</t>
        </is>
      </c>
      <c r="B332" s="29" t="inlineStr">
        <is>
          <t>V-2010</t>
        </is>
      </c>
      <c r="C332" s="29" t="n"/>
      <c r="D332" s="29" t="inlineStr">
        <is>
          <t>2026-06-11</t>
        </is>
      </c>
      <c r="E332" s="29" t="inlineStr">
        <is>
          <t>2026-07-11</t>
        </is>
      </c>
      <c r="F332" s="29" t="n">
        <v>6366.3</v>
      </c>
      <c r="G332" s="29" t="n">
        <v>0</v>
      </c>
      <c r="H332" s="29" t="n"/>
      <c r="I332" s="29" t="n"/>
      <c r="J332" s="29" t="inlineStr">
        <is>
          <t>Open</t>
        </is>
      </c>
    </row>
    <row r="333">
      <c r="A333" s="29" t="inlineStr">
        <is>
          <t>AP-0009923</t>
        </is>
      </c>
      <c r="B333" s="29" t="inlineStr">
        <is>
          <t>V-2345</t>
        </is>
      </c>
      <c r="C333" s="29" t="n"/>
      <c r="D333" s="29" t="inlineStr">
        <is>
          <t>2026-06-26</t>
        </is>
      </c>
      <c r="E333" s="29" t="inlineStr">
        <is>
          <t>2026-07-11</t>
        </is>
      </c>
      <c r="F333" s="29" t="n">
        <v>6981.19</v>
      </c>
      <c r="G333" s="29" t="n">
        <v>0</v>
      </c>
      <c r="H333" s="29" t="n"/>
      <c r="I333" s="29" t="n"/>
      <c r="J333" s="29" t="inlineStr">
        <is>
          <t>Open</t>
        </is>
      </c>
    </row>
    <row r="334">
      <c r="A334" s="29" t="inlineStr">
        <is>
          <t>AP-0009925</t>
        </is>
      </c>
      <c r="B334" s="29" t="inlineStr">
        <is>
          <t>V-2010</t>
        </is>
      </c>
      <c r="C334" s="29" t="n"/>
      <c r="D334" s="29" t="inlineStr">
        <is>
          <t>2026-06-11</t>
        </is>
      </c>
      <c r="E334" s="29" t="inlineStr">
        <is>
          <t>2026-07-11</t>
        </is>
      </c>
      <c r="F334" s="29" t="n">
        <v>2608.15</v>
      </c>
      <c r="G334" s="29" t="n">
        <v>0</v>
      </c>
      <c r="H334" s="29" t="n"/>
      <c r="I334" s="29" t="n"/>
      <c r="J334" s="29" t="inlineStr">
        <is>
          <t>Open</t>
        </is>
      </c>
    </row>
    <row r="335">
      <c r="A335" s="29" t="inlineStr">
        <is>
          <t>AP-0009944</t>
        </is>
      </c>
      <c r="B335" s="29" t="inlineStr">
        <is>
          <t>V-2345</t>
        </is>
      </c>
      <c r="C335" s="29" t="n"/>
      <c r="D335" s="29" t="inlineStr">
        <is>
          <t>2026-06-26</t>
        </is>
      </c>
      <c r="E335" s="29" t="inlineStr">
        <is>
          <t>2026-07-11</t>
        </is>
      </c>
      <c r="F335" s="29" t="n">
        <v>3730.01</v>
      </c>
      <c r="G335" s="29" t="n">
        <v>0</v>
      </c>
      <c r="H335" s="29" t="n"/>
      <c r="I335" s="29" t="n"/>
      <c r="J335" s="29" t="inlineStr">
        <is>
          <t>Open</t>
        </is>
      </c>
    </row>
    <row r="336">
      <c r="A336" s="29" t="inlineStr">
        <is>
          <t>AP-0004102</t>
        </is>
      </c>
      <c r="B336" s="29" t="inlineStr">
        <is>
          <t>V-2327</t>
        </is>
      </c>
      <c r="C336" s="29" t="inlineStr">
        <is>
          <t>ARM-2403</t>
        </is>
      </c>
      <c r="D336" s="29" t="inlineStr">
        <is>
          <t>2026-06-12</t>
        </is>
      </c>
      <c r="E336" s="29" t="inlineStr">
        <is>
          <t>2026-07-12</t>
        </is>
      </c>
      <c r="F336" s="29" t="n">
        <v>13614.27</v>
      </c>
      <c r="G336" s="29" t="n">
        <v>0</v>
      </c>
      <c r="H336" s="29" t="n"/>
      <c r="I336" s="29" t="n"/>
      <c r="J336" s="29" t="inlineStr">
        <is>
          <t>Open</t>
        </is>
      </c>
    </row>
    <row r="337">
      <c r="A337" s="29" t="inlineStr">
        <is>
          <t>AP-0004701</t>
        </is>
      </c>
      <c r="B337" s="29" t="inlineStr">
        <is>
          <t>V-2488</t>
        </is>
      </c>
      <c r="C337" s="29" t="inlineStr">
        <is>
          <t>ARM-2417</t>
        </is>
      </c>
      <c r="D337" s="29" t="inlineStr">
        <is>
          <t>2026-06-12</t>
        </is>
      </c>
      <c r="E337" s="29" t="inlineStr">
        <is>
          <t>2026-07-12</t>
        </is>
      </c>
      <c r="F337" s="29" t="n">
        <v>12828.9</v>
      </c>
      <c r="G337" s="29" t="n">
        <v>0</v>
      </c>
      <c r="H337" s="29" t="n"/>
      <c r="I337" s="29" t="n"/>
      <c r="J337" s="29" t="inlineStr">
        <is>
          <t>Open</t>
        </is>
      </c>
    </row>
    <row r="338">
      <c r="A338" s="29" t="inlineStr">
        <is>
          <t>AP-0005433</t>
        </is>
      </c>
      <c r="B338" s="29" t="inlineStr">
        <is>
          <t>V-2213</t>
        </is>
      </c>
      <c r="C338" s="29" t="inlineStr">
        <is>
          <t>ARM-2514</t>
        </is>
      </c>
      <c r="D338" s="29" t="inlineStr">
        <is>
          <t>2026-06-12</t>
        </is>
      </c>
      <c r="E338" s="29" t="inlineStr">
        <is>
          <t>2026-07-12</t>
        </is>
      </c>
      <c r="F338" s="29" t="n">
        <v>12819.48</v>
      </c>
      <c r="G338" s="29" t="n">
        <v>0</v>
      </c>
      <c r="H338" s="29" t="n"/>
      <c r="I338" s="29" t="n"/>
      <c r="J338" s="29" t="inlineStr">
        <is>
          <t>Open</t>
        </is>
      </c>
    </row>
    <row r="339">
      <c r="A339" s="29" t="inlineStr">
        <is>
          <t>AP-0005720</t>
        </is>
      </c>
      <c r="B339" s="29" t="inlineStr">
        <is>
          <t>V-2313</t>
        </is>
      </c>
      <c r="C339" s="29" t="inlineStr">
        <is>
          <t>ARM-2605</t>
        </is>
      </c>
      <c r="D339" s="29" t="inlineStr">
        <is>
          <t>2026-06-12</t>
        </is>
      </c>
      <c r="E339" s="29" t="inlineStr">
        <is>
          <t>2026-07-12</t>
        </is>
      </c>
      <c r="F339" s="29" t="n">
        <v>14286.51</v>
      </c>
      <c r="G339" s="29" t="n">
        <v>0</v>
      </c>
      <c r="H339" s="29" t="n"/>
      <c r="I339" s="29" t="n"/>
      <c r="J339" s="29" t="inlineStr">
        <is>
          <t>Open</t>
        </is>
      </c>
    </row>
    <row r="340">
      <c r="A340" s="29" t="inlineStr">
        <is>
          <t>AP-0005750</t>
        </is>
      </c>
      <c r="B340" s="29" t="inlineStr">
        <is>
          <t>V-2332</t>
        </is>
      </c>
      <c r="C340" s="29" t="inlineStr">
        <is>
          <t>ARM-2608</t>
        </is>
      </c>
      <c r="D340" s="29" t="inlineStr">
        <is>
          <t>2026-06-12</t>
        </is>
      </c>
      <c r="E340" s="29" t="inlineStr">
        <is>
          <t>2026-07-12</t>
        </is>
      </c>
      <c r="F340" s="29" t="n">
        <v>4537.35</v>
      </c>
      <c r="G340" s="29" t="n">
        <v>0</v>
      </c>
      <c r="H340" s="29" t="n"/>
      <c r="I340" s="29" t="n"/>
      <c r="J340" s="29" t="inlineStr">
        <is>
          <t>Open</t>
        </is>
      </c>
    </row>
    <row r="341">
      <c r="A341" s="29" t="inlineStr">
        <is>
          <t>AP-0009907</t>
        </is>
      </c>
      <c r="B341" s="29" t="inlineStr">
        <is>
          <t>V-2202</t>
        </is>
      </c>
      <c r="C341" s="29" t="n"/>
      <c r="D341" s="29" t="inlineStr">
        <is>
          <t>2026-06-12</t>
        </is>
      </c>
      <c r="E341" s="29" t="inlineStr">
        <is>
          <t>2026-07-12</t>
        </is>
      </c>
      <c r="F341" s="29" t="n">
        <v>3958.82</v>
      </c>
      <c r="G341" s="29" t="n">
        <v>0</v>
      </c>
      <c r="H341" s="29" t="n"/>
      <c r="I341" s="29" t="n"/>
      <c r="J341" s="29" t="inlineStr">
        <is>
          <t>Open</t>
        </is>
      </c>
    </row>
    <row r="342">
      <c r="A342" s="29" t="inlineStr">
        <is>
          <t>AP-0009928</t>
        </is>
      </c>
      <c r="B342" s="29" t="inlineStr">
        <is>
          <t>V-2202</t>
        </is>
      </c>
      <c r="C342" s="29" t="n"/>
      <c r="D342" s="29" t="inlineStr">
        <is>
          <t>2026-06-12</t>
        </is>
      </c>
      <c r="E342" s="29" t="inlineStr">
        <is>
          <t>2026-07-12</t>
        </is>
      </c>
      <c r="F342" s="29" t="n">
        <v>3155.28</v>
      </c>
      <c r="G342" s="29" t="n">
        <v>0</v>
      </c>
      <c r="H342" s="29" t="n"/>
      <c r="I342" s="29" t="n"/>
      <c r="J342" s="29" t="inlineStr">
        <is>
          <t>Open</t>
        </is>
      </c>
    </row>
    <row r="343">
      <c r="A343" s="29" t="inlineStr">
        <is>
          <t>AP-0011902</t>
        </is>
      </c>
      <c r="B343" s="29" t="inlineStr">
        <is>
          <t>V-2451</t>
        </is>
      </c>
      <c r="C343" s="29" t="n"/>
      <c r="D343" s="29" t="inlineStr">
        <is>
          <t>2026-06-12</t>
        </is>
      </c>
      <c r="E343" s="29" t="inlineStr">
        <is>
          <t>2026-07-12</t>
        </is>
      </c>
      <c r="F343" s="29" t="n">
        <v>4362.08</v>
      </c>
      <c r="G343" s="29" t="n">
        <v>0</v>
      </c>
      <c r="H343" s="29" t="n"/>
      <c r="I343" s="29" t="n"/>
      <c r="J343" s="29" t="inlineStr">
        <is>
          <t>Open</t>
        </is>
      </c>
    </row>
    <row r="344">
      <c r="A344" s="29" t="inlineStr">
        <is>
          <t>AP-0003884</t>
        </is>
      </c>
      <c r="B344" s="29" t="inlineStr">
        <is>
          <t>V-2398</t>
        </is>
      </c>
      <c r="C344" s="29" t="inlineStr">
        <is>
          <t>ARM-2318</t>
        </is>
      </c>
      <c r="D344" s="29" t="inlineStr">
        <is>
          <t>2026-06-13</t>
        </is>
      </c>
      <c r="E344" s="29" t="inlineStr">
        <is>
          <t>2026-07-13</t>
        </is>
      </c>
      <c r="F344" s="29" t="n">
        <v>17721.53</v>
      </c>
      <c r="G344" s="29" t="n">
        <v>0</v>
      </c>
      <c r="H344" s="29" t="n"/>
      <c r="I344" s="29" t="n"/>
      <c r="J344" s="29" t="inlineStr">
        <is>
          <t>Open</t>
        </is>
      </c>
    </row>
    <row r="345">
      <c r="A345" s="29" t="inlineStr">
        <is>
          <t>AP-0004286</t>
        </is>
      </c>
      <c r="B345" s="29" t="inlineStr">
        <is>
          <t>V-2521</t>
        </is>
      </c>
      <c r="C345" s="29" t="inlineStr">
        <is>
          <t>ARM-2409</t>
        </is>
      </c>
      <c r="D345" s="29" t="inlineStr">
        <is>
          <t>2026-06-13</t>
        </is>
      </c>
      <c r="E345" s="29" t="inlineStr">
        <is>
          <t>2026-07-13</t>
        </is>
      </c>
      <c r="F345" s="29" t="n">
        <v>9469.67</v>
      </c>
      <c r="G345" s="29" t="n">
        <v>0</v>
      </c>
      <c r="H345" s="29" t="n"/>
      <c r="I345" s="29" t="n"/>
      <c r="J345" s="29" t="inlineStr">
        <is>
          <t>Open</t>
        </is>
      </c>
    </row>
    <row r="346">
      <c r="A346" s="29" t="inlineStr">
        <is>
          <t>AP-0004292</t>
        </is>
      </c>
      <c r="B346" s="29" t="inlineStr">
        <is>
          <t>V-2253</t>
        </is>
      </c>
      <c r="C346" s="29" t="inlineStr">
        <is>
          <t>ARM-2409</t>
        </is>
      </c>
      <c r="D346" s="29" t="inlineStr">
        <is>
          <t>2026-06-13</t>
        </is>
      </c>
      <c r="E346" s="29" t="inlineStr">
        <is>
          <t>2026-07-13</t>
        </is>
      </c>
      <c r="F346" s="29" t="n">
        <v>7330.07</v>
      </c>
      <c r="G346" s="29" t="n">
        <v>0</v>
      </c>
      <c r="H346" s="29" t="n"/>
      <c r="I346" s="29" t="n"/>
      <c r="J346" s="29" t="inlineStr">
        <is>
          <t>Open</t>
        </is>
      </c>
    </row>
    <row r="347">
      <c r="A347" s="29" t="inlineStr">
        <is>
          <t>AP-0004892</t>
        </is>
      </c>
      <c r="B347" s="29" t="inlineStr">
        <is>
          <t>V-2426</t>
        </is>
      </c>
      <c r="C347" s="29" t="inlineStr">
        <is>
          <t>ARM-2501</t>
        </is>
      </c>
      <c r="D347" s="29" t="inlineStr">
        <is>
          <t>2026-06-13</t>
        </is>
      </c>
      <c r="E347" s="29" t="inlineStr">
        <is>
          <t>2026-07-13</t>
        </is>
      </c>
      <c r="F347" s="29" t="n">
        <v>8657.690000000001</v>
      </c>
      <c r="G347" s="29" t="n">
        <v>0</v>
      </c>
      <c r="H347" s="29" t="n"/>
      <c r="I347" s="29" t="n"/>
      <c r="J347" s="29" t="inlineStr">
        <is>
          <t>Open</t>
        </is>
      </c>
    </row>
    <row r="348">
      <c r="A348" s="29" t="inlineStr">
        <is>
          <t>AP-0005585</t>
        </is>
      </c>
      <c r="B348" s="29" t="inlineStr">
        <is>
          <t>V-2377</t>
        </is>
      </c>
      <c r="C348" s="29" t="inlineStr">
        <is>
          <t>ARM-2522</t>
        </is>
      </c>
      <c r="D348" s="29" t="inlineStr">
        <is>
          <t>2026-06-13</t>
        </is>
      </c>
      <c r="E348" s="29" t="inlineStr">
        <is>
          <t>2026-07-13</t>
        </is>
      </c>
      <c r="F348" s="29" t="n">
        <v>14146.19</v>
      </c>
      <c r="G348" s="29" t="n">
        <v>0</v>
      </c>
      <c r="H348" s="29" t="n"/>
      <c r="I348" s="29" t="n"/>
      <c r="J348" s="29" t="inlineStr">
        <is>
          <t>Open</t>
        </is>
      </c>
    </row>
    <row r="349">
      <c r="A349" s="29" t="inlineStr">
        <is>
          <t>AP-0005095</t>
        </is>
      </c>
      <c r="B349" s="29" t="inlineStr">
        <is>
          <t>V-2526</t>
        </is>
      </c>
      <c r="C349" s="29" t="inlineStr">
        <is>
          <t>ARM-2506</t>
        </is>
      </c>
      <c r="D349" s="29" t="inlineStr">
        <is>
          <t>2026-06-14</t>
        </is>
      </c>
      <c r="E349" s="29" t="inlineStr">
        <is>
          <t>2026-07-14</t>
        </is>
      </c>
      <c r="F349" s="29" t="n">
        <v>13418.81</v>
      </c>
      <c r="G349" s="29" t="n">
        <v>0</v>
      </c>
      <c r="H349" s="29" t="n"/>
      <c r="I349" s="29" t="n"/>
      <c r="J349" s="29" t="inlineStr">
        <is>
          <t>Open</t>
        </is>
      </c>
    </row>
    <row r="350">
      <c r="A350" s="29" t="inlineStr">
        <is>
          <t>AP-0005241</t>
        </is>
      </c>
      <c r="B350" s="29" t="inlineStr">
        <is>
          <t>V-2262</t>
        </is>
      </c>
      <c r="C350" s="29" t="inlineStr">
        <is>
          <t>ARM-2510</t>
        </is>
      </c>
      <c r="D350" s="29" t="inlineStr">
        <is>
          <t>2026-06-14</t>
        </is>
      </c>
      <c r="E350" s="29" t="inlineStr">
        <is>
          <t>2026-07-14</t>
        </is>
      </c>
      <c r="F350" s="29" t="n">
        <v>11707.56</v>
      </c>
      <c r="G350" s="29" t="n">
        <v>0</v>
      </c>
      <c r="H350" s="29" t="n"/>
      <c r="I350" s="29" t="n"/>
      <c r="J350" s="29" t="inlineStr">
        <is>
          <t>Open</t>
        </is>
      </c>
    </row>
    <row r="351">
      <c r="A351" s="29" t="inlineStr">
        <is>
          <t>AP-0005249</t>
        </is>
      </c>
      <c r="B351" s="29" t="inlineStr">
        <is>
          <t>V-2362</t>
        </is>
      </c>
      <c r="C351" s="29" t="inlineStr">
        <is>
          <t>ARM-2510</t>
        </is>
      </c>
      <c r="D351" s="29" t="inlineStr">
        <is>
          <t>2026-06-14</t>
        </is>
      </c>
      <c r="E351" s="29" t="inlineStr">
        <is>
          <t>2026-07-14</t>
        </is>
      </c>
      <c r="F351" s="29" t="n">
        <v>25770.06</v>
      </c>
      <c r="G351" s="29" t="n">
        <v>0</v>
      </c>
      <c r="H351" s="29" t="n"/>
      <c r="I351" s="29" t="n"/>
      <c r="J351" s="29" t="inlineStr">
        <is>
          <t>Open</t>
        </is>
      </c>
    </row>
    <row r="352">
      <c r="A352" s="29" t="inlineStr">
        <is>
          <t>AP-0005252</t>
        </is>
      </c>
      <c r="B352" s="29" t="inlineStr">
        <is>
          <t>V-2398</t>
        </is>
      </c>
      <c r="C352" s="29" t="inlineStr">
        <is>
          <t>ARM-2510</t>
        </is>
      </c>
      <c r="D352" s="29" t="inlineStr">
        <is>
          <t>2026-06-14</t>
        </is>
      </c>
      <c r="E352" s="29" t="inlineStr">
        <is>
          <t>2026-07-14</t>
        </is>
      </c>
      <c r="F352" s="29" t="n">
        <v>8947.91</v>
      </c>
      <c r="G352" s="29" t="n">
        <v>0</v>
      </c>
      <c r="H352" s="29" t="n"/>
      <c r="I352" s="29" t="n"/>
      <c r="J352" s="29" t="inlineStr">
        <is>
          <t>Open</t>
        </is>
      </c>
    </row>
    <row r="353">
      <c r="A353" s="29" t="inlineStr">
        <is>
          <t>AP-0009913</t>
        </is>
      </c>
      <c r="B353" s="29" t="inlineStr">
        <is>
          <t>V-2271</t>
        </is>
      </c>
      <c r="C353" s="29" t="n"/>
      <c r="D353" s="29" t="inlineStr">
        <is>
          <t>2026-06-14</t>
        </is>
      </c>
      <c r="E353" s="29" t="inlineStr">
        <is>
          <t>2026-07-14</t>
        </is>
      </c>
      <c r="F353" s="29" t="n">
        <v>5162.06</v>
      </c>
      <c r="G353" s="29" t="n">
        <v>0</v>
      </c>
      <c r="H353" s="29" t="n"/>
      <c r="I353" s="29" t="n"/>
      <c r="J353" s="29" t="inlineStr">
        <is>
          <t>Open</t>
        </is>
      </c>
    </row>
    <row r="354">
      <c r="A354" s="29" t="inlineStr">
        <is>
          <t>AP-0009934</t>
        </is>
      </c>
      <c r="B354" s="29" t="inlineStr">
        <is>
          <t>V-2271</t>
        </is>
      </c>
      <c r="C354" s="29" t="n"/>
      <c r="D354" s="29" t="inlineStr">
        <is>
          <t>2026-06-14</t>
        </is>
      </c>
      <c r="E354" s="29" t="inlineStr">
        <is>
          <t>2026-07-14</t>
        </is>
      </c>
      <c r="F354" s="29" t="n">
        <v>4196.9</v>
      </c>
      <c r="G354" s="29" t="n">
        <v>0</v>
      </c>
      <c r="H354" s="29" t="n"/>
      <c r="I354" s="29" t="n"/>
      <c r="J354" s="29" t="inlineStr">
        <is>
          <t>Open</t>
        </is>
      </c>
    </row>
    <row r="355">
      <c r="A355" s="29" t="inlineStr">
        <is>
          <t>AP-0011897</t>
        </is>
      </c>
      <c r="B355" s="29" t="inlineStr">
        <is>
          <t>V-2070</t>
        </is>
      </c>
      <c r="C355" s="29" t="n"/>
      <c r="D355" s="29" t="inlineStr">
        <is>
          <t>2026-06-14</t>
        </is>
      </c>
      <c r="E355" s="29" t="inlineStr">
        <is>
          <t>2026-07-14</t>
        </is>
      </c>
      <c r="F355" s="29" t="n">
        <v>4494.47</v>
      </c>
      <c r="G355" s="29" t="n">
        <v>0</v>
      </c>
      <c r="H355" s="29" t="n"/>
      <c r="I355" s="29" t="n"/>
      <c r="J355" s="29" t="inlineStr">
        <is>
          <t>Open</t>
        </is>
      </c>
    </row>
    <row r="356">
      <c r="A356" s="29" t="inlineStr">
        <is>
          <t>AP-0004099</t>
        </is>
      </c>
      <c r="B356" s="29" t="inlineStr">
        <is>
          <t>V-2286</t>
        </is>
      </c>
      <c r="C356" s="29" t="inlineStr">
        <is>
          <t>ARM-2403</t>
        </is>
      </c>
      <c r="D356" s="29" t="inlineStr">
        <is>
          <t>2026-06-15</t>
        </is>
      </c>
      <c r="E356" s="29" t="inlineStr">
        <is>
          <t>2026-07-15</t>
        </is>
      </c>
      <c r="F356" s="29" t="n">
        <v>8599.629999999999</v>
      </c>
      <c r="G356" s="29" t="n">
        <v>0</v>
      </c>
      <c r="H356" s="29" t="n"/>
      <c r="I356" s="29" t="n"/>
      <c r="J356" s="29" t="inlineStr">
        <is>
          <t>Open</t>
        </is>
      </c>
    </row>
    <row r="357">
      <c r="A357" s="29" t="inlineStr">
        <is>
          <t>AP-0004104</t>
        </is>
      </c>
      <c r="B357" s="29" t="inlineStr">
        <is>
          <t>V-2346</t>
        </is>
      </c>
      <c r="C357" s="29" t="inlineStr">
        <is>
          <t>ARM-2403</t>
        </is>
      </c>
      <c r="D357" s="29" t="inlineStr">
        <is>
          <t>2026-06-15</t>
        </is>
      </c>
      <c r="E357" s="29" t="inlineStr">
        <is>
          <t>2026-07-15</t>
        </is>
      </c>
      <c r="F357" s="29" t="n">
        <v>34852.9</v>
      </c>
      <c r="G357" s="29" t="n">
        <v>0</v>
      </c>
      <c r="H357" s="29" t="n"/>
      <c r="I357" s="29" t="n"/>
      <c r="J357" s="29" t="inlineStr">
        <is>
          <t>Open</t>
        </is>
      </c>
    </row>
    <row r="358">
      <c r="A358" s="29" t="inlineStr">
        <is>
          <t>AP-0004105</t>
        </is>
      </c>
      <c r="B358" s="29" t="inlineStr">
        <is>
          <t>V-2358</t>
        </is>
      </c>
      <c r="C358" s="29" t="inlineStr">
        <is>
          <t>ARM-2403</t>
        </is>
      </c>
      <c r="D358" s="29" t="inlineStr">
        <is>
          <t>2026-06-15</t>
        </is>
      </c>
      <c r="E358" s="29" t="inlineStr">
        <is>
          <t>2026-07-15</t>
        </is>
      </c>
      <c r="F358" s="29" t="n">
        <v>5703.22</v>
      </c>
      <c r="G358" s="29" t="n">
        <v>0</v>
      </c>
      <c r="H358" s="29" t="n"/>
      <c r="I358" s="29" t="n"/>
      <c r="J358" s="29" t="inlineStr">
        <is>
          <t>Open</t>
        </is>
      </c>
    </row>
    <row r="359">
      <c r="A359" s="29" t="inlineStr">
        <is>
          <t>AP-0004698</t>
        </is>
      </c>
      <c r="B359" s="29" t="inlineStr">
        <is>
          <t>V-2446</t>
        </is>
      </c>
      <c r="C359" s="29" t="inlineStr">
        <is>
          <t>ARM-2417</t>
        </is>
      </c>
      <c r="D359" s="29" t="inlineStr">
        <is>
          <t>2026-06-15</t>
        </is>
      </c>
      <c r="E359" s="29" t="inlineStr">
        <is>
          <t>2026-07-15</t>
        </is>
      </c>
      <c r="F359" s="29" t="n">
        <v>15558.09</v>
      </c>
      <c r="G359" s="29" t="n">
        <v>0</v>
      </c>
      <c r="H359" s="29" t="n"/>
      <c r="I359" s="29" t="n"/>
      <c r="J359" s="29" t="inlineStr">
        <is>
          <t>Open</t>
        </is>
      </c>
    </row>
    <row r="360">
      <c r="A360" s="29" t="inlineStr">
        <is>
          <t>AP-0005430</t>
        </is>
      </c>
      <c r="B360" s="29" t="inlineStr">
        <is>
          <t>V-2526</t>
        </is>
      </c>
      <c r="C360" s="29" t="inlineStr">
        <is>
          <t>ARM-2514</t>
        </is>
      </c>
      <c r="D360" s="29" t="inlineStr">
        <is>
          <t>2026-06-15</t>
        </is>
      </c>
      <c r="E360" s="29" t="inlineStr">
        <is>
          <t>2026-07-15</t>
        </is>
      </c>
      <c r="F360" s="29" t="n">
        <v>12813.51</v>
      </c>
      <c r="G360" s="29" t="n">
        <v>0</v>
      </c>
      <c r="H360" s="29" t="n"/>
      <c r="I360" s="29" t="n"/>
      <c r="J360" s="29" t="inlineStr">
        <is>
          <t>Open</t>
        </is>
      </c>
    </row>
    <row r="361">
      <c r="A361" s="29" t="inlineStr">
        <is>
          <t>AP-0005448</t>
        </is>
      </c>
      <c r="B361" s="29" t="inlineStr">
        <is>
          <t>V-2408</t>
        </is>
      </c>
      <c r="C361" s="29" t="inlineStr">
        <is>
          <t>ARM-2514</t>
        </is>
      </c>
      <c r="D361" s="29" t="inlineStr">
        <is>
          <t>2026-06-15</t>
        </is>
      </c>
      <c r="E361" s="29" t="inlineStr">
        <is>
          <t>2026-07-15</t>
        </is>
      </c>
      <c r="F361" s="29" t="n">
        <v>5311.98</v>
      </c>
      <c r="G361" s="29" t="n">
        <v>0</v>
      </c>
      <c r="H361" s="29" t="n"/>
      <c r="I361" s="29" t="n"/>
      <c r="J361" s="29" t="inlineStr">
        <is>
          <t>Open</t>
        </is>
      </c>
    </row>
    <row r="362">
      <c r="A362" s="29" t="inlineStr">
        <is>
          <t>AP-0005684</t>
        </is>
      </c>
      <c r="B362" s="29" t="inlineStr">
        <is>
          <t>V-2047</t>
        </is>
      </c>
      <c r="C362" s="29" t="inlineStr">
        <is>
          <t>ARM-2602</t>
        </is>
      </c>
      <c r="D362" s="29" t="inlineStr">
        <is>
          <t>2026-06-15</t>
        </is>
      </c>
      <c r="E362" s="29" t="inlineStr">
        <is>
          <t>2026-07-15</t>
        </is>
      </c>
      <c r="F362" s="29" t="n">
        <v>11639.71</v>
      </c>
      <c r="G362" s="29" t="n">
        <v>0</v>
      </c>
      <c r="H362" s="29" t="n"/>
      <c r="I362" s="29" t="n"/>
      <c r="J362" s="29" t="inlineStr">
        <is>
          <t>Open</t>
        </is>
      </c>
    </row>
    <row r="363">
      <c r="A363" s="29" t="inlineStr">
        <is>
          <t>AP-0005717</t>
        </is>
      </c>
      <c r="B363" s="29" t="inlineStr">
        <is>
          <t>V-2272</t>
        </is>
      </c>
      <c r="C363" s="29" t="inlineStr">
        <is>
          <t>ARM-2605</t>
        </is>
      </c>
      <c r="D363" s="29" t="inlineStr">
        <is>
          <t>2026-06-15</t>
        </is>
      </c>
      <c r="E363" s="29" t="inlineStr">
        <is>
          <t>2026-07-15</t>
        </is>
      </c>
      <c r="F363" s="29" t="n">
        <v>17442.05</v>
      </c>
      <c r="G363" s="29" t="n">
        <v>0</v>
      </c>
      <c r="H363" s="29" t="n"/>
      <c r="I363" s="29" t="n"/>
      <c r="J363" s="29" t="inlineStr">
        <is>
          <t>Open</t>
        </is>
      </c>
    </row>
    <row r="364">
      <c r="A364" s="29" t="inlineStr">
        <is>
          <t>AP-0005722</t>
        </is>
      </c>
      <c r="B364" s="29" t="inlineStr">
        <is>
          <t>V-2332</t>
        </is>
      </c>
      <c r="C364" s="29" t="inlineStr">
        <is>
          <t>ARM-2605</t>
        </is>
      </c>
      <c r="D364" s="29" t="inlineStr">
        <is>
          <t>2026-06-15</t>
        </is>
      </c>
      <c r="E364" s="29" t="inlineStr">
        <is>
          <t>2026-07-15</t>
        </is>
      </c>
      <c r="F364" s="29" t="n">
        <v>26690.89</v>
      </c>
      <c r="G364" s="29" t="n">
        <v>0</v>
      </c>
      <c r="H364" s="29" t="n"/>
      <c r="I364" s="29" t="n"/>
      <c r="J364" s="29" t="inlineStr">
        <is>
          <t>Open</t>
        </is>
      </c>
    </row>
    <row r="365">
      <c r="A365" s="29" t="inlineStr">
        <is>
          <t>AP-0005724</t>
        </is>
      </c>
      <c r="B365" s="29" t="inlineStr">
        <is>
          <t>V-2357</t>
        </is>
      </c>
      <c r="C365" s="29" t="inlineStr">
        <is>
          <t>ARM-2605</t>
        </is>
      </c>
      <c r="D365" s="29" t="inlineStr">
        <is>
          <t>2026-06-15</t>
        </is>
      </c>
      <c r="E365" s="29" t="inlineStr">
        <is>
          <t>2026-07-15</t>
        </is>
      </c>
      <c r="F365" s="29" t="n">
        <v>6666.11</v>
      </c>
      <c r="G365" s="29" t="n">
        <v>0</v>
      </c>
      <c r="H365" s="29" t="n"/>
      <c r="I365" s="29" t="n"/>
      <c r="J365" s="29" t="inlineStr">
        <is>
          <t>Open</t>
        </is>
      </c>
    </row>
    <row r="366">
      <c r="A366" s="29" t="inlineStr">
        <is>
          <t>AP-0009916</t>
        </is>
      </c>
      <c r="B366" s="29" t="inlineStr">
        <is>
          <t>V-2292</t>
        </is>
      </c>
      <c r="C366" s="29" t="n"/>
      <c r="D366" s="29" t="inlineStr">
        <is>
          <t>2026-06-15</t>
        </is>
      </c>
      <c r="E366" s="29" t="inlineStr">
        <is>
          <t>2026-07-15</t>
        </is>
      </c>
      <c r="F366" s="29" t="n">
        <v>3990.41</v>
      </c>
      <c r="G366" s="29" t="n">
        <v>0</v>
      </c>
      <c r="H366" s="29" t="n"/>
      <c r="I366" s="29" t="n"/>
      <c r="J366" s="29" t="inlineStr">
        <is>
          <t>Open</t>
        </is>
      </c>
    </row>
    <row r="367">
      <c r="A367" s="29" t="inlineStr">
        <is>
          <t>AP-0009937</t>
        </is>
      </c>
      <c r="B367" s="29" t="inlineStr">
        <is>
          <t>V-2292</t>
        </is>
      </c>
      <c r="C367" s="29" t="n"/>
      <c r="D367" s="29" t="inlineStr">
        <is>
          <t>2026-06-15</t>
        </is>
      </c>
      <c r="E367" s="29" t="inlineStr">
        <is>
          <t>2026-07-15</t>
        </is>
      </c>
      <c r="F367" s="29" t="n">
        <v>3789.86</v>
      </c>
      <c r="G367" s="29" t="n">
        <v>0</v>
      </c>
      <c r="H367" s="29" t="n"/>
      <c r="I367" s="29" t="n"/>
      <c r="J367" s="29" t="inlineStr">
        <is>
          <t>Open</t>
        </is>
      </c>
    </row>
    <row r="368">
      <c r="A368" s="29" t="inlineStr">
        <is>
          <t>AP-0003881</t>
        </is>
      </c>
      <c r="B368" s="29" t="inlineStr">
        <is>
          <t>V-2357</t>
        </is>
      </c>
      <c r="C368" s="29" t="inlineStr">
        <is>
          <t>ARM-2318</t>
        </is>
      </c>
      <c r="D368" s="29" t="inlineStr">
        <is>
          <t>2026-06-16</t>
        </is>
      </c>
      <c r="E368" s="29" t="inlineStr">
        <is>
          <t>2026-07-16</t>
        </is>
      </c>
      <c r="F368" s="29" t="n">
        <v>13517.24</v>
      </c>
      <c r="G368" s="29" t="n">
        <v>0</v>
      </c>
      <c r="H368" s="29" t="n"/>
      <c r="I368" s="29" t="n"/>
      <c r="J368" s="29" t="inlineStr">
        <is>
          <t>Open</t>
        </is>
      </c>
    </row>
    <row r="369">
      <c r="A369" s="29" t="inlineStr">
        <is>
          <t>AP-0003886</t>
        </is>
      </c>
      <c r="B369" s="29" t="inlineStr">
        <is>
          <t>V-2417</t>
        </is>
      </c>
      <c r="C369" s="29" t="inlineStr">
        <is>
          <t>ARM-2318</t>
        </is>
      </c>
      <c r="D369" s="29" t="inlineStr">
        <is>
          <t>2026-06-16</t>
        </is>
      </c>
      <c r="E369" s="29" t="inlineStr">
        <is>
          <t>2026-07-16</t>
        </is>
      </c>
      <c r="F369" s="29" t="n">
        <v>20322.99</v>
      </c>
      <c r="G369" s="29" t="n">
        <v>0</v>
      </c>
      <c r="H369" s="29" t="n"/>
      <c r="I369" s="29" t="n"/>
      <c r="J369" s="29" t="inlineStr">
        <is>
          <t>Open</t>
        </is>
      </c>
    </row>
    <row r="370">
      <c r="A370" s="29" t="inlineStr">
        <is>
          <t>AP-0005437</t>
        </is>
      </c>
      <c r="B370" s="29" t="inlineStr">
        <is>
          <t>V-2288</t>
        </is>
      </c>
      <c r="C370" s="29" t="inlineStr">
        <is>
          <t>ARM-2514</t>
        </is>
      </c>
      <c r="D370" s="29" t="inlineStr">
        <is>
          <t>2026-06-16</t>
        </is>
      </c>
      <c r="E370" s="29" t="inlineStr">
        <is>
          <t>2026-07-16</t>
        </is>
      </c>
      <c r="F370" s="29" t="n">
        <v>12842.18</v>
      </c>
      <c r="G370" s="29" t="n">
        <v>0</v>
      </c>
      <c r="H370" s="29" t="n"/>
      <c r="I370" s="29" t="n"/>
      <c r="J370" s="29" t="inlineStr">
        <is>
          <t>Open</t>
        </is>
      </c>
    </row>
    <row r="371">
      <c r="A371" s="29" t="inlineStr">
        <is>
          <t>AP-0005582</t>
        </is>
      </c>
      <c r="B371" s="29" t="inlineStr">
        <is>
          <t>V-2336</t>
        </is>
      </c>
      <c r="C371" s="29" t="inlineStr">
        <is>
          <t>ARM-2522</t>
        </is>
      </c>
      <c r="D371" s="29" t="inlineStr">
        <is>
          <t>2026-06-16</t>
        </is>
      </c>
      <c r="E371" s="29" t="inlineStr">
        <is>
          <t>2026-07-16</t>
        </is>
      </c>
      <c r="F371" s="29" t="n">
        <v>11263.73</v>
      </c>
      <c r="G371" s="29" t="n">
        <v>0</v>
      </c>
      <c r="H371" s="29" t="n"/>
      <c r="I371" s="29" t="n"/>
      <c r="J371" s="29" t="inlineStr">
        <is>
          <t>Open</t>
        </is>
      </c>
    </row>
    <row r="372">
      <c r="A372" s="29" t="inlineStr">
        <is>
          <t>AP-0005589</t>
        </is>
      </c>
      <c r="B372" s="29" t="inlineStr">
        <is>
          <t>V-2421</t>
        </is>
      </c>
      <c r="C372" s="29" t="inlineStr">
        <is>
          <t>ARM-2522</t>
        </is>
      </c>
      <c r="D372" s="29" t="inlineStr">
        <is>
          <t>2026-06-16</t>
        </is>
      </c>
      <c r="E372" s="29" t="inlineStr">
        <is>
          <t>2026-07-16</t>
        </is>
      </c>
      <c r="F372" s="29" t="n">
        <v>28753.73</v>
      </c>
      <c r="G372" s="29" t="n">
        <v>0</v>
      </c>
      <c r="H372" s="29" t="n"/>
      <c r="I372" s="29" t="n"/>
      <c r="J372" s="29" t="inlineStr">
        <is>
          <t>Open</t>
        </is>
      </c>
    </row>
    <row r="373">
      <c r="A373" s="29" t="inlineStr">
        <is>
          <t>AP-0005591</t>
        </is>
      </c>
      <c r="B373" s="29" t="inlineStr">
        <is>
          <t>V-2443</t>
        </is>
      </c>
      <c r="C373" s="29" t="inlineStr">
        <is>
          <t>ARM-2522</t>
        </is>
      </c>
      <c r="D373" s="29" t="inlineStr">
        <is>
          <t>2026-06-16</t>
        </is>
      </c>
      <c r="E373" s="29" t="inlineStr">
        <is>
          <t>2026-07-16</t>
        </is>
      </c>
      <c r="F373" s="29" t="n">
        <v>6002.24</v>
      </c>
      <c r="G373" s="29" t="n">
        <v>0</v>
      </c>
      <c r="H373" s="29" t="n"/>
      <c r="I373" s="29" t="n"/>
      <c r="J373" s="29" t="inlineStr">
        <is>
          <t>Open</t>
        </is>
      </c>
    </row>
    <row r="374">
      <c r="A374" s="29" t="inlineStr">
        <is>
          <t>AP-0009919</t>
        </is>
      </c>
      <c r="B374" s="29" t="inlineStr">
        <is>
          <t>V-2316</t>
        </is>
      </c>
      <c r="C374" s="29" t="n"/>
      <c r="D374" s="29" t="inlineStr">
        <is>
          <t>2026-06-16</t>
        </is>
      </c>
      <c r="E374" s="29" t="inlineStr">
        <is>
          <t>2026-07-16</t>
        </is>
      </c>
      <c r="F374" s="29" t="n">
        <v>6437.28</v>
      </c>
      <c r="G374" s="29" t="n">
        <v>0</v>
      </c>
      <c r="H374" s="29" t="n"/>
      <c r="I374" s="29" t="n"/>
      <c r="J374" s="29" t="inlineStr">
        <is>
          <t>Open</t>
        </is>
      </c>
    </row>
    <row r="375">
      <c r="A375" s="29" t="inlineStr">
        <is>
          <t>AP-0009940</t>
        </is>
      </c>
      <c r="B375" s="29" t="inlineStr">
        <is>
          <t>V-2316</t>
        </is>
      </c>
      <c r="C375" s="29" t="n"/>
      <c r="D375" s="29" t="inlineStr">
        <is>
          <t>2026-06-16</t>
        </is>
      </c>
      <c r="E375" s="29" t="inlineStr">
        <is>
          <t>2026-07-16</t>
        </is>
      </c>
      <c r="F375" s="29" t="n">
        <v>2936.4</v>
      </c>
      <c r="G375" s="29" t="n">
        <v>0</v>
      </c>
      <c r="H375" s="29" t="n"/>
      <c r="I375" s="29" t="n"/>
      <c r="J375" s="29" t="inlineStr">
        <is>
          <t>Open</t>
        </is>
      </c>
    </row>
    <row r="376">
      <c r="A376" s="29" t="inlineStr">
        <is>
          <t>AP-0005108</t>
        </is>
      </c>
      <c r="B376" s="29" t="inlineStr">
        <is>
          <t>V-2343</t>
        </is>
      </c>
      <c r="C376" s="29" t="inlineStr">
        <is>
          <t>ARM-2506</t>
        </is>
      </c>
      <c r="D376" s="29" t="inlineStr">
        <is>
          <t>2026-06-17</t>
        </is>
      </c>
      <c r="E376" s="29" t="inlineStr">
        <is>
          <t>2026-07-17</t>
        </is>
      </c>
      <c r="F376" s="29" t="n">
        <v>6311.7</v>
      </c>
      <c r="G376" s="29" t="n">
        <v>0</v>
      </c>
      <c r="H376" s="29" t="n"/>
      <c r="I376" s="29" t="n"/>
      <c r="J376" s="29" t="inlineStr">
        <is>
          <t>Open</t>
        </is>
      </c>
    </row>
    <row r="377">
      <c r="A377" s="29" t="inlineStr">
        <is>
          <t>AP-0009922</t>
        </is>
      </c>
      <c r="B377" s="29" t="inlineStr">
        <is>
          <t>V-2338</t>
        </is>
      </c>
      <c r="C377" s="29" t="n"/>
      <c r="D377" s="29" t="inlineStr">
        <is>
          <t>2026-06-17</t>
        </is>
      </c>
      <c r="E377" s="29" t="inlineStr">
        <is>
          <t>2026-07-17</t>
        </is>
      </c>
      <c r="F377" s="29" t="n">
        <v>4108.1</v>
      </c>
      <c r="G377" s="29" t="n">
        <v>0</v>
      </c>
      <c r="H377" s="29" t="n"/>
      <c r="I377" s="29" t="n"/>
      <c r="J377" s="29" t="inlineStr">
        <is>
          <t>Open</t>
        </is>
      </c>
    </row>
    <row r="378">
      <c r="A378" s="29" t="inlineStr">
        <is>
          <t>AP-0009943</t>
        </is>
      </c>
      <c r="B378" s="29" t="inlineStr">
        <is>
          <t>V-2338</t>
        </is>
      </c>
      <c r="C378" s="29" t="n"/>
      <c r="D378" s="29" t="inlineStr">
        <is>
          <t>2026-06-17</t>
        </is>
      </c>
      <c r="E378" s="29" t="inlineStr">
        <is>
          <t>2026-07-17</t>
        </is>
      </c>
      <c r="F378" s="29" t="n">
        <v>2944.7</v>
      </c>
      <c r="G378" s="29" t="n">
        <v>0</v>
      </c>
      <c r="H378" s="29" t="n"/>
      <c r="I378" s="29" t="n"/>
      <c r="J378" s="29" t="inlineStr">
        <is>
          <t>Open</t>
        </is>
      </c>
    </row>
    <row r="379">
      <c r="A379" s="29" t="inlineStr">
        <is>
          <t>AP-0011886</t>
        </is>
      </c>
      <c r="B379" s="29" t="inlineStr">
        <is>
          <t>V-2459</t>
        </is>
      </c>
      <c r="C379" s="29" t="n"/>
      <c r="D379" s="29" t="inlineStr">
        <is>
          <t>2026-06-02</t>
        </is>
      </c>
      <c r="E379" s="29" t="inlineStr">
        <is>
          <t>2026-07-17</t>
        </is>
      </c>
      <c r="F379" s="29" t="n">
        <v>67717.87</v>
      </c>
      <c r="G379" s="29" t="n">
        <v>0</v>
      </c>
      <c r="H379" s="29" t="n"/>
      <c r="I379" s="29" t="n"/>
      <c r="J379" s="29" t="inlineStr">
        <is>
          <t>Open</t>
        </is>
      </c>
    </row>
    <row r="380">
      <c r="A380" s="29" t="inlineStr">
        <is>
          <t>AP-0011895</t>
        </is>
      </c>
      <c r="B380" s="29" t="inlineStr">
        <is>
          <t>V-2527</t>
        </is>
      </c>
      <c r="C380" s="29" t="n"/>
      <c r="D380" s="29" t="inlineStr">
        <is>
          <t>2026-06-17</t>
        </is>
      </c>
      <c r="E380" s="29" t="inlineStr">
        <is>
          <t>2026-07-17</t>
        </is>
      </c>
      <c r="F380" s="29" t="n">
        <v>3824.38</v>
      </c>
      <c r="G380" s="29" t="n">
        <v>0</v>
      </c>
      <c r="H380" s="29" t="n"/>
      <c r="I380" s="29" t="n"/>
      <c r="J380" s="29" t="inlineStr">
        <is>
          <t>Open</t>
        </is>
      </c>
    </row>
    <row r="381">
      <c r="A381" s="29" t="inlineStr">
        <is>
          <t>AP-0004695</t>
        </is>
      </c>
      <c r="B381" s="29" t="inlineStr">
        <is>
          <t>V-2407</t>
        </is>
      </c>
      <c r="C381" s="29" t="inlineStr">
        <is>
          <t>ARM-2417</t>
        </is>
      </c>
      <c r="D381" s="29" t="inlineStr">
        <is>
          <t>2026-06-18</t>
        </is>
      </c>
      <c r="E381" s="29" t="inlineStr">
        <is>
          <t>2026-07-18</t>
        </is>
      </c>
      <c r="F381" s="29" t="n">
        <v>11639.37</v>
      </c>
      <c r="G381" s="29" t="n">
        <v>0</v>
      </c>
      <c r="H381" s="29" t="n"/>
      <c r="I381" s="29" t="n"/>
      <c r="J381" s="29" t="inlineStr">
        <is>
          <t>Open</t>
        </is>
      </c>
    </row>
    <row r="382">
      <c r="A382" s="29" t="inlineStr">
        <is>
          <t>AP-0004707</t>
        </is>
      </c>
      <c r="B382" s="29" t="inlineStr">
        <is>
          <t>V-2037</t>
        </is>
      </c>
      <c r="C382" s="29" t="inlineStr">
        <is>
          <t>ARM-2417</t>
        </is>
      </c>
      <c r="D382" s="29" t="inlineStr">
        <is>
          <t>2026-06-18</t>
        </is>
      </c>
      <c r="E382" s="29" t="inlineStr">
        <is>
          <t>2026-07-18</t>
        </is>
      </c>
      <c r="F382" s="29" t="n">
        <v>6824.06</v>
      </c>
      <c r="G382" s="29" t="n">
        <v>0</v>
      </c>
      <c r="H382" s="29" t="n"/>
      <c r="I382" s="29" t="n"/>
      <c r="J382" s="29" t="inlineStr">
        <is>
          <t>Open</t>
        </is>
      </c>
    </row>
    <row r="383">
      <c r="A383" s="29" t="inlineStr">
        <is>
          <t>AP-0005445</t>
        </is>
      </c>
      <c r="B383" s="29" t="inlineStr">
        <is>
          <t>V-2367</t>
        </is>
      </c>
      <c r="C383" s="29" t="inlineStr">
        <is>
          <t>ARM-2514</t>
        </is>
      </c>
      <c r="D383" s="29" t="inlineStr">
        <is>
          <t>2026-06-18</t>
        </is>
      </c>
      <c r="E383" s="29" t="inlineStr">
        <is>
          <t>2026-07-18</t>
        </is>
      </c>
      <c r="F383" s="29" t="n">
        <v>7143.93</v>
      </c>
      <c r="G383" s="29" t="n">
        <v>0</v>
      </c>
      <c r="H383" s="29" t="n"/>
      <c r="I383" s="29" t="n"/>
      <c r="J383" s="29" t="inlineStr">
        <is>
          <t>Open</t>
        </is>
      </c>
    </row>
    <row r="384">
      <c r="A384" s="29" t="inlineStr">
        <is>
          <t>AP-0005687</t>
        </is>
      </c>
      <c r="B384" s="29" t="inlineStr">
        <is>
          <t>V-2237</t>
        </is>
      </c>
      <c r="C384" s="29" t="inlineStr">
        <is>
          <t>ARM-2602</t>
        </is>
      </c>
      <c r="D384" s="29" t="inlineStr">
        <is>
          <t>2026-06-18</t>
        </is>
      </c>
      <c r="E384" s="29" t="inlineStr">
        <is>
          <t>2026-07-18</t>
        </is>
      </c>
      <c r="F384" s="29" t="n">
        <v>27108.61</v>
      </c>
      <c r="G384" s="29" t="n">
        <v>0</v>
      </c>
      <c r="H384" s="29" t="n"/>
      <c r="I384" s="29" t="n"/>
      <c r="J384" s="29" t="inlineStr">
        <is>
          <t>Open</t>
        </is>
      </c>
    </row>
    <row r="385">
      <c r="A385" s="29" t="inlineStr">
        <is>
          <t>AP-0005689</t>
        </is>
      </c>
      <c r="B385" s="29" t="inlineStr">
        <is>
          <t>V-2272</t>
        </is>
      </c>
      <c r="C385" s="29" t="inlineStr">
        <is>
          <t>ARM-2602</t>
        </is>
      </c>
      <c r="D385" s="29" t="inlineStr">
        <is>
          <t>2026-06-18</t>
        </is>
      </c>
      <c r="E385" s="29" t="inlineStr">
        <is>
          <t>2026-07-18</t>
        </is>
      </c>
      <c r="F385" s="29" t="n">
        <v>6903.84</v>
      </c>
      <c r="G385" s="29" t="n">
        <v>0</v>
      </c>
      <c r="H385" s="29" t="n"/>
      <c r="I385" s="29" t="n"/>
      <c r="J385" s="29" t="inlineStr">
        <is>
          <t>Open</t>
        </is>
      </c>
    </row>
    <row r="386">
      <c r="A386" s="29" t="inlineStr">
        <is>
          <t>AP-0004103</t>
        </is>
      </c>
      <c r="B386" s="29" t="inlineStr">
        <is>
          <t>V-2341</t>
        </is>
      </c>
      <c r="C386" s="29" t="inlineStr">
        <is>
          <t>ARM-2403</t>
        </is>
      </c>
      <c r="D386" s="29" t="inlineStr">
        <is>
          <t>2026-06-19</t>
        </is>
      </c>
      <c r="E386" s="29" t="inlineStr">
        <is>
          <t>2026-07-19</t>
        </is>
      </c>
      <c r="F386" s="29" t="n">
        <v>8085.79</v>
      </c>
      <c r="G386" s="29" t="n">
        <v>0</v>
      </c>
      <c r="H386" s="29" t="n"/>
      <c r="I386" s="29" t="n"/>
      <c r="J386" s="29" t="inlineStr">
        <is>
          <t>Open</t>
        </is>
      </c>
    </row>
    <row r="387">
      <c r="A387" s="29" t="inlineStr">
        <is>
          <t>AP-0004702</t>
        </is>
      </c>
      <c r="B387" s="29" t="inlineStr">
        <is>
          <t>V-2502</t>
        </is>
      </c>
      <c r="C387" s="29" t="inlineStr">
        <is>
          <t>ARM-2417</t>
        </is>
      </c>
      <c r="D387" s="29" t="inlineStr">
        <is>
          <t>2026-06-19</t>
        </is>
      </c>
      <c r="E387" s="29" t="inlineStr">
        <is>
          <t>2026-07-19</t>
        </is>
      </c>
      <c r="F387" s="29" t="n">
        <v>7860.66</v>
      </c>
      <c r="G387" s="29" t="n">
        <v>0</v>
      </c>
      <c r="H387" s="29" t="n"/>
      <c r="I387" s="29" t="n"/>
      <c r="J387" s="29" t="inlineStr">
        <is>
          <t>Open</t>
        </is>
      </c>
    </row>
    <row r="388">
      <c r="A388" s="29" t="inlineStr">
        <is>
          <t>AP-0005516</t>
        </is>
      </c>
      <c r="B388" s="29" t="inlineStr">
        <is>
          <t>V-2033</t>
        </is>
      </c>
      <c r="C388" s="29" t="inlineStr">
        <is>
          <t>ARM-2518</t>
        </is>
      </c>
      <c r="D388" s="29" t="inlineStr">
        <is>
          <t>2026-06-19</t>
        </is>
      </c>
      <c r="E388" s="29" t="inlineStr">
        <is>
          <t>2026-07-19</t>
        </is>
      </c>
      <c r="F388" s="29" t="n">
        <v>6706.98</v>
      </c>
      <c r="G388" s="29" t="n">
        <v>0</v>
      </c>
      <c r="H388" s="29" t="n"/>
      <c r="I388" s="29" t="n"/>
      <c r="J388" s="29" t="inlineStr">
        <is>
          <t>Open</t>
        </is>
      </c>
    </row>
    <row r="389">
      <c r="A389" s="29" t="inlineStr">
        <is>
          <t>AP-0005721</t>
        </is>
      </c>
      <c r="B389" s="29" t="inlineStr">
        <is>
          <t>V-2327</t>
        </is>
      </c>
      <c r="C389" s="29" t="inlineStr">
        <is>
          <t>ARM-2605</t>
        </is>
      </c>
      <c r="D389" s="29" t="inlineStr">
        <is>
          <t>2026-06-19</t>
        </is>
      </c>
      <c r="E389" s="29" t="inlineStr">
        <is>
          <t>2026-07-19</t>
        </is>
      </c>
      <c r="F389" s="29" t="n">
        <v>7886.36</v>
      </c>
      <c r="G389" s="29" t="n">
        <v>0</v>
      </c>
      <c r="H389" s="29" t="n"/>
      <c r="I389" s="29" t="n"/>
      <c r="J389" s="29" t="inlineStr">
        <is>
          <t>Open</t>
        </is>
      </c>
    </row>
    <row r="390">
      <c r="A390" s="29" t="inlineStr">
        <is>
          <t>AP-0005751</t>
        </is>
      </c>
      <c r="B390" s="29" t="inlineStr">
        <is>
          <t>V-2346</t>
        </is>
      </c>
      <c r="C390" s="29" t="inlineStr">
        <is>
          <t>ARM-2608</t>
        </is>
      </c>
      <c r="D390" s="29" t="inlineStr">
        <is>
          <t>2026-06-19</t>
        </is>
      </c>
      <c r="E390" s="29" t="inlineStr">
        <is>
          <t>2026-07-19</t>
        </is>
      </c>
      <c r="F390" s="29" t="n">
        <v>8308.24</v>
      </c>
      <c r="G390" s="29" t="n">
        <v>0</v>
      </c>
      <c r="H390" s="29" t="n"/>
      <c r="I390" s="29" t="n"/>
      <c r="J390" s="29" t="inlineStr">
        <is>
          <t>Open</t>
        </is>
      </c>
    </row>
    <row r="391">
      <c r="A391" s="29" t="inlineStr">
        <is>
          <t>AP-0004700</t>
        </is>
      </c>
      <c r="B391" s="29" t="inlineStr">
        <is>
          <t>V-2474</t>
        </is>
      </c>
      <c r="C391" s="29" t="inlineStr">
        <is>
          <t>ARM-2417</t>
        </is>
      </c>
      <c r="D391" s="29" t="inlineStr">
        <is>
          <t>2026-06-05</t>
        </is>
      </c>
      <c r="E391" s="29" t="inlineStr">
        <is>
          <t>2026-07-20</t>
        </is>
      </c>
      <c r="F391" s="29" t="n">
        <v>14680.51</v>
      </c>
      <c r="G391" s="29" t="n">
        <v>0</v>
      </c>
      <c r="H391" s="29" t="n"/>
      <c r="I391" s="29" t="n"/>
      <c r="J391" s="29" t="inlineStr">
        <is>
          <t>Open</t>
        </is>
      </c>
    </row>
    <row r="392">
      <c r="A392" s="29" t="inlineStr">
        <is>
          <t>AP-0005586</t>
        </is>
      </c>
      <c r="B392" s="29" t="inlineStr">
        <is>
          <t>V-2391</t>
        </is>
      </c>
      <c r="C392" s="29" t="inlineStr">
        <is>
          <t>ARM-2522</t>
        </is>
      </c>
      <c r="D392" s="29" t="inlineStr">
        <is>
          <t>2026-06-20</t>
        </is>
      </c>
      <c r="E392" s="29" t="inlineStr">
        <is>
          <t>2026-07-20</t>
        </is>
      </c>
      <c r="F392" s="29" t="n">
        <v>13517.26</v>
      </c>
      <c r="G392" s="29" t="n">
        <v>0</v>
      </c>
      <c r="H392" s="29" t="n"/>
      <c r="I392" s="29" t="n"/>
      <c r="J392" s="29" t="inlineStr">
        <is>
          <t>Open</t>
        </is>
      </c>
    </row>
    <row r="393">
      <c r="A393" s="29" t="inlineStr">
        <is>
          <t>AP-0009905</t>
        </is>
      </c>
      <c r="B393" s="29" t="inlineStr">
        <is>
          <t>V-2037</t>
        </is>
      </c>
      <c r="C393" s="29" t="n"/>
      <c r="D393" s="29" t="inlineStr">
        <is>
          <t>2026-06-20</t>
        </is>
      </c>
      <c r="E393" s="29" t="inlineStr">
        <is>
          <t>2026-07-20</t>
        </is>
      </c>
      <c r="F393" s="29" t="n">
        <v>4694.04</v>
      </c>
      <c r="G393" s="29" t="n">
        <v>0</v>
      </c>
      <c r="H393" s="29" t="n"/>
      <c r="I393" s="29" t="n"/>
      <c r="J393" s="29" t="inlineStr">
        <is>
          <t>Open</t>
        </is>
      </c>
    </row>
    <row r="394">
      <c r="A394" s="29" t="inlineStr">
        <is>
          <t>AP-0009912</t>
        </is>
      </c>
      <c r="B394" s="29" t="inlineStr">
        <is>
          <t>V-2259</t>
        </is>
      </c>
      <c r="C394" s="29" t="n"/>
      <c r="D394" s="29" t="inlineStr">
        <is>
          <t>2026-06-05</t>
        </is>
      </c>
      <c r="E394" s="29" t="inlineStr">
        <is>
          <t>2026-07-20</t>
        </is>
      </c>
      <c r="F394" s="29" t="n">
        <v>4400.1</v>
      </c>
      <c r="G394" s="29" t="n">
        <v>0</v>
      </c>
      <c r="H394" s="29" t="n"/>
      <c r="I394" s="29" t="n"/>
      <c r="J394" s="29" t="inlineStr">
        <is>
          <t>Open</t>
        </is>
      </c>
    </row>
    <row r="395">
      <c r="A395" s="29" t="inlineStr">
        <is>
          <t>AP-0009926</t>
        </is>
      </c>
      <c r="B395" s="29" t="inlineStr">
        <is>
          <t>V-2037</t>
        </is>
      </c>
      <c r="C395" s="29" t="n"/>
      <c r="D395" s="29" t="inlineStr">
        <is>
          <t>2026-06-20</t>
        </is>
      </c>
      <c r="E395" s="29" t="inlineStr">
        <is>
          <t>2026-07-20</t>
        </is>
      </c>
      <c r="F395" s="29" t="n">
        <v>4207.95</v>
      </c>
      <c r="G395" s="29" t="n">
        <v>0</v>
      </c>
      <c r="H395" s="29" t="n"/>
      <c r="I395" s="29" t="n"/>
      <c r="J395" s="29" t="inlineStr">
        <is>
          <t>Open</t>
        </is>
      </c>
    </row>
    <row r="396">
      <c r="A396" s="29" t="inlineStr">
        <is>
          <t>AP-0009933</t>
        </is>
      </c>
      <c r="B396" s="29" t="inlineStr">
        <is>
          <t>V-2259</t>
        </is>
      </c>
      <c r="C396" s="29" t="n"/>
      <c r="D396" s="29" t="inlineStr">
        <is>
          <t>2026-06-05</t>
        </is>
      </c>
      <c r="E396" s="29" t="inlineStr">
        <is>
          <t>2026-07-20</t>
        </is>
      </c>
      <c r="F396" s="29" t="n">
        <v>3884.41</v>
      </c>
      <c r="G396" s="29" t="n">
        <v>0</v>
      </c>
      <c r="H396" s="29" t="n"/>
      <c r="I396" s="29" t="n"/>
      <c r="J396" s="29" t="inlineStr">
        <is>
          <t>Open</t>
        </is>
      </c>
    </row>
    <row r="397">
      <c r="A397" s="29" t="inlineStr">
        <is>
          <t>AP-0003883</t>
        </is>
      </c>
      <c r="B397" s="29" t="inlineStr">
        <is>
          <t>V-2384</t>
        </is>
      </c>
      <c r="C397" s="29" t="inlineStr">
        <is>
          <t>ARM-2318</t>
        </is>
      </c>
      <c r="D397" s="29" t="inlineStr">
        <is>
          <t>2026-06-06</t>
        </is>
      </c>
      <c r="E397" s="29" t="inlineStr">
        <is>
          <t>2026-07-21</t>
        </is>
      </c>
      <c r="F397" s="29" t="n">
        <v>10309.14</v>
      </c>
      <c r="G397" s="29" t="n">
        <v>0</v>
      </c>
      <c r="H397" s="29" t="n"/>
      <c r="I397" s="29" t="n"/>
      <c r="J397" s="29" t="inlineStr">
        <is>
          <t>Open</t>
        </is>
      </c>
    </row>
    <row r="398">
      <c r="A398" s="29" t="inlineStr">
        <is>
          <t>AP-0005096</t>
        </is>
      </c>
      <c r="B398" s="29" t="inlineStr">
        <is>
          <t>V-2014</t>
        </is>
      </c>
      <c r="C398" s="29" t="inlineStr">
        <is>
          <t>ARM-2506</t>
        </is>
      </c>
      <c r="D398" s="29" t="inlineStr">
        <is>
          <t>2026-06-21</t>
        </is>
      </c>
      <c r="E398" s="29" t="inlineStr">
        <is>
          <t>2026-07-21</t>
        </is>
      </c>
      <c r="F398" s="29" t="n">
        <v>12155.27</v>
      </c>
      <c r="G398" s="29" t="n">
        <v>0</v>
      </c>
      <c r="H398" s="29" t="n"/>
      <c r="I398" s="29" t="n"/>
      <c r="J398" s="29" t="inlineStr">
        <is>
          <t>Open</t>
        </is>
      </c>
    </row>
    <row r="399">
      <c r="A399" s="29" t="inlineStr">
        <is>
          <t>AP-0005584</t>
        </is>
      </c>
      <c r="B399" s="29" t="inlineStr">
        <is>
          <t>V-2364</t>
        </is>
      </c>
      <c r="C399" s="29" t="inlineStr">
        <is>
          <t>ARM-2522</t>
        </is>
      </c>
      <c r="D399" s="29" t="inlineStr">
        <is>
          <t>2026-06-06</t>
        </is>
      </c>
      <c r="E399" s="29" t="inlineStr">
        <is>
          <t>2026-07-21</t>
        </is>
      </c>
      <c r="F399" s="29" t="n">
        <v>9319.950000000001</v>
      </c>
      <c r="G399" s="29" t="n">
        <v>0</v>
      </c>
      <c r="H399" s="29" t="n"/>
      <c r="I399" s="29" t="n"/>
      <c r="J399" s="29" t="inlineStr">
        <is>
          <t>Open</t>
        </is>
      </c>
    </row>
    <row r="400">
      <c r="A400" s="29" t="inlineStr">
        <is>
          <t>AP-0004106</t>
        </is>
      </c>
      <c r="B400" s="29" t="inlineStr">
        <is>
          <t>V-2372</t>
        </is>
      </c>
      <c r="C400" s="29" t="inlineStr">
        <is>
          <t>ARM-2403</t>
        </is>
      </c>
      <c r="D400" s="29" t="inlineStr">
        <is>
          <t>2026-06-22</t>
        </is>
      </c>
      <c r="E400" s="29" t="inlineStr">
        <is>
          <t>2026-07-22</t>
        </is>
      </c>
      <c r="F400" s="29" t="n">
        <v>4904.19</v>
      </c>
      <c r="G400" s="29" t="n">
        <v>0</v>
      </c>
      <c r="H400" s="29" t="n"/>
      <c r="I400" s="29" t="n"/>
      <c r="J400" s="29" t="inlineStr">
        <is>
          <t>Open</t>
        </is>
      </c>
    </row>
    <row r="401">
      <c r="A401" s="29" t="inlineStr">
        <is>
          <t>AP-0005251</t>
        </is>
      </c>
      <c r="B401" s="29" t="inlineStr">
        <is>
          <t>V-2384</t>
        </is>
      </c>
      <c r="C401" s="29" t="inlineStr">
        <is>
          <t>ARM-2510</t>
        </is>
      </c>
      <c r="D401" s="29" t="inlineStr">
        <is>
          <t>2026-06-07</t>
        </is>
      </c>
      <c r="E401" s="29" t="inlineStr">
        <is>
          <t>2026-07-22</t>
        </is>
      </c>
      <c r="F401" s="29" t="n">
        <v>6608.01</v>
      </c>
      <c r="G401" s="29" t="n">
        <v>0</v>
      </c>
      <c r="H401" s="29" t="n"/>
      <c r="I401" s="29" t="n"/>
      <c r="J401" s="29" t="inlineStr">
        <is>
          <t>Open</t>
        </is>
      </c>
    </row>
    <row r="402">
      <c r="A402" s="29" t="inlineStr">
        <is>
          <t>AP-0005431</t>
        </is>
      </c>
      <c r="B402" s="29" t="inlineStr">
        <is>
          <t>V-2014</t>
        </is>
      </c>
      <c r="C402" s="29" t="inlineStr">
        <is>
          <t>ARM-2514</t>
        </is>
      </c>
      <c r="D402" s="29" t="inlineStr">
        <is>
          <t>2026-06-22</t>
        </is>
      </c>
      <c r="E402" s="29" t="inlineStr">
        <is>
          <t>2026-07-22</t>
        </is>
      </c>
      <c r="F402" s="29" t="n">
        <v>14117.38</v>
      </c>
      <c r="G402" s="29" t="n">
        <v>0</v>
      </c>
      <c r="H402" s="29" t="n"/>
      <c r="I402" s="29" t="n"/>
      <c r="J402" s="29" t="inlineStr">
        <is>
          <t>Open</t>
        </is>
      </c>
    </row>
    <row r="403">
      <c r="A403" s="29" t="inlineStr">
        <is>
          <t>AP-0005449</t>
        </is>
      </c>
      <c r="B403" s="29" t="inlineStr">
        <is>
          <t>V-2422</t>
        </is>
      </c>
      <c r="C403" s="29" t="inlineStr">
        <is>
          <t>ARM-2514</t>
        </is>
      </c>
      <c r="D403" s="29" t="inlineStr">
        <is>
          <t>2026-06-22</t>
        </is>
      </c>
      <c r="E403" s="29" t="inlineStr">
        <is>
          <t>2026-07-22</t>
        </is>
      </c>
      <c r="F403" s="29" t="n">
        <v>5194.49</v>
      </c>
      <c r="G403" s="29" t="n">
        <v>0</v>
      </c>
      <c r="H403" s="29" t="n"/>
      <c r="I403" s="29" t="n"/>
      <c r="J403" s="29" t="inlineStr">
        <is>
          <t>Open</t>
        </is>
      </c>
    </row>
    <row r="404">
      <c r="A404" s="29" t="inlineStr">
        <is>
          <t>AP-0005718</t>
        </is>
      </c>
      <c r="B404" s="29" t="inlineStr">
        <is>
          <t>V-2286</t>
        </is>
      </c>
      <c r="C404" s="29" t="inlineStr">
        <is>
          <t>ARM-2605</t>
        </is>
      </c>
      <c r="D404" s="29" t="inlineStr">
        <is>
          <t>2026-06-22</t>
        </is>
      </c>
      <c r="E404" s="29" t="inlineStr">
        <is>
          <t>2026-07-22</t>
        </is>
      </c>
      <c r="F404" s="29" t="n">
        <v>8933.559999999999</v>
      </c>
      <c r="G404" s="29" t="n">
        <v>0</v>
      </c>
      <c r="H404" s="29" t="n"/>
      <c r="I404" s="29" t="n"/>
      <c r="J404" s="29" t="inlineStr">
        <is>
          <t>Open</t>
        </is>
      </c>
    </row>
    <row r="405">
      <c r="A405" s="29" t="inlineStr">
        <is>
          <t>AP-0005723</t>
        </is>
      </c>
      <c r="B405" s="29" t="inlineStr">
        <is>
          <t>V-2346</t>
        </is>
      </c>
      <c r="C405" s="29" t="inlineStr">
        <is>
          <t>ARM-2605</t>
        </is>
      </c>
      <c r="D405" s="29" t="inlineStr">
        <is>
          <t>2026-06-22</t>
        </is>
      </c>
      <c r="E405" s="29" t="inlineStr">
        <is>
          <t>2026-07-22</t>
        </is>
      </c>
      <c r="F405" s="29" t="n">
        <v>13462.95</v>
      </c>
      <c r="G405" s="29" t="n">
        <v>0</v>
      </c>
      <c r="H405" s="29" t="n"/>
      <c r="I405" s="29" t="n"/>
      <c r="J405" s="29" t="inlineStr">
        <is>
          <t>Open</t>
        </is>
      </c>
    </row>
    <row r="406">
      <c r="A406" s="29" t="inlineStr">
        <is>
          <t>AP-0009918</t>
        </is>
      </c>
      <c r="B406" s="29" t="inlineStr">
        <is>
          <t>V-2309</t>
        </is>
      </c>
      <c r="C406" s="29" t="n"/>
      <c r="D406" s="29" t="inlineStr">
        <is>
          <t>2026-06-07</t>
        </is>
      </c>
      <c r="E406" s="29" t="inlineStr">
        <is>
          <t>2026-07-22</t>
        </is>
      </c>
      <c r="F406" s="29" t="n">
        <v>4123.22</v>
      </c>
      <c r="G406" s="29" t="n">
        <v>0</v>
      </c>
      <c r="H406" s="29" t="n"/>
      <c r="I406" s="29" t="n"/>
      <c r="J406" s="29" t="inlineStr">
        <is>
          <t>Open</t>
        </is>
      </c>
    </row>
    <row r="407">
      <c r="A407" s="29" t="inlineStr">
        <is>
          <t>AP-0009939</t>
        </is>
      </c>
      <c r="B407" s="29" t="inlineStr">
        <is>
          <t>V-2309</t>
        </is>
      </c>
      <c r="C407" s="29" t="n"/>
      <c r="D407" s="29" t="inlineStr">
        <is>
          <t>2026-06-07</t>
        </is>
      </c>
      <c r="E407" s="29" t="inlineStr">
        <is>
          <t>2026-07-22</t>
        </is>
      </c>
      <c r="F407" s="29" t="n">
        <v>2309.52</v>
      </c>
      <c r="G407" s="29" t="n">
        <v>0</v>
      </c>
      <c r="H407" s="29" t="n"/>
      <c r="I407" s="29" t="n"/>
      <c r="J407" s="29" t="inlineStr">
        <is>
          <t>Open</t>
        </is>
      </c>
    </row>
    <row r="408">
      <c r="A408" s="29" t="inlineStr">
        <is>
          <t>AP-0004697</t>
        </is>
      </c>
      <c r="B408" s="29" t="inlineStr">
        <is>
          <t>V-2434</t>
        </is>
      </c>
      <c r="C408" s="29" t="inlineStr">
        <is>
          <t>ARM-2417</t>
        </is>
      </c>
      <c r="D408" s="29" t="inlineStr">
        <is>
          <t>2026-06-08</t>
        </is>
      </c>
      <c r="E408" s="29" t="inlineStr">
        <is>
          <t>2026-07-23</t>
        </is>
      </c>
      <c r="F408" s="29" t="n">
        <v>15533.73</v>
      </c>
      <c r="G408" s="29" t="n">
        <v>0</v>
      </c>
      <c r="H408" s="29" t="n"/>
      <c r="I408" s="29" t="n"/>
      <c r="J408" s="29" t="inlineStr">
        <is>
          <t>Open</t>
        </is>
      </c>
    </row>
    <row r="409">
      <c r="A409" s="29" t="inlineStr">
        <is>
          <t>AP-0005101</t>
        </is>
      </c>
      <c r="B409" s="29" t="inlineStr">
        <is>
          <t>V-2274</t>
        </is>
      </c>
      <c r="C409" s="29" t="inlineStr">
        <is>
          <t>ARM-2506</t>
        </is>
      </c>
      <c r="D409" s="29" t="inlineStr">
        <is>
          <t>2026-06-08</t>
        </is>
      </c>
      <c r="E409" s="29" t="inlineStr">
        <is>
          <t>2026-07-23</t>
        </is>
      </c>
      <c r="F409" s="29" t="n">
        <v>8820.790000000001</v>
      </c>
      <c r="G409" s="29" t="n">
        <v>0</v>
      </c>
      <c r="H409" s="29" t="n"/>
      <c r="I409" s="29" t="n"/>
      <c r="J409" s="29" t="inlineStr">
        <is>
          <t>Open</t>
        </is>
      </c>
    </row>
    <row r="410">
      <c r="A410" s="29" t="inlineStr">
        <is>
          <t>AP-0005438</t>
        </is>
      </c>
      <c r="B410" s="29" t="inlineStr">
        <is>
          <t>V-2301</t>
        </is>
      </c>
      <c r="C410" s="29" t="inlineStr">
        <is>
          <t>ARM-2514</t>
        </is>
      </c>
      <c r="D410" s="29" t="inlineStr">
        <is>
          <t>2026-06-23</t>
        </is>
      </c>
      <c r="E410" s="29" t="inlineStr">
        <is>
          <t>2026-07-23</t>
        </is>
      </c>
      <c r="F410" s="29" t="n">
        <v>15551.93</v>
      </c>
      <c r="G410" s="29" t="n">
        <v>0</v>
      </c>
      <c r="H410" s="29" t="n"/>
      <c r="I410" s="29" t="n"/>
      <c r="J410" s="29" t="inlineStr">
        <is>
          <t>Open</t>
        </is>
      </c>
    </row>
    <row r="411">
      <c r="A411" s="29" t="inlineStr">
        <is>
          <t>AP-0009914</t>
        </is>
      </c>
      <c r="B411" s="29" t="inlineStr">
        <is>
          <t>V-2278</t>
        </is>
      </c>
      <c r="C411" s="29" t="n"/>
      <c r="D411" s="29" t="inlineStr">
        <is>
          <t>2026-06-23</t>
        </is>
      </c>
      <c r="E411" s="29" t="inlineStr">
        <is>
          <t>2026-07-23</t>
        </is>
      </c>
      <c r="F411" s="29" t="n">
        <v>5125.2</v>
      </c>
      <c r="G411" s="29" t="n">
        <v>0</v>
      </c>
      <c r="H411" s="29" t="n"/>
      <c r="I411" s="29" t="n"/>
      <c r="J411" s="29" t="inlineStr">
        <is>
          <t>Open</t>
        </is>
      </c>
    </row>
    <row r="412">
      <c r="A412" s="29" t="inlineStr">
        <is>
          <t>AP-0009935</t>
        </is>
      </c>
      <c r="B412" s="29" t="inlineStr">
        <is>
          <t>V-2278</t>
        </is>
      </c>
      <c r="C412" s="29" t="n"/>
      <c r="D412" s="29" t="inlineStr">
        <is>
          <t>2026-06-23</t>
        </is>
      </c>
      <c r="E412" s="29" t="inlineStr">
        <is>
          <t>2026-07-23</t>
        </is>
      </c>
      <c r="F412" s="29" t="n">
        <v>4238.85</v>
      </c>
      <c r="G412" s="29" t="n">
        <v>0</v>
      </c>
      <c r="H412" s="29" t="n"/>
      <c r="I412" s="29" t="n"/>
      <c r="J412" s="29" t="inlineStr">
        <is>
          <t>Open</t>
        </is>
      </c>
    </row>
    <row r="413">
      <c r="A413" s="29" t="inlineStr">
        <is>
          <t>AP-0011899</t>
        </is>
      </c>
      <c r="B413" s="29" t="inlineStr">
        <is>
          <t>V-2363</t>
        </is>
      </c>
      <c r="C413" s="29" t="n"/>
      <c r="D413" s="29" t="inlineStr">
        <is>
          <t>2026-06-23</t>
        </is>
      </c>
      <c r="E413" s="29" t="inlineStr">
        <is>
          <t>2026-07-23</t>
        </is>
      </c>
      <c r="F413" s="29" t="n">
        <v>10242.57</v>
      </c>
      <c r="G413" s="29" t="n">
        <v>0</v>
      </c>
      <c r="H413" s="29" t="n"/>
      <c r="I413" s="29" t="n"/>
      <c r="J413" s="29" t="inlineStr">
        <is>
          <t>Open</t>
        </is>
      </c>
    </row>
    <row r="414">
      <c r="A414" s="29" t="inlineStr">
        <is>
          <t>AP-0004442</t>
        </is>
      </c>
      <c r="B414" s="29" t="inlineStr">
        <is>
          <t>V-2383</t>
        </is>
      </c>
      <c r="C414" s="29" t="inlineStr">
        <is>
          <t>ARM-2412</t>
        </is>
      </c>
      <c r="D414" s="29" t="inlineStr">
        <is>
          <t>2026-06-24</t>
        </is>
      </c>
      <c r="E414" s="29" t="inlineStr">
        <is>
          <t>2026-07-24</t>
        </is>
      </c>
      <c r="F414" s="29" t="n">
        <v>14528.61</v>
      </c>
      <c r="G414" s="29" t="n">
        <v>0</v>
      </c>
      <c r="H414" s="29" t="n"/>
      <c r="I414" s="29" t="n"/>
      <c r="J414" s="29" t="inlineStr">
        <is>
          <t>Open</t>
        </is>
      </c>
    </row>
    <row r="415">
      <c r="A415" s="29" t="inlineStr">
        <is>
          <t>AP-0004446</t>
        </is>
      </c>
      <c r="B415" s="29" t="inlineStr">
        <is>
          <t>V-2431</t>
        </is>
      </c>
      <c r="C415" s="29" t="inlineStr">
        <is>
          <t>ARM-2412</t>
        </is>
      </c>
      <c r="D415" s="29" t="inlineStr">
        <is>
          <t>2026-06-24</t>
        </is>
      </c>
      <c r="E415" s="29" t="inlineStr">
        <is>
          <t>2026-07-24</t>
        </is>
      </c>
      <c r="F415" s="29" t="n">
        <v>20036.15</v>
      </c>
      <c r="G415" s="29" t="n">
        <v>0</v>
      </c>
      <c r="H415" s="29" t="n"/>
      <c r="I415" s="29" t="n"/>
      <c r="J415" s="29" t="inlineStr">
        <is>
          <t>Open</t>
        </is>
      </c>
    </row>
    <row r="416">
      <c r="A416" s="29" t="inlineStr">
        <is>
          <t>AP-0004448</t>
        </is>
      </c>
      <c r="B416" s="29" t="inlineStr">
        <is>
          <t>V-2453</t>
        </is>
      </c>
      <c r="C416" s="29" t="inlineStr">
        <is>
          <t>ARM-2412</t>
        </is>
      </c>
      <c r="D416" s="29" t="inlineStr">
        <is>
          <t>2026-06-24</t>
        </is>
      </c>
      <c r="E416" s="29" t="inlineStr">
        <is>
          <t>2026-07-24</t>
        </is>
      </c>
      <c r="F416" s="29" t="n">
        <v>7259.3</v>
      </c>
      <c r="G416" s="29" t="n">
        <v>0</v>
      </c>
      <c r="H416" s="29" t="n"/>
      <c r="I416" s="29" t="n"/>
      <c r="J416" s="29" t="inlineStr">
        <is>
          <t>Open</t>
        </is>
      </c>
    </row>
    <row r="417">
      <c r="A417" s="29" t="inlineStr">
        <is>
          <t>AP-0005093</t>
        </is>
      </c>
      <c r="B417" s="29" t="inlineStr">
        <is>
          <t>V-2498</t>
        </is>
      </c>
      <c r="C417" s="29" t="inlineStr">
        <is>
          <t>ARM-2506</t>
        </is>
      </c>
      <c r="D417" s="29" t="inlineStr">
        <is>
          <t>2026-06-24</t>
        </is>
      </c>
      <c r="E417" s="29" t="inlineStr">
        <is>
          <t>2026-07-24</t>
        </is>
      </c>
      <c r="F417" s="29" t="n">
        <v>16775.33</v>
      </c>
      <c r="G417" s="29" t="n">
        <v>0</v>
      </c>
      <c r="H417" s="29" t="n"/>
      <c r="I417" s="29" t="n"/>
      <c r="J417" s="29" t="inlineStr">
        <is>
          <t>Open</t>
        </is>
      </c>
    </row>
    <row r="418">
      <c r="A418" s="29" t="inlineStr">
        <is>
          <t>AP-0005105</t>
        </is>
      </c>
      <c r="B418" s="29" t="inlineStr">
        <is>
          <t>V-2308</t>
        </is>
      </c>
      <c r="C418" s="29" t="inlineStr">
        <is>
          <t>ARM-2506</t>
        </is>
      </c>
      <c r="D418" s="29" t="inlineStr">
        <is>
          <t>2026-06-24</t>
        </is>
      </c>
      <c r="E418" s="29" t="inlineStr">
        <is>
          <t>2026-07-24</t>
        </is>
      </c>
      <c r="F418" s="29" t="n">
        <v>17099.95</v>
      </c>
      <c r="G418" s="29" t="n">
        <v>0</v>
      </c>
      <c r="H418" s="29" t="n"/>
      <c r="I418" s="29" t="n"/>
      <c r="J418" s="29" t="inlineStr">
        <is>
          <t>Open</t>
        </is>
      </c>
    </row>
    <row r="419">
      <c r="A419" s="29" t="inlineStr">
        <is>
          <t>AP-0005109</t>
        </is>
      </c>
      <c r="B419" s="29" t="inlineStr">
        <is>
          <t>V-2357</t>
        </is>
      </c>
      <c r="C419" s="29" t="inlineStr">
        <is>
          <t>ARM-2506</t>
        </is>
      </c>
      <c r="D419" s="29" t="inlineStr">
        <is>
          <t>2026-06-24</t>
        </is>
      </c>
      <c r="E419" s="29" t="inlineStr">
        <is>
          <t>2026-07-24</t>
        </is>
      </c>
      <c r="F419" s="29" t="n">
        <v>6441.77</v>
      </c>
      <c r="G419" s="29" t="n">
        <v>0</v>
      </c>
      <c r="H419" s="29" t="n"/>
      <c r="I419" s="29" t="n"/>
      <c r="J419" s="29" t="inlineStr">
        <is>
          <t>Open</t>
        </is>
      </c>
    </row>
    <row r="420">
      <c r="A420" s="29" t="inlineStr">
        <is>
          <t>AP-0005239</t>
        </is>
      </c>
      <c r="B420" s="29" t="inlineStr">
        <is>
          <t>V-2222</t>
        </is>
      </c>
      <c r="C420" s="29" t="inlineStr">
        <is>
          <t>ARM-2510</t>
        </is>
      </c>
      <c r="D420" s="29" t="inlineStr">
        <is>
          <t>2026-06-24</t>
        </is>
      </c>
      <c r="E420" s="29" t="inlineStr">
        <is>
          <t>2026-07-24</t>
        </is>
      </c>
      <c r="F420" s="29" t="n">
        <v>8023.06</v>
      </c>
      <c r="G420" s="29" t="n">
        <v>0</v>
      </c>
      <c r="H420" s="29" t="n"/>
      <c r="I420" s="29" t="n"/>
      <c r="J420" s="29" t="inlineStr">
        <is>
          <t>Open</t>
        </is>
      </c>
    </row>
    <row r="421">
      <c r="A421" s="29" t="inlineStr">
        <is>
          <t>AP-0005436</t>
        </is>
      </c>
      <c r="B421" s="29" t="inlineStr">
        <is>
          <t>V-2274</t>
        </is>
      </c>
      <c r="C421" s="29" t="inlineStr">
        <is>
          <t>ARM-2514</t>
        </is>
      </c>
      <c r="D421" s="29" t="inlineStr">
        <is>
          <t>2026-06-09</t>
        </is>
      </c>
      <c r="E421" s="29" t="inlineStr">
        <is>
          <t>2026-07-24</t>
        </is>
      </c>
      <c r="F421" s="29" t="n">
        <v>9585.530000000001</v>
      </c>
      <c r="G421" s="29" t="n">
        <v>0</v>
      </c>
      <c r="H421" s="29" t="n"/>
      <c r="I421" s="29" t="n"/>
      <c r="J421" s="29" t="inlineStr">
        <is>
          <t>Open</t>
        </is>
      </c>
    </row>
    <row r="422">
      <c r="A422" s="29" t="inlineStr">
        <is>
          <t>AP-0009917</t>
        </is>
      </c>
      <c r="B422" s="29" t="inlineStr">
        <is>
          <t>V-2303</t>
        </is>
      </c>
      <c r="C422" s="29" t="n"/>
      <c r="D422" s="29" t="inlineStr">
        <is>
          <t>2026-06-24</t>
        </is>
      </c>
      <c r="E422" s="29" t="inlineStr">
        <is>
          <t>2026-07-24</t>
        </is>
      </c>
      <c r="F422" s="29" t="n">
        <v>7299.44</v>
      </c>
      <c r="G422" s="29" t="n">
        <v>0</v>
      </c>
      <c r="H422" s="29" t="n"/>
      <c r="I422" s="29" t="n"/>
      <c r="J422" s="29" t="inlineStr">
        <is>
          <t>Open</t>
        </is>
      </c>
    </row>
    <row r="423">
      <c r="A423" s="29" t="inlineStr">
        <is>
          <t>AP-0009938</t>
        </is>
      </c>
      <c r="B423" s="29" t="inlineStr">
        <is>
          <t>V-2303</t>
        </is>
      </c>
      <c r="C423" s="29" t="n"/>
      <c r="D423" s="29" t="inlineStr">
        <is>
          <t>2026-06-24</t>
        </is>
      </c>
      <c r="E423" s="29" t="inlineStr">
        <is>
          <t>2026-07-24</t>
        </is>
      </c>
      <c r="F423" s="29" t="n">
        <v>2963.55</v>
      </c>
      <c r="G423" s="29" t="n">
        <v>0</v>
      </c>
      <c r="H423" s="29" t="n"/>
      <c r="I423" s="29" t="n"/>
      <c r="J423" s="29" t="inlineStr">
        <is>
          <t>Open</t>
        </is>
      </c>
    </row>
    <row r="424">
      <c r="A424" s="29" t="inlineStr">
        <is>
          <t>AP-0004696</t>
        </is>
      </c>
      <c r="B424" s="29" t="inlineStr">
        <is>
          <t>V-2421</t>
        </is>
      </c>
      <c r="C424" s="29" t="inlineStr">
        <is>
          <t>ARM-2417</t>
        </is>
      </c>
      <c r="D424" s="29" t="inlineStr">
        <is>
          <t>2026-06-25</t>
        </is>
      </c>
      <c r="E424" s="29" t="inlineStr">
        <is>
          <t>2026-07-25</t>
        </is>
      </c>
      <c r="F424" s="29" t="n">
        <v>11182.23</v>
      </c>
      <c r="G424" s="29" t="n">
        <v>0</v>
      </c>
      <c r="H424" s="29" t="n"/>
      <c r="I424" s="29" t="n"/>
      <c r="J424" s="29" t="inlineStr">
        <is>
          <t>Open</t>
        </is>
      </c>
    </row>
    <row r="425">
      <c r="A425" s="29" t="inlineStr">
        <is>
          <t>AP-0004705</t>
        </is>
      </c>
      <c r="B425" s="29" t="inlineStr">
        <is>
          <t>V-2528</t>
        </is>
      </c>
      <c r="C425" s="29" t="inlineStr">
        <is>
          <t>ARM-2417</t>
        </is>
      </c>
      <c r="D425" s="29" t="inlineStr">
        <is>
          <t>2026-06-25</t>
        </is>
      </c>
      <c r="E425" s="29" t="inlineStr">
        <is>
          <t>2026-07-25</t>
        </is>
      </c>
      <c r="F425" s="29" t="n">
        <v>23996.63</v>
      </c>
      <c r="G425" s="29" t="n">
        <v>0</v>
      </c>
      <c r="H425" s="29" t="n"/>
      <c r="I425" s="29" t="n"/>
      <c r="J425" s="29" t="inlineStr">
        <is>
          <t>Open</t>
        </is>
      </c>
    </row>
    <row r="426">
      <c r="A426" s="29" t="inlineStr">
        <is>
          <t>AP-0004708</t>
        </is>
      </c>
      <c r="B426" s="29" t="inlineStr">
        <is>
          <t>V-2208</t>
        </is>
      </c>
      <c r="C426" s="29" t="inlineStr">
        <is>
          <t>ARM-2417</t>
        </is>
      </c>
      <c r="D426" s="29" t="inlineStr">
        <is>
          <t>2026-06-25</t>
        </is>
      </c>
      <c r="E426" s="29" t="inlineStr">
        <is>
          <t>2026-07-25</t>
        </is>
      </c>
      <c r="F426" s="29" t="n">
        <v>6052.85</v>
      </c>
      <c r="G426" s="29" t="n">
        <v>0</v>
      </c>
      <c r="H426" s="29" t="n"/>
      <c r="I426" s="29" t="n"/>
      <c r="J426" s="29" t="inlineStr">
        <is>
          <t>Open</t>
        </is>
      </c>
    </row>
    <row r="427">
      <c r="A427" s="29" t="inlineStr">
        <is>
          <t>AP-0005107</t>
        </is>
      </c>
      <c r="B427" s="29" t="inlineStr">
        <is>
          <t>V-2329</t>
        </is>
      </c>
      <c r="C427" s="29" t="inlineStr">
        <is>
          <t>ARM-2506</t>
        </is>
      </c>
      <c r="D427" s="29" t="inlineStr">
        <is>
          <t>2026-06-10</t>
        </is>
      </c>
      <c r="E427" s="29" t="inlineStr">
        <is>
          <t>2026-07-25</t>
        </is>
      </c>
      <c r="F427" s="29" t="n">
        <v>7988.78</v>
      </c>
      <c r="G427" s="29" t="n">
        <v>0</v>
      </c>
      <c r="H427" s="29" t="n"/>
      <c r="I427" s="29" t="n"/>
      <c r="J427" s="29" t="inlineStr">
        <is>
          <t>Open</t>
        </is>
      </c>
    </row>
    <row r="428">
      <c r="A428" s="29" t="inlineStr">
        <is>
          <t>AP-0005428</t>
        </is>
      </c>
      <c r="B428" s="29" t="inlineStr">
        <is>
          <t>V-2498</t>
        </is>
      </c>
      <c r="C428" s="29" t="inlineStr">
        <is>
          <t>ARM-2514</t>
        </is>
      </c>
      <c r="D428" s="29" t="inlineStr">
        <is>
          <t>2026-06-25</t>
        </is>
      </c>
      <c r="E428" s="29" t="inlineStr">
        <is>
          <t>2026-07-25</t>
        </is>
      </c>
      <c r="F428" s="29" t="n">
        <v>8339.15</v>
      </c>
      <c r="G428" s="29" t="n">
        <v>0</v>
      </c>
      <c r="H428" s="29" t="n"/>
      <c r="I428" s="29" t="n"/>
      <c r="J428" s="29" t="inlineStr">
        <is>
          <t>Open</t>
        </is>
      </c>
    </row>
    <row r="429">
      <c r="A429" s="29" t="inlineStr">
        <is>
          <t>AP-0005442</t>
        </is>
      </c>
      <c r="B429" s="29" t="inlineStr">
        <is>
          <t>V-2332</t>
        </is>
      </c>
      <c r="C429" s="29" t="inlineStr">
        <is>
          <t>ARM-2514</t>
        </is>
      </c>
      <c r="D429" s="29" t="inlineStr">
        <is>
          <t>2026-06-25</t>
        </is>
      </c>
      <c r="E429" s="29" t="inlineStr">
        <is>
          <t>2026-07-25</t>
        </is>
      </c>
      <c r="F429" s="29" t="n">
        <v>33211.66</v>
      </c>
      <c r="G429" s="29" t="n">
        <v>0</v>
      </c>
      <c r="H429" s="29" t="n"/>
      <c r="I429" s="29" t="n"/>
      <c r="J429" s="29" t="inlineStr">
        <is>
          <t>Open</t>
        </is>
      </c>
    </row>
    <row r="430">
      <c r="A430" s="29" t="inlineStr">
        <is>
          <t>AP-0005446</t>
        </is>
      </c>
      <c r="B430" s="29" t="inlineStr">
        <is>
          <t>V-2381</t>
        </is>
      </c>
      <c r="C430" s="29" t="inlineStr">
        <is>
          <t>ARM-2514</t>
        </is>
      </c>
      <c r="D430" s="29" t="inlineStr">
        <is>
          <t>2026-06-25</t>
        </is>
      </c>
      <c r="E430" s="29" t="inlineStr">
        <is>
          <t>2026-07-25</t>
        </is>
      </c>
      <c r="F430" s="29" t="n">
        <v>6610.07</v>
      </c>
      <c r="G430" s="29" t="n">
        <v>0</v>
      </c>
      <c r="H430" s="29" t="n"/>
      <c r="I430" s="29" t="n"/>
      <c r="J430" s="29" t="inlineStr">
        <is>
          <t>Open</t>
        </is>
      </c>
    </row>
    <row r="431">
      <c r="A431" s="29" t="inlineStr">
        <is>
          <t>AP-0005510</t>
        </is>
      </c>
      <c r="B431" s="29" t="inlineStr">
        <is>
          <t>V-2477</t>
        </is>
      </c>
      <c r="C431" s="29" t="inlineStr">
        <is>
          <t>ARM-2518</t>
        </is>
      </c>
      <c r="D431" s="29" t="inlineStr">
        <is>
          <t>2026-06-25</t>
        </is>
      </c>
      <c r="E431" s="29" t="inlineStr">
        <is>
          <t>2026-07-25</t>
        </is>
      </c>
      <c r="F431" s="29" t="n">
        <v>13883.69</v>
      </c>
      <c r="G431" s="29" t="n">
        <v>0</v>
      </c>
      <c r="H431" s="29" t="n"/>
      <c r="I431" s="29" t="n"/>
      <c r="J431" s="29" t="inlineStr">
        <is>
          <t>Open</t>
        </is>
      </c>
    </row>
    <row r="432">
      <c r="A432" s="29" t="inlineStr">
        <is>
          <t>AP-0005688</t>
        </is>
      </c>
      <c r="B432" s="29" t="inlineStr">
        <is>
          <t>V-2256</t>
        </is>
      </c>
      <c r="C432" s="29" t="inlineStr">
        <is>
          <t>ARM-2602</t>
        </is>
      </c>
      <c r="D432" s="29" t="inlineStr">
        <is>
          <t>2026-06-25</t>
        </is>
      </c>
      <c r="E432" s="29" t="inlineStr">
        <is>
          <t>2026-07-25</t>
        </is>
      </c>
      <c r="F432" s="29" t="n">
        <v>17800.72</v>
      </c>
      <c r="G432" s="29" t="n">
        <v>0</v>
      </c>
      <c r="H432" s="29" t="n"/>
      <c r="I432" s="29" t="n"/>
      <c r="J432" s="29" t="inlineStr">
        <is>
          <t>Open</t>
        </is>
      </c>
    </row>
    <row r="433">
      <c r="A433" s="29" t="inlineStr">
        <is>
          <t>AP-0005690</t>
        </is>
      </c>
      <c r="B433" s="29" t="inlineStr">
        <is>
          <t>V-2286</t>
        </is>
      </c>
      <c r="C433" s="29" t="inlineStr">
        <is>
          <t>ARM-2602</t>
        </is>
      </c>
      <c r="D433" s="29" t="inlineStr">
        <is>
          <t>2026-06-25</t>
        </is>
      </c>
      <c r="E433" s="29" t="inlineStr">
        <is>
          <t>2026-07-25</t>
        </is>
      </c>
      <c r="F433" s="29" t="n">
        <v>5725.25</v>
      </c>
      <c r="G433" s="29" t="n">
        <v>0</v>
      </c>
      <c r="H433" s="29" t="n"/>
      <c r="I433" s="29" t="n"/>
      <c r="J433" s="29" t="inlineStr">
        <is>
          <t>Open</t>
        </is>
      </c>
    </row>
    <row r="434">
      <c r="A434" s="29" t="inlineStr">
        <is>
          <t>AP-0005746</t>
        </is>
      </c>
      <c r="B434" s="29" t="inlineStr">
        <is>
          <t>V-2288</t>
        </is>
      </c>
      <c r="C434" s="29" t="inlineStr">
        <is>
          <t>ARM-2608</t>
        </is>
      </c>
      <c r="D434" s="29" t="inlineStr">
        <is>
          <t>2026-06-25</t>
        </is>
      </c>
      <c r="E434" s="29" t="inlineStr">
        <is>
          <t>2026-07-25</t>
        </is>
      </c>
      <c r="F434" s="29" t="n">
        <v>8044.59</v>
      </c>
      <c r="G434" s="29" t="n">
        <v>0</v>
      </c>
      <c r="H434" s="29" t="n"/>
      <c r="I434" s="29" t="n"/>
      <c r="J434" s="29" t="inlineStr">
        <is>
          <t>Open</t>
        </is>
      </c>
    </row>
    <row r="435">
      <c r="A435" s="29" t="inlineStr">
        <is>
          <t>AP-0009920</t>
        </is>
      </c>
      <c r="B435" s="29" t="inlineStr">
        <is>
          <t>V-2323</t>
        </is>
      </c>
      <c r="C435" s="29" t="n"/>
      <c r="D435" s="29" t="inlineStr">
        <is>
          <t>2026-06-25</t>
        </is>
      </c>
      <c r="E435" s="29" t="inlineStr">
        <is>
          <t>2026-07-25</t>
        </is>
      </c>
      <c r="F435" s="29" t="n">
        <v>4488.92</v>
      </c>
      <c r="G435" s="29" t="n">
        <v>0</v>
      </c>
      <c r="H435" s="29" t="n"/>
      <c r="I435" s="29" t="n"/>
      <c r="J435" s="29" t="inlineStr">
        <is>
          <t>Open</t>
        </is>
      </c>
    </row>
    <row r="436">
      <c r="A436" s="29" t="inlineStr">
        <is>
          <t>AP-0009941</t>
        </is>
      </c>
      <c r="B436" s="29" t="inlineStr">
        <is>
          <t>V-2323</t>
        </is>
      </c>
      <c r="C436" s="29" t="n"/>
      <c r="D436" s="29" t="inlineStr">
        <is>
          <t>2026-06-25</t>
        </is>
      </c>
      <c r="E436" s="29" t="inlineStr">
        <is>
          <t>2026-07-25</t>
        </is>
      </c>
      <c r="F436" s="29" t="n">
        <v>2890.53</v>
      </c>
      <c r="G436" s="29" t="n">
        <v>0</v>
      </c>
      <c r="H436" s="29" t="n"/>
      <c r="I436" s="29" t="n"/>
      <c r="J436" s="29" t="inlineStr">
        <is>
          <t>Open</t>
        </is>
      </c>
    </row>
    <row r="437">
      <c r="A437" s="29" t="inlineStr">
        <is>
          <t>AP-0011894</t>
        </is>
      </c>
      <c r="B437" s="29" t="inlineStr">
        <is>
          <t>V-2216</t>
        </is>
      </c>
      <c r="C437" s="29" t="n"/>
      <c r="D437" s="29" t="inlineStr">
        <is>
          <t>2026-06-25</t>
        </is>
      </c>
      <c r="E437" s="29" t="inlineStr">
        <is>
          <t>2026-07-25</t>
        </is>
      </c>
      <c r="F437" s="29" t="n">
        <v>14861.78</v>
      </c>
      <c r="G437" s="29" t="n">
        <v>0</v>
      </c>
      <c r="H437" s="29" t="n"/>
      <c r="I437" s="29" t="n"/>
      <c r="J437" s="29" t="inlineStr">
        <is>
          <t>Open</t>
        </is>
      </c>
    </row>
    <row r="438">
      <c r="A438" s="29" t="inlineStr">
        <is>
          <t>AP-0011892</t>
        </is>
      </c>
      <c r="B438" s="29" t="inlineStr">
        <is>
          <t>V-2344</t>
        </is>
      </c>
      <c r="C438" s="29" t="n"/>
      <c r="D438" s="29" t="inlineStr">
        <is>
          <t>2026-06-11</t>
        </is>
      </c>
      <c r="E438" s="29" t="inlineStr">
        <is>
          <t>2026-07-26</t>
        </is>
      </c>
      <c r="F438" s="29" t="n">
        <v>45704.6</v>
      </c>
      <c r="G438" s="29" t="n">
        <v>0</v>
      </c>
      <c r="H438" s="29" t="n"/>
      <c r="I438" s="29" t="n"/>
      <c r="J438" s="29" t="inlineStr">
        <is>
          <t>Open</t>
        </is>
      </c>
    </row>
    <row r="439">
      <c r="A439" s="29" t="inlineStr">
        <is>
          <t>AP-0011901</t>
        </is>
      </c>
      <c r="B439" s="29" t="inlineStr">
        <is>
          <t>V-2432</t>
        </is>
      </c>
      <c r="C439" s="29" t="n"/>
      <c r="D439" s="29" t="inlineStr">
        <is>
          <t>2026-06-26</t>
        </is>
      </c>
      <c r="E439" s="29" t="inlineStr">
        <is>
          <t>2026-07-26</t>
        </is>
      </c>
      <c r="F439" s="29" t="n">
        <v>6613.56</v>
      </c>
      <c r="G439" s="29" t="n">
        <v>0</v>
      </c>
      <c r="H439" s="29" t="n"/>
      <c r="I439" s="29" t="n"/>
      <c r="J439" s="29" t="inlineStr">
        <is>
          <t>Open</t>
        </is>
      </c>
    </row>
    <row r="440">
      <c r="A440" s="29" t="inlineStr">
        <is>
          <t>AP-0005515</t>
        </is>
      </c>
      <c r="B440" s="29" t="inlineStr">
        <is>
          <t>V-2534</t>
        </is>
      </c>
      <c r="C440" s="29" t="inlineStr">
        <is>
          <t>ARM-2518</t>
        </is>
      </c>
      <c r="D440" s="29" t="inlineStr">
        <is>
          <t>2026-06-12</t>
        </is>
      </c>
      <c r="E440" s="29" t="inlineStr">
        <is>
          <t>2026-07-27</t>
        </is>
      </c>
      <c r="F440" s="29" t="n">
        <v>10247.1</v>
      </c>
      <c r="G440" s="29" t="n">
        <v>0</v>
      </c>
      <c r="H440" s="29" t="n"/>
      <c r="I440" s="29" t="n"/>
      <c r="J440" s="29" t="inlineStr">
        <is>
          <t>Open</t>
        </is>
      </c>
    </row>
    <row r="441">
      <c r="A441" s="29" t="inlineStr">
        <is>
          <t>AP-0004897</t>
        </is>
      </c>
      <c r="B441" s="29" t="inlineStr">
        <is>
          <t>V-2484</t>
        </is>
      </c>
      <c r="C441" s="29" t="inlineStr">
        <is>
          <t>ARM-2501</t>
        </is>
      </c>
      <c r="D441" s="29" t="inlineStr">
        <is>
          <t>2026-06-13</t>
        </is>
      </c>
      <c r="E441" s="29" t="inlineStr">
        <is>
          <t>2026-07-28</t>
        </is>
      </c>
      <c r="F441" s="29" t="n">
        <v>16603.73</v>
      </c>
      <c r="G441" s="29" t="n">
        <v>0</v>
      </c>
      <c r="H441" s="29" t="n"/>
      <c r="I441" s="29" t="n"/>
      <c r="J441" s="29" t="inlineStr">
        <is>
          <t>Open</t>
        </is>
      </c>
    </row>
    <row r="442">
      <c r="A442" s="29" t="inlineStr">
        <is>
          <t>AP-0004899</t>
        </is>
      </c>
      <c r="B442" s="29" t="inlineStr">
        <is>
          <t>V-2509</t>
        </is>
      </c>
      <c r="C442" s="29" t="inlineStr">
        <is>
          <t>ARM-2501</t>
        </is>
      </c>
      <c r="D442" s="29" t="inlineStr">
        <is>
          <t>2026-06-13</t>
        </is>
      </c>
      <c r="E442" s="29" t="inlineStr">
        <is>
          <t>2026-07-28</t>
        </is>
      </c>
      <c r="F442" s="29" t="n">
        <v>6925.53</v>
      </c>
      <c r="G442" s="29" t="n">
        <v>0</v>
      </c>
      <c r="H442" s="29" t="n"/>
      <c r="I442" s="29" t="n"/>
      <c r="J442" s="29" t="inlineStr">
        <is>
          <t>Open</t>
        </is>
      </c>
    </row>
    <row r="443">
      <c r="A443" s="29" t="inlineStr">
        <is>
          <t>AP-0005440</t>
        </is>
      </c>
      <c r="B443" s="29" t="inlineStr">
        <is>
          <t>V-2329</t>
        </is>
      </c>
      <c r="C443" s="29" t="inlineStr">
        <is>
          <t>ARM-2514</t>
        </is>
      </c>
      <c r="D443" s="29" t="inlineStr">
        <is>
          <t>2026-06-13</t>
        </is>
      </c>
      <c r="E443" s="29" t="inlineStr">
        <is>
          <t>2026-07-28</t>
        </is>
      </c>
      <c r="F443" s="29" t="n">
        <v>15317.41</v>
      </c>
      <c r="G443" s="29" t="n">
        <v>0</v>
      </c>
      <c r="H443" s="29" t="n"/>
      <c r="I443" s="29" t="n"/>
      <c r="J443" s="29" t="inlineStr">
        <is>
          <t>Open</t>
        </is>
      </c>
    </row>
    <row r="444">
      <c r="A444" s="29" t="inlineStr">
        <is>
          <t>AP-0011893</t>
        </is>
      </c>
      <c r="B444" s="29" t="inlineStr">
        <is>
          <t>V-2204</t>
        </is>
      </c>
      <c r="C444" s="29" t="n"/>
      <c r="D444" s="29" t="inlineStr">
        <is>
          <t>2026-06-14</t>
        </is>
      </c>
      <c r="E444" s="29" t="inlineStr">
        <is>
          <t>2026-07-29</t>
        </is>
      </c>
      <c r="F444" s="29" t="n">
        <v>13512.91</v>
      </c>
      <c r="G444" s="29" t="n">
        <v>0</v>
      </c>
      <c r="H444" s="29" t="n"/>
      <c r="I444" s="29" t="n"/>
      <c r="J444" s="29" t="inlineStr">
        <is>
          <t>Open</t>
        </is>
      </c>
    </row>
    <row r="445">
      <c r="A445" s="29" t="inlineStr">
        <is>
          <t>AP-0011888</t>
        </is>
      </c>
      <c r="B445" s="29" t="inlineStr">
        <is>
          <t>V-2259</t>
        </is>
      </c>
      <c r="C445" s="29" t="n"/>
      <c r="D445" s="29" t="inlineStr">
        <is>
          <t>2026-06-16</t>
        </is>
      </c>
      <c r="E445" s="29" t="inlineStr">
        <is>
          <t>2026-07-31</t>
        </is>
      </c>
      <c r="F445" s="29" t="n">
        <v>26778.55</v>
      </c>
      <c r="G445" s="29" t="n">
        <v>0</v>
      </c>
      <c r="H445" s="29" t="n"/>
      <c r="I445" s="29" t="n"/>
      <c r="J445" s="29" t="inlineStr">
        <is>
          <t>Open</t>
        </is>
      </c>
    </row>
    <row r="446">
      <c r="A446" s="29" t="inlineStr">
        <is>
          <t>AP-0005092</t>
        </is>
      </c>
      <c r="B446" s="29" t="inlineStr">
        <is>
          <t>V-2484</t>
        </is>
      </c>
      <c r="C446" s="29" t="inlineStr">
        <is>
          <t>ARM-2506</t>
        </is>
      </c>
      <c r="D446" s="29" t="inlineStr">
        <is>
          <t>2026-06-17</t>
        </is>
      </c>
      <c r="E446" s="29" t="inlineStr">
        <is>
          <t>2026-08-01</t>
        </is>
      </c>
      <c r="F446" s="29" t="n">
        <v>7987.51</v>
      </c>
      <c r="G446" s="29" t="n">
        <v>0</v>
      </c>
      <c r="H446" s="29" t="n"/>
      <c r="I446" s="29" t="n"/>
      <c r="J446" s="29" t="inlineStr">
        <is>
          <t>Open</t>
        </is>
      </c>
    </row>
    <row r="447">
      <c r="A447" s="29" t="inlineStr">
        <is>
          <t>AP-0005104</t>
        </is>
      </c>
      <c r="B447" s="29" t="inlineStr">
        <is>
          <t>V-2294</t>
        </is>
      </c>
      <c r="C447" s="29" t="inlineStr">
        <is>
          <t>ARM-2506</t>
        </is>
      </c>
      <c r="D447" s="29" t="inlineStr">
        <is>
          <t>2026-06-17</t>
        </is>
      </c>
      <c r="E447" s="29" t="inlineStr">
        <is>
          <t>2026-08-01</t>
        </is>
      </c>
      <c r="F447" s="29" t="n">
        <v>18010.37</v>
      </c>
      <c r="G447" s="29" t="n">
        <v>0</v>
      </c>
      <c r="H447" s="29" t="n"/>
      <c r="I447" s="29" t="n"/>
      <c r="J447" s="29" t="inlineStr">
        <is>
          <t>Open</t>
        </is>
      </c>
    </row>
    <row r="448">
      <c r="A448" s="29" t="inlineStr">
        <is>
          <t>AP-0005646</t>
        </is>
      </c>
      <c r="B448" s="29" t="inlineStr">
        <is>
          <t>V-2434</t>
        </is>
      </c>
      <c r="C448" s="29" t="inlineStr">
        <is>
          <t>ARM-2526</t>
        </is>
      </c>
      <c r="D448" s="29" t="inlineStr">
        <is>
          <t>2026-06-17</t>
        </is>
      </c>
      <c r="E448" s="29" t="inlineStr">
        <is>
          <t>2026-08-01</t>
        </is>
      </c>
      <c r="F448" s="29" t="n">
        <v>6667.17</v>
      </c>
      <c r="G448" s="29" t="n">
        <v>0</v>
      </c>
      <c r="H448" s="29" t="n"/>
      <c r="I448" s="29" t="n"/>
      <c r="J448" s="29" t="inlineStr">
        <is>
          <t>Open</t>
        </is>
      </c>
    </row>
    <row r="449">
      <c r="A449" s="29" t="inlineStr">
        <is>
          <t>AP-0004704</t>
        </is>
      </c>
      <c r="B449" s="29" t="inlineStr">
        <is>
          <t>V-2514</t>
        </is>
      </c>
      <c r="C449" s="29" t="inlineStr">
        <is>
          <t>ARM-2417</t>
        </is>
      </c>
      <c r="D449" s="29" t="inlineStr">
        <is>
          <t>2026-06-18</t>
        </is>
      </c>
      <c r="E449" s="29" t="inlineStr">
        <is>
          <t>2026-08-02</t>
        </is>
      </c>
      <c r="F449" s="29" t="n">
        <v>25209.09</v>
      </c>
      <c r="G449" s="29" t="n">
        <v>0</v>
      </c>
      <c r="H449" s="29" t="n"/>
      <c r="I449" s="29" t="n"/>
      <c r="J449" s="29" t="inlineStr">
        <is>
          <t>Open</t>
        </is>
      </c>
    </row>
    <row r="450">
      <c r="A450" s="29" t="inlineStr">
        <is>
          <t>AP-0005099</t>
        </is>
      </c>
      <c r="B450" s="29" t="inlineStr">
        <is>
          <t>V-2234</t>
        </is>
      </c>
      <c r="C450" s="29" t="inlineStr">
        <is>
          <t>ARM-2506</t>
        </is>
      </c>
      <c r="D450" s="29" t="inlineStr">
        <is>
          <t>2026-06-18</t>
        </is>
      </c>
      <c r="E450" s="29" t="inlineStr">
        <is>
          <t>2026-08-02</t>
        </is>
      </c>
      <c r="F450" s="29" t="n">
        <v>12560.43</v>
      </c>
      <c r="G450" s="29" t="n">
        <v>0</v>
      </c>
      <c r="H450" s="29" t="n"/>
      <c r="I450" s="29" t="n"/>
      <c r="J450" s="29" t="inlineStr">
        <is>
          <t>Open</t>
        </is>
      </c>
    </row>
    <row r="451">
      <c r="A451" s="29" t="inlineStr">
        <is>
          <t>AP-0005427</t>
        </is>
      </c>
      <c r="B451" s="29" t="inlineStr">
        <is>
          <t>V-2484</t>
        </is>
      </c>
      <c r="C451" s="29" t="inlineStr">
        <is>
          <t>ARM-2514</t>
        </is>
      </c>
      <c r="D451" s="29" t="inlineStr">
        <is>
          <t>2026-06-18</t>
        </is>
      </c>
      <c r="E451" s="29" t="inlineStr">
        <is>
          <t>2026-08-02</t>
        </is>
      </c>
      <c r="F451" s="29" t="n">
        <v>15420.16</v>
      </c>
      <c r="G451" s="29" t="n">
        <v>0</v>
      </c>
      <c r="H451" s="29" t="n"/>
      <c r="I451" s="29" t="n"/>
      <c r="J451" s="29" t="inlineStr">
        <is>
          <t>Open</t>
        </is>
      </c>
    </row>
    <row r="452">
      <c r="A452" s="29" t="inlineStr">
        <is>
          <t>AP-0005441</t>
        </is>
      </c>
      <c r="B452" s="29" t="inlineStr">
        <is>
          <t>V-2319</t>
        </is>
      </c>
      <c r="C452" s="29" t="inlineStr">
        <is>
          <t>ARM-2514</t>
        </is>
      </c>
      <c r="D452" s="29" t="inlineStr">
        <is>
          <t>2026-06-18</t>
        </is>
      </c>
      <c r="E452" s="29" t="inlineStr">
        <is>
          <t>2026-08-02</t>
        </is>
      </c>
      <c r="F452" s="29" t="n">
        <v>29041.43</v>
      </c>
      <c r="G452" s="29" t="n">
        <v>0</v>
      </c>
      <c r="H452" s="29" t="n"/>
      <c r="I452" s="29" t="n"/>
      <c r="J452" s="29" t="inlineStr">
        <is>
          <t>Open</t>
        </is>
      </c>
    </row>
    <row r="453">
      <c r="A453" s="29" t="inlineStr">
        <is>
          <t>AP-0005434</t>
        </is>
      </c>
      <c r="B453" s="29" t="inlineStr">
        <is>
          <t>V-2234</t>
        </is>
      </c>
      <c r="C453" s="29" t="inlineStr">
        <is>
          <t>ARM-2514</t>
        </is>
      </c>
      <c r="D453" s="29" t="inlineStr">
        <is>
          <t>2026-06-19</t>
        </is>
      </c>
      <c r="E453" s="29" t="inlineStr">
        <is>
          <t>2026-08-03</t>
        </is>
      </c>
      <c r="F453" s="29" t="n">
        <v>11820.5</v>
      </c>
      <c r="G453" s="29" t="n">
        <v>0</v>
      </c>
      <c r="H453" s="29" t="n"/>
      <c r="I453" s="29" t="n"/>
      <c r="J453" s="29" t="inlineStr">
        <is>
          <t>Open</t>
        </is>
      </c>
    </row>
    <row r="454">
      <c r="A454" s="29" t="inlineStr">
        <is>
          <t>AP-0005509</t>
        </is>
      </c>
      <c r="B454" s="29" t="inlineStr">
        <is>
          <t>V-2464</t>
        </is>
      </c>
      <c r="C454" s="29" t="inlineStr">
        <is>
          <t>ARM-2518</t>
        </is>
      </c>
      <c r="D454" s="29" t="inlineStr">
        <is>
          <t>2026-06-19</t>
        </is>
      </c>
      <c r="E454" s="29" t="inlineStr">
        <is>
          <t>2026-08-03</t>
        </is>
      </c>
      <c r="F454" s="29" t="n">
        <v>8974.43</v>
      </c>
      <c r="G454" s="29" t="n">
        <v>0</v>
      </c>
      <c r="H454" s="29" t="n"/>
      <c r="I454" s="29" t="n"/>
      <c r="J454" s="29" t="inlineStr">
        <is>
          <t>Open</t>
        </is>
      </c>
    </row>
    <row r="455">
      <c r="A455" s="29" t="inlineStr">
        <is>
          <t>AP-0005514</t>
        </is>
      </c>
      <c r="B455" s="29" t="inlineStr">
        <is>
          <t>V-2524</t>
        </is>
      </c>
      <c r="C455" s="29" t="inlineStr">
        <is>
          <t>ARM-2518</t>
        </is>
      </c>
      <c r="D455" s="29" t="inlineStr">
        <is>
          <t>2026-06-19</t>
        </is>
      </c>
      <c r="E455" s="29" t="inlineStr">
        <is>
          <t>2026-08-03</t>
        </is>
      </c>
      <c r="F455" s="29" t="n">
        <v>28150.61</v>
      </c>
      <c r="G455" s="29" t="n">
        <v>0</v>
      </c>
      <c r="H455" s="29" t="n"/>
      <c r="I455" s="29" t="n"/>
      <c r="J455" s="29" t="inlineStr">
        <is>
          <t>Open</t>
        </is>
      </c>
    </row>
    <row r="456">
      <c r="A456" s="29" t="inlineStr">
        <is>
          <t>AP-0005745</t>
        </is>
      </c>
      <c r="B456" s="29" t="inlineStr">
        <is>
          <t>V-2274</t>
        </is>
      </c>
      <c r="C456" s="29" t="inlineStr">
        <is>
          <t>ARM-2608</t>
        </is>
      </c>
      <c r="D456" s="29" t="inlineStr">
        <is>
          <t>2026-06-19</t>
        </is>
      </c>
      <c r="E456" s="29" t="inlineStr">
        <is>
          <t>2026-08-03</t>
        </is>
      </c>
      <c r="F456" s="29" t="n">
        <v>12580.37</v>
      </c>
      <c r="G456" s="29" t="n">
        <v>0</v>
      </c>
      <c r="H456" s="29" t="n"/>
      <c r="I456" s="29" t="n"/>
      <c r="J456" s="29" t="inlineStr">
        <is>
          <t>Open</t>
        </is>
      </c>
    </row>
    <row r="457">
      <c r="A457" s="29" t="inlineStr">
        <is>
          <t>AP-0004287</t>
        </is>
      </c>
      <c r="B457" s="29" t="inlineStr">
        <is>
          <t>V-2534</t>
        </is>
      </c>
      <c r="C457" s="29" t="inlineStr">
        <is>
          <t>ARM-2409</t>
        </is>
      </c>
      <c r="D457" s="29" t="inlineStr">
        <is>
          <t>2026-06-20</t>
        </is>
      </c>
      <c r="E457" s="29" t="inlineStr">
        <is>
          <t>2026-08-04</t>
        </is>
      </c>
      <c r="F457" s="29" t="n">
        <v>13003.31</v>
      </c>
      <c r="G457" s="29" t="n">
        <v>0</v>
      </c>
      <c r="H457" s="29" t="n"/>
      <c r="I457" s="29" t="n"/>
      <c r="J457" s="29" t="inlineStr">
        <is>
          <t>Open</t>
        </is>
      </c>
    </row>
    <row r="458">
      <c r="A458" s="29" t="inlineStr">
        <is>
          <t>AP-0004893</t>
        </is>
      </c>
      <c r="B458" s="29" t="inlineStr">
        <is>
          <t>V-2439</t>
        </is>
      </c>
      <c r="C458" s="29" t="inlineStr">
        <is>
          <t>ARM-2501</t>
        </is>
      </c>
      <c r="D458" s="29" t="inlineStr">
        <is>
          <t>2026-06-20</t>
        </is>
      </c>
      <c r="E458" s="29" t="inlineStr">
        <is>
          <t>2026-08-04</t>
        </is>
      </c>
      <c r="F458" s="29" t="n">
        <v>14068.16</v>
      </c>
      <c r="G458" s="29" t="n">
        <v>0</v>
      </c>
      <c r="H458" s="29" t="n"/>
      <c r="I458" s="29" t="n"/>
      <c r="J458" s="29" t="inlineStr">
        <is>
          <t>Open</t>
        </is>
      </c>
    </row>
    <row r="459">
      <c r="A459" s="29" t="inlineStr">
        <is>
          <t>AP-0004445</t>
        </is>
      </c>
      <c r="B459" s="29" t="inlineStr">
        <is>
          <t>V-2424</t>
        </is>
      </c>
      <c r="C459" s="29" t="inlineStr">
        <is>
          <t>ARM-2412</t>
        </is>
      </c>
      <c r="D459" s="29" t="inlineStr">
        <is>
          <t>2026-06-21</t>
        </is>
      </c>
      <c r="E459" s="29" t="inlineStr">
        <is>
          <t>2026-08-05</t>
        </is>
      </c>
      <c r="F459" s="29" t="n">
        <v>16647.15</v>
      </c>
      <c r="G459" s="29" t="n">
        <v>0</v>
      </c>
      <c r="H459" s="29" t="n"/>
      <c r="I459" s="29" t="n"/>
      <c r="J459" s="29" t="inlineStr">
        <is>
          <t>Open</t>
        </is>
      </c>
    </row>
    <row r="460">
      <c r="A460" s="29" t="inlineStr">
        <is>
          <t>AP-0005242</t>
        </is>
      </c>
      <c r="B460" s="29" t="inlineStr">
        <is>
          <t>V-2279</t>
        </is>
      </c>
      <c r="C460" s="29" t="inlineStr">
        <is>
          <t>ARM-2510</t>
        </is>
      </c>
      <c r="D460" s="29" t="inlineStr">
        <is>
          <t>2026-06-21</t>
        </is>
      </c>
      <c r="E460" s="29" t="inlineStr">
        <is>
          <t>2026-08-05</t>
        </is>
      </c>
      <c r="F460" s="29" t="n">
        <v>14113.11</v>
      </c>
      <c r="G460" s="29" t="n">
        <v>0</v>
      </c>
      <c r="H460" s="29" t="n"/>
      <c r="I460" s="29" t="n"/>
      <c r="J460" s="29" t="inlineStr">
        <is>
          <t>Open</t>
        </is>
      </c>
    </row>
    <row r="461">
      <c r="A461" s="29" t="inlineStr">
        <is>
          <t>AP-0009908</t>
        </is>
      </c>
      <c r="B461" s="29" t="inlineStr">
        <is>
          <t>V-2214</t>
        </is>
      </c>
      <c r="C461" s="29" t="n"/>
      <c r="D461" s="29" t="inlineStr">
        <is>
          <t>2026-06-21</t>
        </is>
      </c>
      <c r="E461" s="29" t="inlineStr">
        <is>
          <t>2026-08-05</t>
        </is>
      </c>
      <c r="F461" s="29" t="n">
        <v>7457.37</v>
      </c>
      <c r="G461" s="29" t="n">
        <v>0</v>
      </c>
      <c r="H461" s="29" t="n"/>
      <c r="I461" s="29" t="n"/>
      <c r="J461" s="29" t="inlineStr">
        <is>
          <t>Open</t>
        </is>
      </c>
    </row>
    <row r="462">
      <c r="A462" s="29" t="inlineStr">
        <is>
          <t>AP-0009929</t>
        </is>
      </c>
      <c r="B462" s="29" t="inlineStr">
        <is>
          <t>V-2214</t>
        </is>
      </c>
      <c r="C462" s="29" t="n"/>
      <c r="D462" s="29" t="inlineStr">
        <is>
          <t>2026-06-21</t>
        </is>
      </c>
      <c r="E462" s="29" t="inlineStr">
        <is>
          <t>2026-08-05</t>
        </is>
      </c>
      <c r="F462" s="29" t="n">
        <v>3594.44</v>
      </c>
      <c r="G462" s="29" t="n">
        <v>0</v>
      </c>
      <c r="H462" s="29" t="n"/>
      <c r="I462" s="29" t="n"/>
      <c r="J462" s="29" t="inlineStr">
        <is>
          <t>Open</t>
        </is>
      </c>
    </row>
    <row r="463">
      <c r="A463" s="29" t="inlineStr">
        <is>
          <t>AP-0005247</t>
        </is>
      </c>
      <c r="B463" s="29" t="inlineStr">
        <is>
          <t>V-2334</t>
        </is>
      </c>
      <c r="C463" s="29" t="inlineStr">
        <is>
          <t>ARM-2510</t>
        </is>
      </c>
      <c r="D463" s="29" t="inlineStr">
        <is>
          <t>2026-06-24</t>
        </is>
      </c>
      <c r="E463" s="29" t="inlineStr">
        <is>
          <t>2026-08-08</t>
        </is>
      </c>
      <c r="F463" s="29" t="n">
        <v>21531.94</v>
      </c>
      <c r="G463" s="29" t="n">
        <v>0</v>
      </c>
      <c r="H463" s="29" t="n"/>
      <c r="I463" s="29" t="n"/>
      <c r="J463" s="29" t="inlineStr">
        <is>
          <t>Open</t>
        </is>
      </c>
    </row>
    <row r="464">
      <c r="A464" s="29" t="inlineStr">
        <is>
          <t>AP-0005640</t>
        </is>
      </c>
      <c r="B464" s="29" t="inlineStr">
        <is>
          <t>V-2364</t>
        </is>
      </c>
      <c r="C464" s="29" t="inlineStr">
        <is>
          <t>ARM-2526</t>
        </is>
      </c>
      <c r="D464" s="29" t="inlineStr">
        <is>
          <t>2026-06-24</t>
        </is>
      </c>
      <c r="E464" s="29" t="inlineStr">
        <is>
          <t>2026-08-08</t>
        </is>
      </c>
      <c r="F464" s="29" t="n">
        <v>9011.68</v>
      </c>
      <c r="G464" s="29" t="n">
        <v>0</v>
      </c>
      <c r="H464" s="29" t="n"/>
      <c r="I464" s="29" t="n"/>
      <c r="J464" s="29" t="inlineStr">
        <is>
          <t>Open</t>
        </is>
      </c>
    </row>
    <row r="465">
      <c r="A465" s="29" t="inlineStr">
        <is>
          <t>AP-0005246</t>
        </is>
      </c>
      <c r="B465" s="29" t="inlineStr">
        <is>
          <t>V-2334</t>
        </is>
      </c>
      <c r="C465" s="29" t="inlineStr">
        <is>
          <t>ARM-2510</t>
        </is>
      </c>
      <c r="D465" s="29" t="inlineStr">
        <is>
          <t>2026-06-25</t>
        </is>
      </c>
      <c r="E465" s="29" t="inlineStr">
        <is>
          <t>2026-08-09</t>
        </is>
      </c>
      <c r="F465" s="29" t="n">
        <v>16256.52</v>
      </c>
      <c r="G465" s="29" t="n">
        <v>0</v>
      </c>
      <c r="H465" s="29" t="n"/>
      <c r="I465" s="29" t="n"/>
      <c r="J465" s="29" t="inlineStr">
        <is>
          <t>Open</t>
        </is>
      </c>
    </row>
    <row r="466">
      <c r="A466" s="30" t="inlineStr">
        <is>
          <t>AP-0005682</t>
        </is>
      </c>
      <c r="B466" s="30" t="inlineStr">
        <is>
          <t>V-2524</t>
        </is>
      </c>
      <c r="C466" s="30" t="inlineStr">
        <is>
          <t>ARM-2602</t>
        </is>
      </c>
      <c r="D466" s="30" t="inlineStr">
        <is>
          <t>2026-06-25</t>
        </is>
      </c>
      <c r="E466" s="30" t="inlineStr">
        <is>
          <t>2026-08-09</t>
        </is>
      </c>
      <c r="F466" s="30" t="n">
        <v>7105.86</v>
      </c>
      <c r="G466" s="30" t="n">
        <v>0</v>
      </c>
      <c r="H466" s="30" t="n"/>
      <c r="I466" s="30" t="n"/>
      <c r="J466" s="30" t="inlineStr">
        <is>
          <t>Open</t>
        </is>
      </c>
    </row>
  </sheetData>
  <mergeCells count="1">
    <mergeCell ref="A1:J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 outlineLevelRow="0"/>
  <cols>
    <col width="42" customWidth="1" min="1" max="1"/>
    <col width="17" customWidth="1" min="2" max="2"/>
    <col width="19" customWidth="1" min="3" max="3"/>
    <col width="17" customWidth="1" min="4" max="5"/>
    <col width="14" customWidth="1" min="6" max="6"/>
    <col width="11" customWidth="1" min="7" max="7"/>
    <col width="48" customWidth="1" min="8" max="8"/>
  </cols>
  <sheetData>
    <row r="1">
      <c r="A1" s="27" t="inlineStr">
        <is>
          <t>Pulled from Friday bank rec. Outstanding ACH list is incomplete after line 9; ledger cash must be refreshed at 6/30.</t>
        </is>
      </c>
    </row>
    <row r="2"/>
    <row r="3">
      <c r="A3" s="28" t="inlineStr">
        <is>
          <t>Account</t>
        </is>
      </c>
      <c r="B3" s="28" t="inlineStr">
        <is>
          <t>Bank balance</t>
        </is>
      </c>
      <c r="C3" s="28" t="inlineStr">
        <is>
          <t>Outstanding checks</t>
        </is>
      </c>
      <c r="D3" s="28" t="inlineStr">
        <is>
          <t>ACH in transit</t>
        </is>
      </c>
      <c r="E3" s="28" t="inlineStr">
        <is>
          <t>Book balance</t>
        </is>
      </c>
      <c r="F3" s="28" t="inlineStr">
        <is>
          <t>Stmt date</t>
        </is>
      </c>
      <c r="G3" s="28" t="inlineStr">
        <is>
          <t>initials</t>
        </is>
      </c>
      <c r="H3" s="28" t="inlineStr">
        <is>
          <t>note</t>
        </is>
      </c>
    </row>
    <row r="4">
      <c r="A4" s="29" t="inlineStr">
        <is>
          <t>Operating Cash - U.S. Bank 4431</t>
        </is>
      </c>
      <c r="B4" s="31" t="n">
        <v>2615519.76</v>
      </c>
      <c r="C4" s="31" t="n">
        <v>95400</v>
      </c>
      <c r="D4" s="31" t="n">
        <v>33000</v>
      </c>
      <c r="E4" s="31">
        <f>B4-C4-D4</f>
        <v/>
      </c>
      <c r="F4" s="29" t="inlineStr">
        <is>
          <t>2026-06-26</t>
        </is>
      </c>
      <c r="G4" s="29" t="inlineStr">
        <is>
          <t>OL</t>
        </is>
      </c>
      <c r="H4" s="29" t="inlineStr">
        <is>
          <t>June 29-30 activity not included</t>
        </is>
      </c>
    </row>
    <row r="5">
      <c r="A5" s="29" t="inlineStr">
        <is>
          <t>Payroll Cash - U.S. Bank 7718</t>
        </is>
      </c>
      <c r="B5" s="31" t="n">
        <v>0</v>
      </c>
      <c r="C5" s="31" t="n">
        <v>0</v>
      </c>
      <c r="D5" s="31" t="n">
        <v>0</v>
      </c>
      <c r="E5" s="31">
        <f>B5-C5-D5</f>
        <v/>
      </c>
      <c r="F5" s="29" t="inlineStr">
        <is>
          <t>2026-06-26</t>
        </is>
      </c>
      <c r="G5" s="29" t="inlineStr">
        <is>
          <t>MP</t>
        </is>
      </c>
      <c r="H5" s="29" t="inlineStr">
        <is>
          <t>no reconciling items</t>
        </is>
      </c>
    </row>
    <row r="6">
      <c r="A6" s="29" t="inlineStr">
        <is>
          <t>Money Market - Columbia State 1059</t>
        </is>
      </c>
      <c r="B6" s="31" t="n">
        <v>1250000</v>
      </c>
      <c r="C6" s="31" t="n">
        <v>0</v>
      </c>
      <c r="D6" s="31" t="n">
        <v>0</v>
      </c>
      <c r="E6" s="31">
        <f>B6-C6-D6</f>
        <v/>
      </c>
      <c r="F6" s="29" t="inlineStr">
        <is>
          <t>2026-06-26</t>
        </is>
      </c>
      <c r="G6" s="29" t="inlineStr">
        <is>
          <t>NB</t>
        </is>
      </c>
      <c r="H6" s="29" t="inlineStr">
        <is>
          <t>no reconciling items</t>
        </is>
      </c>
    </row>
    <row r="7">
      <c r="A7" s="30" t="inlineStr">
        <is>
          <t>Petty Cash and Field Advances</t>
        </is>
      </c>
      <c r="B7" s="30" t="n"/>
      <c r="C7" s="30" t="n"/>
      <c r="D7" s="30" t="n"/>
      <c r="E7" s="30" t="n"/>
      <c r="F7" s="30" t="inlineStr">
        <is>
          <t>2026-06-26</t>
        </is>
      </c>
      <c r="G7" s="30" t="n"/>
      <c r="H7" s="30" t="inlineStr">
        <is>
          <t>no reconciling items</t>
        </is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 outlineLevelRow="0"/>
  <cols>
    <col width="10" customWidth="1" min="1" max="1"/>
    <col width="15" customWidth="1" min="2" max="2"/>
    <col width="14" customWidth="1" min="3" max="3"/>
    <col width="12" customWidth="1" min="4" max="4"/>
    <col width="14" customWidth="1" min="5" max="5"/>
    <col width="19" customWidth="1" min="6" max="7"/>
    <col width="48" customWidth="1" min="8" max="8"/>
  </cols>
  <sheetData>
    <row r="1">
      <c r="A1" s="27" t="inlineStr">
        <is>
          <t>Helper tab built by MB. Date bands were copied from v8; several override reasons are blank even when a date was manually changed.</t>
        </is>
      </c>
    </row>
    <row r="2"/>
    <row r="3">
      <c r="A3" s="28" t="inlineStr">
        <is>
          <t>week #</t>
        </is>
      </c>
      <c r="B3" s="28" t="inlineStr">
        <is>
          <t>week ending</t>
        </is>
      </c>
      <c r="C3" s="28" t="inlineStr">
        <is>
          <t>prior label</t>
        </is>
      </c>
      <c r="D3" s="28" t="inlineStr">
        <is>
          <t>payroll?</t>
        </is>
      </c>
      <c r="E3" s="28" t="inlineStr">
        <is>
          <t>occupancy?</t>
        </is>
      </c>
      <c r="F3" s="28" t="inlineStr">
        <is>
          <t>manual inflow adj</t>
        </is>
      </c>
      <c r="G3" s="28" t="inlineStr">
        <is>
          <t>manual outflow adj</t>
        </is>
      </c>
      <c r="H3" s="28" t="inlineStr">
        <is>
          <t>reason typed</t>
        </is>
      </c>
    </row>
    <row r="4">
      <c r="A4" s="29" t="n">
        <v>1</v>
      </c>
      <c r="B4" s="29" t="inlineStr">
        <is>
          <t>2026-07-03</t>
        </is>
      </c>
      <c r="C4" s="29" t="inlineStr">
        <is>
          <t>wk 1</t>
        </is>
      </c>
      <c r="D4" s="29" t="inlineStr">
        <is>
          <t>Y</t>
        </is>
      </c>
      <c r="E4" s="29" t="inlineStr">
        <is>
          <t>Y</t>
        </is>
      </c>
      <c r="F4" s="29" t="n">
        <v>0</v>
      </c>
      <c r="G4" s="29" t="n">
        <v>0</v>
      </c>
      <c r="H4" s="29" t="n"/>
    </row>
    <row r="5">
      <c r="A5" s="29" t="n">
        <v>2</v>
      </c>
      <c r="B5" s="29" t="inlineStr">
        <is>
          <t>2026-07-10</t>
        </is>
      </c>
      <c r="C5" s="29" t="inlineStr">
        <is>
          <t>wk 2</t>
        </is>
      </c>
      <c r="D5" s="29" t="n"/>
      <c r="E5" s="29" t="n"/>
      <c r="F5" s="29" t="n">
        <v>0</v>
      </c>
      <c r="G5" s="29" t="n">
        <v>0</v>
      </c>
      <c r="H5" s="29" t="n"/>
    </row>
    <row r="6">
      <c r="A6" s="29" t="n">
        <v>3</v>
      </c>
      <c r="B6" s="29" t="inlineStr">
        <is>
          <t>2026-07-17</t>
        </is>
      </c>
      <c r="C6" s="29" t="inlineStr">
        <is>
          <t>wk 3</t>
        </is>
      </c>
      <c r="D6" s="29" t="inlineStr">
        <is>
          <t>Y</t>
        </is>
      </c>
      <c r="E6" s="29" t="n"/>
      <c r="F6" s="29" t="n">
        <v>0</v>
      </c>
      <c r="G6" s="29" t="n">
        <v>0</v>
      </c>
      <c r="H6" s="29" t="n"/>
    </row>
    <row r="7">
      <c r="A7" s="29" t="n">
        <v>4</v>
      </c>
      <c r="B7" s="29" t="inlineStr">
        <is>
          <t>2026-07-24</t>
        </is>
      </c>
      <c r="C7" s="29" t="inlineStr">
        <is>
          <t>wk 4</t>
        </is>
      </c>
      <c r="D7" s="29" t="n"/>
      <c r="E7" s="29" t="n"/>
      <c r="F7" s="29" t="n">
        <v>0</v>
      </c>
      <c r="G7" s="29" t="n">
        <v>0</v>
      </c>
      <c r="H7" s="29" t="n"/>
    </row>
    <row r="8">
      <c r="A8" s="29" t="n">
        <v>5</v>
      </c>
      <c r="B8" s="29" t="inlineStr">
        <is>
          <t>2026-07-31</t>
        </is>
      </c>
      <c r="C8" s="29" t="inlineStr">
        <is>
          <t>wk 5</t>
        </is>
      </c>
      <c r="D8" s="29" t="inlineStr">
        <is>
          <t>Y</t>
        </is>
      </c>
      <c r="E8" s="29" t="inlineStr">
        <is>
          <t>Y</t>
        </is>
      </c>
      <c r="F8" s="29" t="n">
        <v>125000</v>
      </c>
      <c r="G8" s="29" t="n">
        <v>0</v>
      </c>
      <c r="H8" s="29" t="inlineStr">
        <is>
          <t>possible timing shift--not approved</t>
        </is>
      </c>
    </row>
    <row r="9">
      <c r="A9" s="29" t="n">
        <v>6</v>
      </c>
      <c r="B9" s="29" t="inlineStr">
        <is>
          <t>2026-08-07</t>
        </is>
      </c>
      <c r="C9" s="29" t="inlineStr">
        <is>
          <t>wk 6</t>
        </is>
      </c>
      <c r="D9" s="29" t="n"/>
      <c r="E9" s="29" t="n"/>
      <c r="F9" s="29" t="n">
        <v>0</v>
      </c>
      <c r="G9" s="29" t="n">
        <v>0</v>
      </c>
      <c r="H9" s="29" t="n"/>
    </row>
    <row r="10">
      <c r="A10" s="29" t="n">
        <v>7</v>
      </c>
      <c r="B10" s="29" t="inlineStr">
        <is>
          <t>2026-08-14</t>
        </is>
      </c>
      <c r="C10" s="29" t="inlineStr">
        <is>
          <t>wk 7</t>
        </is>
      </c>
      <c r="D10" s="29" t="inlineStr">
        <is>
          <t>Y</t>
        </is>
      </c>
      <c r="E10" s="29" t="n"/>
      <c r="F10" s="29" t="n">
        <v>0</v>
      </c>
      <c r="G10" s="29" t="n">
        <v>0</v>
      </c>
      <c r="H10" s="29" t="n"/>
    </row>
    <row r="11">
      <c r="A11" s="29" t="n">
        <v>8</v>
      </c>
      <c r="B11" s="29" t="inlineStr">
        <is>
          <t>2026-08-21</t>
        </is>
      </c>
      <c r="C11" s="29" t="inlineStr">
        <is>
          <t>wk 8</t>
        </is>
      </c>
      <c r="D11" s="29" t="n"/>
      <c r="E11" s="29" t="n"/>
      <c r="F11" s="29" t="n">
        <v>0</v>
      </c>
      <c r="G11" s="29" t="n">
        <v>85000</v>
      </c>
      <c r="H11" s="29" t="n"/>
    </row>
    <row r="12">
      <c r="A12" s="29" t="n">
        <v>9</v>
      </c>
      <c r="B12" s="29" t="inlineStr">
        <is>
          <t>2026-08-28</t>
        </is>
      </c>
      <c r="C12" s="29" t="inlineStr">
        <is>
          <t>wk 9</t>
        </is>
      </c>
      <c r="D12" s="29" t="inlineStr">
        <is>
          <t>Y</t>
        </is>
      </c>
      <c r="E12" s="29" t="inlineStr">
        <is>
          <t>Y</t>
        </is>
      </c>
      <c r="F12" s="29" t="n">
        <v>0</v>
      </c>
      <c r="G12" s="29" t="n">
        <v>0</v>
      </c>
      <c r="H12" s="29" t="n"/>
    </row>
    <row r="13">
      <c r="A13" s="29" t="n">
        <v>10</v>
      </c>
      <c r="B13" s="29" t="inlineStr">
        <is>
          <t>2026-09-04</t>
        </is>
      </c>
      <c r="C13" s="29" t="inlineStr">
        <is>
          <t>wk 10</t>
        </is>
      </c>
      <c r="D13" s="29" t="n"/>
      <c r="E13" s="29" t="n"/>
      <c r="F13" s="29" t="n">
        <v>0</v>
      </c>
      <c r="G13" s="29" t="n">
        <v>0</v>
      </c>
      <c r="H13" s="29" t="n"/>
    </row>
    <row r="14">
      <c r="A14" s="29" t="n">
        <v>11</v>
      </c>
      <c r="B14" s="29" t="inlineStr">
        <is>
          <t>2026-09-11</t>
        </is>
      </c>
      <c r="C14" s="29" t="inlineStr">
        <is>
          <t>wk 11</t>
        </is>
      </c>
      <c r="D14" s="29" t="inlineStr">
        <is>
          <t>Y</t>
        </is>
      </c>
      <c r="E14" s="29" t="n"/>
      <c r="F14" s="29" t="n">
        <v>0</v>
      </c>
      <c r="G14" s="29" t="n">
        <v>0</v>
      </c>
      <c r="H14" s="29" t="n"/>
    </row>
    <row r="15">
      <c r="A15" s="29" t="n">
        <v>12</v>
      </c>
      <c r="B15" s="29" t="inlineStr">
        <is>
          <t>2026-09-18</t>
        </is>
      </c>
      <c r="C15" s="29" t="inlineStr">
        <is>
          <t>wk 12</t>
        </is>
      </c>
      <c r="D15" s="29" t="n"/>
      <c r="E15" s="29" t="n"/>
      <c r="F15" s="29" t="n">
        <v>0</v>
      </c>
      <c r="G15" s="29" t="n">
        <v>0</v>
      </c>
      <c r="H15" s="29" t="n"/>
    </row>
    <row r="16">
      <c r="A16" s="30" t="n">
        <v>13</v>
      </c>
      <c r="B16" s="30" t="inlineStr">
        <is>
          <t>2026-09-25</t>
        </is>
      </c>
      <c r="C16" s="30" t="inlineStr">
        <is>
          <t>wk 13</t>
        </is>
      </c>
      <c r="D16" s="30" t="inlineStr">
        <is>
          <t>Y</t>
        </is>
      </c>
      <c r="E16" s="30" t="inlineStr">
        <is>
          <t>Y</t>
        </is>
      </c>
      <c r="F16" s="30" t="n">
        <v>0</v>
      </c>
      <c r="G16" s="30" t="n">
        <v>0</v>
      </c>
      <c r="H16" s="30" t="n"/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0" customWidth="1" min="2" max="2"/>
    <col width="20" customWidth="1" min="3" max="3"/>
    <col width="78" customWidth="1" min="4" max="4"/>
    <col width="16" customWidth="1" min="5" max="5"/>
  </cols>
  <sheetData>
    <row r="1">
      <c r="A1" s="27" t="inlineStr">
        <is>
          <t>Notes from v7/v8. Do not delete until the summer equipment releases are complete; some comments refer to superseded dates.</t>
        </is>
      </c>
    </row>
    <row r="2"/>
    <row r="3">
      <c r="A3" s="28" t="inlineStr">
        <is>
          <t>typed</t>
        </is>
      </c>
      <c r="B3" s="28" t="inlineStr">
        <is>
          <t>by</t>
        </is>
      </c>
      <c r="C3" s="28" t="inlineStr">
        <is>
          <t>line/item</t>
        </is>
      </c>
      <c r="D3" s="28" t="inlineStr">
        <is>
          <t>note</t>
        </is>
      </c>
      <c r="E3" s="28" t="inlineStr">
        <is>
          <t>rolled?</t>
        </is>
      </c>
    </row>
    <row r="4">
      <c r="A4" s="29" t="inlineStr">
        <is>
          <t>6/12</t>
        </is>
      </c>
      <c r="B4" s="29" t="inlineStr">
        <is>
          <t>DC</t>
        </is>
      </c>
      <c r="C4" s="29" t="inlineStr">
        <is>
          <t>Trane</t>
        </is>
      </c>
      <c r="D4" s="29" t="inlineStr">
        <is>
          <t>factory release moved once already; keep separate from normal AP</t>
        </is>
      </c>
      <c r="E4" s="29" t="inlineStr">
        <is>
          <t>yes</t>
        </is>
      </c>
    </row>
    <row r="5">
      <c r="A5" s="29" t="inlineStr">
        <is>
          <t>6/19</t>
        </is>
      </c>
      <c r="B5" s="29" t="inlineStr">
        <is>
          <t>NB</t>
        </is>
      </c>
      <c r="C5" s="29" t="inlineStr">
        <is>
          <t>Columbia</t>
        </is>
      </c>
      <c r="D5" s="29" t="inlineStr">
        <is>
          <t>do not assume retainage in July</t>
        </is>
      </c>
      <c r="E5" s="29" t="inlineStr">
        <is>
          <t>yes</t>
        </is>
      </c>
    </row>
    <row r="6">
      <c r="A6" s="29" t="inlineStr">
        <is>
          <t>6/19</t>
        </is>
      </c>
      <c r="B6" s="29" t="inlineStr">
        <is>
          <t>MB</t>
        </is>
      </c>
      <c r="C6" s="29" t="inlineStr">
        <is>
          <t>opening cash</t>
        </is>
      </c>
      <c r="D6" s="29" t="inlineStr">
        <is>
          <t>money market was missing from v7</t>
        </is>
      </c>
      <c r="E6" s="29" t="inlineStr">
        <is>
          <t>fixed in v8</t>
        </is>
      </c>
    </row>
    <row r="7">
      <c r="A7" s="29" t="inlineStr">
        <is>
          <t>6/26</t>
        </is>
      </c>
      <c r="B7" s="29" t="inlineStr">
        <is>
          <t>MB</t>
        </is>
      </c>
      <c r="C7" s="29" t="inlineStr">
        <is>
          <t>payroll</t>
        </is>
      </c>
      <c r="D7" s="29" t="inlineStr">
        <is>
          <t>still using pre-July run rate; update after 7/10 payroll</t>
        </is>
      </c>
      <c r="E7" s="29" t="inlineStr">
        <is>
          <t>NO</t>
        </is>
      </c>
    </row>
    <row r="8">
      <c r="A8" s="30" t="inlineStr">
        <is>
          <t>6/26</t>
        </is>
      </c>
      <c r="B8" s="30" t="inlineStr">
        <is>
          <t>DC</t>
        </is>
      </c>
      <c r="C8" s="30" t="inlineStr">
        <is>
          <t>revolver</t>
        </is>
      </c>
      <c r="D8" s="30" t="inlineStr">
        <is>
          <t>show draw only when floor breached, not as a cushion</t>
        </is>
      </c>
      <c r="E8" s="30" t="inlineStr">
        <is>
          <t>yes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2026-07-28T10:45:26Z</dcterms:modified>
  <cp:lastModifiedBy>Unknown</cp:lastModifiedBy>
</cp:coreProperties>
</file>