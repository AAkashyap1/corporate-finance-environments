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ecuted Terms" sheetId="1" state="visible" r:id="rId1"/>
    <sheet xmlns:r="http://schemas.openxmlformats.org/officeDocument/2006/relationships" name="Q2 Headroom Working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3">
    <numFmt numFmtId="164" formatCode="0.0%;[Red](0.0%);-"/>
    <numFmt numFmtId="165" formatCode="$#,##0;[Red]($#,##0);-"/>
    <numFmt numFmtId="166" formatCode="0.00x"/>
  </numFmts>
  <fonts count="7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Arial"/>
      <b val="1"/>
      <color rgb="FFFFFFFF"/>
      <sz val="9"/>
    </font>
    <font>
      <name val="Arial"/>
      <color rgb="FF252321"/>
      <sz val="9"/>
    </font>
    <font>
      <name val="Carlito"/>
      <sz val="11"/>
    </font>
    <font>
      <name val="Arial"/>
      <color rgb="FF8B5E3C"/>
      <sz val="11"/>
    </font>
  </fonts>
  <fills count="6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  <fill>
      <patternFill patternType="solid">
        <fgColor rgb="FFE9F2F8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</borders>
  <cellStyleXfs count="1">
    <xf numFmtId="0" fontId="5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0" fontId="5" fillId="0" borderId="0" pivotButton="0" quotePrefix="0" xfId="0"/>
    <xf numFmtId="166" fontId="5" fillId="0" borderId="0" pivotButton="0" quotePrefix="0" xfId="0"/>
    <xf numFmtId="166" fontId="6" fillId="5" borderId="0" pivotButton="0" quotePrefix="0" xfId="0"/>
    <xf numFmtId="165" fontId="5" fillId="0" borderId="0" pivotButton="0" quotePrefix="0" xfId="0"/>
    <xf numFmtId="165" fontId="6" fillId="5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 outlineLevelRow="0"/>
  <cols>
    <col width="34" customWidth="1" min="1" max="1"/>
    <col width="18" customWidth="1" min="2" max="2"/>
    <col width="48" customWidth="1" min="3" max="3"/>
    <col width="54" customWidth="1" min="4" max="4"/>
    <col width="16" customWidth="1" min="5" max="5"/>
    <col width="46" customWidth="1" min="6" max="6"/>
  </cols>
  <sheetData>
    <row r="1" ht="23" customHeight="1">
      <c r="A1" s="1" t="inlineStr">
        <is>
          <t>Q2 covenant terms — executed amendment extract</t>
        </is>
      </c>
      <c r="B1" s="14" t="n"/>
      <c r="C1" s="14" t="n"/>
      <c r="D1" s="14" t="n"/>
      <c r="E1" s="14" t="n"/>
      <c r="F1" s="14" t="n"/>
    </row>
    <row r="2" ht="23" customHeight="1">
      <c r="A2" s="2" t="inlineStr">
        <is>
          <t>Working extraction only; executed PDF controls if wording differs</t>
        </is>
      </c>
    </row>
    <row r="3"/>
    <row r="4"/>
    <row r="5" ht="30" customHeight="1">
      <c r="A5" s="3" t="inlineStr">
        <is>
          <t>Test</t>
        </is>
      </c>
      <c r="B5" s="4" t="inlineStr">
        <is>
          <t>Threshold</t>
        </is>
      </c>
      <c r="C5" s="4" t="inlineStr">
        <is>
          <t>Definition shorthand</t>
        </is>
      </c>
      <c r="D5" s="4" t="inlineStr">
        <is>
          <t>Controlling source</t>
        </is>
      </c>
      <c r="E5" s="4" t="inlineStr">
        <is>
          <t>Extraction status</t>
        </is>
      </c>
      <c r="F5" s="5" t="inlineStr">
        <is>
          <t>Reviewer note</t>
        </is>
      </c>
    </row>
    <row r="6">
      <c r="A6" s="6" t="inlineStr">
        <is>
          <t>Borrowing-base advance</t>
        </is>
      </c>
      <c r="B6" s="7" t="n">
        <v>0.8</v>
      </c>
      <c r="C6" s="6" t="inlineStr">
        <is>
          <t>Eligible AR after exclusions and 25% customer cap</t>
        </is>
      </c>
      <c r="D6" s="6" t="inlineStr">
        <is>
          <t>USBank_Amdt2_9.30.25_EXECUTED scan.pdf</t>
        </is>
      </c>
      <c r="E6" s="6" t="inlineStr">
        <is>
          <t>Current</t>
        </is>
      </c>
      <c r="F6" s="6" t="inlineStr">
        <is>
          <t>Invoice-level calculation required</t>
        </is>
      </c>
    </row>
    <row r="7">
      <c r="A7" s="6" t="inlineStr">
        <is>
          <t>Customer concentration cap</t>
        </is>
      </c>
      <c r="B7" s="7" t="n">
        <v>0.25</v>
      </c>
      <c r="C7" s="6" t="inlineStr">
        <is>
          <t>25% of pre-concentration eligible AR</t>
        </is>
      </c>
      <c r="D7" s="6" t="inlineStr">
        <is>
          <t>USBank_Amdt2_9.30.25_EXECUTED scan.pdf</t>
        </is>
      </c>
      <c r="E7" s="6" t="inlineStr">
        <is>
          <t>Current</t>
        </is>
      </c>
      <c r="F7" s="6" t="inlineStr">
        <is>
          <t>Apply by customer</t>
        </is>
      </c>
    </row>
    <row r="8">
      <c r="A8" s="6" t="inlineStr">
        <is>
          <t>Funded debt / adjusted EBITDA</t>
        </is>
      </c>
      <c r="B8" s="6" t="n">
        <v>3</v>
      </c>
      <c r="C8" s="6" t="inlineStr">
        <is>
          <t>Maximum</t>
        </is>
      </c>
      <c r="D8" s="6" t="inlineStr">
        <is>
          <t>USBank_Amdt2_9.30.25_EXECUTED scan.pdf</t>
        </is>
      </c>
      <c r="E8" s="6" t="inlineStr">
        <is>
          <t>Current</t>
        </is>
      </c>
      <c r="F8" s="6" t="inlineStr">
        <is>
          <t>Test posted and pro forma</t>
        </is>
      </c>
    </row>
    <row r="9">
      <c r="A9" s="6" t="inlineStr">
        <is>
          <t>Fixed-charge coverage</t>
        </is>
      </c>
      <c r="B9" s="6" t="n">
        <v>1.2</v>
      </c>
      <c r="C9" s="6" t="inlineStr">
        <is>
          <t>Minimum</t>
        </is>
      </c>
      <c r="D9" s="6" t="inlineStr">
        <is>
          <t>USBank_Amdt2_9.30.25_EXECUTED scan.pdf</t>
        </is>
      </c>
      <c r="E9" s="6" t="inlineStr">
        <is>
          <t>Current</t>
        </is>
      </c>
      <c r="F9" s="6" t="inlineStr">
        <is>
          <t>Use cash taxes/capex/interest/principal definitions</t>
        </is>
      </c>
    </row>
    <row r="10">
      <c r="A10" s="6" t="inlineStr">
        <is>
          <t>Tangible net worth</t>
        </is>
      </c>
      <c r="B10" s="8" t="n">
        <v>2500000</v>
      </c>
      <c r="C10" s="6" t="inlineStr">
        <is>
          <t>Minimum</t>
        </is>
      </c>
      <c r="D10" s="6" t="inlineStr">
        <is>
          <t>USBank_Amdt2_9.30.25_EXECUTED scan.pdf</t>
        </is>
      </c>
      <c r="E10" s="6" t="inlineStr">
        <is>
          <t>Current</t>
        </is>
      </c>
      <c r="F10" s="6" t="inlineStr">
        <is>
          <t>No unsupported add-backs</t>
        </is>
      </c>
    </row>
    <row r="11"/>
    <row r="12">
      <c r="A12" s="9" t="inlineStr">
        <is>
          <t>Control — extracted terms</t>
        </is>
      </c>
      <c r="B12" s="9">
        <f>COUNTA(A6:A10)</f>
        <v/>
      </c>
    </row>
    <row r="13">
      <c r="A13" s="9" t="inlineStr">
        <is>
          <t>Control — Q2 metrics</t>
        </is>
      </c>
      <c r="B13" s="9">
        <f>COUNTA('Q2 Headroom Working'!A6:A8)</f>
        <v/>
      </c>
    </row>
    <row r="14">
      <c r="A14" s="9" t="inlineStr">
        <is>
          <t>Control — blank Q2 cells</t>
        </is>
      </c>
      <c r="B14" s="9">
        <f>COUNTBLANK('Q2 Headroom Working'!C6:G8)</f>
        <v/>
      </c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 outlineLevelRow="0"/>
  <cols>
    <col width="32" customWidth="1" min="1" max="1"/>
    <col width="18" customWidth="1" min="2" max="5"/>
    <col width="20" customWidth="1" min="6" max="6"/>
    <col width="22" customWidth="1" min="7" max="7"/>
    <col width="42" customWidth="1" min="8" max="8"/>
  </cols>
  <sheetData>
    <row r="1" ht="23" customHeight="1">
      <c r="A1" s="1" t="inlineStr">
        <is>
          <t>Q2 covenant headroom — working</t>
        </is>
      </c>
      <c r="B1" s="14" t="n"/>
      <c r="C1" s="14" t="n"/>
      <c r="D1" s="14" t="n"/>
      <c r="E1" s="14" t="n"/>
      <c r="F1" s="14" t="n"/>
      <c r="G1" s="14" t="n"/>
      <c r="H1" s="14" t="n"/>
    </row>
    <row r="2" ht="23" customHeight="1">
      <c r="A2" s="2" t="inlineStr">
        <is>
          <t>Blank Q2 cells must be refreshed from posted accounting data; proposed WIP stays separately labeled</t>
        </is>
      </c>
    </row>
    <row r="3"/>
    <row r="4"/>
    <row r="5" ht="30" customHeight="1">
      <c r="A5" s="3" t="inlineStr">
        <is>
          <t>Metric</t>
        </is>
      </c>
      <c r="B5" s="4" t="inlineStr">
        <is>
          <t>Q1 submitted</t>
        </is>
      </c>
      <c r="C5" s="4" t="inlineStr">
        <is>
          <t>Q2 posted</t>
        </is>
      </c>
      <c r="D5" s="4" t="inlineStr">
        <is>
          <t>Q2 pro forma</t>
        </is>
      </c>
      <c r="E5" s="4" t="inlineStr">
        <is>
          <t>Threshold</t>
        </is>
      </c>
      <c r="F5" s="4" t="inlineStr">
        <is>
          <t>Posted headroom</t>
        </is>
      </c>
      <c r="G5" s="4" t="inlineStr">
        <is>
          <t>Pro-forma headroom</t>
        </is>
      </c>
      <c r="H5" s="5" t="inlineStr">
        <is>
          <t>Status / source</t>
        </is>
      </c>
    </row>
    <row r="6">
      <c r="A6" s="9" t="inlineStr">
        <is>
          <t>Leverage</t>
        </is>
      </c>
      <c r="B6" s="10" t="n">
        <v>0.42</v>
      </c>
      <c r="C6" s="11" t="n"/>
      <c r="D6" s="11" t="n"/>
      <c r="E6" s="11" t="n">
        <v>3</v>
      </c>
      <c r="F6" s="11" t="n"/>
      <c r="G6" s="11" t="n"/>
      <c r="H6" s="9" t="inlineStr">
        <is>
          <t>Maximum</t>
        </is>
      </c>
    </row>
    <row r="7">
      <c r="A7" s="9" t="inlineStr">
        <is>
          <t>FCCR</t>
        </is>
      </c>
      <c r="B7" s="10" t="n">
        <v>3.21</v>
      </c>
      <c r="C7" s="11" t="n"/>
      <c r="D7" s="11" t="n"/>
      <c r="E7" s="11" t="n">
        <v>1.2</v>
      </c>
      <c r="F7" s="11" t="n"/>
      <c r="G7" s="11" t="n"/>
      <c r="H7" s="9" t="inlineStr">
        <is>
          <t>Minimum</t>
        </is>
      </c>
    </row>
    <row r="8">
      <c r="A8" s="9" t="inlineStr">
        <is>
          <t>Tangible net worth</t>
        </is>
      </c>
      <c r="B8" s="12" t="n">
        <v>14200000</v>
      </c>
      <c r="C8" s="13" t="n"/>
      <c r="D8" s="13" t="n"/>
      <c r="E8" s="13" t="n">
        <v>2500000</v>
      </c>
      <c r="F8" s="13" t="n"/>
      <c r="G8" s="13" t="n"/>
      <c r="H8" s="9" t="inlineStr">
        <is>
          <t>Minimum / USD</t>
        </is>
      </c>
    </row>
  </sheetData>
  <mergeCells count="2"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2026-07-28T10:45:27Z</dcterms:modified>
  <cp:lastModifiedBy>Unknown</cp:lastModifiedBy>
</cp:coreProperties>
</file>