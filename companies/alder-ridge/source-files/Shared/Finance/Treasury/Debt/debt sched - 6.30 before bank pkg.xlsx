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Debt and interest amortization schedule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Five equipment notes are shown from origination through the current/long-term quarter-end reclassification.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EQ-2018-01</t>
        </is>
      </c>
      <c r="B6" s="6" t="inlineStr">
        <is>
          <t>2026-06-30</t>
        </is>
      </c>
      <c r="C6" s="6" t="inlineStr">
        <is>
          <t>equipment note</t>
        </is>
      </c>
      <c r="D6" s="6" t="inlineStr">
        <is>
          <t>6.10% / 60 mo</t>
        </is>
      </c>
      <c r="E6" s="6" t="inlineStr">
        <is>
          <t>2018-06-01; original 600,000; monthly principal 10,000</t>
        </is>
      </c>
      <c r="F6" s="7" t="n">
        <v>0</v>
      </c>
      <c r="G6" s="7" t="n">
        <v>0</v>
      </c>
      <c r="H6" s="7">
        <f>F6+G6</f>
        <v/>
      </c>
      <c r="I6" s="6" t="inlineStr">
        <is>
          <t>current / LT split</t>
        </is>
      </c>
      <c r="J6" s="6" t="inlineStr">
        <is>
          <t>debt subledger; LT 0</t>
        </is>
      </c>
    </row>
    <row r="7">
      <c r="A7" s="6" t="inlineStr">
        <is>
          <t>EQ-2020-02</t>
        </is>
      </c>
      <c r="B7" s="6" t="inlineStr">
        <is>
          <t>2026-06-30</t>
        </is>
      </c>
      <c r="C7" s="6" t="inlineStr">
        <is>
          <t>equipment note</t>
        </is>
      </c>
      <c r="D7" s="6" t="inlineStr">
        <is>
          <t>5.20% / 60 mo</t>
        </is>
      </c>
      <c r="E7" s="6" t="inlineStr">
        <is>
          <t>2020-09-01; original 500,000; monthly principal 8,333.33</t>
        </is>
      </c>
      <c r="F7" s="7" t="n">
        <v>0</v>
      </c>
      <c r="G7" s="7" t="n">
        <v>0</v>
      </c>
      <c r="H7" s="7">
        <f>F7+G7</f>
        <v/>
      </c>
      <c r="I7" s="6" t="inlineStr">
        <is>
          <t>current / LT split</t>
        </is>
      </c>
      <c r="J7" s="6" t="inlineStr">
        <is>
          <t>debt subledger; LT 0</t>
        </is>
      </c>
    </row>
    <row r="8">
      <c r="A8" s="6" t="inlineStr">
        <is>
          <t>EQ-2022-03</t>
        </is>
      </c>
      <c r="B8" s="6" t="inlineStr">
        <is>
          <t>2026-06-30</t>
        </is>
      </c>
      <c r="C8" s="6" t="inlineStr">
        <is>
          <t>equipment note</t>
        </is>
      </c>
      <c r="D8" s="6" t="inlineStr">
        <is>
          <t>4.70% / 60 mo</t>
        </is>
      </c>
      <c r="E8" s="6" t="inlineStr">
        <is>
          <t>2022-04-01; original 850,000; monthly principal 14,166.67</t>
        </is>
      </c>
      <c r="F8" s="7" t="n">
        <v>141666.5</v>
      </c>
      <c r="G8" s="7" t="n">
        <v>-141666.5</v>
      </c>
      <c r="H8" s="7">
        <f>F8+G8</f>
        <v/>
      </c>
      <c r="I8" s="6" t="inlineStr">
        <is>
          <t>current / LT split</t>
        </is>
      </c>
      <c r="J8" s="6" t="inlineStr">
        <is>
          <t>debt subledger; LT 0</t>
        </is>
      </c>
    </row>
    <row r="9">
      <c r="A9" s="6" t="inlineStr">
        <is>
          <t>EQ-2024-04</t>
        </is>
      </c>
      <c r="B9" s="6" t="inlineStr">
        <is>
          <t>2026-06-30</t>
        </is>
      </c>
      <c r="C9" s="6" t="inlineStr">
        <is>
          <t>equipment note</t>
        </is>
      </c>
      <c r="D9" s="6" t="inlineStr">
        <is>
          <t>5.60% / 60 mo</t>
        </is>
      </c>
      <c r="E9" s="6" t="inlineStr">
        <is>
          <t>2024-02-01; original 900,000; monthly principal 15,000</t>
        </is>
      </c>
      <c r="F9" s="7" t="n">
        <v>480000</v>
      </c>
      <c r="G9" s="7" t="n">
        <v>-180000</v>
      </c>
      <c r="H9" s="7">
        <f>F9+G9</f>
        <v/>
      </c>
      <c r="I9" s="6" t="inlineStr">
        <is>
          <t>current / LT split</t>
        </is>
      </c>
      <c r="J9" s="6" t="inlineStr">
        <is>
          <t>debt subledger; LT 300,000</t>
        </is>
      </c>
    </row>
    <row r="10">
      <c r="A10" s="6" t="inlineStr">
        <is>
          <t>EQ-2025-05</t>
        </is>
      </c>
      <c r="B10" s="6" t="inlineStr">
        <is>
          <t>2026-06-30</t>
        </is>
      </c>
      <c r="C10" s="6" t="inlineStr">
        <is>
          <t>equipment note</t>
        </is>
      </c>
      <c r="D10" s="6" t="inlineStr">
        <is>
          <t>5.80% / 60 mo</t>
        </is>
      </c>
      <c r="E10" s="6" t="inlineStr">
        <is>
          <t>2025-07-01; original 600,000; monthly principal 10,000</t>
        </is>
      </c>
      <c r="F10" s="7" t="n">
        <v>490000</v>
      </c>
      <c r="G10" s="7" t="n">
        <v>-120000</v>
      </c>
      <c r="H10" s="7">
        <f>F10+G10</f>
        <v/>
      </c>
      <c r="I10" s="6" t="inlineStr">
        <is>
          <t>current / LT split</t>
        </is>
      </c>
      <c r="J10" s="6" t="inlineStr">
        <is>
          <t>debt subledger; LT 370,000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Debt and interest amortization schedule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4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equipment note</t>
        </is>
      </c>
      <c r="B6" s="8">
        <f>COUNTIF('detail - working'!C6:C10,A6)</f>
        <v/>
      </c>
      <c r="C6" s="9">
        <f>SUMIF('detail - working'!C6:C10,A6,'detail - working'!F6:F10)</f>
        <v/>
      </c>
      <c r="D6" s="9">
        <f>SUMIF('detail - working'!C6:C10,A6,'detail - working'!G6:G10)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working'!H6:H10)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working'!F6:F10)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working'!G6:G10)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Debt and interest amortization schedule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working'!H6:H10)-SUM('detail - working'!F6:F10)-SUM('detail - working'!G6:G10)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5</v>
      </c>
      <c r="C7" s="8">
        <f>COUNTA('detail - working'!A6:A10)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5</v>
      </c>
      <c r="C8" s="8">
        <f>COUNTA('detail - working'!J6:J10)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working'!G6:G10)-COUNTBLANK('detail - working'!A6:A10)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2026-07-28T10:45:29Z</dcterms:modified>
  <cp:lastModifiedBy>Unknown</cp:lastModifiedBy>
</cp:coreProperties>
</file>