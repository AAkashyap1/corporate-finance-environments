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ver" sheetId="1" state="visible" r:id="rId1"/>
    <sheet xmlns:r="http://schemas.openxmlformats.org/officeDocument/2006/relationships" name="Cash and Liquidity" sheetId="2" state="visible" r:id="rId2"/>
    <sheet xmlns:r="http://schemas.openxmlformats.org/officeDocument/2006/relationships" name="Debt and Hedges" sheetId="3" state="visible" r:id="rId3"/>
    <sheet xmlns:r="http://schemas.openxmlformats.org/officeDocument/2006/relationships" name="Bank Economics" sheetId="4" state="visible" r:id="rId4"/>
    <sheet xmlns:r="http://schemas.openxmlformats.org/officeDocument/2006/relationships" name="Credit Outlook" sheetId="5" state="visible" r:id="rId5"/>
    <sheet xmlns:r="http://schemas.openxmlformats.org/officeDocument/2006/relationships" name="Data Checks" sheetId="6" state="visible" r:id="rId6"/>
  </sheets>
  <definedNames>
    <definedName name="_xlnm._FilterDatabase" localSheetId="1" hidden="1">'Cash and Liquidity'!$A$4:$M$82</definedName>
    <definedName name="_xlnm._FilterDatabase" localSheetId="2" hidden="1">'Debt and Hedges'!$A$4:$M$72</definedName>
    <definedName name="_xlnm._FilterDatabase" localSheetId="3" hidden="1">'Bank Economics'!$A$4:$M$22</definedName>
    <definedName name="_xlnm._FilterDatabase" localSheetId="4" hidden="1">'Credit Outlook'!$A$4:$M$44</definedName>
  </definedNames>
</workbook>
</file>

<file path=xl/styles.xml><?xml version="1.0" encoding="utf-8"?>
<styleSheet xmlns="http://schemas.openxmlformats.org/spreadsheetml/2006/main">
  <numFmts count="2">
    <numFmt numFmtId="164" formatCode="#,##0.0000;[Red](#,##0.0000);-"/>
    <numFmt numFmtId="165" formatCode="yyyy-mm-dd"/>
  </numFmts>
  <fonts count="9">
    <font>
      <name val="Carlito"/>
      <sz val="11"/>
    </font>
    <font>
      <name val="Aptos"/>
      <b val="1"/>
      <color rgb="FF252321"/>
      <sz val="10"/>
    </font>
    <font>
      <name val="Aptos"/>
      <color rgb="FF8B3A3A"/>
      <sz val="10"/>
    </font>
    <font>
      <name val="Aptos"/>
      <color rgb="FF252321"/>
      <sz val="10"/>
    </font>
    <font>
      <name val="Aptos"/>
      <b val="1"/>
      <color rgb="FFFFFFFF"/>
      <sz val="15"/>
    </font>
    <font>
      <name val="Aptos"/>
      <i val="1"/>
      <color rgb="FF252321"/>
      <sz val="9"/>
    </font>
    <font>
      <name val="Aptos"/>
      <b val="1"/>
      <color rgb="FFFFFFFF"/>
      <sz val="9"/>
    </font>
    <font>
      <name val="Aptos"/>
      <color rgb="FF252321"/>
      <sz val="8"/>
    </font>
    <font>
      <name val="Aptos"/>
      <color rgb="FF252321"/>
      <sz val="9"/>
    </font>
  </fonts>
  <fills count="7">
    <fill>
      <patternFill/>
    </fill>
    <fill>
      <patternFill patternType="gray125"/>
    </fill>
    <fill>
      <patternFill patternType="solid">
        <fgColor rgb="FFE4ECE7"/>
      </patternFill>
    </fill>
    <fill>
      <patternFill patternType="solid">
        <fgColor rgb="FFF3E6D5"/>
      </patternFill>
    </fill>
    <fill>
      <patternFill patternType="solid">
        <fgColor rgb="FF8B5E3C"/>
      </patternFill>
    </fill>
    <fill>
      <patternFill patternType="solid">
        <fgColor rgb="FF5A7669"/>
      </patternFill>
    </fill>
    <fill>
      <patternFill patternType="solid">
        <fgColor rgb="FFFFF8E1"/>
      </patternFill>
    </fill>
  </fills>
  <borders count="10">
    <border/>
    <border>
      <left style="thin">
        <color rgb="FF2A4337"/>
      </left>
      <top style="thin">
        <color rgb="FF2A4337"/>
      </top>
      <bottom style="thin">
        <color rgb="FF2A4337"/>
      </bottom>
    </border>
    <border>
      <top style="thin">
        <color rgb="FF2A4337"/>
      </top>
      <bottom style="thin">
        <color rgb="FF2A4337"/>
      </bottom>
    </border>
    <border>
      <right style="thin">
        <color rgb="FF2A4337"/>
      </right>
      <top style="thin">
        <color rgb="FF2A4337"/>
      </top>
      <bottom style="thin">
        <color rgb="FF2A4337"/>
      </bottom>
    </border>
    <border>
      <bottom style="hair">
        <color rgb="FFD8D0C6"/>
      </bottom>
    </border>
    <border>
      <top style="hair">
        <color rgb="FFD8D0C6"/>
      </top>
      <bottom style="hair">
        <color rgb="FFD8D0C6"/>
      </bottom>
    </border>
    <border>
      <top style="hair">
        <color rgb="FFD8D0C6"/>
      </top>
    </border>
    <border>
      <bottom style="thin">
        <color rgb="FFD8D0C6"/>
      </bottom>
    </border>
    <border>
      <top style="thin">
        <color rgb="FFD8D0C6"/>
      </top>
      <bottom style="thin">
        <color rgb="FFD8D0C6"/>
      </bottom>
    </border>
    <border>
      <top style="thin">
        <color rgb="FFD8D0C6"/>
      </top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3" fillId="0" borderId="0" pivotButton="0" quotePrefix="0" xfId="0"/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vertical="center"/>
    </xf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0" fillId="5" borderId="0" pivotButton="0" quotePrefix="0" xfId="0"/>
    <xf numFmtId="0" fontId="6" fillId="5" borderId="0" pivotButton="0" quotePrefix="0" xfId="0"/>
    <xf numFmtId="0" fontId="6" fillId="5" borderId="1" pivotButton="0" quotePrefix="0" xfId="0"/>
    <xf numFmtId="0" fontId="6" fillId="5" borderId="2" pivotButton="0" quotePrefix="0" xfId="0"/>
    <xf numFmtId="0" fontId="6" fillId="5" borderId="3" pivotButton="0" quotePrefix="0" xfId="0"/>
    <xf numFmtId="0" fontId="6" fillId="5" borderId="1" applyAlignment="1" pivotButton="0" quotePrefix="0" xfId="0">
      <alignment wrapText="1"/>
    </xf>
    <xf numFmtId="0" fontId="6" fillId="5" borderId="2" applyAlignment="1" pivotButton="0" quotePrefix="0" xfId="0">
      <alignment wrapText="1"/>
    </xf>
    <xf numFmtId="0" fontId="6" fillId="5" borderId="3" applyAlignment="1" pivotButton="0" quotePrefix="0" xfId="0">
      <alignment wrapText="1"/>
    </xf>
    <xf numFmtId="0" fontId="6" fillId="5" borderId="1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6" fillId="5" borderId="3" applyAlignment="1" pivotButton="0" quotePrefix="0" xfId="0">
      <alignment vertical="center" wrapText="1"/>
    </xf>
    <xf numFmtId="0" fontId="7" fillId="0" borderId="0" pivotButton="0" quotePrefix="0" xfId="0"/>
    <xf numFmtId="0" fontId="7" fillId="0" borderId="4" pivotButton="0" quotePrefix="0" xfId="0"/>
    <xf numFmtId="0" fontId="7" fillId="0" borderId="5" pivotButton="0" quotePrefix="0" xfId="0"/>
    <xf numFmtId="0" fontId="7" fillId="0" borderId="6" pivotButton="0" quotePrefix="0" xfId="0"/>
    <xf numFmtId="0" fontId="7" fillId="0" borderId="4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7" fillId="0" borderId="6" applyAlignment="1" pivotButton="0" quotePrefix="0" xfId="0">
      <alignment vertical="center"/>
    </xf>
    <xf numFmtId="164" fontId="7" fillId="0" borderId="4" applyAlignment="1" pivotButton="0" quotePrefix="0" xfId="0">
      <alignment vertical="center"/>
    </xf>
    <xf numFmtId="164" fontId="7" fillId="0" borderId="5" applyAlignment="1" pivotButton="0" quotePrefix="0" xfId="0">
      <alignment vertical="center"/>
    </xf>
    <xf numFmtId="164" fontId="7" fillId="0" borderId="6" applyAlignment="1" pivotButton="0" quotePrefix="0" xfId="0">
      <alignment vertical="center"/>
    </xf>
    <xf numFmtId="165" fontId="7" fillId="0" borderId="4" applyAlignment="1" pivotButton="0" quotePrefix="0" xfId="0">
      <alignment vertical="center"/>
    </xf>
    <xf numFmtId="165" fontId="7" fillId="0" borderId="5" applyAlignment="1" pivotButton="0" quotePrefix="0" xfId="0">
      <alignment vertical="center"/>
    </xf>
    <xf numFmtId="165" fontId="7" fillId="0" borderId="6" applyAlignment="1" pivotButton="0" quotePrefix="0" xfId="0">
      <alignment vertical="center"/>
    </xf>
    <xf numFmtId="0" fontId="7" fillId="6" borderId="4" applyAlignment="1" pivotButton="0" quotePrefix="0" xfId="0">
      <alignment vertical="center"/>
    </xf>
    <xf numFmtId="0" fontId="7" fillId="6" borderId="5" applyAlignment="1" pivotButton="0" quotePrefix="0" xfId="0">
      <alignment vertical="center"/>
    </xf>
    <xf numFmtId="0" fontId="7" fillId="6" borderId="6" applyAlignment="1" pivotButton="0" quotePrefix="0" xfId="0">
      <alignment vertical="center"/>
    </xf>
    <xf numFmtId="0" fontId="8" fillId="0" borderId="0" pivotButton="0" quotePrefix="0" xfId="0"/>
    <xf numFmtId="0" fontId="8" fillId="0" borderId="7" pivotButton="0" quotePrefix="0" xfId="0"/>
    <xf numFmtId="0" fontId="8" fillId="0" borderId="8" pivotButton="0" quotePrefix="0" xfId="0"/>
    <xf numFmtId="0" fontId="8" fillId="0" borderId="9" pivotButton="0" quotePrefix="0" xfId="0"/>
    <xf numFmtId="0" fontId="8" fillId="3" borderId="7" pivotButton="0" quotePrefix="0" xfId="0"/>
    <xf numFmtId="0" fontId="8" fillId="3" borderId="8" pivotButton="0" quotePrefix="0" xfId="0"/>
    <xf numFmtId="0" fontId="8" fillId="3" borderId="9" pivotButton="0" quotePrefix="0" xfId="0"/>
    <xf numFmtId="164" fontId="7" fillId="0" borderId="4" applyAlignment="1" pivotButton="0" quotePrefix="0" xfId="0">
      <alignment vertical="center"/>
    </xf>
    <xf numFmtId="165" fontId="7" fillId="0" borderId="4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2" customWidth="1" min="2" max="2"/>
  </cols>
  <sheetData>
    <row r="1" ht="25" customHeight="1">
      <c r="A1" s="6" t="n"/>
    </row>
    <row r="2" ht="25" customHeight="1"/>
    <row r="4">
      <c r="A4" s="2" t="inlineStr">
        <is>
          <t>Company</t>
        </is>
      </c>
      <c r="B4" s="5" t="inlineStr">
        <is>
          <t>Alder Ridge Mechanical</t>
        </is>
      </c>
    </row>
    <row r="5">
      <c r="A5" s="2" t="inlineStr">
        <is>
          <t>Reporting cutoff</t>
        </is>
      </c>
      <c r="B5" s="5" t="inlineStr">
        <is>
          <t>2026-06-30</t>
        </is>
      </c>
    </row>
    <row r="6">
      <c r="A6" s="2" t="inlineStr">
        <is>
          <t>Review date</t>
        </is>
      </c>
      <c r="B6" s="5" t="inlineStr">
        <is>
          <t>2026-07-05</t>
        </is>
      </c>
    </row>
    <row r="7">
      <c r="A7" s="2" t="inlineStr">
        <is>
          <t>Version</t>
        </is>
      </c>
      <c r="B7" s="5" t="inlineStr">
        <is>
          <t>Prior working version</t>
        </is>
      </c>
    </row>
    <row r="8">
      <c r="A8" s="2" t="inlineStr">
        <is>
          <t>Workbook status</t>
        </is>
      </c>
      <c r="B8" s="5" t="inlineStr">
        <is>
          <t>PRIOR REVIEW COPY • NOT CURRENT</t>
        </is>
      </c>
    </row>
    <row r="9">
      <c r="A9" s="2" t="inlineStr">
        <is>
          <t>Purpose</t>
        </is>
      </c>
      <c r="B9" s="5" t="inlineStr">
        <is>
          <t>Management assumptions and supporting schedules used across the finance review</t>
        </is>
      </c>
    </row>
    <row r="10">
      <c r="A10" s="2" t="inlineStr">
        <is>
          <t>Authority</t>
        </is>
      </c>
      <c r="B10" s="5" t="inlineStr">
        <is>
          <t>Change history only; resolve current decisions from controller-reviewed sources and correspondence</t>
        </is>
      </c>
    </row>
    <row r="12" ht="42" customHeight="1">
      <c r="B12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treasury, banking, and credit outlook | Cash and Liquidity</t>
        </is>
      </c>
    </row>
    <row r="2" ht="25" customHeight="1">
      <c r="A2" s="11" t="inlineStr">
        <is>
          <t>PRIOR REVIEW COPY - retained for change history; not controller tied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TRY-00070</t>
        </is>
      </c>
      <c r="B5" s="27" t="inlineStr">
        <is>
          <t>Complete the 30-day daily cash-position model</t>
        </is>
      </c>
      <c r="C5" s="27" t="inlineStr">
        <is>
          <t>Bank Balances</t>
        </is>
      </c>
      <c r="D5" s="27" t="inlineStr">
        <is>
          <t>Operating Bank</t>
        </is>
      </c>
      <c r="E5" s="27" t="inlineStr">
        <is>
          <t>2026-05 working copy</t>
        </is>
      </c>
      <c r="F5" s="27" t="inlineStr">
        <is>
          <t>Approved case</t>
        </is>
      </c>
      <c r="G5" s="27" t="inlineStr">
        <is>
          <t>Minimum operating balance</t>
        </is>
      </c>
      <c r="H5" s="46" t="n">
        <v>875500</v>
      </c>
      <c r="I5" s="27" t="inlineStr"/>
      <c r="J5" s="27" t="inlineStr">
        <is>
          <t>USD</t>
        </is>
      </c>
      <c r="K5" s="27" t="inlineStr">
        <is>
          <t>Earlier management working export</t>
        </is>
      </c>
      <c r="L5" s="47" t="inlineStr">
        <is>
          <t>2026-06-24</t>
        </is>
      </c>
      <c r="M5" s="27" t="inlineStr"/>
    </row>
    <row r="6">
      <c r="A6" s="36" t="inlineStr">
        <is>
          <t>TRY-00071</t>
        </is>
      </c>
      <c r="B6" s="27" t="inlineStr">
        <is>
          <t>Complete the 30-day daily cash-position model</t>
        </is>
      </c>
      <c r="C6" s="27" t="inlineStr">
        <is>
          <t>Expected Receipts</t>
        </is>
      </c>
      <c r="D6" s="27" t="inlineStr">
        <is>
          <t>Concentration account</t>
        </is>
      </c>
      <c r="E6" s="27" t="inlineStr">
        <is>
          <t>2026-07-03</t>
        </is>
      </c>
      <c r="F6" s="27" t="inlineStr">
        <is>
          <t>Management stretch</t>
        </is>
      </c>
      <c r="G6" s="27" t="inlineStr">
        <is>
          <t>Settling receipts</t>
        </is>
      </c>
      <c r="H6" s="46" t="n">
        <v>0</v>
      </c>
      <c r="I6" s="27" t="inlineStr"/>
      <c r="J6" s="27" t="inlineStr">
        <is>
          <t>USD</t>
        </is>
      </c>
      <c r="K6" s="27" t="inlineStr">
        <is>
          <t>Earlier management working export</t>
        </is>
      </c>
      <c r="L6" s="47" t="inlineStr">
        <is>
          <t>2026-06-24</t>
        </is>
      </c>
      <c r="M6" s="27" t="inlineStr"/>
    </row>
    <row r="7">
      <c r="A7" s="36" t="inlineStr">
        <is>
          <t>TRY-00072</t>
        </is>
      </c>
      <c r="B7" s="27" t="inlineStr">
        <is>
          <t>Complete the 30-day daily cash-position model</t>
        </is>
      </c>
      <c r="C7" s="27" t="inlineStr">
        <is>
          <t>Expected Disbursements</t>
        </is>
      </c>
      <c r="D7" s="27" t="inlineStr">
        <is>
          <t>Consolidated</t>
        </is>
      </c>
      <c r="E7" s="27" t="inlineStr">
        <is>
          <t>2026-05 working copy</t>
        </is>
      </c>
      <c r="F7" s="27" t="inlineStr">
        <is>
          <t>Approved case</t>
        </is>
      </c>
      <c r="G7" s="27" t="inlineStr">
        <is>
          <t>Settling disbursements</t>
        </is>
      </c>
      <c r="H7" s="46" t="n">
        <v>0</v>
      </c>
      <c r="I7" s="27" t="inlineStr"/>
      <c r="J7" s="27" t="inlineStr">
        <is>
          <t>USD</t>
        </is>
      </c>
      <c r="K7" s="27" t="inlineStr">
        <is>
          <t>Earlier management working export</t>
        </is>
      </c>
      <c r="L7" s="47" t="inlineStr">
        <is>
          <t>2026-06-24</t>
        </is>
      </c>
      <c r="M7" s="27" t="inlineStr"/>
    </row>
    <row r="8">
      <c r="A8" s="36" t="inlineStr">
        <is>
          <t>TRY-00073</t>
        </is>
      </c>
      <c r="B8" s="27" t="inlineStr">
        <is>
          <t>Complete the 30-day daily cash-position model</t>
        </is>
      </c>
      <c r="C8" s="27" t="inlineStr">
        <is>
          <t>Expected Receipts</t>
        </is>
      </c>
      <c r="D8" s="27" t="inlineStr">
        <is>
          <t>Concentration account</t>
        </is>
      </c>
      <c r="E8" s="27" t="inlineStr">
        <is>
          <t>2026-07-10</t>
        </is>
      </c>
      <c r="F8" s="27" t="inlineStr">
        <is>
          <t>Management stretch</t>
        </is>
      </c>
      <c r="G8" s="27" t="inlineStr">
        <is>
          <t>Settling receipts</t>
        </is>
      </c>
      <c r="H8" s="46" t="n">
        <v>432600</v>
      </c>
      <c r="I8" s="27" t="inlineStr"/>
      <c r="J8" s="27" t="inlineStr">
        <is>
          <t>USD</t>
        </is>
      </c>
      <c r="K8" s="27" t="inlineStr">
        <is>
          <t>Earlier management working export</t>
        </is>
      </c>
      <c r="L8" s="47" t="inlineStr">
        <is>
          <t>2026-06-24</t>
        </is>
      </c>
      <c r="M8" s="27" t="inlineStr"/>
    </row>
    <row r="9">
      <c r="A9" s="36" t="inlineStr">
        <is>
          <t>TRY-00074</t>
        </is>
      </c>
      <c r="B9" s="27" t="inlineStr">
        <is>
          <t>Complete the 30-day daily cash-position model</t>
        </is>
      </c>
      <c r="C9" s="27" t="inlineStr">
        <is>
          <t>Expected Disbursements</t>
        </is>
      </c>
      <c r="D9" s="27" t="inlineStr">
        <is>
          <t>Consolidated</t>
        </is>
      </c>
      <c r="E9" s="27" t="inlineStr">
        <is>
          <t>2026-05 working copy</t>
        </is>
      </c>
      <c r="F9" s="27" t="inlineStr">
        <is>
          <t>Approved case</t>
        </is>
      </c>
      <c r="G9" s="27" t="inlineStr">
        <is>
          <t>Settling disbursements</t>
        </is>
      </c>
      <c r="H9" s="46" t="n">
        <v>0</v>
      </c>
      <c r="I9" s="27" t="inlineStr"/>
      <c r="J9" s="27" t="inlineStr">
        <is>
          <t>USD</t>
        </is>
      </c>
      <c r="K9" s="27" t="inlineStr">
        <is>
          <t>Earlier management working export</t>
        </is>
      </c>
      <c r="L9" s="47" t="inlineStr">
        <is>
          <t>2026-06-24</t>
        </is>
      </c>
      <c r="M9" s="27" t="inlineStr"/>
    </row>
    <row r="10">
      <c r="A10" s="36" t="inlineStr">
        <is>
          <t>TRY-00075</t>
        </is>
      </c>
      <c r="B10" s="27" t="inlineStr">
        <is>
          <t>Complete the 30-day daily cash-position model</t>
        </is>
      </c>
      <c r="C10" s="27" t="inlineStr">
        <is>
          <t>Expected Receipts</t>
        </is>
      </c>
      <c r="D10" s="27" t="inlineStr">
        <is>
          <t>Concentration account</t>
        </is>
      </c>
      <c r="E10" s="27" t="inlineStr">
        <is>
          <t>2026-07-17</t>
        </is>
      </c>
      <c r="F10" s="27" t="inlineStr">
        <is>
          <t>Management stretch</t>
        </is>
      </c>
      <c r="G10" s="27" t="inlineStr">
        <is>
          <t>Settling receipts</t>
        </is>
      </c>
      <c r="H10" s="46" t="n">
        <v>0</v>
      </c>
      <c r="I10" s="27" t="inlineStr"/>
      <c r="J10" s="27" t="inlineStr">
        <is>
          <t>USD</t>
        </is>
      </c>
      <c r="K10" s="27" t="inlineStr">
        <is>
          <t>Earlier management working export</t>
        </is>
      </c>
      <c r="L10" s="47" t="inlineStr">
        <is>
          <t>2026-06-24</t>
        </is>
      </c>
      <c r="M10" s="27" t="inlineStr"/>
    </row>
    <row r="11">
      <c r="A11" s="36" t="inlineStr">
        <is>
          <t>TRY-00076</t>
        </is>
      </c>
      <c r="B11" s="27" t="inlineStr">
        <is>
          <t>Complete the 30-day daily cash-position model</t>
        </is>
      </c>
      <c r="C11" s="27" t="inlineStr">
        <is>
          <t>Expected Disbursements</t>
        </is>
      </c>
      <c r="D11" s="27" t="inlineStr">
        <is>
          <t>Consolidated</t>
        </is>
      </c>
      <c r="E11" s="27" t="inlineStr">
        <is>
          <t>2026-05 working copy</t>
        </is>
      </c>
      <c r="F11" s="27" t="inlineStr">
        <is>
          <t>Approved case</t>
        </is>
      </c>
      <c r="G11" s="27" t="inlineStr">
        <is>
          <t>Settling disbursements</t>
        </is>
      </c>
      <c r="H11" s="46" t="n">
        <v>0</v>
      </c>
      <c r="I11" s="27" t="inlineStr"/>
      <c r="J11" s="27" t="inlineStr">
        <is>
          <t>USD</t>
        </is>
      </c>
      <c r="K11" s="27" t="inlineStr">
        <is>
          <t>Earlier management working export</t>
        </is>
      </c>
      <c r="L11" s="47" t="inlineStr">
        <is>
          <t>2026-06-24</t>
        </is>
      </c>
      <c r="M11" s="27" t="inlineStr"/>
    </row>
    <row r="12">
      <c r="A12" s="36" t="inlineStr">
        <is>
          <t>TRY-00077</t>
        </is>
      </c>
      <c r="B12" s="27" t="inlineStr">
        <is>
          <t>Complete the 30-day daily cash-position model</t>
        </is>
      </c>
      <c r="C12" s="27" t="inlineStr">
        <is>
          <t>Expected Receipts</t>
        </is>
      </c>
      <c r="D12" s="27" t="inlineStr">
        <is>
          <t>Concentration account</t>
        </is>
      </c>
      <c r="E12" s="27" t="inlineStr">
        <is>
          <t>2026-07-24</t>
        </is>
      </c>
      <c r="F12" s="27" t="inlineStr">
        <is>
          <t>Management stretch</t>
        </is>
      </c>
      <c r="G12" s="27" t="inlineStr">
        <is>
          <t>Settling receipts</t>
        </is>
      </c>
      <c r="H12" s="46" t="n">
        <v>540800</v>
      </c>
      <c r="I12" s="27" t="inlineStr"/>
      <c r="J12" s="27" t="inlineStr">
        <is>
          <t>USD</t>
        </is>
      </c>
      <c r="K12" s="27" t="inlineStr">
        <is>
          <t>Earlier management working export</t>
        </is>
      </c>
      <c r="L12" s="47" t="inlineStr">
        <is>
          <t>2026-06-24</t>
        </is>
      </c>
      <c r="M12" s="27" t="inlineStr"/>
    </row>
    <row r="13">
      <c r="A13" s="36" t="inlineStr">
        <is>
          <t>TRY-00078</t>
        </is>
      </c>
      <c r="B13" s="27" t="inlineStr">
        <is>
          <t>Complete the 30-day daily cash-position model</t>
        </is>
      </c>
      <c r="C13" s="27" t="inlineStr">
        <is>
          <t>Expected Disbursements</t>
        </is>
      </c>
      <c r="D13" s="27" t="inlineStr">
        <is>
          <t>Consolidated</t>
        </is>
      </c>
      <c r="E13" s="27" t="inlineStr">
        <is>
          <t>2026-05 working copy</t>
        </is>
      </c>
      <c r="F13" s="27" t="inlineStr">
        <is>
          <t>Approved case</t>
        </is>
      </c>
      <c r="G13" s="27" t="inlineStr">
        <is>
          <t>Settling disbursements</t>
        </is>
      </c>
      <c r="H13" s="46" t="n">
        <v>0</v>
      </c>
      <c r="I13" s="27" t="inlineStr"/>
      <c r="J13" s="27" t="inlineStr">
        <is>
          <t>USD</t>
        </is>
      </c>
      <c r="K13" s="27" t="inlineStr">
        <is>
          <t>Earlier management working export</t>
        </is>
      </c>
      <c r="L13" s="47" t="inlineStr">
        <is>
          <t>2026-06-24</t>
        </is>
      </c>
      <c r="M13" s="27" t="inlineStr"/>
    </row>
    <row r="14">
      <c r="A14" s="36" t="inlineStr">
        <is>
          <t>TRY-00079</t>
        </is>
      </c>
      <c r="B14" s="27" t="inlineStr">
        <is>
          <t>Complete the 30-day daily cash-position model</t>
        </is>
      </c>
      <c r="C14" s="27" t="inlineStr">
        <is>
          <t>Treasury policy</t>
        </is>
      </c>
      <c r="D14" s="27" t="inlineStr">
        <is>
          <t>Consolidated</t>
        </is>
      </c>
      <c r="E14" s="27" t="inlineStr">
        <is>
          <t>July 2026</t>
        </is>
      </c>
      <c r="F14" s="27" t="inlineStr">
        <is>
          <t>Management stretch</t>
        </is>
      </c>
      <c r="G14" s="27" t="inlineStr">
        <is>
          <t>Consolidated minimum available cash</t>
        </is>
      </c>
      <c r="H14" s="46" t="n">
        <v>2317500</v>
      </c>
      <c r="I14" s="27" t="inlineStr"/>
      <c r="J14" s="27" t="inlineStr">
        <is>
          <t>USD</t>
        </is>
      </c>
      <c r="K14" s="27" t="inlineStr">
        <is>
          <t>Earlier management working export</t>
        </is>
      </c>
      <c r="L14" s="47" t="inlineStr">
        <is>
          <t>2026-06-24</t>
        </is>
      </c>
      <c r="M14" s="27" t="inlineStr"/>
    </row>
    <row r="15">
      <c r="A15" s="36" t="inlineStr">
        <is>
          <t>TRY-00080</t>
        </is>
      </c>
      <c r="B15" s="27" t="inlineStr">
        <is>
          <t>Complete the 30-day daily cash-position model</t>
        </is>
      </c>
      <c r="C15" s="27" t="inlineStr">
        <is>
          <t>Expected Disbursements</t>
        </is>
      </c>
      <c r="D15" s="27" t="inlineStr">
        <is>
          <t>Consolidated</t>
        </is>
      </c>
      <c r="E15" s="27" t="inlineStr">
        <is>
          <t>2026-05 working copy</t>
        </is>
      </c>
      <c r="F15" s="27" t="inlineStr">
        <is>
          <t>Approved case</t>
        </is>
      </c>
      <c r="G15" s="27" t="inlineStr">
        <is>
          <t>Settling disbursements</t>
        </is>
      </c>
      <c r="H15" s="46" t="n">
        <v>478.4</v>
      </c>
      <c r="I15" s="27" t="inlineStr"/>
      <c r="J15" s="27" t="inlineStr">
        <is>
          <t>USD thousands</t>
        </is>
      </c>
      <c r="K15" s="27" t="inlineStr">
        <is>
          <t>Earlier management working export</t>
        </is>
      </c>
      <c r="L15" s="47" t="inlineStr">
        <is>
          <t>2026-06-24</t>
        </is>
      </c>
      <c r="M15" s="27" t="inlineStr"/>
    </row>
    <row r="16">
      <c r="A16" s="36" t="inlineStr">
        <is>
          <t>TRY-00081</t>
        </is>
      </c>
      <c r="B16" s="27" t="inlineStr">
        <is>
          <t>Complete the 30-day daily cash-position model</t>
        </is>
      </c>
      <c r="C16" s="27" t="inlineStr">
        <is>
          <t>Expected Receipts</t>
        </is>
      </c>
      <c r="D16" s="27" t="inlineStr">
        <is>
          <t>Concentration account</t>
        </is>
      </c>
      <c r="E16" s="27" t="inlineStr">
        <is>
          <t>2026-07-05</t>
        </is>
      </c>
      <c r="F16" s="27" t="inlineStr">
        <is>
          <t>Management stretch</t>
        </is>
      </c>
      <c r="G16" s="27" t="inlineStr">
        <is>
          <t>Settling receipts</t>
        </is>
      </c>
      <c r="H16" s="46" t="n">
        <v>0</v>
      </c>
      <c r="I16" s="27" t="inlineStr"/>
      <c r="J16" s="27" t="inlineStr">
        <is>
          <t>USD</t>
        </is>
      </c>
      <c r="K16" s="27" t="inlineStr">
        <is>
          <t>Earlier management working export</t>
        </is>
      </c>
      <c r="L16" s="47" t="inlineStr">
        <is>
          <t>2026-06-24</t>
        </is>
      </c>
      <c r="M16" s="27" t="inlineStr"/>
    </row>
    <row r="17">
      <c r="A17" s="36" t="inlineStr">
        <is>
          <t>TRY-00082</t>
        </is>
      </c>
      <c r="B17" s="27" t="inlineStr">
        <is>
          <t>Complete the 30-day daily cash-position model</t>
        </is>
      </c>
      <c r="C17" s="27" t="inlineStr">
        <is>
          <t>Expected Disbursements</t>
        </is>
      </c>
      <c r="D17" s="27" t="inlineStr">
        <is>
          <t>Consolidated</t>
        </is>
      </c>
      <c r="E17" s="27" t="inlineStr">
        <is>
          <t>2026-05 working copy</t>
        </is>
      </c>
      <c r="F17" s="27" t="inlineStr">
        <is>
          <t>Approved case</t>
        </is>
      </c>
      <c r="G17" s="27" t="inlineStr">
        <is>
          <t>Settling disbursements</t>
        </is>
      </c>
      <c r="H17" s="46" t="n">
        <v>803400</v>
      </c>
      <c r="I17" s="27" t="inlineStr"/>
      <c r="J17" s="27" t="inlineStr">
        <is>
          <t>USD</t>
        </is>
      </c>
      <c r="K17" s="27" t="inlineStr">
        <is>
          <t>Earlier management working export</t>
        </is>
      </c>
      <c r="L17" s="47" t="inlineStr">
        <is>
          <t>2026-06-24</t>
        </is>
      </c>
      <c r="M17" s="27" t="inlineStr"/>
    </row>
    <row r="18">
      <c r="A18" s="36" t="inlineStr">
        <is>
          <t>TRY-00083</t>
        </is>
      </c>
      <c r="B18" s="27" t="inlineStr">
        <is>
          <t>Complete the 30-day daily cash-position model</t>
        </is>
      </c>
      <c r="C18" s="27" t="inlineStr">
        <is>
          <t>Expected Receipts</t>
        </is>
      </c>
      <c r="D18" s="27" t="inlineStr">
        <is>
          <t>Concentration account</t>
        </is>
      </c>
      <c r="E18" s="27" t="inlineStr">
        <is>
          <t>2026-07-12</t>
        </is>
      </c>
      <c r="F18" s="27" t="inlineStr">
        <is>
          <t>Management stretch</t>
        </is>
      </c>
      <c r="G18" s="27" t="inlineStr">
        <is>
          <t>Settling receipts</t>
        </is>
      </c>
      <c r="H18" s="46" t="n">
        <v>0</v>
      </c>
      <c r="I18" s="27" t="inlineStr"/>
      <c r="J18" s="27" t="inlineStr">
        <is>
          <t>USD</t>
        </is>
      </c>
      <c r="K18" s="27" t="inlineStr">
        <is>
          <t>Earlier management working export</t>
        </is>
      </c>
      <c r="L18" s="47" t="inlineStr">
        <is>
          <t>2026-06-24</t>
        </is>
      </c>
      <c r="M18" s="27" t="inlineStr"/>
    </row>
    <row r="19">
      <c r="A19" s="36" t="inlineStr">
        <is>
          <t>TRY-00160</t>
        </is>
      </c>
      <c r="B19" s="27" t="inlineStr">
        <is>
          <t>Seasonal liquidity and revolver headroom</t>
        </is>
      </c>
      <c r="C19" s="27" t="inlineStr">
        <is>
          <t>Monthly liquidity forecast</t>
        </is>
      </c>
      <c r="D19" s="27" t="inlineStr">
        <is>
          <t>Consolidated</t>
        </is>
      </c>
      <c r="E19" s="27" t="inlineStr">
        <is>
          <t>2026-05 working copy</t>
        </is>
      </c>
      <c r="F19" s="27" t="inlineStr">
        <is>
          <t>Approved case</t>
        </is>
      </c>
      <c r="G19" s="27" t="inlineStr">
        <is>
          <t>Customer receipts</t>
        </is>
      </c>
      <c r="H19" s="46" t="n">
        <v>7004000</v>
      </c>
      <c r="I19" s="27" t="inlineStr"/>
      <c r="J19" s="27" t="inlineStr">
        <is>
          <t>USD</t>
        </is>
      </c>
      <c r="K19" s="27" t="inlineStr">
        <is>
          <t>Earlier management working export</t>
        </is>
      </c>
      <c r="L19" s="47" t="inlineStr">
        <is>
          <t>2026-06-24</t>
        </is>
      </c>
      <c r="M19" s="27" t="inlineStr"/>
    </row>
    <row r="20">
      <c r="A20" s="36" t="inlineStr">
        <is>
          <t>TRY-00161</t>
        </is>
      </c>
      <c r="B20" s="27" t="inlineStr">
        <is>
          <t>Seasonal liquidity and revolver headroom</t>
        </is>
      </c>
      <c r="C20" s="27" t="inlineStr">
        <is>
          <t>Monthly liquidity forecast</t>
        </is>
      </c>
      <c r="D20" s="27" t="inlineStr">
        <is>
          <t>Consolidated</t>
        </is>
      </c>
      <c r="E20" s="27" t="inlineStr">
        <is>
          <t>2026-08</t>
        </is>
      </c>
      <c r="F20" s="27" t="inlineStr">
        <is>
          <t>Management stretch</t>
        </is>
      </c>
      <c r="G20" s="27" t="inlineStr">
        <is>
          <t>Operating disbursements</t>
        </is>
      </c>
      <c r="H20" s="46" t="n">
        <v>5720000</v>
      </c>
      <c r="I20" s="27" t="inlineStr"/>
      <c r="J20" s="27" t="inlineStr">
        <is>
          <t>USD</t>
        </is>
      </c>
      <c r="K20" s="27" t="inlineStr">
        <is>
          <t>Earlier management working export</t>
        </is>
      </c>
      <c r="L20" s="47" t="inlineStr">
        <is>
          <t>2026-06-24</t>
        </is>
      </c>
      <c r="M20" s="27" t="inlineStr"/>
    </row>
    <row r="21">
      <c r="A21" s="36" t="inlineStr">
        <is>
          <t>TRY-00162</t>
        </is>
      </c>
      <c r="B21" s="27" t="inlineStr">
        <is>
          <t>Seasonal liquidity and revolver headroom</t>
        </is>
      </c>
      <c r="C21" s="27" t="inlineStr">
        <is>
          <t>Monthly liquidity forecast</t>
        </is>
      </c>
      <c r="D21" s="27" t="inlineStr">
        <is>
          <t>Consolidated</t>
        </is>
      </c>
      <c r="E21" s="27" t="inlineStr">
        <is>
          <t>2026-05 working copy</t>
        </is>
      </c>
      <c r="F21" s="27" t="inlineStr">
        <is>
          <t>Approved case</t>
        </is>
      </c>
      <c r="G21" s="27" t="inlineStr">
        <is>
          <t>Cash taxes</t>
        </is>
      </c>
      <c r="H21" s="46" t="n">
        <v>504000</v>
      </c>
      <c r="I21" s="27" t="inlineStr"/>
      <c r="J21" s="27" t="inlineStr">
        <is>
          <t>USD</t>
        </is>
      </c>
      <c r="K21" s="27" t="inlineStr">
        <is>
          <t>Earlier management working export</t>
        </is>
      </c>
      <c r="L21" s="47" t="inlineStr">
        <is>
          <t>2026-06-24</t>
        </is>
      </c>
      <c r="M21" s="27" t="inlineStr"/>
    </row>
    <row r="22">
      <c r="A22" s="36" t="inlineStr">
        <is>
          <t>TRY-00163</t>
        </is>
      </c>
      <c r="B22" s="27" t="inlineStr">
        <is>
          <t>Seasonal liquidity and revolver headroom</t>
        </is>
      </c>
      <c r="C22" s="27" t="inlineStr">
        <is>
          <t>Monthly liquidity forecast</t>
        </is>
      </c>
      <c r="D22" s="27" t="inlineStr">
        <is>
          <t>Consolidated</t>
        </is>
      </c>
      <c r="E22" s="27" t="inlineStr">
        <is>
          <t>2026-10</t>
        </is>
      </c>
      <c r="F22" s="27" t="inlineStr">
        <is>
          <t>Management stretch</t>
        </is>
      </c>
      <c r="G22" s="27" t="inlineStr">
        <is>
          <t>Capital expenditures</t>
        </is>
      </c>
      <c r="H22" s="46" t="n">
        <v>185.4</v>
      </c>
      <c r="I22" s="27" t="inlineStr"/>
      <c r="J22" s="27" t="inlineStr">
        <is>
          <t>USD thousands</t>
        </is>
      </c>
      <c r="K22" s="27" t="inlineStr">
        <is>
          <t>Earlier management working export</t>
        </is>
      </c>
      <c r="L22" s="47" t="inlineStr">
        <is>
          <t>2026-06-24</t>
        </is>
      </c>
      <c r="M22" s="27" t="inlineStr"/>
    </row>
    <row r="23">
      <c r="A23" s="36" t="inlineStr">
        <is>
          <t>TRY-00164</t>
        </is>
      </c>
      <c r="B23" s="27" t="inlineStr">
        <is>
          <t>Seasonal liquidity and revolver headroom</t>
        </is>
      </c>
      <c r="C23" s="27" t="inlineStr">
        <is>
          <t>Monthly liquidity forecast</t>
        </is>
      </c>
      <c r="D23" s="27" t="inlineStr">
        <is>
          <t>Consolidated</t>
        </is>
      </c>
      <c r="E23" s="27" t="inlineStr">
        <is>
          <t>2026-05 working copy</t>
        </is>
      </c>
      <c r="F23" s="27" t="inlineStr">
        <is>
          <t>Approved case</t>
        </is>
      </c>
      <c r="G23" s="27" t="inlineStr">
        <is>
          <t>Scheduled debt service</t>
        </is>
      </c>
      <c r="H23" s="46" t="n">
        <v>135200</v>
      </c>
      <c r="I23" s="27" t="inlineStr"/>
      <c r="J23" s="27" t="inlineStr">
        <is>
          <t>USD</t>
        </is>
      </c>
      <c r="K23" s="27" t="inlineStr">
        <is>
          <t>Earlier management working export</t>
        </is>
      </c>
      <c r="L23" s="47" t="inlineStr">
        <is>
          <t>2026-06-24</t>
        </is>
      </c>
      <c r="M23" s="27" t="inlineStr"/>
    </row>
    <row r="24">
      <c r="A24" s="36" t="inlineStr">
        <is>
          <t>TRY-00165</t>
        </is>
      </c>
      <c r="B24" s="27" t="inlineStr">
        <is>
          <t>Seasonal liquidity and revolver headroom</t>
        </is>
      </c>
      <c r="C24" s="27" t="inlineStr">
        <is>
          <t>Borrowing base</t>
        </is>
      </c>
      <c r="D24" s="27" t="inlineStr">
        <is>
          <t>Revolver</t>
        </is>
      </c>
      <c r="E24" s="27" t="inlineStr">
        <is>
          <t>2026-12</t>
        </is>
      </c>
      <c r="F24" s="27" t="inlineStr">
        <is>
          <t>Management stretch</t>
        </is>
      </c>
      <c r="G24" s="27" t="inlineStr">
        <is>
          <t>Eligible borrowing base</t>
        </is>
      </c>
      <c r="H24" s="46" t="n">
        <v>12600000</v>
      </c>
      <c r="I24" s="27" t="inlineStr"/>
      <c r="J24" s="27" t="inlineStr">
        <is>
          <t>USD</t>
        </is>
      </c>
      <c r="K24" s="27" t="inlineStr">
        <is>
          <t>Earlier management working export</t>
        </is>
      </c>
      <c r="L24" s="47" t="inlineStr">
        <is>
          <t>2026-06-24</t>
        </is>
      </c>
      <c r="M24" s="27" t="inlineStr"/>
    </row>
    <row r="25">
      <c r="A25" s="36" t="inlineStr">
        <is>
          <t>TRY-00166</t>
        </is>
      </c>
      <c r="B25" s="27" t="inlineStr">
        <is>
          <t>Seasonal liquidity and revolver headroom</t>
        </is>
      </c>
      <c r="C25" s="27" t="inlineStr">
        <is>
          <t>Monthly liquidity forecast</t>
        </is>
      </c>
      <c r="D25" s="27" t="inlineStr">
        <is>
          <t>Consolidated</t>
        </is>
      </c>
      <c r="E25" s="27" t="inlineStr">
        <is>
          <t>2026-05 working copy</t>
        </is>
      </c>
      <c r="F25" s="27" t="inlineStr">
        <is>
          <t>Approved case</t>
        </is>
      </c>
      <c r="G25" s="27" t="inlineStr">
        <is>
          <t>Customer receipts</t>
        </is>
      </c>
      <c r="H25" s="46" t="n">
        <v>4532000</v>
      </c>
      <c r="I25" s="27" t="inlineStr"/>
      <c r="J25" s="27" t="inlineStr">
        <is>
          <t>USD</t>
        </is>
      </c>
      <c r="K25" s="27" t="inlineStr">
        <is>
          <t>Earlier management working export</t>
        </is>
      </c>
      <c r="L25" s="47" t="inlineStr">
        <is>
          <t>2026-06-24</t>
        </is>
      </c>
      <c r="M25" s="27" t="inlineStr"/>
    </row>
    <row r="26">
      <c r="A26" s="36" t="inlineStr">
        <is>
          <t>TRY-00167</t>
        </is>
      </c>
      <c r="B26" s="27" t="inlineStr">
        <is>
          <t>Seasonal liquidity and revolver headroom</t>
        </is>
      </c>
      <c r="C26" s="27" t="inlineStr">
        <is>
          <t>Monthly liquidity forecast</t>
        </is>
      </c>
      <c r="D26" s="27" t="inlineStr">
        <is>
          <t>Consolidated</t>
        </is>
      </c>
      <c r="E26" s="27" t="inlineStr">
        <is>
          <t>2027-03</t>
        </is>
      </c>
      <c r="F26" s="27" t="inlineStr">
        <is>
          <t>Management stretch</t>
        </is>
      </c>
      <c r="G26" s="27" t="inlineStr">
        <is>
          <t>Operating disbursements</t>
        </is>
      </c>
      <c r="H26" s="46" t="n">
        <v>6240</v>
      </c>
      <c r="I26" s="27" t="inlineStr"/>
      <c r="J26" s="27" t="inlineStr">
        <is>
          <t>USD thousands</t>
        </is>
      </c>
      <c r="K26" s="27" t="inlineStr">
        <is>
          <t>Earlier management working export</t>
        </is>
      </c>
      <c r="L26" s="47" t="inlineStr">
        <is>
          <t>2026-06-24</t>
        </is>
      </c>
      <c r="M26" s="27" t="inlineStr"/>
    </row>
    <row r="27">
      <c r="A27" s="36" t="inlineStr">
        <is>
          <t>TRY-00168</t>
        </is>
      </c>
      <c r="B27" s="27" t="inlineStr">
        <is>
          <t>Seasonal liquidity and revolver headroom</t>
        </is>
      </c>
      <c r="C27" s="27" t="inlineStr">
        <is>
          <t>Monthly liquidity forecast</t>
        </is>
      </c>
      <c r="D27" s="27" t="inlineStr">
        <is>
          <t>Consolidated</t>
        </is>
      </c>
      <c r="E27" s="27" t="inlineStr">
        <is>
          <t>2026-05 working copy</t>
        </is>
      </c>
      <c r="F27" s="27" t="inlineStr">
        <is>
          <t>Approved case</t>
        </is>
      </c>
      <c r="G27" s="27" t="inlineStr">
        <is>
          <t>Cash taxes</t>
        </is>
      </c>
      <c r="H27" s="46" t="n">
        <v>0</v>
      </c>
      <c r="I27" s="27" t="inlineStr"/>
      <c r="J27" s="27" t="inlineStr">
        <is>
          <t>USD</t>
        </is>
      </c>
      <c r="K27" s="27" t="inlineStr">
        <is>
          <t>Earlier management working export</t>
        </is>
      </c>
      <c r="L27" s="47" t="inlineStr">
        <is>
          <t>2026-06-24</t>
        </is>
      </c>
      <c r="M27" s="27" t="inlineStr"/>
    </row>
    <row r="28">
      <c r="A28" s="36" t="inlineStr">
        <is>
          <t>TRY-00169</t>
        </is>
      </c>
      <c r="B28" s="27" t="inlineStr">
        <is>
          <t>Seasonal liquidity and revolver headroom</t>
        </is>
      </c>
      <c r="C28" s="27" t="inlineStr">
        <is>
          <t>Monthly liquidity forecast</t>
        </is>
      </c>
      <c r="D28" s="27" t="inlineStr">
        <is>
          <t>Consolidated</t>
        </is>
      </c>
      <c r="E28" s="27" t="inlineStr">
        <is>
          <t>2027-05</t>
        </is>
      </c>
      <c r="F28" s="27" t="inlineStr">
        <is>
          <t>Management stretch</t>
        </is>
      </c>
      <c r="G28" s="27" t="inlineStr">
        <is>
          <t>Capital expenditures</t>
        </is>
      </c>
      <c r="H28" s="46" t="n">
        <v>185400</v>
      </c>
      <c r="I28" s="27" t="inlineStr"/>
      <c r="J28" s="27" t="inlineStr">
        <is>
          <t>USD</t>
        </is>
      </c>
      <c r="K28" s="27" t="inlineStr">
        <is>
          <t>Earlier management working export</t>
        </is>
      </c>
      <c r="L28" s="47" t="inlineStr">
        <is>
          <t>2026-06-24</t>
        </is>
      </c>
      <c r="M28" s="27" t="inlineStr"/>
    </row>
    <row r="29">
      <c r="A29" s="36" t="inlineStr">
        <is>
          <t>TRY-00170</t>
        </is>
      </c>
      <c r="B29" s="27" t="inlineStr">
        <is>
          <t>Seasonal liquidity and revolver headroom</t>
        </is>
      </c>
      <c r="C29" s="27" t="inlineStr">
        <is>
          <t>Monthly liquidity forecast</t>
        </is>
      </c>
      <c r="D29" s="27" t="inlineStr">
        <is>
          <t>Consolidated</t>
        </is>
      </c>
      <c r="E29" s="27" t="inlineStr">
        <is>
          <t>2026-05 working copy</t>
        </is>
      </c>
      <c r="F29" s="27" t="inlineStr">
        <is>
          <t>Approved case</t>
        </is>
      </c>
      <c r="G29" s="27" t="inlineStr">
        <is>
          <t>Scheduled debt service</t>
        </is>
      </c>
      <c r="H29" s="46" t="n">
        <v>135200</v>
      </c>
      <c r="I29" s="27" t="inlineStr"/>
      <c r="J29" s="27" t="inlineStr">
        <is>
          <t>USD</t>
        </is>
      </c>
      <c r="K29" s="27" t="inlineStr">
        <is>
          <t>Earlier management working export</t>
        </is>
      </c>
      <c r="L29" s="47" t="inlineStr">
        <is>
          <t>2026-06-24</t>
        </is>
      </c>
      <c r="M29" s="27" t="inlineStr"/>
    </row>
    <row r="30">
      <c r="A30" s="36" t="inlineStr">
        <is>
          <t>TRY-00171</t>
        </is>
      </c>
      <c r="B30" s="27" t="inlineStr">
        <is>
          <t>Seasonal liquidity and revolver headroom</t>
        </is>
      </c>
      <c r="C30" s="27" t="inlineStr">
        <is>
          <t>Monthly liquidity forecast</t>
        </is>
      </c>
      <c r="D30" s="27" t="inlineStr">
        <is>
          <t>Consolidated</t>
        </is>
      </c>
      <c r="E30" s="27" t="inlineStr">
        <is>
          <t>2026-07</t>
        </is>
      </c>
      <c r="F30" s="27" t="inlineStr">
        <is>
          <t>Management stretch</t>
        </is>
      </c>
      <c r="G30" s="27" t="inlineStr">
        <is>
          <t>Cash taxes</t>
        </is>
      </c>
      <c r="H30" s="46" t="n">
        <v>0</v>
      </c>
      <c r="I30" s="27" t="inlineStr"/>
      <c r="J30" s="27" t="inlineStr">
        <is>
          <t>USD</t>
        </is>
      </c>
      <c r="K30" s="27" t="inlineStr">
        <is>
          <t>Earlier management working export</t>
        </is>
      </c>
      <c r="L30" s="47" t="inlineStr">
        <is>
          <t>2026-06-24</t>
        </is>
      </c>
      <c r="M30" s="27" t="inlineStr"/>
    </row>
    <row r="31">
      <c r="A31" s="36" t="inlineStr">
        <is>
          <t>TRY-00335</t>
        </is>
      </c>
      <c r="B31" s="27" t="inlineStr">
        <is>
          <t>Short-term liquidity investment allocation</t>
        </is>
      </c>
      <c r="C31" s="27" t="inlineStr">
        <is>
          <t>Available cash</t>
        </is>
      </c>
      <c r="D31" s="27" t="inlineStr">
        <is>
          <t>Executed asset-sale proceeds</t>
        </is>
      </c>
      <c r="E31" s="27" t="inlineStr">
        <is>
          <t>2026-05 working copy</t>
        </is>
      </c>
      <c r="F31" s="27" t="inlineStr">
        <is>
          <t>Approved case</t>
        </is>
      </c>
      <c r="G31" s="27" t="inlineStr">
        <is>
          <t>Settling proceeds</t>
        </is>
      </c>
      <c r="H31" s="46" t="n">
        <v>12154000</v>
      </c>
      <c r="I31" s="27" t="inlineStr"/>
      <c r="J31" s="27" t="inlineStr">
        <is>
          <t>USD</t>
        </is>
      </c>
      <c r="K31" s="27" t="inlineStr">
        <is>
          <t>Earlier management working export</t>
        </is>
      </c>
      <c r="L31" s="47" t="inlineStr">
        <is>
          <t>2026-06-24</t>
        </is>
      </c>
      <c r="M31" s="27" t="inlineStr"/>
    </row>
    <row r="32">
      <c r="A32" s="36" t="inlineStr">
        <is>
          <t>TRY-00336</t>
        </is>
      </c>
      <c r="B32" s="27" t="inlineStr">
        <is>
          <t>Short-term liquidity investment allocation</t>
        </is>
      </c>
      <c r="C32" s="27" t="inlineStr">
        <is>
          <t>Approved investment menu</t>
        </is>
      </c>
      <c r="D32" s="27" t="inlineStr">
        <is>
          <t>Operating money market</t>
        </is>
      </c>
      <c r="E32" s="27" t="inlineStr">
        <is>
          <t>2026-07-05</t>
        </is>
      </c>
      <c r="F32" s="27" t="inlineStr">
        <is>
          <t>Management stretch</t>
        </is>
      </c>
      <c r="G32" s="27" t="inlineStr">
        <is>
          <t>Same-day liquidity factor</t>
        </is>
      </c>
      <c r="H32" s="46" t="n">
        <v>1.04</v>
      </c>
      <c r="I32" s="27" t="inlineStr"/>
      <c r="J32" s="27" t="inlineStr">
        <is>
          <t>decimal ratio</t>
        </is>
      </c>
      <c r="K32" s="27" t="inlineStr">
        <is>
          <t>Earlier management working export</t>
        </is>
      </c>
      <c r="L32" s="47" t="inlineStr">
        <is>
          <t>2026-06-24</t>
        </is>
      </c>
      <c r="M32" s="27" t="inlineStr"/>
    </row>
    <row r="33">
      <c r="A33" s="36" t="inlineStr">
        <is>
          <t>TRY-00337</t>
        </is>
      </c>
      <c r="B33" s="27" t="inlineStr">
        <is>
          <t>Short-term liquidity investment allocation</t>
        </is>
      </c>
      <c r="C33" s="27" t="inlineStr">
        <is>
          <t>Approved investment menu</t>
        </is>
      </c>
      <c r="D33" s="27" t="inlineStr">
        <is>
          <t>Government fund</t>
        </is>
      </c>
      <c r="E33" s="27" t="inlineStr">
        <is>
          <t>2026-05 working copy</t>
        </is>
      </c>
      <c r="F33" s="27" t="inlineStr">
        <is>
          <t>Approved case</t>
        </is>
      </c>
      <c r="G33" s="27" t="inlineStr">
        <is>
          <t>Approved capacity</t>
        </is>
      </c>
      <c r="H33" s="46" t="n">
        <v>6300000</v>
      </c>
      <c r="I33" s="27" t="inlineStr"/>
      <c r="J33" s="27" t="inlineStr">
        <is>
          <t>USD</t>
        </is>
      </c>
      <c r="K33" s="27" t="inlineStr">
        <is>
          <t>Earlier management working export</t>
        </is>
      </c>
      <c r="L33" s="47" t="inlineStr">
        <is>
          <t>2026-06-24</t>
        </is>
      </c>
      <c r="M33" s="27" t="inlineStr"/>
    </row>
    <row r="34">
      <c r="A34" s="36" t="inlineStr">
        <is>
          <t>TRY-00338</t>
        </is>
      </c>
      <c r="B34" s="27" t="inlineStr">
        <is>
          <t>Short-term liquidity investment allocation</t>
        </is>
      </c>
      <c r="C34" s="27" t="inlineStr">
        <is>
          <t>Investment policy</t>
        </is>
      </c>
      <c r="D34" s="27" t="inlineStr">
        <is>
          <t>Portfolio</t>
        </is>
      </c>
      <c r="E34" s="27" t="inlineStr">
        <is>
          <t>2026-07-05</t>
        </is>
      </c>
      <c r="F34" s="27" t="inlineStr">
        <is>
          <t>Management stretch</t>
        </is>
      </c>
      <c r="G34" s="27" t="inlineStr">
        <is>
          <t>Minimum same-day liquidity percent</t>
        </is>
      </c>
      <c r="H34" s="46" t="n">
        <v>0.4326</v>
      </c>
      <c r="I34" s="27" t="inlineStr"/>
      <c r="J34" s="27" t="inlineStr">
        <is>
          <t>decimal ratio</t>
        </is>
      </c>
      <c r="K34" s="27" t="inlineStr">
        <is>
          <t>Earlier management working export</t>
        </is>
      </c>
      <c r="L34" s="47" t="inlineStr">
        <is>
          <t>2026-06-24</t>
        </is>
      </c>
      <c r="M34" s="27" t="inlineStr"/>
    </row>
    <row r="35">
      <c r="A35" s="36" t="inlineStr">
        <is>
          <t>TRY-00339</t>
        </is>
      </c>
      <c r="B35" s="27" t="inlineStr">
        <is>
          <t>Short-term liquidity investment allocation</t>
        </is>
      </c>
      <c r="C35" s="27" t="inlineStr">
        <is>
          <t>Approved investment menu</t>
        </is>
      </c>
      <c r="D35" s="27" t="inlineStr">
        <is>
          <t>Operating money market</t>
        </is>
      </c>
      <c r="E35" s="27" t="inlineStr">
        <is>
          <t>2026-05 working copy</t>
        </is>
      </c>
      <c r="F35" s="27" t="inlineStr">
        <is>
          <t>Approved case</t>
        </is>
      </c>
      <c r="G35" s="27" t="inlineStr">
        <is>
          <t>Weighted-average maturity days</t>
        </is>
      </c>
      <c r="H35" s="46" t="n">
        <v>1.04</v>
      </c>
      <c r="I35" s="27" t="inlineStr"/>
      <c r="J35" s="27" t="inlineStr">
        <is>
          <t>days</t>
        </is>
      </c>
      <c r="K35" s="27" t="inlineStr">
        <is>
          <t>Earlier management working export</t>
        </is>
      </c>
      <c r="L35" s="47" t="inlineStr">
        <is>
          <t>2026-06-24</t>
        </is>
      </c>
      <c r="M35" s="27" t="inlineStr"/>
    </row>
    <row r="36">
      <c r="A36" s="36" t="inlineStr">
        <is>
          <t>TRY-00340</t>
        </is>
      </c>
      <c r="B36" s="27" t="inlineStr">
        <is>
          <t>Short-term liquidity investment allocation</t>
        </is>
      </c>
      <c r="C36" s="27" t="inlineStr">
        <is>
          <t>Approved investment menu</t>
        </is>
      </c>
      <c r="D36" s="27" t="inlineStr">
        <is>
          <t>Government fund</t>
        </is>
      </c>
      <c r="E36" s="27" t="inlineStr">
        <is>
          <t>2026-07-05</t>
        </is>
      </c>
      <c r="F36" s="27" t="inlineStr">
        <is>
          <t>Management stretch</t>
        </is>
      </c>
      <c r="G36" s="27" t="inlineStr">
        <is>
          <t>Annual yield</t>
        </is>
      </c>
      <c r="H36" s="46" t="n">
        <v>0.0462</v>
      </c>
      <c r="I36" s="27" t="inlineStr"/>
      <c r="J36" s="27" t="inlineStr">
        <is>
          <t>decimal ratio</t>
        </is>
      </c>
      <c r="K36" s="27" t="inlineStr">
        <is>
          <t>Earlier management working export</t>
        </is>
      </c>
      <c r="L36" s="47" t="inlineStr">
        <is>
          <t>2026-06-24</t>
        </is>
      </c>
      <c r="M36" s="27" t="inlineStr"/>
    </row>
    <row r="37">
      <c r="A37" s="36" t="inlineStr">
        <is>
          <t>TRY-00341</t>
        </is>
      </c>
      <c r="B37" s="27" t="inlineStr">
        <is>
          <t>Short-term liquidity investment allocation</t>
        </is>
      </c>
      <c r="C37" s="27" t="inlineStr">
        <is>
          <t>Approved investment menu</t>
        </is>
      </c>
      <c r="D37" s="27" t="inlineStr">
        <is>
          <t>Insured sweep</t>
        </is>
      </c>
      <c r="E37" s="27" t="inlineStr">
        <is>
          <t>2026-05 working copy</t>
        </is>
      </c>
      <c r="F37" s="27" t="inlineStr">
        <is>
          <t>Approved case</t>
        </is>
      </c>
      <c r="G37" s="27" t="inlineStr">
        <is>
          <t>Same-day liquidity factor</t>
        </is>
      </c>
      <c r="H37" s="46" t="n">
        <v>1.03</v>
      </c>
      <c r="I37" s="27" t="inlineStr"/>
      <c r="J37" s="27" t="inlineStr">
        <is>
          <t>decimal ratio</t>
        </is>
      </c>
      <c r="K37" s="27" t="inlineStr">
        <is>
          <t>Earlier management working export</t>
        </is>
      </c>
      <c r="L37" s="47" t="inlineStr">
        <is>
          <t>2026-06-24</t>
        </is>
      </c>
      <c r="M37" s="27" t="inlineStr"/>
    </row>
    <row r="38">
      <c r="A38" s="36" t="inlineStr">
        <is>
          <t>TRY-00342</t>
        </is>
      </c>
      <c r="B38" s="27" t="inlineStr">
        <is>
          <t>Short-term liquidity investment allocation</t>
        </is>
      </c>
      <c r="C38" s="27" t="inlineStr">
        <is>
          <t>Liquidity floors</t>
        </is>
      </c>
      <c r="D38" s="27" t="inlineStr">
        <is>
          <t>Payroll</t>
        </is>
      </c>
      <c r="E38" s="27" t="inlineStr">
        <is>
          <t>2026-07-05</t>
        </is>
      </c>
      <c r="F38" s="27" t="inlineStr">
        <is>
          <t>Management stretch</t>
        </is>
      </c>
      <c r="G38" s="27" t="inlineStr">
        <is>
          <t>Payroll cash floor</t>
        </is>
      </c>
      <c r="H38" s="46" t="n">
        <v>988</v>
      </c>
      <c r="I38" s="27" t="inlineStr"/>
      <c r="J38" s="27" t="inlineStr">
        <is>
          <t>USD thousands</t>
        </is>
      </c>
      <c r="K38" s="27" t="inlineStr">
        <is>
          <t>Earlier management working export</t>
        </is>
      </c>
      <c r="L38" s="47" t="inlineStr">
        <is>
          <t>2026-06-24</t>
        </is>
      </c>
      <c r="M38" s="27" t="inlineStr"/>
    </row>
    <row r="39">
      <c r="A39" s="36" t="inlineStr">
        <is>
          <t>TRY-00343</t>
        </is>
      </c>
      <c r="B39" s="27" t="inlineStr">
        <is>
          <t>Short-term liquidity investment allocation</t>
        </is>
      </c>
      <c r="C39" s="27" t="inlineStr">
        <is>
          <t>Approved investment menu</t>
        </is>
      </c>
      <c r="D39" s="27" t="inlineStr">
        <is>
          <t>Treasury bill</t>
        </is>
      </c>
      <c r="E39" s="27" t="inlineStr">
        <is>
          <t>2026-05 working copy</t>
        </is>
      </c>
      <c r="F39" s="27" t="inlineStr">
        <is>
          <t>Approved case</t>
        </is>
      </c>
      <c r="G39" s="27" t="inlineStr">
        <is>
          <t>Approved capacity</t>
        </is>
      </c>
      <c r="H39" s="46" t="n">
        <v>7350000</v>
      </c>
      <c r="I39" s="27" t="inlineStr"/>
      <c r="J39" s="27" t="inlineStr">
        <is>
          <t>USD</t>
        </is>
      </c>
      <c r="K39" s="27" t="inlineStr">
        <is>
          <t>Earlier management working export</t>
        </is>
      </c>
      <c r="L39" s="47" t="inlineStr">
        <is>
          <t>2026-06-24</t>
        </is>
      </c>
      <c r="M39" s="27" t="inlineStr"/>
    </row>
    <row r="40">
      <c r="A40" s="36" t="inlineStr">
        <is>
          <t>TRY-00344</t>
        </is>
      </c>
      <c r="B40" s="27" t="inlineStr">
        <is>
          <t>Short-term liquidity investment allocation</t>
        </is>
      </c>
      <c r="C40" s="27" t="inlineStr">
        <is>
          <t>Approved investment menu</t>
        </is>
      </c>
      <c r="D40" s="27" t="inlineStr">
        <is>
          <t>Insured sweep</t>
        </is>
      </c>
      <c r="E40" s="27" t="inlineStr">
        <is>
          <t>2026-07-05</t>
        </is>
      </c>
      <c r="F40" s="27" t="inlineStr">
        <is>
          <t>Management stretch</t>
        </is>
      </c>
      <c r="G40" s="27" t="inlineStr">
        <is>
          <t>Weighted-average maturity days</t>
        </is>
      </c>
      <c r="H40" s="46" t="n">
        <v>2.06</v>
      </c>
      <c r="I40" s="27" t="inlineStr"/>
      <c r="J40" s="27" t="inlineStr">
        <is>
          <t>days</t>
        </is>
      </c>
      <c r="K40" s="27" t="inlineStr">
        <is>
          <t>Earlier management working export</t>
        </is>
      </c>
      <c r="L40" s="47" t="inlineStr">
        <is>
          <t>2026-06-24</t>
        </is>
      </c>
      <c r="M40" s="27" t="inlineStr"/>
    </row>
    <row r="41">
      <c r="A41" s="36" t="inlineStr">
        <is>
          <t>TRY-00519</t>
        </is>
      </c>
      <c r="B41" s="27" t="inlineStr">
        <is>
          <t>Create the dynamic 13-week cash and revolver model</t>
        </is>
      </c>
      <c r="C41" s="27" t="inlineStr">
        <is>
          <t>13-week direct cash forecast</t>
        </is>
      </c>
      <c r="D41" s="27" t="inlineStr">
        <is>
          <t>Alder Ridge</t>
        </is>
      </c>
      <c r="E41" s="27" t="inlineStr">
        <is>
          <t>2026-05 working copy</t>
        </is>
      </c>
      <c r="F41" s="27" t="inlineStr">
        <is>
          <t>Approved case</t>
        </is>
      </c>
      <c r="G41" s="27" t="inlineStr">
        <is>
          <t>Customer receipts</t>
        </is>
      </c>
      <c r="H41" s="46" t="n">
        <v>2245.4</v>
      </c>
      <c r="I41" s="27" t="inlineStr"/>
      <c r="J41" s="27" t="inlineStr">
        <is>
          <t>USD thousands</t>
        </is>
      </c>
      <c r="K41" s="27" t="inlineStr">
        <is>
          <t>Earlier management working export</t>
        </is>
      </c>
      <c r="L41" s="47" t="inlineStr">
        <is>
          <t>2026-06-24</t>
        </is>
      </c>
      <c r="M41" s="27" t="inlineStr"/>
    </row>
    <row r="42">
      <c r="A42" s="36" t="inlineStr">
        <is>
          <t>TRY-00520</t>
        </is>
      </c>
      <c r="B42" s="27" t="inlineStr">
        <is>
          <t>Create the dynamic 13-week cash and revolver model</t>
        </is>
      </c>
      <c r="C42" s="27" t="inlineStr">
        <is>
          <t>13-week direct cash forecast</t>
        </is>
      </c>
      <c r="D42" s="27" t="inlineStr">
        <is>
          <t>Alder Ridge</t>
        </is>
      </c>
      <c r="E42" s="27" t="inlineStr">
        <is>
          <t>2026-07-17</t>
        </is>
      </c>
      <c r="F42" s="27" t="inlineStr">
        <is>
          <t>Management stretch</t>
        </is>
      </c>
      <c r="G42" s="27" t="inlineStr">
        <is>
          <t>Taxes and capex</t>
        </is>
      </c>
      <c r="H42" s="46" t="n">
        <v>0</v>
      </c>
      <c r="I42" s="27" t="inlineStr"/>
      <c r="J42" s="27" t="inlineStr">
        <is>
          <t>USD</t>
        </is>
      </c>
      <c r="K42" s="27" t="inlineStr">
        <is>
          <t>Earlier management working export</t>
        </is>
      </c>
      <c r="L42" s="47" t="inlineStr">
        <is>
          <t>2026-06-24</t>
        </is>
      </c>
      <c r="M42" s="27" t="inlineStr"/>
    </row>
    <row r="43">
      <c r="A43" s="36" t="inlineStr">
        <is>
          <t>TRY-00521</t>
        </is>
      </c>
      <c r="B43" s="27" t="inlineStr">
        <is>
          <t>Create the dynamic 13-week cash and revolver model</t>
        </is>
      </c>
      <c r="C43" s="27" t="inlineStr">
        <is>
          <t>13-week direct cash forecast</t>
        </is>
      </c>
      <c r="D43" s="27" t="inlineStr">
        <is>
          <t>Alder Ridge</t>
        </is>
      </c>
      <c r="E43" s="27" t="inlineStr">
        <is>
          <t>2026-05 working copy</t>
        </is>
      </c>
      <c r="F43" s="27" t="inlineStr">
        <is>
          <t>Approved case</t>
        </is>
      </c>
      <c r="G43" s="27" t="inlineStr">
        <is>
          <t>Payroll</t>
        </is>
      </c>
      <c r="H43" s="46" t="n">
        <v>0</v>
      </c>
      <c r="I43" s="27" t="inlineStr"/>
      <c r="J43" s="27" t="inlineStr">
        <is>
          <t>USD</t>
        </is>
      </c>
      <c r="K43" s="27" t="inlineStr">
        <is>
          <t>Earlier management working export</t>
        </is>
      </c>
      <c r="L43" s="47" t="inlineStr">
        <is>
          <t>2026-06-24</t>
        </is>
      </c>
      <c r="M43" s="27" t="inlineStr"/>
    </row>
    <row r="44">
      <c r="A44" s="36" t="inlineStr">
        <is>
          <t>TRY-00522</t>
        </is>
      </c>
      <c r="B44" s="27" t="inlineStr">
        <is>
          <t>Create the dynamic 13-week cash and revolver model</t>
        </is>
      </c>
      <c r="C44" s="27" t="inlineStr">
        <is>
          <t>13-week direct cash forecast</t>
        </is>
      </c>
      <c r="D44" s="27" t="inlineStr">
        <is>
          <t>Alder Ridge</t>
        </is>
      </c>
      <c r="E44" s="27" t="inlineStr">
        <is>
          <t>2026-08-14</t>
        </is>
      </c>
      <c r="F44" s="27" t="inlineStr">
        <is>
          <t>Management stretch</t>
        </is>
      </c>
      <c r="G44" s="27" t="inlineStr">
        <is>
          <t>Operating disbursements</t>
        </is>
      </c>
      <c r="H44" s="46" t="n">
        <v>2193900</v>
      </c>
      <c r="I44" s="27" t="inlineStr"/>
      <c r="J44" s="27" t="inlineStr">
        <is>
          <t>USD</t>
        </is>
      </c>
      <c r="K44" s="27" t="inlineStr">
        <is>
          <t>Earlier management working export</t>
        </is>
      </c>
      <c r="L44" s="47" t="inlineStr">
        <is>
          <t>2026-06-24</t>
        </is>
      </c>
      <c r="M44" s="27" t="inlineStr"/>
    </row>
    <row r="45">
      <c r="A45" s="36" t="inlineStr">
        <is>
          <t>TRY-00523</t>
        </is>
      </c>
      <c r="B45" s="27" t="inlineStr">
        <is>
          <t>Create the dynamic 13-week cash and revolver model</t>
        </is>
      </c>
      <c r="C45" s="27" t="inlineStr">
        <is>
          <t>13-week direct cash forecast</t>
        </is>
      </c>
      <c r="D45" s="27" t="inlineStr">
        <is>
          <t>Alder Ridge</t>
        </is>
      </c>
      <c r="E45" s="27" t="inlineStr">
        <is>
          <t>2026-05 working copy</t>
        </is>
      </c>
      <c r="F45" s="27" t="inlineStr">
        <is>
          <t>Approved case</t>
        </is>
      </c>
      <c r="G45" s="27" t="inlineStr">
        <is>
          <t>Customer receipts</t>
        </is>
      </c>
      <c r="H45" s="46" t="n">
        <v>3577.6</v>
      </c>
      <c r="I45" s="27" t="inlineStr"/>
      <c r="J45" s="27" t="inlineStr">
        <is>
          <t>USD thousands</t>
        </is>
      </c>
      <c r="K45" s="27" t="inlineStr">
        <is>
          <t>Earlier management working export</t>
        </is>
      </c>
      <c r="L45" s="47" t="inlineStr">
        <is>
          <t>2026-06-24</t>
        </is>
      </c>
      <c r="M45" s="27" t="inlineStr"/>
    </row>
    <row r="46">
      <c r="A46" s="36" t="inlineStr">
        <is>
          <t>TRY-00524</t>
        </is>
      </c>
      <c r="B46" s="27" t="inlineStr">
        <is>
          <t>Create the dynamic 13-week cash and revolver model</t>
        </is>
      </c>
      <c r="C46" s="27" t="inlineStr">
        <is>
          <t>13-week direct cash forecast</t>
        </is>
      </c>
      <c r="D46" s="27" t="inlineStr">
        <is>
          <t>Alder Ridge</t>
        </is>
      </c>
      <c r="E46" s="27" t="inlineStr">
        <is>
          <t>2026-09-04</t>
        </is>
      </c>
      <c r="F46" s="27" t="inlineStr">
        <is>
          <t>Management stretch</t>
        </is>
      </c>
      <c r="G46" s="27" t="inlineStr">
        <is>
          <t>Taxes and capex</t>
        </is>
      </c>
      <c r="H46" s="46" t="n">
        <v>0</v>
      </c>
      <c r="I46" s="27" t="inlineStr"/>
      <c r="J46" s="27" t="inlineStr">
        <is>
          <t>USD</t>
        </is>
      </c>
      <c r="K46" s="27" t="inlineStr">
        <is>
          <t>Earlier management working export</t>
        </is>
      </c>
      <c r="L46" s="47" t="inlineStr">
        <is>
          <t>2026-06-24</t>
        </is>
      </c>
      <c r="M46" s="27" t="inlineStr"/>
    </row>
    <row r="47">
      <c r="A47" s="36" t="inlineStr">
        <is>
          <t>TRY-00525</t>
        </is>
      </c>
      <c r="B47" s="27" t="inlineStr">
        <is>
          <t>Create the dynamic 13-week cash and revolver model</t>
        </is>
      </c>
      <c r="C47" s="27" t="inlineStr">
        <is>
          <t>13-week direct cash forecast</t>
        </is>
      </c>
      <c r="D47" s="27" t="inlineStr">
        <is>
          <t>Alder Ridge</t>
        </is>
      </c>
      <c r="E47" s="27" t="inlineStr">
        <is>
          <t>2026-05 working copy</t>
        </is>
      </c>
      <c r="F47" s="27" t="inlineStr">
        <is>
          <t>Approved case</t>
        </is>
      </c>
      <c r="G47" s="27" t="inlineStr">
        <is>
          <t>Payroll</t>
        </is>
      </c>
      <c r="H47" s="46" t="n">
        <v>968200</v>
      </c>
      <c r="I47" s="27" t="inlineStr"/>
      <c r="J47" s="27" t="inlineStr">
        <is>
          <t>USD</t>
        </is>
      </c>
      <c r="K47" s="27" t="inlineStr">
        <is>
          <t>Earlier management working export</t>
        </is>
      </c>
      <c r="L47" s="47" t="inlineStr">
        <is>
          <t>2026-06-24</t>
        </is>
      </c>
      <c r="M47" s="27" t="inlineStr"/>
    </row>
    <row r="48">
      <c r="A48" s="36" t="inlineStr">
        <is>
          <t>TRY-00526</t>
        </is>
      </c>
      <c r="B48" s="27" t="inlineStr">
        <is>
          <t>Create the dynamic 13-week cash and revolver model</t>
        </is>
      </c>
      <c r="C48" s="27" t="inlineStr">
        <is>
          <t>13-week direct cash forecast</t>
        </is>
      </c>
      <c r="D48" s="27" t="inlineStr">
        <is>
          <t>Alder Ridge</t>
        </is>
      </c>
      <c r="E48" s="27" t="inlineStr">
        <is>
          <t>2026-10-02</t>
        </is>
      </c>
      <c r="F48" s="27" t="inlineStr">
        <is>
          <t>Management stretch</t>
        </is>
      </c>
      <c r="G48" s="27" t="inlineStr">
        <is>
          <t>Operating disbursements</t>
        </is>
      </c>
      <c r="H48" s="46" t="n">
        <v>2589600</v>
      </c>
      <c r="I48" s="27" t="inlineStr"/>
      <c r="J48" s="27" t="inlineStr">
        <is>
          <t>USD</t>
        </is>
      </c>
      <c r="K48" s="27" t="inlineStr">
        <is>
          <t>Earlier management working export</t>
        </is>
      </c>
      <c r="L48" s="47" t="inlineStr">
        <is>
          <t>2026-06-24</t>
        </is>
      </c>
      <c r="M48" s="27" t="inlineStr"/>
    </row>
    <row r="49">
      <c r="A49" s="36" t="inlineStr">
        <is>
          <t>TRY-00527</t>
        </is>
      </c>
      <c r="B49" s="27" t="inlineStr">
        <is>
          <t>Create the dynamic 13-week cash and revolver model</t>
        </is>
      </c>
      <c r="C49" s="27" t="inlineStr">
        <is>
          <t>Weekly funding policy</t>
        </is>
      </c>
      <c r="D49" s="27" t="inlineStr">
        <is>
          <t>Alder Ridge</t>
        </is>
      </c>
      <c r="E49" s="27" t="inlineStr">
        <is>
          <t>2026-05 working copy</t>
        </is>
      </c>
      <c r="F49" s="27" t="inlineStr">
        <is>
          <t>Approved case</t>
        </is>
      </c>
      <c r="G49" s="27" t="inlineStr">
        <is>
          <t>Unused commitment fee</t>
        </is>
      </c>
      <c r="H49" s="46" t="n">
        <v>0.00315</v>
      </c>
      <c r="I49" s="27" t="inlineStr"/>
      <c r="J49" s="27" t="inlineStr">
        <is>
          <t>decimal ratio</t>
        </is>
      </c>
      <c r="K49" s="27" t="inlineStr">
        <is>
          <t>Earlier management working export</t>
        </is>
      </c>
      <c r="L49" s="47" t="inlineStr">
        <is>
          <t>2026-06-24</t>
        </is>
      </c>
      <c r="M49" s="27" t="inlineStr"/>
    </row>
    <row r="50">
      <c r="A50" s="36" t="inlineStr">
        <is>
          <t>TRY-00528</t>
        </is>
      </c>
      <c r="B50" s="27" t="inlineStr">
        <is>
          <t>Create the dynamic 13-week cash and revolver model</t>
        </is>
      </c>
      <c r="C50" s="27" t="inlineStr">
        <is>
          <t>13-week direct cash forecast</t>
        </is>
      </c>
      <c r="D50" s="27" t="inlineStr">
        <is>
          <t>Alder Ridge</t>
        </is>
      </c>
      <c r="E50" s="27" t="inlineStr">
        <is>
          <t>2026-07-17</t>
        </is>
      </c>
      <c r="F50" s="27" t="inlineStr">
        <is>
          <t>Management stretch</t>
        </is>
      </c>
      <c r="G50" s="27" t="inlineStr">
        <is>
          <t>Operating disbursements</t>
        </is>
      </c>
      <c r="H50" s="46" t="n">
        <v>2255700</v>
      </c>
      <c r="I50" s="27" t="inlineStr"/>
      <c r="J50" s="27" t="inlineStr">
        <is>
          <t>USD</t>
        </is>
      </c>
      <c r="K50" s="27" t="inlineStr">
        <is>
          <t>Earlier management working export</t>
        </is>
      </c>
      <c r="L50" s="47" t="inlineStr">
        <is>
          <t>2026-06-24</t>
        </is>
      </c>
      <c r="M50" s="27" t="inlineStr"/>
    </row>
    <row r="51">
      <c r="A51" s="36" t="inlineStr">
        <is>
          <t>TRY-00529</t>
        </is>
      </c>
      <c r="B51" s="27" t="inlineStr">
        <is>
          <t>Create the dynamic 13-week cash and revolver model</t>
        </is>
      </c>
      <c r="C51" s="27" t="inlineStr">
        <is>
          <t>13-week direct cash forecast</t>
        </is>
      </c>
      <c r="D51" s="27" t="inlineStr">
        <is>
          <t>Alder Ridge</t>
        </is>
      </c>
      <c r="E51" s="27" t="inlineStr">
        <is>
          <t>2026-05 working copy</t>
        </is>
      </c>
      <c r="F51" s="27" t="inlineStr">
        <is>
          <t>Approved case</t>
        </is>
      </c>
      <c r="G51" s="27" t="inlineStr">
        <is>
          <t>Customer receipts</t>
        </is>
      </c>
      <c r="H51" s="46" t="n">
        <v>3390400</v>
      </c>
      <c r="I51" s="27" t="inlineStr"/>
      <c r="J51" s="27" t="inlineStr">
        <is>
          <t>USD</t>
        </is>
      </c>
      <c r="K51" s="27" t="inlineStr">
        <is>
          <t>Earlier management working export</t>
        </is>
      </c>
      <c r="L51" s="47" t="inlineStr">
        <is>
          <t>2026-06-24</t>
        </is>
      </c>
      <c r="M51" s="27" t="inlineStr"/>
    </row>
    <row r="52">
      <c r="A52" s="36" t="inlineStr">
        <is>
          <t>TRY-00530</t>
        </is>
      </c>
      <c r="B52" s="27" t="inlineStr">
        <is>
          <t>Create the dynamic 13-week cash and revolver model</t>
        </is>
      </c>
      <c r="C52" s="27" t="inlineStr">
        <is>
          <t>13-week direct cash forecast</t>
        </is>
      </c>
      <c r="D52" s="27" t="inlineStr">
        <is>
          <t>Alder Ridge</t>
        </is>
      </c>
      <c r="E52" s="27" t="inlineStr">
        <is>
          <t>2026-08-07</t>
        </is>
      </c>
      <c r="F52" s="27" t="inlineStr">
        <is>
          <t>Management stretch</t>
        </is>
      </c>
      <c r="G52" s="27" t="inlineStr">
        <is>
          <t>Taxes and capex</t>
        </is>
      </c>
      <c r="H52" s="46" t="n">
        <v>0</v>
      </c>
      <c r="I52" s="27" t="inlineStr"/>
      <c r="J52" s="27" t="inlineStr">
        <is>
          <t>USD</t>
        </is>
      </c>
      <c r="K52" s="27" t="inlineStr">
        <is>
          <t>Earlier management working export</t>
        </is>
      </c>
      <c r="L52" s="47" t="inlineStr">
        <is>
          <t>2026-06-24</t>
        </is>
      </c>
      <c r="M52" s="27" t="inlineStr"/>
    </row>
    <row r="53">
      <c r="A53" s="36" t="inlineStr">
        <is>
          <t>TRY-00531</t>
        </is>
      </c>
      <c r="B53" s="27" t="inlineStr">
        <is>
          <t>Create the dynamic 13-week cash and revolver model</t>
        </is>
      </c>
      <c r="C53" s="27" t="inlineStr">
        <is>
          <t>13-week direct cash forecast</t>
        </is>
      </c>
      <c r="D53" s="27" t="inlineStr">
        <is>
          <t>Alder Ridge</t>
        </is>
      </c>
      <c r="E53" s="27" t="inlineStr">
        <is>
          <t>2026-05 working copy</t>
        </is>
      </c>
      <c r="F53" s="27" t="inlineStr">
        <is>
          <t>Approved case</t>
        </is>
      </c>
      <c r="G53" s="27" t="inlineStr">
        <is>
          <t>Payroll</t>
        </is>
      </c>
      <c r="H53" s="46" t="n">
        <v>968.2</v>
      </c>
      <c r="I53" s="27" t="inlineStr"/>
      <c r="J53" s="27" t="inlineStr">
        <is>
          <t>USD thousands</t>
        </is>
      </c>
      <c r="K53" s="27" t="inlineStr">
        <is>
          <t>Earlier management working export</t>
        </is>
      </c>
      <c r="L53" s="47" t="inlineStr">
        <is>
          <t>2026-06-24</t>
        </is>
      </c>
      <c r="M53" s="27" t="inlineStr"/>
    </row>
    <row r="54">
      <c r="A54" s="36" t="inlineStr">
        <is>
          <t>TRY-00532</t>
        </is>
      </c>
      <c r="B54" s="27" t="inlineStr">
        <is>
          <t>Create the dynamic 13-week cash and revolver model</t>
        </is>
      </c>
      <c r="C54" s="27" t="inlineStr">
        <is>
          <t>13-week direct cash forecast</t>
        </is>
      </c>
      <c r="D54" s="27" t="inlineStr">
        <is>
          <t>Alder Ridge</t>
        </is>
      </c>
      <c r="E54" s="27" t="inlineStr">
        <is>
          <t>2026-09-04</t>
        </is>
      </c>
      <c r="F54" s="27" t="inlineStr">
        <is>
          <t>Management stretch</t>
        </is>
      </c>
      <c r="G54" s="27" t="inlineStr">
        <is>
          <t>Operating disbursements</t>
        </is>
      </c>
      <c r="H54" s="46" t="n">
        <v>2610400</v>
      </c>
      <c r="I54" s="27" t="inlineStr"/>
      <c r="J54" s="27" t="inlineStr">
        <is>
          <t>USD</t>
        </is>
      </c>
      <c r="K54" s="27" t="inlineStr">
        <is>
          <t>Earlier management working export</t>
        </is>
      </c>
      <c r="L54" s="47" t="inlineStr">
        <is>
          <t>2026-06-24</t>
        </is>
      </c>
      <c r="M54" s="27" t="inlineStr"/>
    </row>
    <row r="55">
      <c r="A55" s="36" t="inlineStr">
        <is>
          <t>TRY-00533</t>
        </is>
      </c>
      <c r="B55" s="27" t="inlineStr">
        <is>
          <t>Create the dynamic 13-week cash and revolver model</t>
        </is>
      </c>
      <c r="C55" s="27" t="inlineStr">
        <is>
          <t>13-week direct cash forecast</t>
        </is>
      </c>
      <c r="D55" s="27" t="inlineStr">
        <is>
          <t>Alder Ridge</t>
        </is>
      </c>
      <c r="E55" s="27" t="inlineStr">
        <is>
          <t>2026-05 working copy</t>
        </is>
      </c>
      <c r="F55" s="27" t="inlineStr">
        <is>
          <t>Approved case</t>
        </is>
      </c>
      <c r="G55" s="27" t="inlineStr">
        <is>
          <t>Customer receipts</t>
        </is>
      </c>
      <c r="H55" s="46" t="n">
        <v>2152500</v>
      </c>
      <c r="I55" s="27" t="inlineStr"/>
      <c r="J55" s="27" t="inlineStr">
        <is>
          <t>USD</t>
        </is>
      </c>
      <c r="K55" s="27" t="inlineStr">
        <is>
          <t>Earlier management working export</t>
        </is>
      </c>
      <c r="L55" s="47" t="inlineStr">
        <is>
          <t>2026-06-24</t>
        </is>
      </c>
      <c r="M55" s="27" t="inlineStr"/>
    </row>
    <row r="56">
      <c r="A56" s="36" t="inlineStr">
        <is>
          <t>TRY-00534</t>
        </is>
      </c>
      <c r="B56" s="27" t="inlineStr">
        <is>
          <t>Create the dynamic 13-week cash and revolver model</t>
        </is>
      </c>
      <c r="C56" s="27" t="inlineStr">
        <is>
          <t>13-week direct cash forecast</t>
        </is>
      </c>
      <c r="D56" s="27" t="inlineStr">
        <is>
          <t>Alder Ridge</t>
        </is>
      </c>
      <c r="E56" s="27" t="inlineStr">
        <is>
          <t>2026-09-25</t>
        </is>
      </c>
      <c r="F56" s="27" t="inlineStr">
        <is>
          <t>Management stretch</t>
        </is>
      </c>
      <c r="G56" s="27" t="inlineStr">
        <is>
          <t>Taxes and capex</t>
        </is>
      </c>
      <c r="H56" s="46" t="n">
        <v>700400</v>
      </c>
      <c r="I56" s="27" t="inlineStr"/>
      <c r="J56" s="27" t="inlineStr">
        <is>
          <t>USD</t>
        </is>
      </c>
      <c r="K56" s="27" t="inlineStr">
        <is>
          <t>Earlier management working export</t>
        </is>
      </c>
      <c r="L56" s="47" t="inlineStr">
        <is>
          <t>2026-06-24</t>
        </is>
      </c>
      <c r="M56" s="27" t="inlineStr"/>
    </row>
    <row r="57">
      <c r="A57" s="36" t="inlineStr">
        <is>
          <t>TRY-00578</t>
        </is>
      </c>
      <c r="B57" s="27" t="inlineStr">
        <is>
          <t>Create the dynamic 13-week cash and revolver model</t>
        </is>
      </c>
      <c r="C57" s="27" t="inlineStr">
        <is>
          <t>Weekly collection and collateral control</t>
        </is>
      </c>
      <c r="D57" s="27" t="inlineStr">
        <is>
          <t>Alder Ridge</t>
        </is>
      </c>
      <c r="E57" s="27" t="inlineStr">
        <is>
          <t>2026-05 working copy</t>
        </is>
      </c>
      <c r="F57" s="27" t="inlineStr">
        <is>
          <t>Approved case</t>
        </is>
      </c>
      <c r="G57" s="27" t="inlineStr">
        <is>
          <t>Receipt confidence</t>
        </is>
      </c>
      <c r="H57" s="46" t="n">
        <v>0.9888</v>
      </c>
      <c r="I57" s="27" t="inlineStr"/>
      <c r="J57" s="27" t="inlineStr">
        <is>
          <t>decimal ratio</t>
        </is>
      </c>
      <c r="K57" s="27" t="inlineStr">
        <is>
          <t>Earlier management working export</t>
        </is>
      </c>
      <c r="L57" s="47" t="inlineStr">
        <is>
          <t>2026-06-24</t>
        </is>
      </c>
      <c r="M57" s="27" t="inlineStr"/>
    </row>
    <row r="58">
      <c r="A58" s="36" t="inlineStr">
        <is>
          <t>TRY-00579</t>
        </is>
      </c>
      <c r="B58" s="27" t="inlineStr">
        <is>
          <t>Create the dynamic 13-week cash and revolver model</t>
        </is>
      </c>
      <c r="C58" s="27" t="inlineStr">
        <is>
          <t>Weekly collection and collateral control</t>
        </is>
      </c>
      <c r="D58" s="27" t="inlineStr">
        <is>
          <t>Alder Ridge</t>
        </is>
      </c>
      <c r="E58" s="27" t="inlineStr">
        <is>
          <t>2026-07-24</t>
        </is>
      </c>
      <c r="F58" s="27" t="inlineStr">
        <is>
          <t>Management stretch</t>
        </is>
      </c>
      <c r="G58" s="27" t="inlineStr">
        <is>
          <t>Eligible AR</t>
        </is>
      </c>
      <c r="H58" s="46" t="n">
        <v>9568000</v>
      </c>
      <c r="I58" s="27" t="inlineStr"/>
      <c r="J58" s="27" t="inlineStr">
        <is>
          <t>USD</t>
        </is>
      </c>
      <c r="K58" s="27" t="inlineStr">
        <is>
          <t>Earlier management working export</t>
        </is>
      </c>
      <c r="L58" s="47" t="inlineStr">
        <is>
          <t>2026-06-24</t>
        </is>
      </c>
      <c r="M58" s="27" t="inlineStr"/>
    </row>
    <row r="59">
      <c r="A59" s="36" t="inlineStr">
        <is>
          <t>TRY-00580</t>
        </is>
      </c>
      <c r="B59" s="27" t="inlineStr">
        <is>
          <t>Create the dynamic 13-week cash and revolver model</t>
        </is>
      </c>
      <c r="C59" s="27" t="inlineStr">
        <is>
          <t>Weekly collection and collateral control</t>
        </is>
      </c>
      <c r="D59" s="27" t="inlineStr">
        <is>
          <t>Alder Ridge</t>
        </is>
      </c>
      <c r="E59" s="27" t="inlineStr">
        <is>
          <t>2026-05 working copy</t>
        </is>
      </c>
      <c r="F59" s="27" t="inlineStr">
        <is>
          <t>Approved case</t>
        </is>
      </c>
      <c r="G59" s="27" t="inlineStr">
        <is>
          <t>Eligible inventory</t>
        </is>
      </c>
      <c r="H59" s="46" t="n">
        <v>3612000</v>
      </c>
      <c r="I59" s="27" t="inlineStr"/>
      <c r="J59" s="27" t="inlineStr">
        <is>
          <t>USD</t>
        </is>
      </c>
      <c r="K59" s="27" t="inlineStr">
        <is>
          <t>Earlier management working export</t>
        </is>
      </c>
      <c r="L59" s="47" t="inlineStr">
        <is>
          <t>2026-06-24</t>
        </is>
      </c>
      <c r="M59" s="27" t="inlineStr"/>
    </row>
    <row r="60">
      <c r="A60" s="36" t="inlineStr">
        <is>
          <t>TRY-00581</t>
        </is>
      </c>
      <c r="B60" s="27" t="inlineStr">
        <is>
          <t>Create the dynamic 13-week cash and revolver model</t>
        </is>
      </c>
      <c r="C60" s="27" t="inlineStr">
        <is>
          <t>Weekly collection and collateral control</t>
        </is>
      </c>
      <c r="D60" s="27" t="inlineStr">
        <is>
          <t>Alder Ridge</t>
        </is>
      </c>
      <c r="E60" s="27" t="inlineStr">
        <is>
          <t>2026-08-28</t>
        </is>
      </c>
      <c r="F60" s="27" t="inlineStr">
        <is>
          <t>Management stretch</t>
        </is>
      </c>
      <c r="G60" s="27" t="inlineStr">
        <is>
          <t>Receipt confidence</t>
        </is>
      </c>
      <c r="H60" s="46" t="n">
        <v>1.0094</v>
      </c>
      <c r="I60" s="27" t="inlineStr"/>
      <c r="J60" s="27" t="inlineStr">
        <is>
          <t>decimal ratio</t>
        </is>
      </c>
      <c r="K60" s="27" t="inlineStr">
        <is>
          <t>Earlier management working export</t>
        </is>
      </c>
      <c r="L60" s="47" t="inlineStr">
        <is>
          <t>2026-06-24</t>
        </is>
      </c>
      <c r="M60" s="27" t="inlineStr"/>
    </row>
    <row r="61">
      <c r="A61" s="36" t="inlineStr">
        <is>
          <t>TRY-00582</t>
        </is>
      </c>
      <c r="B61" s="27" t="inlineStr">
        <is>
          <t>Create the dynamic 13-week cash and revolver model</t>
        </is>
      </c>
      <c r="C61" s="27" t="inlineStr">
        <is>
          <t>Weekly collection and collateral control</t>
        </is>
      </c>
      <c r="D61" s="27" t="inlineStr">
        <is>
          <t>Alder Ridge</t>
        </is>
      </c>
      <c r="E61" s="27" t="inlineStr">
        <is>
          <t>2026-05 working copy</t>
        </is>
      </c>
      <c r="F61" s="27" t="inlineStr">
        <is>
          <t>Approved case</t>
        </is>
      </c>
      <c r="G61" s="27" t="inlineStr">
        <is>
          <t>Eligible AR</t>
        </is>
      </c>
      <c r="H61" s="46" t="n">
        <v>9672</v>
      </c>
      <c r="I61" s="27" t="inlineStr"/>
      <c r="J61" s="27" t="inlineStr">
        <is>
          <t>USD thousands</t>
        </is>
      </c>
      <c r="K61" s="27" t="inlineStr">
        <is>
          <t>Earlier management working export</t>
        </is>
      </c>
      <c r="L61" s="47" t="inlineStr">
        <is>
          <t>2026-06-24</t>
        </is>
      </c>
      <c r="M61" s="27" t="inlineStr"/>
    </row>
    <row r="62">
      <c r="A62" s="36" t="inlineStr">
        <is>
          <t>TRY-00583</t>
        </is>
      </c>
      <c r="B62" s="27" t="inlineStr">
        <is>
          <t>Create the dynamic 13-week cash and revolver model</t>
        </is>
      </c>
      <c r="C62" s="27" t="inlineStr">
        <is>
          <t>Weekly collection and collateral control</t>
        </is>
      </c>
      <c r="D62" s="27" t="inlineStr">
        <is>
          <t>Alder Ridge</t>
        </is>
      </c>
      <c r="E62" s="27" t="inlineStr">
        <is>
          <t>2026-09-25</t>
        </is>
      </c>
      <c r="F62" s="27" t="inlineStr">
        <is>
          <t>Management stretch</t>
        </is>
      </c>
      <c r="G62" s="27" t="inlineStr">
        <is>
          <t>Eligible inventory</t>
        </is>
      </c>
      <c r="H62" s="46" t="n">
        <v>3444000</v>
      </c>
      <c r="I62" s="27" t="inlineStr"/>
      <c r="J62" s="27" t="inlineStr">
        <is>
          <t>USD</t>
        </is>
      </c>
      <c r="K62" s="27" t="inlineStr">
        <is>
          <t>Earlier management working export</t>
        </is>
      </c>
      <c r="L62" s="47" t="inlineStr">
        <is>
          <t>2026-06-24</t>
        </is>
      </c>
      <c r="M62" s="27" t="inlineStr"/>
    </row>
    <row r="63">
      <c r="A63" s="36" t="inlineStr">
        <is>
          <t>TRY-00584</t>
        </is>
      </c>
      <c r="B63" s="27" t="inlineStr">
        <is>
          <t>Create the dynamic 13-week cash and revolver model</t>
        </is>
      </c>
      <c r="C63" s="27" t="inlineStr">
        <is>
          <t>Weekly borrowing base policy</t>
        </is>
      </c>
      <c r="D63" s="27" t="inlineStr">
        <is>
          <t>Alder Ridge</t>
        </is>
      </c>
      <c r="E63" s="27" t="inlineStr">
        <is>
          <t>2026-05 working copy</t>
        </is>
      </c>
      <c r="F63" s="27" t="inlineStr">
        <is>
          <t>Approved case</t>
        </is>
      </c>
      <c r="G63" s="27" t="inlineStr">
        <is>
          <t>Availability block</t>
        </is>
      </c>
      <c r="H63" s="46" t="n">
        <v>746750</v>
      </c>
      <c r="I63" s="27" t="inlineStr"/>
      <c r="J63" s="27" t="inlineStr">
        <is>
          <t>USD</t>
        </is>
      </c>
      <c r="K63" s="27" t="inlineStr">
        <is>
          <t>Earlier management working export</t>
        </is>
      </c>
      <c r="L63" s="47" t="inlineStr">
        <is>
          <t>2026-06-24</t>
        </is>
      </c>
      <c r="M63" s="27" t="inlineStr"/>
    </row>
    <row r="64">
      <c r="A64" s="36" t="inlineStr">
        <is>
          <t>TRY-00585</t>
        </is>
      </c>
      <c r="B64" s="27" t="inlineStr">
        <is>
          <t>Create the dynamic 13-week cash and revolver model</t>
        </is>
      </c>
      <c r="C64" s="27" t="inlineStr">
        <is>
          <t>Weekly collection and collateral control</t>
        </is>
      </c>
      <c r="D64" s="27" t="inlineStr">
        <is>
          <t>Alder Ridge</t>
        </is>
      </c>
      <c r="E64" s="27" t="inlineStr">
        <is>
          <t>2026-07-24</t>
        </is>
      </c>
      <c r="F64" s="27" t="inlineStr">
        <is>
          <t>Management stretch</t>
        </is>
      </c>
      <c r="G64" s="27" t="inlineStr">
        <is>
          <t>Receipt confidence</t>
        </is>
      </c>
      <c r="H64" s="46" t="n">
        <v>0.9152</v>
      </c>
      <c r="I64" s="27" t="inlineStr"/>
      <c r="J64" s="27" t="inlineStr">
        <is>
          <t>decimal ratio</t>
        </is>
      </c>
      <c r="K64" s="27" t="inlineStr">
        <is>
          <t>Earlier management working export</t>
        </is>
      </c>
      <c r="L64" s="47" t="inlineStr">
        <is>
          <t>2026-06-24</t>
        </is>
      </c>
      <c r="M64" s="27" t="inlineStr"/>
    </row>
    <row r="65">
      <c r="A65" s="36" t="inlineStr">
        <is>
          <t>TRY-00820</t>
        </is>
      </c>
      <c r="B65" s="27" t="inlineStr">
        <is>
          <t>Cash-investment liquidity ladder</t>
        </is>
      </c>
      <c r="C65" s="27" t="inlineStr">
        <is>
          <t>Permitted cash investments</t>
        </is>
      </c>
      <c r="D65" s="27" t="inlineStr">
        <is>
          <t>Operating deposit</t>
        </is>
      </c>
      <c r="E65" s="27" t="inlineStr">
        <is>
          <t>2026-05 working copy</t>
        </is>
      </c>
      <c r="F65" s="27" t="inlineStr">
        <is>
          <t>Approved case</t>
        </is>
      </c>
      <c r="G65" s="27" t="inlineStr">
        <is>
          <t>Maximum allocation</t>
        </is>
      </c>
      <c r="H65" s="46" t="n">
        <v>1287500</v>
      </c>
      <c r="I65" s="27" t="inlineStr"/>
      <c r="J65" s="27" t="inlineStr">
        <is>
          <t>USD</t>
        </is>
      </c>
      <c r="K65" s="27" t="inlineStr">
        <is>
          <t>Earlier management working export</t>
        </is>
      </c>
      <c r="L65" s="47" t="inlineStr">
        <is>
          <t>2026-06-24</t>
        </is>
      </c>
      <c r="M65" s="27" t="inlineStr"/>
    </row>
    <row r="66">
      <c r="A66" s="36" t="inlineStr">
        <is>
          <t>TRY-00821</t>
        </is>
      </c>
      <c r="B66" s="27" t="inlineStr">
        <is>
          <t>Cash-investment liquidity ladder</t>
        </is>
      </c>
      <c r="C66" s="27" t="inlineStr">
        <is>
          <t>Permitted cash investments</t>
        </is>
      </c>
      <c r="D66" s="27" t="inlineStr">
        <is>
          <t>Government MMF</t>
        </is>
      </c>
      <c r="E66" s="27" t="inlineStr">
        <is>
          <t>2026-07-06</t>
        </is>
      </c>
      <c r="F66" s="27" t="inlineStr">
        <is>
          <t>Management stretch</t>
        </is>
      </c>
      <c r="G66" s="27" t="inlineStr">
        <is>
          <t>Maturity days</t>
        </is>
      </c>
      <c r="H66" s="46" t="n">
        <v>0</v>
      </c>
      <c r="I66" s="27" t="inlineStr"/>
      <c r="J66" s="27" t="inlineStr">
        <is>
          <t>days</t>
        </is>
      </c>
      <c r="K66" s="27" t="inlineStr">
        <is>
          <t>Earlier management working export</t>
        </is>
      </c>
      <c r="L66" s="47" t="inlineStr">
        <is>
          <t>2026-06-24</t>
        </is>
      </c>
      <c r="M66" s="27" t="inlineStr"/>
    </row>
    <row r="67">
      <c r="A67" s="36" t="inlineStr">
        <is>
          <t>TRY-00822</t>
        </is>
      </c>
      <c r="B67" s="27" t="inlineStr">
        <is>
          <t>Cash-investment liquidity ladder</t>
        </is>
      </c>
      <c r="C67" s="27" t="inlineStr">
        <is>
          <t>Permitted cash investments</t>
        </is>
      </c>
      <c r="D67" s="27" t="inlineStr">
        <is>
          <t>4-week T-bill</t>
        </is>
      </c>
      <c r="E67" s="27" t="inlineStr">
        <is>
          <t>2026-05 working copy</t>
        </is>
      </c>
      <c r="F67" s="27" t="inlineStr">
        <is>
          <t>Approved case</t>
        </is>
      </c>
      <c r="G67" s="27" t="inlineStr">
        <is>
          <t>Same-day value factor</t>
        </is>
      </c>
      <c r="H67" s="46" t="n">
        <v>1.0479</v>
      </c>
      <c r="I67" s="27" t="inlineStr"/>
      <c r="J67" s="27" t="inlineStr">
        <is>
          <t>decimal ratio</t>
        </is>
      </c>
      <c r="K67" s="27" t="inlineStr">
        <is>
          <t>Earlier management working export</t>
        </is>
      </c>
      <c r="L67" s="47" t="inlineStr">
        <is>
          <t>2026-06-24</t>
        </is>
      </c>
      <c r="M67" s="27" t="inlineStr"/>
    </row>
    <row r="68">
      <c r="A68" s="36" t="inlineStr">
        <is>
          <t>TRY-00823</t>
        </is>
      </c>
      <c r="B68" s="27" t="inlineStr">
        <is>
          <t>Cash-investment liquidity ladder</t>
        </is>
      </c>
      <c r="C68" s="27" t="inlineStr">
        <is>
          <t>Permitted cash investments</t>
        </is>
      </c>
      <c r="D68" s="27" t="inlineStr">
        <is>
          <t>13-week T-bill</t>
        </is>
      </c>
      <c r="E68" s="27" t="inlineStr">
        <is>
          <t>2026-07-06</t>
        </is>
      </c>
      <c r="F68" s="27" t="inlineStr">
        <is>
          <t>Management stretch</t>
        </is>
      </c>
      <c r="G68" s="27" t="inlineStr">
        <is>
          <t>Annual yield</t>
        </is>
      </c>
      <c r="H68" s="46" t="n">
        <v>0.05356</v>
      </c>
      <c r="I68" s="27" t="inlineStr"/>
      <c r="J68" s="27" t="inlineStr">
        <is>
          <t>decimal ratio</t>
        </is>
      </c>
      <c r="K68" s="27" t="inlineStr">
        <is>
          <t>Earlier management working export</t>
        </is>
      </c>
      <c r="L68" s="47" t="inlineStr">
        <is>
          <t>2026-06-24</t>
        </is>
      </c>
      <c r="M68" s="27" t="inlineStr"/>
    </row>
    <row r="69">
      <c r="A69" s="36" t="inlineStr">
        <is>
          <t>TRY-00824</t>
        </is>
      </c>
      <c r="B69" s="27" t="inlineStr">
        <is>
          <t>Cash-investment liquidity ladder</t>
        </is>
      </c>
      <c r="C69" s="27" t="inlineStr">
        <is>
          <t>Permitted cash investments</t>
        </is>
      </c>
      <c r="D69" s="27" t="inlineStr">
        <is>
          <t>AAA commercial paper</t>
        </is>
      </c>
      <c r="E69" s="27" t="inlineStr">
        <is>
          <t>2026-05 working copy</t>
        </is>
      </c>
      <c r="F69" s="27" t="inlineStr">
        <is>
          <t>Approved case</t>
        </is>
      </c>
      <c r="G69" s="27" t="inlineStr">
        <is>
          <t>Settlement days</t>
        </is>
      </c>
      <c r="H69" s="46" t="n">
        <v>3.12</v>
      </c>
      <c r="I69" s="27" t="inlineStr"/>
      <c r="J69" s="27" t="inlineStr">
        <is>
          <t>days</t>
        </is>
      </c>
      <c r="K69" s="27" t="inlineStr">
        <is>
          <t>Earlier management working export</t>
        </is>
      </c>
      <c r="L69" s="47" t="inlineStr">
        <is>
          <t>2026-06-24</t>
        </is>
      </c>
      <c r="M69" s="27" t="inlineStr"/>
    </row>
    <row r="70">
      <c r="A70" s="36" t="inlineStr">
        <is>
          <t>TRY-00825</t>
        </is>
      </c>
      <c r="B70" s="27" t="inlineStr">
        <is>
          <t>Cash-investment liquidity ladder</t>
        </is>
      </c>
      <c r="C70" s="27" t="inlineStr">
        <is>
          <t>Investment policy</t>
        </is>
      </c>
      <c r="D70" s="27" t="inlineStr">
        <is>
          <t>Alder Ridge</t>
        </is>
      </c>
      <c r="E70" s="27" t="inlineStr">
        <is>
          <t>2026-07-06</t>
        </is>
      </c>
      <c r="F70" s="27" t="inlineStr">
        <is>
          <t>Management stretch</t>
        </is>
      </c>
      <c r="G70" s="27" t="inlineStr">
        <is>
          <t>Minimum same-day liquidity</t>
        </is>
      </c>
      <c r="H70" s="46" t="n">
        <v>2625</v>
      </c>
      <c r="I70" s="27" t="inlineStr"/>
      <c r="J70" s="27" t="inlineStr">
        <is>
          <t>USD thousands</t>
        </is>
      </c>
      <c r="K70" s="27" t="inlineStr">
        <is>
          <t>Earlier management working export</t>
        </is>
      </c>
      <c r="L70" s="47" t="inlineStr">
        <is>
          <t>2026-06-24</t>
        </is>
      </c>
      <c r="M70" s="27" t="inlineStr"/>
    </row>
    <row r="71">
      <c r="A71" s="36" t="inlineStr">
        <is>
          <t>TRY-00826</t>
        </is>
      </c>
      <c r="B71" s="27" t="inlineStr">
        <is>
          <t>Cash-investment liquidity ladder</t>
        </is>
      </c>
      <c r="C71" s="27" t="inlineStr">
        <is>
          <t>Permitted cash investments</t>
        </is>
      </c>
      <c r="D71" s="27" t="inlineStr">
        <is>
          <t>Operating deposit</t>
        </is>
      </c>
      <c r="E71" s="27" t="inlineStr">
        <is>
          <t>2026-05 working copy</t>
        </is>
      </c>
      <c r="F71" s="27" t="inlineStr">
        <is>
          <t>Approved case</t>
        </is>
      </c>
      <c r="G71" s="27" t="inlineStr">
        <is>
          <t>Same-day value factor</t>
        </is>
      </c>
      <c r="H71" s="46" t="n">
        <v>1.03</v>
      </c>
      <c r="I71" s="27" t="inlineStr"/>
      <c r="J71" s="27" t="inlineStr">
        <is>
          <t>decimal ratio</t>
        </is>
      </c>
      <c r="K71" s="27" t="inlineStr">
        <is>
          <t>Earlier management working export</t>
        </is>
      </c>
      <c r="L71" s="47" t="inlineStr">
        <is>
          <t>2026-06-24</t>
        </is>
      </c>
      <c r="M71" s="27" t="inlineStr"/>
    </row>
    <row r="72">
      <c r="A72" s="36" t="inlineStr">
        <is>
          <t>TRY-00827</t>
        </is>
      </c>
      <c r="B72" s="27" t="inlineStr">
        <is>
          <t>Cash-investment liquidity ladder</t>
        </is>
      </c>
      <c r="C72" s="27" t="inlineStr">
        <is>
          <t>Permitted cash investments</t>
        </is>
      </c>
      <c r="D72" s="27" t="inlineStr">
        <is>
          <t>4-week T-bill</t>
        </is>
      </c>
      <c r="E72" s="27" t="inlineStr">
        <is>
          <t>2026-07-06</t>
        </is>
      </c>
      <c r="F72" s="27" t="inlineStr">
        <is>
          <t>Management stretch</t>
        </is>
      </c>
      <c r="G72" s="27" t="inlineStr">
        <is>
          <t>Annual yield</t>
        </is>
      </c>
      <c r="H72" s="46" t="n">
        <v>0.05252</v>
      </c>
      <c r="I72" s="27" t="inlineStr"/>
      <c r="J72" s="27" t="inlineStr">
        <is>
          <t>decimal ratio</t>
        </is>
      </c>
      <c r="K72" s="27" t="inlineStr">
        <is>
          <t>Earlier management working export</t>
        </is>
      </c>
      <c r="L72" s="47" t="inlineStr">
        <is>
          <t>2026-06-24</t>
        </is>
      </c>
      <c r="M72" s="27" t="inlineStr"/>
    </row>
    <row r="73">
      <c r="A73" s="36" t="inlineStr">
        <is>
          <t>TRY-00828</t>
        </is>
      </c>
      <c r="B73" s="27" t="inlineStr">
        <is>
          <t>Cash-investment liquidity ladder</t>
        </is>
      </c>
      <c r="C73" s="27" t="inlineStr">
        <is>
          <t>Permitted cash investments</t>
        </is>
      </c>
      <c r="D73" s="27" t="inlineStr">
        <is>
          <t>8-week T-bill</t>
        </is>
      </c>
      <c r="E73" s="27" t="inlineStr">
        <is>
          <t>2026-05 working copy</t>
        </is>
      </c>
      <c r="F73" s="27" t="inlineStr">
        <is>
          <t>Approved case</t>
        </is>
      </c>
      <c r="G73" s="27" t="inlineStr">
        <is>
          <t>Settlement days</t>
        </is>
      </c>
      <c r="H73" s="46" t="n">
        <v>1.05</v>
      </c>
      <c r="I73" s="27" t="inlineStr"/>
      <c r="J73" s="27" t="inlineStr">
        <is>
          <t>days</t>
        </is>
      </c>
      <c r="K73" s="27" t="inlineStr">
        <is>
          <t>Earlier management working export</t>
        </is>
      </c>
      <c r="L73" s="47" t="inlineStr">
        <is>
          <t>2026-06-24</t>
        </is>
      </c>
      <c r="M73" s="27" t="inlineStr"/>
    </row>
    <row r="74">
      <c r="A74" s="36" t="inlineStr">
        <is>
          <t>TRY-00829</t>
        </is>
      </c>
      <c r="B74" s="27" t="inlineStr">
        <is>
          <t>Cash-investment liquidity ladder</t>
        </is>
      </c>
      <c r="C74" s="27" t="inlineStr">
        <is>
          <t>Permitted cash investments</t>
        </is>
      </c>
      <c r="D74" s="27" t="inlineStr">
        <is>
          <t>AAA commercial paper</t>
        </is>
      </c>
      <c r="E74" s="27" t="inlineStr">
        <is>
          <t>2026-07-06</t>
        </is>
      </c>
      <c r="F74" s="27" t="inlineStr">
        <is>
          <t>Management stretch</t>
        </is>
      </c>
      <c r="G74" s="27" t="inlineStr">
        <is>
          <t>Maximum allocation</t>
        </is>
      </c>
      <c r="H74" s="46" t="n">
        <v>1236</v>
      </c>
      <c r="I74" s="27" t="inlineStr"/>
      <c r="J74" s="27" t="inlineStr">
        <is>
          <t>USD thousands</t>
        </is>
      </c>
      <c r="K74" s="27" t="inlineStr">
        <is>
          <t>Earlier management working export</t>
        </is>
      </c>
      <c r="L74" s="47" t="inlineStr">
        <is>
          <t>2026-06-24</t>
        </is>
      </c>
      <c r="M74" s="27" t="inlineStr"/>
    </row>
    <row r="75">
      <c r="A75" s="36" t="inlineStr">
        <is>
          <t>TRY-00830</t>
        </is>
      </c>
      <c r="B75" s="27" t="inlineStr">
        <is>
          <t>Cash-investment liquidity ladder</t>
        </is>
      </c>
      <c r="C75" s="27" t="inlineStr">
        <is>
          <t>Liquidity requirement tranches</t>
        </is>
      </c>
      <c r="D75" s="27" t="inlineStr">
        <is>
          <t>Alder Ridge</t>
        </is>
      </c>
      <c r="E75" s="27" t="inlineStr">
        <is>
          <t>2026-05 working copy</t>
        </is>
      </c>
      <c r="F75" s="27" t="inlineStr">
        <is>
          <t>Approved case</t>
        </is>
      </c>
      <c r="G75" s="27" t="inlineStr">
        <is>
          <t>Incremental cash need</t>
        </is>
      </c>
      <c r="H75" s="46" t="n">
        <v>1976000</v>
      </c>
      <c r="I75" s="27" t="inlineStr"/>
      <c r="J75" s="27" t="inlineStr">
        <is>
          <t>USD</t>
        </is>
      </c>
      <c r="K75" s="27" t="inlineStr">
        <is>
          <t>Earlier management working export</t>
        </is>
      </c>
      <c r="L75" s="47" t="inlineStr">
        <is>
          <t>2026-06-24</t>
        </is>
      </c>
      <c r="M75" s="27" t="inlineStr"/>
    </row>
    <row r="76">
      <c r="A76" s="36" t="inlineStr">
        <is>
          <t>TRY-00831</t>
        </is>
      </c>
      <c r="B76" s="27" t="inlineStr">
        <is>
          <t>Cash-investment liquidity ladder</t>
        </is>
      </c>
      <c r="C76" s="27" t="inlineStr">
        <is>
          <t>Permitted cash investments</t>
        </is>
      </c>
      <c r="D76" s="27" t="inlineStr">
        <is>
          <t>Operating deposit</t>
        </is>
      </c>
      <c r="E76" s="27" t="inlineStr">
        <is>
          <t>2026-07-06</t>
        </is>
      </c>
      <c r="F76" s="27" t="inlineStr">
        <is>
          <t>Management stretch</t>
        </is>
      </c>
      <c r="G76" s="27" t="inlineStr">
        <is>
          <t>Annual yield</t>
        </is>
      </c>
      <c r="H76" s="46" t="n">
        <v>0.04305</v>
      </c>
      <c r="I76" s="27" t="inlineStr"/>
      <c r="J76" s="27" t="inlineStr">
        <is>
          <t>decimal ratio</t>
        </is>
      </c>
      <c r="K76" s="27" t="inlineStr">
        <is>
          <t>Earlier management working export</t>
        </is>
      </c>
      <c r="L76" s="47" t="inlineStr">
        <is>
          <t>2026-06-24</t>
        </is>
      </c>
      <c r="M76" s="27" t="inlineStr"/>
    </row>
    <row r="77">
      <c r="A77" s="36" t="inlineStr">
        <is>
          <t>TRY-00853</t>
        </is>
      </c>
      <c r="B77" s="27" t="inlineStr">
        <is>
          <t>Cash-investment liquidity ladder</t>
        </is>
      </c>
      <c r="C77" s="27" t="inlineStr">
        <is>
          <t>Investment stress control</t>
        </is>
      </c>
      <c r="D77" s="27" t="inlineStr">
        <is>
          <t>Operating deposit</t>
        </is>
      </c>
      <c r="E77" s="27" t="inlineStr">
        <is>
          <t>2026-05 working copy</t>
        </is>
      </c>
      <c r="F77" s="27" t="inlineStr">
        <is>
          <t>Approved case</t>
        </is>
      </c>
      <c r="G77" s="27" t="inlineStr">
        <is>
          <t>Effective maturity days</t>
        </is>
      </c>
      <c r="H77" s="46" t="n">
        <v>0</v>
      </c>
      <c r="I77" s="27" t="inlineStr"/>
      <c r="J77" s="27" t="inlineStr">
        <is>
          <t>days</t>
        </is>
      </c>
      <c r="K77" s="27" t="inlineStr">
        <is>
          <t>Earlier management working export</t>
        </is>
      </c>
      <c r="L77" s="47" t="inlineStr">
        <is>
          <t>2026-06-24</t>
        </is>
      </c>
      <c r="M77" s="27" t="inlineStr"/>
    </row>
    <row r="78">
      <c r="A78" s="36" t="inlineStr">
        <is>
          <t>TRY-00854</t>
        </is>
      </c>
      <c r="B78" s="27" t="inlineStr">
        <is>
          <t>Cash-investment liquidity ladder</t>
        </is>
      </c>
      <c r="C78" s="27" t="inlineStr">
        <is>
          <t>Investment stress control</t>
        </is>
      </c>
      <c r="D78" s="27" t="inlineStr">
        <is>
          <t>8-week T-bill</t>
        </is>
      </c>
      <c r="E78" s="27" t="inlineStr">
        <is>
          <t>Day 35</t>
        </is>
      </c>
      <c r="F78" s="27" t="inlineStr">
        <is>
          <t>Management stretch</t>
        </is>
      </c>
      <c r="G78" s="27" t="inlineStr">
        <is>
          <t>Stress value factor</t>
        </is>
      </c>
      <c r="H78" s="46" t="n">
        <v>1.03168</v>
      </c>
      <c r="I78" s="27" t="inlineStr"/>
      <c r="J78" s="27" t="inlineStr">
        <is>
          <t>decimal ratio</t>
        </is>
      </c>
      <c r="K78" s="27" t="inlineStr">
        <is>
          <t>Earlier management working export</t>
        </is>
      </c>
      <c r="L78" s="47" t="inlineStr">
        <is>
          <t>2026-06-24</t>
        </is>
      </c>
      <c r="M78" s="27" t="inlineStr"/>
    </row>
    <row r="79">
      <c r="A79" s="36" t="inlineStr">
        <is>
          <t>TRY-00855</t>
        </is>
      </c>
      <c r="B79" s="27" t="inlineStr">
        <is>
          <t>Cash-investment liquidity ladder</t>
        </is>
      </c>
      <c r="C79" s="27" t="inlineStr">
        <is>
          <t>Investment policy</t>
        </is>
      </c>
      <c r="D79" s="27" t="inlineStr">
        <is>
          <t>Alder Ridge</t>
        </is>
      </c>
      <c r="E79" s="27" t="inlineStr">
        <is>
          <t>2026-05 working copy</t>
        </is>
      </c>
      <c r="F79" s="27" t="inlineStr">
        <is>
          <t>Approved case</t>
        </is>
      </c>
      <c r="G79" s="27" t="inlineStr">
        <is>
          <t>Minimum stressed day-35 liquidity</t>
        </is>
      </c>
      <c r="H79" s="46" t="n">
        <v>5302.5</v>
      </c>
      <c r="I79" s="27" t="inlineStr"/>
      <c r="J79" s="27" t="inlineStr">
        <is>
          <t>USD thousands</t>
        </is>
      </c>
      <c r="K79" s="27" t="inlineStr">
        <is>
          <t>Earlier management working export</t>
        </is>
      </c>
      <c r="L79" s="47" t="inlineStr">
        <is>
          <t>2026-06-24</t>
        </is>
      </c>
      <c r="M79" s="27" t="inlineStr"/>
    </row>
    <row r="80">
      <c r="A80" s="36" t="inlineStr">
        <is>
          <t>TRY-00856</t>
        </is>
      </c>
      <c r="B80" s="27" t="inlineStr">
        <is>
          <t>Cash-investment liquidity ladder</t>
        </is>
      </c>
      <c r="C80" s="27" t="inlineStr">
        <is>
          <t>Investment stress control</t>
        </is>
      </c>
      <c r="D80" s="27" t="inlineStr">
        <is>
          <t>8-week T-bill</t>
        </is>
      </c>
      <c r="E80" s="27" t="inlineStr">
        <is>
          <t>Day 35</t>
        </is>
      </c>
      <c r="F80" s="27" t="inlineStr">
        <is>
          <t>Management stretch</t>
        </is>
      </c>
      <c r="G80" s="27" t="inlineStr">
        <is>
          <t>Effective maturity days</t>
        </is>
      </c>
      <c r="H80" s="46" t="n">
        <v>57.68</v>
      </c>
      <c r="I80" s="27" t="inlineStr"/>
      <c r="J80" s="27" t="inlineStr">
        <is>
          <t>days</t>
        </is>
      </c>
      <c r="K80" s="27" t="inlineStr">
        <is>
          <t>Earlier management working export</t>
        </is>
      </c>
      <c r="L80" s="47" t="inlineStr">
        <is>
          <t>2026-06-24</t>
        </is>
      </c>
      <c r="M80" s="27" t="inlineStr"/>
    </row>
    <row r="81">
      <c r="A81" s="36" t="inlineStr">
        <is>
          <t>TRY-00857</t>
        </is>
      </c>
      <c r="B81" s="27" t="inlineStr">
        <is>
          <t>Cash-investment liquidity ladder</t>
        </is>
      </c>
      <c r="C81" s="27" t="inlineStr">
        <is>
          <t>Investment policy</t>
        </is>
      </c>
      <c r="D81" s="27" t="inlineStr">
        <is>
          <t>Alder Ridge</t>
        </is>
      </c>
      <c r="E81" s="27" t="inlineStr">
        <is>
          <t>2026-05 working copy</t>
        </is>
      </c>
      <c r="F81" s="27" t="inlineStr">
        <is>
          <t>Approved case</t>
        </is>
      </c>
      <c r="G81" s="27" t="inlineStr">
        <is>
          <t>Maximum government issuer concentration</t>
        </is>
      </c>
      <c r="H81" s="46" t="n">
        <v>0.8112</v>
      </c>
      <c r="I81" s="27" t="inlineStr"/>
      <c r="J81" s="27" t="inlineStr">
        <is>
          <t>decimal ratio</t>
        </is>
      </c>
      <c r="K81" s="27" t="inlineStr">
        <is>
          <t>Earlier management working export</t>
        </is>
      </c>
      <c r="L81" s="47" t="inlineStr">
        <is>
          <t>2026-06-24</t>
        </is>
      </c>
      <c r="M81" s="27" t="inlineStr"/>
    </row>
    <row r="82">
      <c r="A82" s="36" t="inlineStr">
        <is>
          <t>TRY-00858</t>
        </is>
      </c>
      <c r="B82" s="27" t="inlineStr">
        <is>
          <t>Cash-investment liquidity ladder</t>
        </is>
      </c>
      <c r="C82" s="27" t="inlineStr">
        <is>
          <t>Investment stress control</t>
        </is>
      </c>
      <c r="D82" s="27" t="inlineStr">
        <is>
          <t>4-week T-bill</t>
        </is>
      </c>
      <c r="E82" s="27" t="inlineStr">
        <is>
          <t>Day 35</t>
        </is>
      </c>
      <c r="F82" s="27" t="inlineStr">
        <is>
          <t>Management stretch</t>
        </is>
      </c>
      <c r="G82" s="27" t="inlineStr">
        <is>
          <t>Stress value factor</t>
        </is>
      </c>
      <c r="H82" s="46" t="n">
        <v>1.04685</v>
      </c>
      <c r="I82" s="27" t="inlineStr"/>
      <c r="J82" s="27" t="inlineStr">
        <is>
          <t>decimal ratio</t>
        </is>
      </c>
      <c r="K82" s="27" t="inlineStr">
        <is>
          <t>Earlier management working export</t>
        </is>
      </c>
      <c r="L82" s="47" t="inlineStr">
        <is>
          <t>2026-06-24</t>
        </is>
      </c>
      <c r="M82" s="27" t="inlineStr"/>
    </row>
  </sheetData>
  <autoFilter ref="A4:M82"/>
  <mergeCells count="2">
    <mergeCell ref="A2:M2"/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treasury, banking, and credit outlook | Debt and Hedges</t>
        </is>
      </c>
    </row>
    <row r="2" ht="25" customHeight="1">
      <c r="A2" s="11" t="inlineStr">
        <is>
          <t>PRIOR REVIEW COPY - retained for change history; not controller tied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TRY-00191</t>
        </is>
      </c>
      <c r="B5" s="27" t="inlineStr">
        <is>
          <t>Term-loan refinancing NPV decision</t>
        </is>
      </c>
      <c r="C5" s="27" t="inlineStr">
        <is>
          <t>Existing notes</t>
        </is>
      </c>
      <c r="D5" s="27" t="inlineStr">
        <is>
          <t>Consolidated</t>
        </is>
      </c>
      <c r="E5" s="27" t="inlineStr">
        <is>
          <t>2026-05 working copy</t>
        </is>
      </c>
      <c r="F5" s="27" t="inlineStr">
        <is>
          <t>Approved case</t>
        </is>
      </c>
      <c r="G5" s="27" t="inlineStr">
        <is>
          <t>Outstanding principal</t>
        </is>
      </c>
      <c r="H5" s="46" t="n">
        <v>6695</v>
      </c>
      <c r="I5" s="27" t="inlineStr"/>
      <c r="J5" s="27" t="inlineStr">
        <is>
          <t>USD thousands</t>
        </is>
      </c>
      <c r="K5" s="27" t="inlineStr">
        <is>
          <t>Earlier management working export</t>
        </is>
      </c>
      <c r="L5" s="47" t="inlineStr">
        <is>
          <t>2026-06-24</t>
        </is>
      </c>
      <c r="M5" s="27" t="inlineStr"/>
    </row>
    <row r="6">
      <c r="A6" s="36" t="inlineStr">
        <is>
          <t>TRY-00192</t>
        </is>
      </c>
      <c r="B6" s="27" t="inlineStr">
        <is>
          <t>Term-loan refinancing NPV decision</t>
        </is>
      </c>
      <c r="C6" s="27" t="inlineStr">
        <is>
          <t>Refinancing proposals</t>
        </is>
      </c>
      <c r="D6" s="27" t="inlineStr">
        <is>
          <t>Proposal A</t>
        </is>
      </c>
      <c r="E6" s="27" t="inlineStr">
        <is>
          <t>2026-07-01</t>
        </is>
      </c>
      <c r="F6" s="27" t="inlineStr">
        <is>
          <t>Management stretch</t>
        </is>
      </c>
      <c r="G6" s="27" t="inlineStr">
        <is>
          <t>Amortization months</t>
        </is>
      </c>
      <c r="H6" s="46" t="n">
        <v>49.92</v>
      </c>
      <c r="I6" s="27" t="inlineStr"/>
      <c r="J6" s="27" t="inlineStr">
        <is>
          <t>count</t>
        </is>
      </c>
      <c r="K6" s="27" t="inlineStr">
        <is>
          <t>Earlier management working export</t>
        </is>
      </c>
      <c r="L6" s="47" t="inlineStr">
        <is>
          <t>2026-06-24</t>
        </is>
      </c>
      <c r="M6" s="27" t="inlineStr"/>
    </row>
    <row r="7">
      <c r="A7" s="36" t="inlineStr">
        <is>
          <t>TRY-00193</t>
        </is>
      </c>
      <c r="B7" s="27" t="inlineStr">
        <is>
          <t>Term-loan refinancing NPV decision</t>
        </is>
      </c>
      <c r="C7" s="27" t="inlineStr">
        <is>
          <t>Refinancing proposals</t>
        </is>
      </c>
      <c r="D7" s="27" t="inlineStr">
        <is>
          <t>Proposal B</t>
        </is>
      </c>
      <c r="E7" s="27" t="inlineStr">
        <is>
          <t>2026-05 working copy</t>
        </is>
      </c>
      <c r="F7" s="27" t="inlineStr">
        <is>
          <t>Approved case</t>
        </is>
      </c>
      <c r="G7" s="27" t="inlineStr">
        <is>
          <t>Existing-note prepayment penalty rate</t>
        </is>
      </c>
      <c r="H7" s="46" t="n">
        <v>0.01575</v>
      </c>
      <c r="I7" s="27" t="inlineStr"/>
      <c r="J7" s="27" t="inlineStr">
        <is>
          <t>decimal ratio</t>
        </is>
      </c>
      <c r="K7" s="27" t="inlineStr">
        <is>
          <t>Earlier management working export</t>
        </is>
      </c>
      <c r="L7" s="47" t="inlineStr">
        <is>
          <t>2026-06-24</t>
        </is>
      </c>
      <c r="M7" s="27" t="inlineStr"/>
    </row>
    <row r="8">
      <c r="A8" s="36" t="inlineStr">
        <is>
          <t>TRY-00194</t>
        </is>
      </c>
      <c r="B8" s="27" t="inlineStr">
        <is>
          <t>Term-loan refinancing NPV decision</t>
        </is>
      </c>
      <c r="C8" s="27" t="inlineStr">
        <is>
          <t>Refinancing proposals</t>
        </is>
      </c>
      <c r="D8" s="27" t="inlineStr">
        <is>
          <t>Keep existing</t>
        </is>
      </c>
      <c r="E8" s="27" t="inlineStr">
        <is>
          <t>2026-07-01</t>
        </is>
      </c>
      <c r="F8" s="27" t="inlineStr">
        <is>
          <t>Management stretch</t>
        </is>
      </c>
      <c r="G8" s="27" t="inlineStr">
        <is>
          <t>Upfront fee</t>
        </is>
      </c>
      <c r="H8" s="46" t="n">
        <v>0</v>
      </c>
      <c r="I8" s="27" t="inlineStr"/>
      <c r="J8" s="27" t="inlineStr">
        <is>
          <t>USD</t>
        </is>
      </c>
      <c r="K8" s="27" t="inlineStr">
        <is>
          <t>Earlier management working export</t>
        </is>
      </c>
      <c r="L8" s="47" t="inlineStr">
        <is>
          <t>2026-06-24</t>
        </is>
      </c>
      <c r="M8" s="27" t="inlineStr"/>
    </row>
    <row r="9">
      <c r="A9" s="36" t="inlineStr">
        <is>
          <t>TRY-00195</t>
        </is>
      </c>
      <c r="B9" s="27" t="inlineStr">
        <is>
          <t>Term-loan refinancing NPV decision</t>
        </is>
      </c>
      <c r="C9" s="27" t="inlineStr">
        <is>
          <t>Refinancing proposals</t>
        </is>
      </c>
      <c r="D9" s="27" t="inlineStr">
        <is>
          <t>Proposal A</t>
        </is>
      </c>
      <c r="E9" s="27" t="inlineStr">
        <is>
          <t>2026-05 working copy</t>
        </is>
      </c>
      <c r="F9" s="27" t="inlineStr">
        <is>
          <t>Approved case</t>
        </is>
      </c>
      <c r="G9" s="27" t="inlineStr">
        <is>
          <t>Maturity balloon percent</t>
        </is>
      </c>
      <c r="H9" s="46" t="n">
        <v>0</v>
      </c>
      <c r="I9" s="27" t="inlineStr"/>
      <c r="J9" s="27" t="inlineStr">
        <is>
          <t>decimal ratio</t>
        </is>
      </c>
      <c r="K9" s="27" t="inlineStr">
        <is>
          <t>Earlier management working export</t>
        </is>
      </c>
      <c r="L9" s="47" t="inlineStr">
        <is>
          <t>2026-06-24</t>
        </is>
      </c>
      <c r="M9" s="27" t="inlineStr"/>
    </row>
    <row r="10">
      <c r="A10" s="36" t="inlineStr">
        <is>
          <t>TRY-00196</t>
        </is>
      </c>
      <c r="B10" s="27" t="inlineStr">
        <is>
          <t>Term-loan refinancing NPV decision</t>
        </is>
      </c>
      <c r="C10" s="27" t="inlineStr">
        <is>
          <t>Treasury policy</t>
        </is>
      </c>
      <c r="D10" s="27" t="inlineStr">
        <is>
          <t>Existing notes</t>
        </is>
      </c>
      <c r="E10" s="27" t="inlineStr">
        <is>
          <t>2026-07-01</t>
        </is>
      </c>
      <c r="F10" s="27" t="inlineStr">
        <is>
          <t>Management stretch</t>
        </is>
      </c>
      <c r="G10" s="27" t="inlineStr">
        <is>
          <t>Unamortized fee write-off</t>
        </is>
      </c>
      <c r="H10" s="46" t="n">
        <v>23625</v>
      </c>
      <c r="I10" s="27" t="inlineStr"/>
      <c r="J10" s="27" t="inlineStr">
        <is>
          <t>USD</t>
        </is>
      </c>
      <c r="K10" s="27" t="inlineStr">
        <is>
          <t>Earlier management working export</t>
        </is>
      </c>
      <c r="L10" s="47" t="inlineStr">
        <is>
          <t>2026-06-24</t>
        </is>
      </c>
      <c r="M10" s="27" t="inlineStr"/>
    </row>
    <row r="11">
      <c r="A11" s="36" t="inlineStr">
        <is>
          <t>TRY-00197</t>
        </is>
      </c>
      <c r="B11" s="27" t="inlineStr">
        <is>
          <t>Term-loan refinancing NPV decision</t>
        </is>
      </c>
      <c r="C11" s="27" t="inlineStr">
        <is>
          <t>Refinancing proposals</t>
        </is>
      </c>
      <c r="D11" s="27" t="inlineStr">
        <is>
          <t>Proposal A</t>
        </is>
      </c>
      <c r="E11" s="27" t="inlineStr">
        <is>
          <t>2026-05 working copy</t>
        </is>
      </c>
      <c r="F11" s="27" t="inlineStr">
        <is>
          <t>Approved case</t>
        </is>
      </c>
      <c r="G11" s="27" t="inlineStr">
        <is>
          <t>Annual interest rate</t>
        </is>
      </c>
      <c r="H11" s="46" t="n">
        <v>0.06283</v>
      </c>
      <c r="I11" s="27" t="inlineStr"/>
      <c r="J11" s="27" t="inlineStr">
        <is>
          <t>decimal ratio</t>
        </is>
      </c>
      <c r="K11" s="27" t="inlineStr">
        <is>
          <t>Earlier management working export</t>
        </is>
      </c>
      <c r="L11" s="47" t="inlineStr">
        <is>
          <t>2026-06-24</t>
        </is>
      </c>
      <c r="M11" s="27" t="inlineStr"/>
    </row>
    <row r="12">
      <c r="A12" s="36" t="inlineStr">
        <is>
          <t>TRY-00198</t>
        </is>
      </c>
      <c r="B12" s="27" t="inlineStr">
        <is>
          <t>Term-loan refinancing NPV decision</t>
        </is>
      </c>
      <c r="C12" s="27" t="inlineStr">
        <is>
          <t>Refinancing proposals</t>
        </is>
      </c>
      <c r="D12" s="27" t="inlineStr">
        <is>
          <t>Proposal B</t>
        </is>
      </c>
      <c r="E12" s="27" t="inlineStr">
        <is>
          <t>2026-07-01</t>
        </is>
      </c>
      <c r="F12" s="27" t="inlineStr">
        <is>
          <t>Management stretch</t>
        </is>
      </c>
      <c r="G12" s="27" t="inlineStr">
        <is>
          <t>Upfront fee</t>
        </is>
      </c>
      <c r="H12" s="46" t="n">
        <v>70720</v>
      </c>
      <c r="I12" s="27" t="inlineStr"/>
      <c r="J12" s="27" t="inlineStr">
        <is>
          <t>USD</t>
        </is>
      </c>
      <c r="K12" s="27" t="inlineStr">
        <is>
          <t>Earlier management working export</t>
        </is>
      </c>
      <c r="L12" s="47" t="inlineStr">
        <is>
          <t>2026-06-24</t>
        </is>
      </c>
      <c r="M12" s="27" t="inlineStr"/>
    </row>
    <row r="13">
      <c r="A13" s="36" t="inlineStr">
        <is>
          <t>TRY-00199</t>
        </is>
      </c>
      <c r="B13" s="27" t="inlineStr">
        <is>
          <t>Term-loan refinancing NPV decision</t>
        </is>
      </c>
      <c r="C13" s="27" t="inlineStr">
        <is>
          <t>Refinancing proposals</t>
        </is>
      </c>
      <c r="D13" s="27" t="inlineStr">
        <is>
          <t>Keep existing</t>
        </is>
      </c>
      <c r="E13" s="27" t="inlineStr">
        <is>
          <t>2026-05 working copy</t>
        </is>
      </c>
      <c r="F13" s="27" t="inlineStr">
        <is>
          <t>Approved case</t>
        </is>
      </c>
      <c r="G13" s="27" t="inlineStr">
        <is>
          <t>Amortization months</t>
        </is>
      </c>
      <c r="H13" s="46" t="n">
        <v>31.5</v>
      </c>
      <c r="I13" s="27" t="inlineStr"/>
      <c r="J13" s="27" t="inlineStr">
        <is>
          <t>count</t>
        </is>
      </c>
      <c r="K13" s="27" t="inlineStr">
        <is>
          <t>Earlier management working export</t>
        </is>
      </c>
      <c r="L13" s="47" t="inlineStr">
        <is>
          <t>2026-06-24</t>
        </is>
      </c>
      <c r="M13" s="27" t="inlineStr"/>
    </row>
    <row r="14">
      <c r="A14" s="36" t="inlineStr">
        <is>
          <t>TRY-00200</t>
        </is>
      </c>
      <c r="B14" s="27" t="inlineStr">
        <is>
          <t>Term-loan refinancing NPV decision</t>
        </is>
      </c>
      <c r="C14" s="27" t="inlineStr">
        <is>
          <t>Refinancing proposals</t>
        </is>
      </c>
      <c r="D14" s="27" t="inlineStr">
        <is>
          <t>Proposal A</t>
        </is>
      </c>
      <c r="E14" s="27" t="inlineStr">
        <is>
          <t>2026-07-01</t>
        </is>
      </c>
      <c r="F14" s="27" t="inlineStr">
        <is>
          <t>Management stretch</t>
        </is>
      </c>
      <c r="G14" s="27" t="inlineStr">
        <is>
          <t>Existing-note prepayment penalty rate</t>
        </is>
      </c>
      <c r="H14" s="46" t="n">
        <v>0.01545</v>
      </c>
      <c r="I14" s="27" t="inlineStr"/>
      <c r="J14" s="27" t="inlineStr">
        <is>
          <t>decimal ratio</t>
        </is>
      </c>
      <c r="K14" s="27" t="inlineStr">
        <is>
          <t>Earlier management working export</t>
        </is>
      </c>
      <c r="L14" s="47" t="inlineStr">
        <is>
          <t>2026-06-24</t>
        </is>
      </c>
      <c r="M14" s="27" t="inlineStr"/>
    </row>
    <row r="15">
      <c r="A15" s="36" t="inlineStr">
        <is>
          <t>TRY-00223</t>
        </is>
      </c>
      <c r="B15" s="27" t="inlineStr">
        <is>
          <t>Interest-rate hedge strategy</t>
        </is>
      </c>
      <c r="C15" s="27" t="inlineStr">
        <is>
          <t>SOFR scenarios</t>
        </is>
      </c>
      <c r="D15" s="27" t="inlineStr">
        <is>
          <t>Base</t>
        </is>
      </c>
      <c r="E15" s="27" t="inlineStr">
        <is>
          <t>2026-05 working copy</t>
        </is>
      </c>
      <c r="F15" s="27" t="inlineStr">
        <is>
          <t>Approved case</t>
        </is>
      </c>
      <c r="G15" s="27" t="inlineStr">
        <is>
          <t>Probability</t>
        </is>
      </c>
      <c r="H15" s="46" t="n">
        <v>0.515</v>
      </c>
      <c r="I15" s="27" t="inlineStr"/>
      <c r="J15" s="27" t="inlineStr">
        <is>
          <t>decimal ratio</t>
        </is>
      </c>
      <c r="K15" s="27" t="inlineStr">
        <is>
          <t>Earlier management working export</t>
        </is>
      </c>
      <c r="L15" s="47" t="inlineStr">
        <is>
          <t>2026-06-24</t>
        </is>
      </c>
      <c r="M15" s="27" t="inlineStr"/>
    </row>
    <row r="16">
      <c r="A16" s="36" t="inlineStr">
        <is>
          <t>TRY-00224</t>
        </is>
      </c>
      <c r="B16" s="27" t="inlineStr">
        <is>
          <t>Interest-rate hedge strategy</t>
        </is>
      </c>
      <c r="C16" s="27" t="inlineStr">
        <is>
          <t>SOFR scenarios</t>
        </is>
      </c>
      <c r="D16" s="27" t="inlineStr">
        <is>
          <t>Downside</t>
        </is>
      </c>
      <c r="E16" s="27" t="inlineStr">
        <is>
          <t>Year 3</t>
        </is>
      </c>
      <c r="F16" s="27" t="inlineStr">
        <is>
          <t>Management stretch</t>
        </is>
      </c>
      <c r="G16" s="27" t="inlineStr">
        <is>
          <t>Average SOFR</t>
        </is>
      </c>
      <c r="H16" s="46" t="n">
        <v>0.06032000000000001</v>
      </c>
      <c r="I16" s="27" t="inlineStr"/>
      <c r="J16" s="27" t="inlineStr">
        <is>
          <t>decimal ratio</t>
        </is>
      </c>
      <c r="K16" s="27" t="inlineStr">
        <is>
          <t>Earlier management working export</t>
        </is>
      </c>
      <c r="L16" s="47" t="inlineStr">
        <is>
          <t>2026-06-24</t>
        </is>
      </c>
      <c r="M16" s="27" t="inlineStr"/>
    </row>
    <row r="17">
      <c r="A17" s="36" t="inlineStr">
        <is>
          <t>TRY-00225</t>
        </is>
      </c>
      <c r="B17" s="27" t="inlineStr">
        <is>
          <t>Interest-rate hedge strategy</t>
        </is>
      </c>
      <c r="C17" s="27" t="inlineStr">
        <is>
          <t>Hedge terms</t>
        </is>
      </c>
      <c r="D17" s="27" t="inlineStr">
        <is>
          <t>Policy</t>
        </is>
      </c>
      <c r="E17" s="27" t="inlineStr">
        <is>
          <t>2026-05 working copy</t>
        </is>
      </c>
      <c r="F17" s="27" t="inlineStr">
        <is>
          <t>Approved case</t>
        </is>
      </c>
      <c r="G17" s="27" t="inlineStr">
        <is>
          <t>Cap premium</t>
        </is>
      </c>
      <c r="H17" s="46" t="n">
        <v>65100</v>
      </c>
      <c r="I17" s="27" t="inlineStr"/>
      <c r="J17" s="27" t="inlineStr">
        <is>
          <t>USD</t>
        </is>
      </c>
      <c r="K17" s="27" t="inlineStr">
        <is>
          <t>Earlier management working export</t>
        </is>
      </c>
      <c r="L17" s="47" t="inlineStr">
        <is>
          <t>2026-06-24</t>
        </is>
      </c>
      <c r="M17" s="27" t="inlineStr"/>
    </row>
    <row r="18">
      <c r="A18" s="36" t="inlineStr">
        <is>
          <t>TRY-00226</t>
        </is>
      </c>
      <c r="B18" s="27" t="inlineStr">
        <is>
          <t>Interest-rate hedge strategy</t>
        </is>
      </c>
      <c r="C18" s="27" t="inlineStr">
        <is>
          <t>SOFR scenarios</t>
        </is>
      </c>
      <c r="D18" s="27" t="inlineStr">
        <is>
          <t>Base</t>
        </is>
      </c>
      <c r="E18" s="27" t="inlineStr">
        <is>
          <t>Year 3</t>
        </is>
      </c>
      <c r="F18" s="27" t="inlineStr">
        <is>
          <t>Management stretch</t>
        </is>
      </c>
      <c r="G18" s="27" t="inlineStr">
        <is>
          <t>Average SOFR</t>
        </is>
      </c>
      <c r="H18" s="46" t="n">
        <v>0.03914</v>
      </c>
      <c r="I18" s="27" t="inlineStr"/>
      <c r="J18" s="27" t="inlineStr">
        <is>
          <t>decimal ratio</t>
        </is>
      </c>
      <c r="K18" s="27" t="inlineStr">
        <is>
          <t>Earlier management working export</t>
        </is>
      </c>
      <c r="L18" s="47" t="inlineStr">
        <is>
          <t>2026-06-24</t>
        </is>
      </c>
      <c r="M18" s="27" t="inlineStr"/>
    </row>
    <row r="19">
      <c r="A19" s="36" t="inlineStr">
        <is>
          <t>TRY-00227</t>
        </is>
      </c>
      <c r="B19" s="27" t="inlineStr">
        <is>
          <t>Interest-rate hedge strategy</t>
        </is>
      </c>
      <c r="C19" s="27" t="inlineStr">
        <is>
          <t>SOFR scenarios</t>
        </is>
      </c>
      <c r="D19" s="27" t="inlineStr">
        <is>
          <t>Falling</t>
        </is>
      </c>
      <c r="E19" s="27" t="inlineStr">
        <is>
          <t>2026-05 working copy</t>
        </is>
      </c>
      <c r="F19" s="27" t="inlineStr">
        <is>
          <t>Approved case</t>
        </is>
      </c>
      <c r="G19" s="27" t="inlineStr">
        <is>
          <t>Average SOFR</t>
        </is>
      </c>
      <c r="H19" s="46" t="n">
        <v>0.02912</v>
      </c>
      <c r="I19" s="27" t="inlineStr"/>
      <c r="J19" s="27" t="inlineStr">
        <is>
          <t>decimal ratio</t>
        </is>
      </c>
      <c r="K19" s="27" t="inlineStr">
        <is>
          <t>Earlier management working export</t>
        </is>
      </c>
      <c r="L19" s="47" t="inlineStr">
        <is>
          <t>2026-06-24</t>
        </is>
      </c>
      <c r="M19" s="27" t="inlineStr"/>
    </row>
    <row r="20">
      <c r="A20" s="36" t="inlineStr">
        <is>
          <t>TRY-00228</t>
        </is>
      </c>
      <c r="B20" s="27" t="inlineStr">
        <is>
          <t>Interest-rate hedge strategy</t>
        </is>
      </c>
      <c r="C20" s="27" t="inlineStr">
        <is>
          <t>Hedge terms</t>
        </is>
      </c>
      <c r="D20" s="27" t="inlineStr">
        <is>
          <t>Policy</t>
        </is>
      </c>
      <c r="E20" s="27" t="inlineStr">
        <is>
          <t>Three-year horizon</t>
        </is>
      </c>
      <c r="F20" s="27" t="inlineStr">
        <is>
          <t>Management stretch</t>
        </is>
      </c>
      <c r="G20" s="27" t="inlineStr">
        <is>
          <t>Downside annual interest ceiling</t>
        </is>
      </c>
      <c r="H20" s="46" t="n">
        <v>152.25</v>
      </c>
      <c r="I20" s="27" t="inlineStr"/>
      <c r="J20" s="27" t="inlineStr">
        <is>
          <t>USD thousands</t>
        </is>
      </c>
      <c r="K20" s="27" t="inlineStr">
        <is>
          <t>Earlier management working export</t>
        </is>
      </c>
      <c r="L20" s="47" t="inlineStr">
        <is>
          <t>2026-06-24</t>
        </is>
      </c>
      <c r="M20" s="27" t="inlineStr"/>
    </row>
    <row r="21">
      <c r="A21" s="36" t="inlineStr">
        <is>
          <t>TRY-00229</t>
        </is>
      </c>
      <c r="B21" s="27" t="inlineStr">
        <is>
          <t>Interest-rate hedge strategy</t>
        </is>
      </c>
      <c r="C21" s="27" t="inlineStr">
        <is>
          <t>SOFR scenarios</t>
        </is>
      </c>
      <c r="D21" s="27" t="inlineStr">
        <is>
          <t>Downside</t>
        </is>
      </c>
      <c r="E21" s="27" t="inlineStr">
        <is>
          <t>2026-05 working copy</t>
        </is>
      </c>
      <c r="F21" s="27" t="inlineStr">
        <is>
          <t>Approved case</t>
        </is>
      </c>
      <c r="G21" s="27" t="inlineStr">
        <is>
          <t>Average SOFR</t>
        </is>
      </c>
      <c r="H21" s="46" t="n">
        <v>0.06386</v>
      </c>
      <c r="I21" s="27" t="inlineStr"/>
      <c r="J21" s="27" t="inlineStr">
        <is>
          <t>decimal ratio</t>
        </is>
      </c>
      <c r="K21" s="27" t="inlineStr">
        <is>
          <t>Earlier management working export</t>
        </is>
      </c>
      <c r="L21" s="47" t="inlineStr">
        <is>
          <t>2026-06-24</t>
        </is>
      </c>
      <c r="M21" s="27" t="inlineStr"/>
    </row>
    <row r="22">
      <c r="A22" s="36" t="inlineStr">
        <is>
          <t>TRY-00230</t>
        </is>
      </c>
      <c r="B22" s="27" t="inlineStr">
        <is>
          <t>Interest-rate hedge strategy</t>
        </is>
      </c>
      <c r="C22" s="27" t="inlineStr">
        <is>
          <t>Hedge terms</t>
        </is>
      </c>
      <c r="D22" s="27" t="inlineStr">
        <is>
          <t>Policy</t>
        </is>
      </c>
      <c r="E22" s="27" t="inlineStr">
        <is>
          <t>Three-year horizon</t>
        </is>
      </c>
      <c r="F22" s="27" t="inlineStr">
        <is>
          <t>Management stretch</t>
        </is>
      </c>
      <c r="G22" s="27" t="inlineStr">
        <is>
          <t>Cap strike</t>
        </is>
      </c>
      <c r="H22" s="46" t="n">
        <v>0.0468</v>
      </c>
      <c r="I22" s="27" t="inlineStr"/>
      <c r="J22" s="27" t="inlineStr">
        <is>
          <t>decimal ratio</t>
        </is>
      </c>
      <c r="K22" s="27" t="inlineStr">
        <is>
          <t>Earlier management working export</t>
        </is>
      </c>
      <c r="L22" s="47" t="inlineStr">
        <is>
          <t>2026-06-24</t>
        </is>
      </c>
      <c r="M22" s="27" t="inlineStr"/>
    </row>
    <row r="23">
      <c r="A23" s="36" t="inlineStr">
        <is>
          <t>TRY-00231</t>
        </is>
      </c>
      <c r="B23" s="27" t="inlineStr">
        <is>
          <t>Interest-rate hedge strategy</t>
        </is>
      </c>
      <c r="C23" s="27" t="inlineStr">
        <is>
          <t>SOFR scenarios</t>
        </is>
      </c>
      <c r="D23" s="27" t="inlineStr">
        <is>
          <t>Base</t>
        </is>
      </c>
      <c r="E23" s="27" t="inlineStr">
        <is>
          <t>2026-05 working copy</t>
        </is>
      </c>
      <c r="F23" s="27" t="inlineStr">
        <is>
          <t>Approved case</t>
        </is>
      </c>
      <c r="G23" s="27" t="inlineStr">
        <is>
          <t>Average SOFR</t>
        </is>
      </c>
      <c r="H23" s="46" t="n">
        <v>0.042</v>
      </c>
      <c r="I23" s="27" t="inlineStr"/>
      <c r="J23" s="27" t="inlineStr">
        <is>
          <t>decimal ratio</t>
        </is>
      </c>
      <c r="K23" s="27" t="inlineStr">
        <is>
          <t>Earlier management working export</t>
        </is>
      </c>
      <c r="L23" s="47" t="inlineStr">
        <is>
          <t>2026-06-24</t>
        </is>
      </c>
      <c r="M23" s="27" t="inlineStr"/>
    </row>
    <row r="24">
      <c r="A24" s="36" t="inlineStr">
        <is>
          <t>TRY-00232</t>
        </is>
      </c>
      <c r="B24" s="27" t="inlineStr">
        <is>
          <t>Interest-rate hedge strategy</t>
        </is>
      </c>
      <c r="C24" s="27" t="inlineStr">
        <is>
          <t>SOFR scenarios</t>
        </is>
      </c>
      <c r="D24" s="27" t="inlineStr">
        <is>
          <t>Falling</t>
        </is>
      </c>
      <c r="E24" s="27" t="inlineStr">
        <is>
          <t>Year 1</t>
        </is>
      </c>
      <c r="F24" s="27" t="inlineStr">
        <is>
          <t>Management stretch</t>
        </is>
      </c>
      <c r="G24" s="27" t="inlineStr">
        <is>
          <t>Average SOFR</t>
        </is>
      </c>
      <c r="H24" s="46" t="n">
        <v>0.03605000000000001</v>
      </c>
      <c r="I24" s="27" t="inlineStr"/>
      <c r="J24" s="27" t="inlineStr">
        <is>
          <t>decimal ratio</t>
        </is>
      </c>
      <c r="K24" s="27" t="inlineStr">
        <is>
          <t>Earlier management working export</t>
        </is>
      </c>
      <c r="L24" s="47" t="inlineStr">
        <is>
          <t>2026-06-24</t>
        </is>
      </c>
      <c r="M24" s="27" t="inlineStr"/>
    </row>
    <row r="25">
      <c r="A25" s="36" t="inlineStr">
        <is>
          <t>TRY-00297</t>
        </is>
      </c>
      <c r="B25" s="27" t="inlineStr">
        <is>
          <t>Foreign-currency equipment hedge</t>
        </is>
      </c>
      <c r="C25" s="27" t="inlineStr">
        <is>
          <t>Equipment payment schedule</t>
        </is>
      </c>
      <c r="D25" s="27" t="inlineStr">
        <is>
          <t>CAD-PO-417</t>
        </is>
      </c>
      <c r="E25" s="27" t="inlineStr">
        <is>
          <t>2026-05 working copy</t>
        </is>
      </c>
      <c r="F25" s="27" t="inlineStr">
        <is>
          <t>Approved case</t>
        </is>
      </c>
      <c r="G25" s="27" t="inlineStr">
        <is>
          <t>Contract amount</t>
        </is>
      </c>
      <c r="H25" s="46" t="n">
        <v>1493500</v>
      </c>
      <c r="I25" s="27" t="inlineStr"/>
      <c r="J25" s="27" t="inlineStr">
        <is>
          <t>CAD</t>
        </is>
      </c>
      <c r="K25" s="27" t="inlineStr">
        <is>
          <t>Earlier management working export</t>
        </is>
      </c>
      <c r="L25" s="47" t="inlineStr">
        <is>
          <t>2026-06-24</t>
        </is>
      </c>
      <c r="M25" s="27" t="inlineStr"/>
    </row>
    <row r="26">
      <c r="A26" s="36" t="inlineStr">
        <is>
          <t>TRY-00298</t>
        </is>
      </c>
      <c r="B26" s="27" t="inlineStr">
        <is>
          <t>Foreign-currency equipment hedge</t>
        </is>
      </c>
      <c r="C26" s="27" t="inlineStr">
        <is>
          <t>Equipment payment schedule</t>
        </is>
      </c>
      <c r="D26" s="27" t="inlineStr">
        <is>
          <t>CAD-PO-433</t>
        </is>
      </c>
      <c r="E26" s="27" t="inlineStr">
        <is>
          <t>2026-12</t>
        </is>
      </c>
      <c r="F26" s="27" t="inlineStr">
        <is>
          <t>Management stretch</t>
        </is>
      </c>
      <c r="G26" s="27" t="inlineStr">
        <is>
          <t>Execution probability</t>
        </is>
      </c>
      <c r="H26" s="46" t="n">
        <v>1.04</v>
      </c>
      <c r="I26" s="27" t="inlineStr"/>
      <c r="J26" s="27" t="inlineStr">
        <is>
          <t>decimal ratio</t>
        </is>
      </c>
      <c r="K26" s="27" t="inlineStr">
        <is>
          <t>Earlier management working export</t>
        </is>
      </c>
      <c r="L26" s="47" t="inlineStr">
        <is>
          <t>2026-06-24</t>
        </is>
      </c>
      <c r="M26" s="27" t="inlineStr"/>
    </row>
    <row r="27">
      <c r="A27" s="36" t="inlineStr">
        <is>
          <t>TRY-00299</t>
        </is>
      </c>
      <c r="B27" s="27" t="inlineStr">
        <is>
          <t>Foreign-currency equipment hedge</t>
        </is>
      </c>
      <c r="C27" s="27" t="inlineStr">
        <is>
          <t>Existing hedge register</t>
        </is>
      </c>
      <c r="D27" s="27" t="inlineStr">
        <is>
          <t>FWD-121</t>
        </is>
      </c>
      <c r="E27" s="27" t="inlineStr">
        <is>
          <t>2026-05 working copy</t>
        </is>
      </c>
      <c r="F27" s="27" t="inlineStr">
        <is>
          <t>Approved case</t>
        </is>
      </c>
      <c r="G27" s="27" t="inlineStr">
        <is>
          <t>Hedged notional</t>
        </is>
      </c>
      <c r="H27" s="46" t="n">
        <v>735000</v>
      </c>
      <c r="I27" s="27" t="inlineStr"/>
      <c r="J27" s="27" t="inlineStr">
        <is>
          <t>CAD</t>
        </is>
      </c>
      <c r="K27" s="27" t="inlineStr">
        <is>
          <t>Earlier management working export</t>
        </is>
      </c>
      <c r="L27" s="47" t="inlineStr">
        <is>
          <t>2026-06-24</t>
        </is>
      </c>
      <c r="M27" s="27" t="inlineStr"/>
    </row>
    <row r="28">
      <c r="A28" s="36" t="inlineStr">
        <is>
          <t>TRY-00300</t>
        </is>
      </c>
      <c r="B28" s="27" t="inlineStr">
        <is>
          <t>Foreign-currency equipment hedge</t>
        </is>
      </c>
      <c r="C28" s="27" t="inlineStr">
        <is>
          <t>Hedge policy</t>
        </is>
      </c>
      <c r="D28" s="27" t="inlineStr">
        <is>
          <t>Optional exposure</t>
        </is>
      </c>
      <c r="E28" s="27" t="inlineStr">
        <is>
          <t>2026-07-04</t>
        </is>
      </c>
      <c r="F28" s="27" t="inlineStr">
        <is>
          <t>Management stretch</t>
        </is>
      </c>
      <c r="G28" s="27" t="inlineStr">
        <is>
          <t>Maximum hedge percent</t>
        </is>
      </c>
      <c r="H28" s="46" t="n">
        <v>0</v>
      </c>
      <c r="I28" s="27" t="inlineStr"/>
      <c r="J28" s="27" t="inlineStr">
        <is>
          <t>decimal ratio</t>
        </is>
      </c>
      <c r="K28" s="27" t="inlineStr">
        <is>
          <t>Earlier management working export</t>
        </is>
      </c>
      <c r="L28" s="47" t="inlineStr">
        <is>
          <t>2026-06-24</t>
        </is>
      </c>
      <c r="M28" s="27" t="inlineStr"/>
    </row>
    <row r="29">
      <c r="A29" s="36" t="inlineStr">
        <is>
          <t>TRY-00301</t>
        </is>
      </c>
      <c r="B29" s="27" t="inlineStr">
        <is>
          <t>Foreign-currency equipment hedge</t>
        </is>
      </c>
      <c r="C29" s="27" t="inlineStr">
        <is>
          <t>Equipment payment schedule</t>
        </is>
      </c>
      <c r="D29" s="27" t="inlineStr">
        <is>
          <t>CAD-PO-433</t>
        </is>
      </c>
      <c r="E29" s="27" t="inlineStr">
        <is>
          <t>2026-05 working copy</t>
        </is>
      </c>
      <c r="F29" s="27" t="inlineStr">
        <is>
          <t>Approved case</t>
        </is>
      </c>
      <c r="G29" s="27" t="inlineStr">
        <is>
          <t>Contract amount</t>
        </is>
      </c>
      <c r="H29" s="46" t="n">
        <v>1788800</v>
      </c>
      <c r="I29" s="27" t="inlineStr"/>
      <c r="J29" s="27" t="inlineStr">
        <is>
          <t>CAD</t>
        </is>
      </c>
      <c r="K29" s="27" t="inlineStr">
        <is>
          <t>Earlier management working export</t>
        </is>
      </c>
      <c r="L29" s="47" t="inlineStr">
        <is>
          <t>2026-06-24</t>
        </is>
      </c>
      <c r="M29" s="27" t="inlineStr"/>
    </row>
    <row r="30">
      <c r="A30" s="36" t="inlineStr">
        <is>
          <t>TRY-00302</t>
        </is>
      </c>
      <c r="B30" s="27" t="inlineStr">
        <is>
          <t>Foreign-currency equipment hedge</t>
        </is>
      </c>
      <c r="C30" s="27" t="inlineStr">
        <is>
          <t>Existing hedge register</t>
        </is>
      </c>
      <c r="D30" s="27" t="inlineStr">
        <is>
          <t>FWD-118</t>
        </is>
      </c>
      <c r="E30" s="27" t="inlineStr">
        <is>
          <t>2026-08</t>
        </is>
      </c>
      <c r="F30" s="27" t="inlineStr">
        <is>
          <t>Management stretch</t>
        </is>
      </c>
      <c r="G30" s="27" t="inlineStr">
        <is>
          <t>Contract USD per CAD</t>
        </is>
      </c>
      <c r="H30" s="46" t="n">
        <v>0.7602</v>
      </c>
      <c r="I30" s="27" t="inlineStr"/>
      <c r="J30" s="27" t="inlineStr">
        <is>
          <t>USD</t>
        </is>
      </c>
      <c r="K30" s="27" t="inlineStr">
        <is>
          <t>Earlier management working export</t>
        </is>
      </c>
      <c r="L30" s="47" t="inlineStr">
        <is>
          <t>2026-06-24</t>
        </is>
      </c>
      <c r="M30" s="27" t="inlineStr"/>
    </row>
    <row r="31">
      <c r="A31" s="36" t="inlineStr">
        <is>
          <t>TRY-00303</t>
        </is>
      </c>
      <c r="B31" s="27" t="inlineStr">
        <is>
          <t>Foreign-currency equipment hedge</t>
        </is>
      </c>
      <c r="C31" s="27" t="inlineStr">
        <is>
          <t>Hedge policy</t>
        </is>
      </c>
      <c r="D31" s="27" t="inlineStr">
        <is>
          <t>Committed exposure</t>
        </is>
      </c>
      <c r="E31" s="27" t="inlineStr">
        <is>
          <t>2026-05 working copy</t>
        </is>
      </c>
      <c r="F31" s="27" t="inlineStr">
        <is>
          <t>Approved case</t>
        </is>
      </c>
      <c r="G31" s="27" t="inlineStr">
        <is>
          <t>Required hedge percent</t>
        </is>
      </c>
      <c r="H31" s="46" t="n">
        <v>1.03</v>
      </c>
      <c r="I31" s="27" t="inlineStr"/>
      <c r="J31" s="27" t="inlineStr">
        <is>
          <t>decimal ratio</t>
        </is>
      </c>
      <c r="K31" s="27" t="inlineStr">
        <is>
          <t>Earlier management working export</t>
        </is>
      </c>
      <c r="L31" s="47" t="inlineStr">
        <is>
          <t>2026-06-24</t>
        </is>
      </c>
      <c r="M31" s="27" t="inlineStr"/>
    </row>
    <row r="32">
      <c r="A32" s="36" t="inlineStr">
        <is>
          <t>TRY-00304</t>
        </is>
      </c>
      <c r="B32" s="27" t="inlineStr">
        <is>
          <t>Foreign-currency equipment hedge</t>
        </is>
      </c>
      <c r="C32" s="27" t="inlineStr">
        <is>
          <t>Equipment payment schedule</t>
        </is>
      </c>
      <c r="D32" s="27" t="inlineStr">
        <is>
          <t>CAD-PO-428</t>
        </is>
      </c>
      <c r="E32" s="27" t="inlineStr">
        <is>
          <t>2026-10</t>
        </is>
      </c>
      <c r="F32" s="27" t="inlineStr">
        <is>
          <t>Management stretch</t>
        </is>
      </c>
      <c r="G32" s="27" t="inlineStr">
        <is>
          <t>Forward USD per CAD</t>
        </is>
      </c>
      <c r="H32" s="46" t="n">
        <v>0.7711600000000001</v>
      </c>
      <c r="I32" s="27" t="inlineStr"/>
      <c r="J32" s="27" t="inlineStr">
        <is>
          <t>USD</t>
        </is>
      </c>
      <c r="K32" s="27" t="inlineStr">
        <is>
          <t>Earlier management working export</t>
        </is>
      </c>
      <c r="L32" s="47" t="inlineStr">
        <is>
          <t>2026-06-24</t>
        </is>
      </c>
      <c r="M32" s="27" t="inlineStr"/>
    </row>
    <row r="33">
      <c r="A33" s="36" t="inlineStr">
        <is>
          <t>TRY-00305</t>
        </is>
      </c>
      <c r="B33" s="27" t="inlineStr">
        <is>
          <t>Foreign-currency equipment hedge</t>
        </is>
      </c>
      <c r="C33" s="27" t="inlineStr">
        <is>
          <t>Existing hedge register</t>
        </is>
      </c>
      <c r="D33" s="27" t="inlineStr">
        <is>
          <t>FWD-118</t>
        </is>
      </c>
      <c r="E33" s="27" t="inlineStr">
        <is>
          <t>2026-05 working copy</t>
        </is>
      </c>
      <c r="F33" s="27" t="inlineStr">
        <is>
          <t>Approved case</t>
        </is>
      </c>
      <c r="G33" s="27" t="inlineStr">
        <is>
          <t>Hedged notional</t>
        </is>
      </c>
      <c r="H33" s="46" t="n">
        <v>840000</v>
      </c>
      <c r="I33" s="27" t="inlineStr"/>
      <c r="J33" s="27" t="inlineStr">
        <is>
          <t>CAD</t>
        </is>
      </c>
      <c r="K33" s="27" t="inlineStr">
        <is>
          <t>Earlier management working export</t>
        </is>
      </c>
      <c r="L33" s="47" t="inlineStr">
        <is>
          <t>2026-06-24</t>
        </is>
      </c>
      <c r="M33" s="27" t="inlineStr"/>
    </row>
    <row r="34">
      <c r="A34" s="36" t="inlineStr">
        <is>
          <t>TRY-00306</t>
        </is>
      </c>
      <c r="B34" s="27" t="inlineStr">
        <is>
          <t>Foreign-currency equipment hedge</t>
        </is>
      </c>
      <c r="C34" s="27" t="inlineStr">
        <is>
          <t>Downside FX scenario</t>
        </is>
      </c>
      <c r="D34" s="27" t="inlineStr">
        <is>
          <t>CAD downside</t>
        </is>
      </c>
      <c r="E34" s="27" t="inlineStr">
        <is>
          <t>2027-02</t>
        </is>
      </c>
      <c r="F34" s="27" t="inlineStr">
        <is>
          <t>Management stretch</t>
        </is>
      </c>
      <c r="G34" s="27" t="inlineStr">
        <is>
          <t>USD per CAD spot</t>
        </is>
      </c>
      <c r="H34" s="46" t="n">
        <v>0.82606</v>
      </c>
      <c r="I34" s="27" t="inlineStr"/>
      <c r="J34" s="27" t="inlineStr">
        <is>
          <t>USD</t>
        </is>
      </c>
      <c r="K34" s="27" t="inlineStr">
        <is>
          <t>Earlier management working export</t>
        </is>
      </c>
      <c r="L34" s="47" t="inlineStr">
        <is>
          <t>2026-06-24</t>
        </is>
      </c>
      <c r="M34" s="27" t="inlineStr"/>
    </row>
    <row r="35">
      <c r="A35" s="36" t="inlineStr">
        <is>
          <t>TRY-00618</t>
        </is>
      </c>
      <c r="B35" s="27" t="inlineStr">
        <is>
          <t>Refinancing, hedge, and covenant economics</t>
        </is>
      </c>
      <c r="C35" s="27" t="inlineStr">
        <is>
          <t>Refinancing alternatives</t>
        </is>
      </c>
      <c r="D35" s="27" t="inlineStr">
        <is>
          <t>Keep existing</t>
        </is>
      </c>
      <c r="E35" s="27" t="inlineStr">
        <is>
          <t>2026-05 working copy</t>
        </is>
      </c>
      <c r="F35" s="27" t="inlineStr">
        <is>
          <t>Approved case</t>
        </is>
      </c>
      <c r="G35" s="27" t="inlineStr">
        <is>
          <t>Opening principal</t>
        </is>
      </c>
      <c r="H35" s="46" t="n">
        <v>7004000</v>
      </c>
      <c r="I35" s="27" t="inlineStr"/>
      <c r="J35" s="27" t="inlineStr">
        <is>
          <t>USD</t>
        </is>
      </c>
      <c r="K35" s="27" t="inlineStr">
        <is>
          <t>Earlier management working export</t>
        </is>
      </c>
      <c r="L35" s="47" t="inlineStr">
        <is>
          <t>2026-06-24</t>
        </is>
      </c>
      <c r="M35" s="27" t="inlineStr"/>
    </row>
    <row r="36">
      <c r="A36" s="36" t="inlineStr">
        <is>
          <t>TRY-00619</t>
        </is>
      </c>
      <c r="B36" s="27" t="inlineStr">
        <is>
          <t>Refinancing, hedge, and covenant economics</t>
        </is>
      </c>
      <c r="C36" s="27" t="inlineStr">
        <is>
          <t>Refinancing alternatives</t>
        </is>
      </c>
      <c r="D36" s="27" t="inlineStr">
        <is>
          <t>Term loan A</t>
        </is>
      </c>
      <c r="E36" s="27" t="inlineStr">
        <is>
          <t>2026-07-31</t>
        </is>
      </c>
      <c r="F36" s="27" t="inlineStr">
        <is>
          <t>Management stretch</t>
        </is>
      </c>
      <c r="G36" s="27" t="inlineStr">
        <is>
          <t>SOFR floor</t>
        </is>
      </c>
      <c r="H36" s="46" t="n">
        <v>0.052</v>
      </c>
      <c r="I36" s="27" t="inlineStr"/>
      <c r="J36" s="27" t="inlineStr">
        <is>
          <t>decimal ratio</t>
        </is>
      </c>
      <c r="K36" s="27" t="inlineStr">
        <is>
          <t>Earlier management working export</t>
        </is>
      </c>
      <c r="L36" s="47" t="inlineStr">
        <is>
          <t>2026-06-24</t>
        </is>
      </c>
      <c r="M36" s="27" t="inlineStr"/>
    </row>
    <row r="37">
      <c r="A37" s="36" t="inlineStr">
        <is>
          <t>TRY-00620</t>
        </is>
      </c>
      <c r="B37" s="27" t="inlineStr">
        <is>
          <t>Refinancing, hedge, and covenant economics</t>
        </is>
      </c>
      <c r="C37" s="27" t="inlineStr">
        <is>
          <t>Refinancing alternatives</t>
        </is>
      </c>
      <c r="D37" s="27" t="inlineStr">
        <is>
          <t>Term loan B plus swap</t>
        </is>
      </c>
      <c r="E37" s="27" t="inlineStr">
        <is>
          <t>2026-05 working copy</t>
        </is>
      </c>
      <c r="F37" s="27" t="inlineStr">
        <is>
          <t>Approved case</t>
        </is>
      </c>
      <c r="G37" s="27" t="inlineStr">
        <is>
          <t>Credit spread or fixed rate</t>
        </is>
      </c>
      <c r="H37" s="46" t="n">
        <v>0.07454999999999999</v>
      </c>
      <c r="I37" s="27" t="inlineStr"/>
      <c r="J37" s="27" t="inlineStr">
        <is>
          <t>decimal ratio</t>
        </is>
      </c>
      <c r="K37" s="27" t="inlineStr">
        <is>
          <t>Earlier management working export</t>
        </is>
      </c>
      <c r="L37" s="47" t="inlineStr">
        <is>
          <t>2026-06-24</t>
        </is>
      </c>
      <c r="M37" s="27" t="inlineStr"/>
    </row>
    <row r="38">
      <c r="A38" s="36" t="inlineStr">
        <is>
          <t>TRY-00621</t>
        </is>
      </c>
      <c r="B38" s="27" t="inlineStr">
        <is>
          <t>Refinancing, hedge, and covenant economics</t>
        </is>
      </c>
      <c r="C38" s="27" t="inlineStr">
        <is>
          <t>Refinancing decision policy</t>
        </is>
      </c>
      <c r="D38" s="27" t="inlineStr">
        <is>
          <t>Alder Ridge</t>
        </is>
      </c>
      <c r="E38" s="27" t="inlineStr">
        <is>
          <t>FY27</t>
        </is>
      </c>
      <c r="F38" s="27" t="inlineStr">
        <is>
          <t>Management stretch</t>
        </is>
      </c>
      <c r="G38" s="27" t="inlineStr">
        <is>
          <t>Unamortized existing fees</t>
        </is>
      </c>
      <c r="H38" s="46" t="n">
        <v>74.16</v>
      </c>
      <c r="I38" s="27" t="inlineStr"/>
      <c r="J38" s="27" t="inlineStr">
        <is>
          <t>USD thousands</t>
        </is>
      </c>
      <c r="K38" s="27" t="inlineStr">
        <is>
          <t>Earlier management working export</t>
        </is>
      </c>
      <c r="L38" s="47" t="inlineStr">
        <is>
          <t>2026-06-24</t>
        </is>
      </c>
      <c r="M38" s="27" t="inlineStr"/>
    </row>
    <row r="39">
      <c r="A39" s="36" t="inlineStr">
        <is>
          <t>TRY-00622</t>
        </is>
      </c>
      <c r="B39" s="27" t="inlineStr">
        <is>
          <t>Refinancing, hedge, and covenant economics</t>
        </is>
      </c>
      <c r="C39" s="27" t="inlineStr">
        <is>
          <t>Refinancing decision policy</t>
        </is>
      </c>
      <c r="D39" s="27" t="inlineStr">
        <is>
          <t>Alder Ridge</t>
        </is>
      </c>
      <c r="E39" s="27" t="inlineStr">
        <is>
          <t>2026-05 working copy</t>
        </is>
      </c>
      <c r="F39" s="27" t="inlineStr">
        <is>
          <t>Approved case</t>
        </is>
      </c>
      <c r="G39" s="27" t="inlineStr">
        <is>
          <t>Discount rate</t>
        </is>
      </c>
      <c r="H39" s="46" t="n">
        <v>0.08840000000000001</v>
      </c>
      <c r="I39" s="27" t="inlineStr"/>
      <c r="J39" s="27" t="inlineStr">
        <is>
          <t>decimal ratio</t>
        </is>
      </c>
      <c r="K39" s="27" t="inlineStr">
        <is>
          <t>Earlier management working export</t>
        </is>
      </c>
      <c r="L39" s="47" t="inlineStr">
        <is>
          <t>2026-06-24</t>
        </is>
      </c>
      <c r="M39" s="27" t="inlineStr"/>
    </row>
    <row r="40">
      <c r="A40" s="36" t="inlineStr">
        <is>
          <t>TRY-00623</t>
        </is>
      </c>
      <c r="B40" s="27" t="inlineStr">
        <is>
          <t>Refinancing, hedge, and covenant economics</t>
        </is>
      </c>
      <c r="C40" s="27" t="inlineStr">
        <is>
          <t>Refinancing alternatives</t>
        </is>
      </c>
      <c r="D40" s="27" t="inlineStr">
        <is>
          <t>Term loan A</t>
        </is>
      </c>
      <c r="E40" s="27" t="inlineStr">
        <is>
          <t>2026-07-31</t>
        </is>
      </c>
      <c r="F40" s="27" t="inlineStr">
        <is>
          <t>Management stretch</t>
        </is>
      </c>
      <c r="G40" s="27" t="inlineStr">
        <is>
          <t>Opening principal</t>
        </is>
      </c>
      <c r="H40" s="46" t="n">
        <v>7140000</v>
      </c>
      <c r="I40" s="27" t="inlineStr"/>
      <c r="J40" s="27" t="inlineStr">
        <is>
          <t>USD</t>
        </is>
      </c>
      <c r="K40" s="27" t="inlineStr">
        <is>
          <t>Earlier management working export</t>
        </is>
      </c>
      <c r="L40" s="47" t="inlineStr">
        <is>
          <t>2026-06-24</t>
        </is>
      </c>
      <c r="M40" s="27" t="inlineStr"/>
    </row>
    <row r="41">
      <c r="A41" s="36" t="inlineStr">
        <is>
          <t>TRY-00624</t>
        </is>
      </c>
      <c r="B41" s="27" t="inlineStr">
        <is>
          <t>Refinancing, hedge, and covenant economics</t>
        </is>
      </c>
      <c r="C41" s="27" t="inlineStr">
        <is>
          <t>Refinancing alternatives</t>
        </is>
      </c>
      <c r="D41" s="27" t="inlineStr">
        <is>
          <t>Term loan B plus swap</t>
        </is>
      </c>
      <c r="E41" s="27" t="inlineStr">
        <is>
          <t>2026-05 working copy</t>
        </is>
      </c>
      <c r="F41" s="27" t="inlineStr">
        <is>
          <t>Approved case</t>
        </is>
      </c>
      <c r="G41" s="27" t="inlineStr">
        <is>
          <t>SOFR floor</t>
        </is>
      </c>
      <c r="H41" s="46" t="n">
        <v>0</v>
      </c>
      <c r="I41" s="27" t="inlineStr"/>
      <c r="J41" s="27" t="inlineStr">
        <is>
          <t>decimal ratio</t>
        </is>
      </c>
      <c r="K41" s="27" t="inlineStr">
        <is>
          <t>Earlier management working export</t>
        </is>
      </c>
      <c r="L41" s="47" t="inlineStr">
        <is>
          <t>2026-06-24</t>
        </is>
      </c>
      <c r="M41" s="27" t="inlineStr"/>
    </row>
    <row r="42">
      <c r="A42" s="36" t="inlineStr">
        <is>
          <t>TRY-00625</t>
        </is>
      </c>
      <c r="B42" s="27" t="inlineStr">
        <is>
          <t>Refinancing, hedge, and covenant economics</t>
        </is>
      </c>
      <c r="C42" s="27" t="inlineStr">
        <is>
          <t>Refinancing decision policy</t>
        </is>
      </c>
      <c r="D42" s="27" t="inlineStr">
        <is>
          <t>Alder Ridge</t>
        </is>
      </c>
      <c r="E42" s="27" t="inlineStr">
        <is>
          <t>FY27</t>
        </is>
      </c>
      <c r="F42" s="27" t="inlineStr">
        <is>
          <t>Management stretch</t>
        </is>
      </c>
      <c r="G42" s="27" t="inlineStr">
        <is>
          <t>Existing prepayment penalty</t>
        </is>
      </c>
      <c r="H42" s="46" t="n">
        <v>0.0156</v>
      </c>
      <c r="I42" s="27" t="inlineStr"/>
      <c r="J42" s="27" t="inlineStr">
        <is>
          <t>decimal ratio</t>
        </is>
      </c>
      <c r="K42" s="27" t="inlineStr">
        <is>
          <t>Earlier management working export</t>
        </is>
      </c>
      <c r="L42" s="47" t="inlineStr">
        <is>
          <t>2026-06-24</t>
        </is>
      </c>
      <c r="M42" s="27" t="inlineStr"/>
    </row>
    <row r="43">
      <c r="A43" s="36" t="inlineStr">
        <is>
          <t>TRY-00626</t>
        </is>
      </c>
      <c r="B43" s="27" t="inlineStr">
        <is>
          <t>Refinancing, hedge, and covenant economics</t>
        </is>
      </c>
      <c r="C43" s="27" t="inlineStr">
        <is>
          <t>Refinancing decision policy</t>
        </is>
      </c>
      <c r="D43" s="27" t="inlineStr">
        <is>
          <t>Alder Ridge</t>
        </is>
      </c>
      <c r="E43" s="27" t="inlineStr">
        <is>
          <t>2026-05 working copy</t>
        </is>
      </c>
      <c r="F43" s="27" t="inlineStr">
        <is>
          <t>Approved case</t>
        </is>
      </c>
      <c r="G43" s="27" t="inlineStr">
        <is>
          <t>Tax rate</t>
        </is>
      </c>
      <c r="H43" s="46" t="n">
        <v>0.273</v>
      </c>
      <c r="I43" s="27" t="inlineStr"/>
      <c r="J43" s="27" t="inlineStr">
        <is>
          <t>decimal ratio</t>
        </is>
      </c>
      <c r="K43" s="27" t="inlineStr">
        <is>
          <t>Earlier management working export</t>
        </is>
      </c>
      <c r="L43" s="47" t="inlineStr">
        <is>
          <t>2026-06-24</t>
        </is>
      </c>
      <c r="M43" s="27" t="inlineStr"/>
    </row>
    <row r="44">
      <c r="A44" s="36" t="inlineStr">
        <is>
          <t>TRY-00627</t>
        </is>
      </c>
      <c r="B44" s="27" t="inlineStr">
        <is>
          <t>Refinancing, hedge, and covenant economics</t>
        </is>
      </c>
      <c r="C44" s="27" t="inlineStr">
        <is>
          <t>Refinancing alternatives</t>
        </is>
      </c>
      <c r="D44" s="27" t="inlineStr">
        <is>
          <t>Keep existing</t>
        </is>
      </c>
      <c r="E44" s="27" t="inlineStr">
        <is>
          <t>2026-07-31</t>
        </is>
      </c>
      <c r="F44" s="27" t="inlineStr">
        <is>
          <t>Management stretch</t>
        </is>
      </c>
      <c r="G44" s="27" t="inlineStr">
        <is>
          <t>Term years</t>
        </is>
      </c>
      <c r="H44" s="46" t="n">
        <v>4.12</v>
      </c>
      <c r="I44" s="27" t="inlineStr"/>
      <c r="J44" s="27" t="inlineStr">
        <is>
          <t>years</t>
        </is>
      </c>
      <c r="K44" s="27" t="inlineStr">
        <is>
          <t>Earlier management working export</t>
        </is>
      </c>
      <c r="L44" s="47" t="inlineStr">
        <is>
          <t>2026-06-24</t>
        </is>
      </c>
      <c r="M44" s="27" t="inlineStr"/>
    </row>
    <row r="45">
      <c r="A45" s="36" t="inlineStr">
        <is>
          <t>TRY-00628</t>
        </is>
      </c>
      <c r="B45" s="27" t="inlineStr">
        <is>
          <t>Refinancing, hedge, and covenant economics</t>
        </is>
      </c>
      <c r="C45" s="27" t="inlineStr">
        <is>
          <t>Refinancing alternatives</t>
        </is>
      </c>
      <c r="D45" s="27" t="inlineStr">
        <is>
          <t>Term loan B plus swap</t>
        </is>
      </c>
      <c r="E45" s="27" t="inlineStr">
        <is>
          <t>2026-05 working copy</t>
        </is>
      </c>
      <c r="F45" s="27" t="inlineStr">
        <is>
          <t>Approved case</t>
        </is>
      </c>
      <c r="G45" s="27" t="inlineStr">
        <is>
          <t>Opening principal</t>
        </is>
      </c>
      <c r="H45" s="46" t="n">
        <v>7072000</v>
      </c>
      <c r="I45" s="27" t="inlineStr"/>
      <c r="J45" s="27" t="inlineStr">
        <is>
          <t>USD</t>
        </is>
      </c>
      <c r="K45" s="27" t="inlineStr">
        <is>
          <t>Earlier management working export</t>
        </is>
      </c>
      <c r="L45" s="47" t="inlineStr">
        <is>
          <t>2026-06-24</t>
        </is>
      </c>
      <c r="M45" s="27" t="inlineStr"/>
    </row>
    <row r="46">
      <c r="A46" s="36" t="inlineStr">
        <is>
          <t>TRY-00629</t>
        </is>
      </c>
      <c r="B46" s="27" t="inlineStr">
        <is>
          <t>Refinancing, hedge, and covenant economics</t>
        </is>
      </c>
      <c r="C46" s="27" t="inlineStr">
        <is>
          <t>Rate cases</t>
        </is>
      </c>
      <c r="D46" s="27" t="inlineStr">
        <is>
          <t>SOFR</t>
        </is>
      </c>
      <c r="E46" s="27" t="inlineStr">
        <is>
          <t>Downside</t>
        </is>
      </c>
      <c r="F46" s="27" t="inlineStr">
        <is>
          <t>Management stretch</t>
        </is>
      </c>
      <c r="G46" s="27" t="inlineStr">
        <is>
          <t>Average forward rate</t>
        </is>
      </c>
      <c r="H46" s="46" t="n">
        <v>0.066675</v>
      </c>
      <c r="I46" s="27" t="inlineStr"/>
      <c r="J46" s="27" t="inlineStr">
        <is>
          <t>decimal ratio</t>
        </is>
      </c>
      <c r="K46" s="27" t="inlineStr">
        <is>
          <t>Earlier management working export</t>
        </is>
      </c>
      <c r="L46" s="47" t="inlineStr">
        <is>
          <t>2026-06-24</t>
        </is>
      </c>
      <c r="M46" s="27" t="inlineStr"/>
    </row>
    <row r="47">
      <c r="A47" s="36" t="inlineStr">
        <is>
          <t>TRY-00630</t>
        </is>
      </c>
      <c r="B47" s="27" t="inlineStr">
        <is>
          <t>Refinancing, hedge, and covenant economics</t>
        </is>
      </c>
      <c r="C47" s="27" t="inlineStr">
        <is>
          <t>Refinancing decision policy</t>
        </is>
      </c>
      <c r="D47" s="27" t="inlineStr">
        <is>
          <t>Alder Ridge</t>
        </is>
      </c>
      <c r="E47" s="27" t="inlineStr">
        <is>
          <t>2026-05 working copy</t>
        </is>
      </c>
      <c r="F47" s="27" t="inlineStr">
        <is>
          <t>Approved case</t>
        </is>
      </c>
      <c r="G47" s="27" t="inlineStr">
        <is>
          <t>Annual principal amortization percent</t>
        </is>
      </c>
      <c r="H47" s="46" t="n">
        <v>0.103</v>
      </c>
      <c r="I47" s="27" t="inlineStr"/>
      <c r="J47" s="27" t="inlineStr">
        <is>
          <t>decimal ratio</t>
        </is>
      </c>
      <c r="K47" s="27" t="inlineStr">
        <is>
          <t>Earlier management working export</t>
        </is>
      </c>
      <c r="L47" s="47" t="inlineStr">
        <is>
          <t>2026-06-24</t>
        </is>
      </c>
      <c r="M47" s="27" t="inlineStr"/>
    </row>
    <row r="48">
      <c r="A48" s="36" t="inlineStr">
        <is>
          <t>TRY-00631</t>
        </is>
      </c>
      <c r="B48" s="27" t="inlineStr">
        <is>
          <t>Refinancing, hedge, and covenant economics</t>
        </is>
      </c>
      <c r="C48" s="27" t="inlineStr">
        <is>
          <t>Refinancing alternatives</t>
        </is>
      </c>
      <c r="D48" s="27" t="inlineStr">
        <is>
          <t>Keep existing</t>
        </is>
      </c>
      <c r="E48" s="27" t="inlineStr">
        <is>
          <t>2026-07-31</t>
        </is>
      </c>
      <c r="F48" s="27" t="inlineStr">
        <is>
          <t>Management stretch</t>
        </is>
      </c>
      <c r="G48" s="27" t="inlineStr">
        <is>
          <t>Other closing costs</t>
        </is>
      </c>
      <c r="H48" s="46" t="n">
        <v>0</v>
      </c>
      <c r="I48" s="27" t="inlineStr"/>
      <c r="J48" s="27" t="inlineStr">
        <is>
          <t>USD</t>
        </is>
      </c>
      <c r="K48" s="27" t="inlineStr">
        <is>
          <t>Earlier management working export</t>
        </is>
      </c>
      <c r="L48" s="47" t="inlineStr">
        <is>
          <t>2026-06-24</t>
        </is>
      </c>
      <c r="M48" s="27" t="inlineStr"/>
    </row>
    <row r="49">
      <c r="A49" s="36" t="inlineStr">
        <is>
          <t>TRY-00645</t>
        </is>
      </c>
      <c r="B49" s="27" t="inlineStr">
        <is>
          <t>Refinancing, hedge, and covenant economics</t>
        </is>
      </c>
      <c r="C49" s="27" t="inlineStr">
        <is>
          <t>Approved SOFR term curve</t>
        </is>
      </c>
      <c r="D49" s="27" t="inlineStr">
        <is>
          <t>SOFR</t>
        </is>
      </c>
      <c r="E49" s="27" t="inlineStr">
        <is>
          <t>2026-05 working copy</t>
        </is>
      </c>
      <c r="F49" s="27" t="inlineStr">
        <is>
          <t>Approved case</t>
        </is>
      </c>
      <c r="G49" s="27" t="inlineStr">
        <is>
          <t>Base forward rate</t>
        </is>
      </c>
      <c r="H49" s="46" t="n">
        <v>0.04738</v>
      </c>
      <c r="I49" s="27" t="inlineStr"/>
      <c r="J49" s="27" t="inlineStr">
        <is>
          <t>decimal ratio</t>
        </is>
      </c>
      <c r="K49" s="27" t="inlineStr">
        <is>
          <t>Earlier management working export</t>
        </is>
      </c>
      <c r="L49" s="47" t="inlineStr">
        <is>
          <t>2026-06-24</t>
        </is>
      </c>
      <c r="M49" s="27" t="inlineStr"/>
    </row>
    <row r="50">
      <c r="A50" s="36" t="inlineStr">
        <is>
          <t>TRY-00646</t>
        </is>
      </c>
      <c r="B50" s="27" t="inlineStr">
        <is>
          <t>Refinancing, hedge, and covenant economics</t>
        </is>
      </c>
      <c r="C50" s="27" t="inlineStr">
        <is>
          <t>Approved SOFR term curve</t>
        </is>
      </c>
      <c r="D50" s="27" t="inlineStr">
        <is>
          <t>SOFR</t>
        </is>
      </c>
      <c r="E50" s="27" t="inlineStr">
        <is>
          <t>Year 4</t>
        </is>
      </c>
      <c r="F50" s="27" t="inlineStr">
        <is>
          <t>Management stretch</t>
        </is>
      </c>
      <c r="G50" s="27" t="inlineStr">
        <is>
          <t>Downside forward rate</t>
        </is>
      </c>
      <c r="H50" s="46" t="n">
        <v>0.05356</v>
      </c>
      <c r="I50" s="27" t="inlineStr"/>
      <c r="J50" s="27" t="inlineStr">
        <is>
          <t>decimal ratio</t>
        </is>
      </c>
      <c r="K50" s="27" t="inlineStr">
        <is>
          <t>Earlier management working export</t>
        </is>
      </c>
      <c r="L50" s="47" t="inlineStr">
        <is>
          <t>2026-06-24</t>
        </is>
      </c>
      <c r="M50" s="27" t="inlineStr"/>
    </row>
    <row r="51">
      <c r="A51" s="36" t="inlineStr">
        <is>
          <t>TRY-00647</t>
        </is>
      </c>
      <c r="B51" s="27" t="inlineStr">
        <is>
          <t>Refinancing, hedge, and covenant economics</t>
        </is>
      </c>
      <c r="C51" s="27" t="inlineStr">
        <is>
          <t>Approved SOFR term curve</t>
        </is>
      </c>
      <c r="D51" s="27" t="inlineStr">
        <is>
          <t>SOFR</t>
        </is>
      </c>
      <c r="E51" s="27" t="inlineStr">
        <is>
          <t>2026-05 working copy</t>
        </is>
      </c>
      <c r="F51" s="27" t="inlineStr">
        <is>
          <t>Approved case</t>
        </is>
      </c>
      <c r="G51" s="27" t="inlineStr">
        <is>
          <t>Downside forward rate</t>
        </is>
      </c>
      <c r="H51" s="46" t="n">
        <v>0.066675</v>
      </c>
      <c r="I51" s="27" t="inlineStr"/>
      <c r="J51" s="27" t="inlineStr">
        <is>
          <t>decimal ratio</t>
        </is>
      </c>
      <c r="K51" s="27" t="inlineStr">
        <is>
          <t>Earlier management working export</t>
        </is>
      </c>
      <c r="L51" s="47" t="inlineStr">
        <is>
          <t>2026-06-24</t>
        </is>
      </c>
      <c r="M51" s="27" t="inlineStr"/>
    </row>
    <row r="52">
      <c r="A52" s="36" t="inlineStr">
        <is>
          <t>TRY-00648</t>
        </is>
      </c>
      <c r="B52" s="27" t="inlineStr">
        <is>
          <t>Refinancing, hedge, and covenant economics</t>
        </is>
      </c>
      <c r="C52" s="27" t="inlineStr">
        <is>
          <t>Approved SOFR term curve</t>
        </is>
      </c>
      <c r="D52" s="27" t="inlineStr">
        <is>
          <t>SOFR</t>
        </is>
      </c>
      <c r="E52" s="27" t="inlineStr">
        <is>
          <t>Year 5</t>
        </is>
      </c>
      <c r="F52" s="27" t="inlineStr">
        <is>
          <t>Management stretch</t>
        </is>
      </c>
      <c r="G52" s="27" t="inlineStr">
        <is>
          <t>Base forward rate</t>
        </is>
      </c>
      <c r="H52" s="46" t="n">
        <v>0.03914</v>
      </c>
      <c r="I52" s="27" t="inlineStr"/>
      <c r="J52" s="27" t="inlineStr">
        <is>
          <t>decimal ratio</t>
        </is>
      </c>
      <c r="K52" s="27" t="inlineStr">
        <is>
          <t>Earlier management working export</t>
        </is>
      </c>
      <c r="L52" s="47" t="inlineStr">
        <is>
          <t>2026-06-24</t>
        </is>
      </c>
      <c r="M52" s="27" t="inlineStr"/>
    </row>
    <row r="53">
      <c r="A53" s="36" t="inlineStr">
        <is>
          <t>TRY-00649</t>
        </is>
      </c>
      <c r="B53" s="27" t="inlineStr">
        <is>
          <t>Refinancing, hedge, and covenant economics</t>
        </is>
      </c>
      <c r="C53" s="27" t="inlineStr">
        <is>
          <t>Approved SOFR term curve</t>
        </is>
      </c>
      <c r="D53" s="27" t="inlineStr">
        <is>
          <t>SOFR</t>
        </is>
      </c>
      <c r="E53" s="27" t="inlineStr">
        <is>
          <t>2026-05 working copy</t>
        </is>
      </c>
      <c r="F53" s="27" t="inlineStr">
        <is>
          <t>Approved case</t>
        </is>
      </c>
      <c r="G53" s="27" t="inlineStr">
        <is>
          <t>Base forward rate</t>
        </is>
      </c>
      <c r="H53" s="46" t="n">
        <v>0.04524</v>
      </c>
      <c r="I53" s="27" t="inlineStr"/>
      <c r="J53" s="27" t="inlineStr">
        <is>
          <t>decimal ratio</t>
        </is>
      </c>
      <c r="K53" s="27" t="inlineStr">
        <is>
          <t>Earlier management working export</t>
        </is>
      </c>
      <c r="L53" s="47" t="inlineStr">
        <is>
          <t>2026-06-24</t>
        </is>
      </c>
      <c r="M53" s="27" t="inlineStr"/>
    </row>
    <row r="54">
      <c r="A54" s="36" t="inlineStr">
        <is>
          <t>TRY-00650</t>
        </is>
      </c>
      <c r="B54" s="27" t="inlineStr">
        <is>
          <t>Refinancing, hedge, and covenant economics</t>
        </is>
      </c>
      <c r="C54" s="27" t="inlineStr">
        <is>
          <t>Approved SOFR term curve</t>
        </is>
      </c>
      <c r="D54" s="27" t="inlineStr">
        <is>
          <t>SOFR</t>
        </is>
      </c>
      <c r="E54" s="27" t="inlineStr">
        <is>
          <t>Year 5</t>
        </is>
      </c>
      <c r="F54" s="27" t="inlineStr">
        <is>
          <t>Management stretch</t>
        </is>
      </c>
      <c r="G54" s="27" t="inlineStr">
        <is>
          <t>Downside forward rate</t>
        </is>
      </c>
      <c r="H54" s="46" t="n">
        <v>0.05145</v>
      </c>
      <c r="I54" s="27" t="inlineStr"/>
      <c r="J54" s="27" t="inlineStr">
        <is>
          <t>decimal ratio</t>
        </is>
      </c>
      <c r="K54" s="27" t="inlineStr">
        <is>
          <t>Earlier management working export</t>
        </is>
      </c>
      <c r="L54" s="47" t="inlineStr">
        <is>
          <t>2026-06-24</t>
        </is>
      </c>
      <c r="M54" s="27" t="inlineStr"/>
    </row>
    <row r="55">
      <c r="A55" s="36" t="inlineStr">
        <is>
          <t>TRY-00680</t>
        </is>
      </c>
      <c r="B55" s="27" t="inlineStr">
        <is>
          <t>Layered FX hedge plan</t>
        </is>
      </c>
      <c r="C55" s="27" t="inlineStr">
        <is>
          <t>Committed FX exposures</t>
        </is>
      </c>
      <c r="D55" s="27" t="inlineStr">
        <is>
          <t>EUR equipment</t>
        </is>
      </c>
      <c r="E55" s="27" t="inlineStr">
        <is>
          <t>2026-05 working copy</t>
        </is>
      </c>
      <c r="F55" s="27" t="inlineStr">
        <is>
          <t>Approved case</t>
        </is>
      </c>
      <c r="G55" s="27" t="inlineStr">
        <is>
          <t>Foreign currency payable</t>
        </is>
      </c>
      <c r="H55" s="46" t="n">
        <v>3296000</v>
      </c>
      <c r="I55" s="27" t="inlineStr"/>
      <c r="J55" s="27" t="inlineStr">
        <is>
          <t>foreign currency</t>
        </is>
      </c>
      <c r="K55" s="27" t="inlineStr">
        <is>
          <t>Earlier management working export</t>
        </is>
      </c>
      <c r="L55" s="47" t="inlineStr">
        <is>
          <t>2026-06-24</t>
        </is>
      </c>
      <c r="M55" s="27" t="inlineStr"/>
    </row>
    <row r="56">
      <c r="A56" s="36" t="inlineStr">
        <is>
          <t>TRY-00681</t>
        </is>
      </c>
      <c r="B56" s="27" t="inlineStr">
        <is>
          <t>Layered FX hedge plan</t>
        </is>
      </c>
      <c r="C56" s="27" t="inlineStr">
        <is>
          <t>Committed FX exposures</t>
        </is>
      </c>
      <c r="D56" s="27" t="inlineStr">
        <is>
          <t>CAD components</t>
        </is>
      </c>
      <c r="E56" s="27" t="inlineStr">
        <is>
          <t>FY27</t>
        </is>
      </c>
      <c r="F56" s="27" t="inlineStr">
        <is>
          <t>Management stretch</t>
        </is>
      </c>
      <c r="G56" s="27" t="inlineStr">
        <is>
          <t>Downside USD rate</t>
        </is>
      </c>
      <c r="H56" s="46" t="n">
        <v>0.7228</v>
      </c>
      <c r="I56" s="27" t="inlineStr"/>
      <c r="J56" s="27" t="inlineStr">
        <is>
          <t>USD</t>
        </is>
      </c>
      <c r="K56" s="27" t="inlineStr">
        <is>
          <t>Earlier management working export</t>
        </is>
      </c>
      <c r="L56" s="47" t="inlineStr">
        <is>
          <t>2026-06-24</t>
        </is>
      </c>
      <c r="M56" s="27" t="inlineStr"/>
    </row>
    <row r="57">
      <c r="A57" s="36" t="inlineStr">
        <is>
          <t>TRY-00682</t>
        </is>
      </c>
      <c r="B57" s="27" t="inlineStr">
        <is>
          <t>Layered FX hedge plan</t>
        </is>
      </c>
      <c r="C57" s="27" t="inlineStr">
        <is>
          <t>Approved layered hedge plan</t>
        </is>
      </c>
      <c r="D57" s="27" t="inlineStr">
        <is>
          <t>EUR equipment</t>
        </is>
      </c>
      <c r="E57" s="27" t="inlineStr">
        <is>
          <t>2026-05 working copy</t>
        </is>
      </c>
      <c r="F57" s="27" t="inlineStr">
        <is>
          <t>Approved case</t>
        </is>
      </c>
      <c r="G57" s="27" t="inlineStr">
        <is>
          <t>Option premium</t>
        </is>
      </c>
      <c r="H57" s="46" t="n">
        <v>39.9</v>
      </c>
      <c r="I57" s="27" t="inlineStr"/>
      <c r="J57" s="27" t="inlineStr">
        <is>
          <t>USD thousands</t>
        </is>
      </c>
      <c r="K57" s="27" t="inlineStr">
        <is>
          <t>Earlier management working export</t>
        </is>
      </c>
      <c r="L57" s="47" t="inlineStr">
        <is>
          <t>2026-06-24</t>
        </is>
      </c>
      <c r="M57" s="27" t="inlineStr"/>
    </row>
    <row r="58">
      <c r="A58" s="36" t="inlineStr">
        <is>
          <t>TRY-00683</t>
        </is>
      </c>
      <c r="B58" s="27" t="inlineStr">
        <is>
          <t>Layered FX hedge plan</t>
        </is>
      </c>
      <c r="C58" s="27" t="inlineStr">
        <is>
          <t>Approved layered hedge plan</t>
        </is>
      </c>
      <c r="D58" s="27" t="inlineStr">
        <is>
          <t>GBP software</t>
        </is>
      </c>
      <c r="E58" s="27" t="inlineStr">
        <is>
          <t>FY27</t>
        </is>
      </c>
      <c r="F58" s="27" t="inlineStr">
        <is>
          <t>Management stretch</t>
        </is>
      </c>
      <c r="G58" s="27" t="inlineStr">
        <is>
          <t>Option hedge percent</t>
        </is>
      </c>
      <c r="H58" s="46" t="n">
        <v>0.2575</v>
      </c>
      <c r="I58" s="27" t="inlineStr"/>
      <c r="J58" s="27" t="inlineStr">
        <is>
          <t>decimal ratio</t>
        </is>
      </c>
      <c r="K58" s="27" t="inlineStr">
        <is>
          <t>Earlier management working export</t>
        </is>
      </c>
      <c r="L58" s="47" t="inlineStr">
        <is>
          <t>2026-06-24</t>
        </is>
      </c>
      <c r="M58" s="27" t="inlineStr"/>
    </row>
    <row r="59">
      <c r="A59" s="36" t="inlineStr">
        <is>
          <t>TRY-00684</t>
        </is>
      </c>
      <c r="B59" s="27" t="inlineStr">
        <is>
          <t>Layered FX hedge plan</t>
        </is>
      </c>
      <c r="C59" s="27" t="inlineStr">
        <is>
          <t>Committed FX exposures</t>
        </is>
      </c>
      <c r="D59" s="27" t="inlineStr">
        <is>
          <t>EUR equipment</t>
        </is>
      </c>
      <c r="E59" s="27" t="inlineStr">
        <is>
          <t>2026-05 working copy</t>
        </is>
      </c>
      <c r="F59" s="27" t="inlineStr">
        <is>
          <t>Approved case</t>
        </is>
      </c>
      <c r="G59" s="27" t="inlineStr">
        <is>
          <t>Forward USD rate</t>
        </is>
      </c>
      <c r="H59" s="46" t="n">
        <v>1.1804</v>
      </c>
      <c r="I59" s="27" t="inlineStr"/>
      <c r="J59" s="27" t="inlineStr">
        <is>
          <t>USD</t>
        </is>
      </c>
      <c r="K59" s="27" t="inlineStr">
        <is>
          <t>Earlier management working export</t>
        </is>
      </c>
      <c r="L59" s="47" t="inlineStr">
        <is>
          <t>2026-06-24</t>
        </is>
      </c>
      <c r="M59" s="27" t="inlineStr"/>
    </row>
    <row r="60">
      <c r="A60" s="36" t="inlineStr">
        <is>
          <t>TRY-00685</t>
        </is>
      </c>
      <c r="B60" s="27" t="inlineStr">
        <is>
          <t>Layered FX hedge plan</t>
        </is>
      </c>
      <c r="C60" s="27" t="inlineStr">
        <is>
          <t>Committed FX exposures</t>
        </is>
      </c>
      <c r="D60" s="27" t="inlineStr">
        <is>
          <t>GBP software</t>
        </is>
      </c>
      <c r="E60" s="27" t="inlineStr">
        <is>
          <t>FY27</t>
        </is>
      </c>
      <c r="F60" s="27" t="inlineStr">
        <is>
          <t>Management stretch</t>
        </is>
      </c>
      <c r="G60" s="27" t="inlineStr">
        <is>
          <t>Budget USD rate</t>
        </is>
      </c>
      <c r="H60" s="46" t="n">
        <v>1.33875</v>
      </c>
      <c r="I60" s="27" t="inlineStr"/>
      <c r="J60" s="27" t="inlineStr">
        <is>
          <t>USD</t>
        </is>
      </c>
      <c r="K60" s="27" t="inlineStr">
        <is>
          <t>Earlier management working export</t>
        </is>
      </c>
      <c r="L60" s="47" t="inlineStr">
        <is>
          <t>2026-06-24</t>
        </is>
      </c>
      <c r="M60" s="27" t="inlineStr"/>
    </row>
    <row r="61">
      <c r="A61" s="36" t="inlineStr">
        <is>
          <t>TRY-00686</t>
        </is>
      </c>
      <c r="B61" s="27" t="inlineStr">
        <is>
          <t>Layered FX hedge plan</t>
        </is>
      </c>
      <c r="C61" s="27" t="inlineStr">
        <is>
          <t>Approved layered hedge plan</t>
        </is>
      </c>
      <c r="D61" s="27" t="inlineStr">
        <is>
          <t>CAD components</t>
        </is>
      </c>
      <c r="E61" s="27" t="inlineStr">
        <is>
          <t>2026-05 working copy</t>
        </is>
      </c>
      <c r="F61" s="27" t="inlineStr">
        <is>
          <t>Approved case</t>
        </is>
      </c>
      <c r="G61" s="27" t="inlineStr">
        <is>
          <t>Forward hedge percent</t>
        </is>
      </c>
      <c r="H61" s="46" t="n">
        <v>0.4635</v>
      </c>
      <c r="I61" s="27" t="inlineStr"/>
      <c r="J61" s="27" t="inlineStr">
        <is>
          <t>decimal ratio</t>
        </is>
      </c>
      <c r="K61" s="27" t="inlineStr">
        <is>
          <t>Earlier management working export</t>
        </is>
      </c>
      <c r="L61" s="47" t="inlineStr">
        <is>
          <t>2026-06-24</t>
        </is>
      </c>
      <c r="M61" s="27" t="inlineStr"/>
    </row>
    <row r="62">
      <c r="A62" s="36" t="inlineStr">
        <is>
          <t>TRY-00687</t>
        </is>
      </c>
      <c r="B62" s="27" t="inlineStr">
        <is>
          <t>Layered FX hedge plan</t>
        </is>
      </c>
      <c r="C62" s="27" t="inlineStr">
        <is>
          <t>Approved layered hedge plan</t>
        </is>
      </c>
      <c r="D62" s="27" t="inlineStr">
        <is>
          <t>GBP software</t>
        </is>
      </c>
      <c r="E62" s="27" t="inlineStr">
        <is>
          <t>FY27</t>
        </is>
      </c>
      <c r="F62" s="27" t="inlineStr">
        <is>
          <t>Management stretch</t>
        </is>
      </c>
      <c r="G62" s="27" t="inlineStr">
        <is>
          <t>Option strike</t>
        </is>
      </c>
      <c r="H62" s="46" t="n">
        <v>1.3156</v>
      </c>
      <c r="I62" s="27" t="inlineStr"/>
      <c r="J62" s="27" t="inlineStr">
        <is>
          <t>USD</t>
        </is>
      </c>
      <c r="K62" s="27" t="inlineStr">
        <is>
          <t>Earlier management working export</t>
        </is>
      </c>
      <c r="L62" s="47" t="inlineStr">
        <is>
          <t>2026-06-24</t>
        </is>
      </c>
      <c r="M62" s="27" t="inlineStr"/>
    </row>
    <row r="63">
      <c r="A63" s="36" t="inlineStr">
        <is>
          <t>TRY-00688</t>
        </is>
      </c>
      <c r="B63" s="27" t="inlineStr">
        <is>
          <t>Layered FX hedge plan</t>
        </is>
      </c>
      <c r="C63" s="27" t="inlineStr">
        <is>
          <t>Committed FX exposures</t>
        </is>
      </c>
      <c r="D63" s="27" t="inlineStr">
        <is>
          <t>CAD components</t>
        </is>
      </c>
      <c r="E63" s="27" t="inlineStr">
        <is>
          <t>2026-05 working copy</t>
        </is>
      </c>
      <c r="F63" s="27" t="inlineStr">
        <is>
          <t>Approved case</t>
        </is>
      </c>
      <c r="G63" s="27" t="inlineStr">
        <is>
          <t>Foreign currency payable</t>
        </is>
      </c>
      <c r="H63" s="46" t="n">
        <v>2572500</v>
      </c>
      <c r="I63" s="27" t="inlineStr"/>
      <c r="J63" s="27" t="inlineStr">
        <is>
          <t>foreign currency</t>
        </is>
      </c>
      <c r="K63" s="27" t="inlineStr">
        <is>
          <t>Earlier management working export</t>
        </is>
      </c>
      <c r="L63" s="47" t="inlineStr">
        <is>
          <t>2026-06-24</t>
        </is>
      </c>
      <c r="M63" s="27" t="inlineStr"/>
    </row>
    <row r="64">
      <c r="A64" s="36" t="inlineStr">
        <is>
          <t>TRY-00689</t>
        </is>
      </c>
      <c r="B64" s="27" t="inlineStr">
        <is>
          <t>Layered FX hedge plan</t>
        </is>
      </c>
      <c r="C64" s="27" t="inlineStr">
        <is>
          <t>Committed FX exposures</t>
        </is>
      </c>
      <c r="D64" s="27" t="inlineStr">
        <is>
          <t>GBP software</t>
        </is>
      </c>
      <c r="E64" s="27" t="inlineStr">
        <is>
          <t>FY27</t>
        </is>
      </c>
      <c r="F64" s="27" t="inlineStr">
        <is>
          <t>Management stretch</t>
        </is>
      </c>
      <c r="G64" s="27" t="inlineStr">
        <is>
          <t>Downside USD rate</t>
        </is>
      </c>
      <c r="H64" s="46" t="n">
        <v>1.24115</v>
      </c>
      <c r="I64" s="27" t="inlineStr"/>
      <c r="J64" s="27" t="inlineStr">
        <is>
          <t>USD</t>
        </is>
      </c>
      <c r="K64" s="27" t="inlineStr">
        <is>
          <t>Earlier management working export</t>
        </is>
      </c>
      <c r="L64" s="47" t="inlineStr">
        <is>
          <t>2026-06-24</t>
        </is>
      </c>
      <c r="M64" s="27" t="inlineStr"/>
    </row>
    <row r="65">
      <c r="A65" s="36" t="inlineStr">
        <is>
          <t>TRY-00690</t>
        </is>
      </c>
      <c r="B65" s="27" t="inlineStr">
        <is>
          <t>Layered FX hedge plan</t>
        </is>
      </c>
      <c r="C65" s="27" t="inlineStr">
        <is>
          <t>Approved layered hedge plan</t>
        </is>
      </c>
      <c r="D65" s="27" t="inlineStr">
        <is>
          <t>CAD components</t>
        </is>
      </c>
      <c r="E65" s="27" t="inlineStr">
        <is>
          <t>2026-05 working copy</t>
        </is>
      </c>
      <c r="F65" s="27" t="inlineStr">
        <is>
          <t>Approved case</t>
        </is>
      </c>
      <c r="G65" s="27" t="inlineStr">
        <is>
          <t>Option premium</t>
        </is>
      </c>
      <c r="H65" s="46" t="n">
        <v>24.96</v>
      </c>
      <c r="I65" s="27" t="inlineStr"/>
      <c r="J65" s="27" t="inlineStr">
        <is>
          <t>USD thousands</t>
        </is>
      </c>
      <c r="K65" s="27" t="inlineStr">
        <is>
          <t>Earlier management working export</t>
        </is>
      </c>
      <c r="L65" s="47" t="inlineStr">
        <is>
          <t>2026-06-24</t>
        </is>
      </c>
      <c r="M65" s="27" t="inlineStr"/>
    </row>
    <row r="66">
      <c r="A66" s="36" t="inlineStr">
        <is>
          <t>TRY-00691</t>
        </is>
      </c>
      <c r="B66" s="27" t="inlineStr">
        <is>
          <t>Layered FX hedge plan</t>
        </is>
      </c>
      <c r="C66" s="27" t="inlineStr">
        <is>
          <t>FX risk policy</t>
        </is>
      </c>
      <c r="D66" s="27" t="inlineStr">
        <is>
          <t>Alder Ridge</t>
        </is>
      </c>
      <c r="E66" s="27" t="inlineStr">
        <is>
          <t>FY27</t>
        </is>
      </c>
      <c r="F66" s="27" t="inlineStr">
        <is>
          <t>Management stretch</t>
        </is>
      </c>
      <c r="G66" s="27" t="inlineStr">
        <is>
          <t>Budget variance alert</t>
        </is>
      </c>
      <c r="H66" s="46" t="n">
        <v>183750</v>
      </c>
      <c r="I66" s="27" t="inlineStr"/>
      <c r="J66" s="27" t="inlineStr">
        <is>
          <t>USD</t>
        </is>
      </c>
      <c r="K66" s="27" t="inlineStr">
        <is>
          <t>Earlier management working export</t>
        </is>
      </c>
      <c r="L66" s="47" t="inlineStr">
        <is>
          <t>2026-06-24</t>
        </is>
      </c>
      <c r="M66" s="27" t="inlineStr"/>
    </row>
    <row r="67">
      <c r="A67" s="36" t="inlineStr">
        <is>
          <t>TRY-00699</t>
        </is>
      </c>
      <c r="B67" s="27" t="inlineStr">
        <is>
          <t>Layered FX hedge plan</t>
        </is>
      </c>
      <c r="C67" s="27" t="inlineStr">
        <is>
          <t>Approved natural FX offsets</t>
        </is>
      </c>
      <c r="D67" s="27" t="inlineStr">
        <is>
          <t>EUR equipment</t>
        </is>
      </c>
      <c r="E67" s="27" t="inlineStr">
        <is>
          <t>2026-05 working copy</t>
        </is>
      </c>
      <c r="F67" s="27" t="inlineStr">
        <is>
          <t>Approved case</t>
        </is>
      </c>
      <c r="G67" s="27" t="inlineStr">
        <is>
          <t>Same-currency operating receipt</t>
        </is>
      </c>
      <c r="H67" s="46" t="n">
        <v>494400</v>
      </c>
      <c r="I67" s="27" t="inlineStr"/>
      <c r="J67" s="27" t="inlineStr">
        <is>
          <t>foreign currency</t>
        </is>
      </c>
      <c r="K67" s="27" t="inlineStr">
        <is>
          <t>Earlier management working export</t>
        </is>
      </c>
      <c r="L67" s="47" t="inlineStr">
        <is>
          <t>2026-06-24</t>
        </is>
      </c>
      <c r="M67" s="27" t="inlineStr"/>
    </row>
    <row r="68">
      <c r="A68" s="36" t="inlineStr">
        <is>
          <t>TRY-00700</t>
        </is>
      </c>
      <c r="B68" s="27" t="inlineStr">
        <is>
          <t>Layered FX hedge plan</t>
        </is>
      </c>
      <c r="C68" s="27" t="inlineStr">
        <is>
          <t>FX risk policy</t>
        </is>
      </c>
      <c r="D68" s="27" t="inlineStr">
        <is>
          <t>Alder Ridge</t>
        </is>
      </c>
      <c r="E68" s="27" t="inlineStr">
        <is>
          <t>FY27</t>
        </is>
      </c>
      <c r="F68" s="27" t="inlineStr">
        <is>
          <t>Management stretch</t>
        </is>
      </c>
      <c r="G68" s="27" t="inlineStr">
        <is>
          <t>Maximum Bank A hedge notional at budget USD</t>
        </is>
      </c>
      <c r="H68" s="46" t="n">
        <v>3380000</v>
      </c>
      <c r="I68" s="27" t="inlineStr"/>
      <c r="J68" s="27" t="inlineStr">
        <is>
          <t>USD</t>
        </is>
      </c>
      <c r="K68" s="27" t="inlineStr">
        <is>
          <t>Earlier management working export</t>
        </is>
      </c>
      <c r="L68" s="47" t="inlineStr">
        <is>
          <t>2026-06-24</t>
        </is>
      </c>
      <c r="M68" s="27" t="inlineStr"/>
    </row>
    <row r="69">
      <c r="A69" s="36" t="inlineStr">
        <is>
          <t>TRY-00701</t>
        </is>
      </c>
      <c r="B69" s="27" t="inlineStr">
        <is>
          <t>Layered FX hedge plan</t>
        </is>
      </c>
      <c r="C69" s="27" t="inlineStr">
        <is>
          <t>Approved natural FX offsets</t>
        </is>
      </c>
      <c r="D69" s="27" t="inlineStr">
        <is>
          <t>GBP software</t>
        </is>
      </c>
      <c r="E69" s="27" t="inlineStr">
        <is>
          <t>2026-05 working copy</t>
        </is>
      </c>
      <c r="F69" s="27" t="inlineStr">
        <is>
          <t>Approved case</t>
        </is>
      </c>
      <c r="G69" s="27" t="inlineStr">
        <is>
          <t>Same-currency operating receipt</t>
        </is>
      </c>
      <c r="H69" s="46" t="n">
        <v>99750</v>
      </c>
      <c r="I69" s="27" t="inlineStr"/>
      <c r="J69" s="27" t="inlineStr">
        <is>
          <t>foreign currency</t>
        </is>
      </c>
      <c r="K69" s="27" t="inlineStr">
        <is>
          <t>Earlier management working export</t>
        </is>
      </c>
      <c r="L69" s="47" t="inlineStr">
        <is>
          <t>2026-06-24</t>
        </is>
      </c>
      <c r="M69" s="27" t="inlineStr"/>
    </row>
    <row r="70">
      <c r="A70" s="36" t="inlineStr">
        <is>
          <t>TRY-00702</t>
        </is>
      </c>
      <c r="B70" s="27" t="inlineStr">
        <is>
          <t>Layered FX hedge plan</t>
        </is>
      </c>
      <c r="C70" s="27" t="inlineStr">
        <is>
          <t>Approved natural FX offsets</t>
        </is>
      </c>
      <c r="D70" s="27" t="inlineStr">
        <is>
          <t>CAD components</t>
        </is>
      </c>
      <c r="E70" s="27" t="inlineStr">
        <is>
          <t>FY27</t>
        </is>
      </c>
      <c r="F70" s="27" t="inlineStr">
        <is>
          <t>Management stretch</t>
        </is>
      </c>
      <c r="G70" s="27" t="inlineStr">
        <is>
          <t>Same-currency operating receipt</t>
        </is>
      </c>
      <c r="H70" s="46" t="n">
        <v>731300</v>
      </c>
      <c r="I70" s="27" t="inlineStr"/>
      <c r="J70" s="27" t="inlineStr">
        <is>
          <t>foreign currency</t>
        </is>
      </c>
      <c r="K70" s="27" t="inlineStr">
        <is>
          <t>Earlier management working export</t>
        </is>
      </c>
      <c r="L70" s="47" t="inlineStr">
        <is>
          <t>2026-06-24</t>
        </is>
      </c>
      <c r="M70" s="27" t="inlineStr"/>
    </row>
    <row r="71">
      <c r="A71" s="36" t="inlineStr">
        <is>
          <t>TRY-00703</t>
        </is>
      </c>
      <c r="B71" s="27" t="inlineStr">
        <is>
          <t>Layered FX hedge plan</t>
        </is>
      </c>
      <c r="C71" s="27" t="inlineStr">
        <is>
          <t>Approved natural FX offsets</t>
        </is>
      </c>
      <c r="D71" s="27" t="inlineStr">
        <is>
          <t>EUR equipment</t>
        </is>
      </c>
      <c r="E71" s="27" t="inlineStr">
        <is>
          <t>2026-05 working copy</t>
        </is>
      </c>
      <c r="F71" s="27" t="inlineStr">
        <is>
          <t>Approved case</t>
        </is>
      </c>
      <c r="G71" s="27" t="inlineStr">
        <is>
          <t>Same-currency operating receipt</t>
        </is>
      </c>
      <c r="H71" s="46" t="n">
        <v>499200</v>
      </c>
      <c r="I71" s="27" t="inlineStr"/>
      <c r="J71" s="27" t="inlineStr">
        <is>
          <t>foreign currency</t>
        </is>
      </c>
      <c r="K71" s="27" t="inlineStr">
        <is>
          <t>Earlier management working export</t>
        </is>
      </c>
      <c r="L71" s="47" t="inlineStr">
        <is>
          <t>2026-06-24</t>
        </is>
      </c>
      <c r="M71" s="27" t="inlineStr"/>
    </row>
    <row r="72">
      <c r="A72" s="36" t="inlineStr">
        <is>
          <t>TRY-00704</t>
        </is>
      </c>
      <c r="B72" s="27" t="inlineStr">
        <is>
          <t>Layered FX hedge plan</t>
        </is>
      </c>
      <c r="C72" s="27" t="inlineStr">
        <is>
          <t>FX risk policy</t>
        </is>
      </c>
      <c r="D72" s="27" t="inlineStr">
        <is>
          <t>Alder Ridge</t>
        </is>
      </c>
      <c r="E72" s="27" t="inlineStr">
        <is>
          <t>FY27</t>
        </is>
      </c>
      <c r="F72" s="27" t="inlineStr">
        <is>
          <t>Management stretch</t>
        </is>
      </c>
      <c r="G72" s="27" t="inlineStr">
        <is>
          <t>Maximum Bank A hedge notional at budget USD</t>
        </is>
      </c>
      <c r="H72" s="46" t="n">
        <v>3412500</v>
      </c>
      <c r="I72" s="27" t="inlineStr"/>
      <c r="J72" s="27" t="inlineStr">
        <is>
          <t>USD</t>
        </is>
      </c>
      <c r="K72" s="27" t="inlineStr">
        <is>
          <t>Earlier management working export</t>
        </is>
      </c>
      <c r="L72" s="47" t="inlineStr">
        <is>
          <t>2026-06-24</t>
        </is>
      </c>
      <c r="M72" s="27" t="inlineStr"/>
    </row>
  </sheetData>
  <autoFilter ref="A4:M72"/>
  <mergeCells count="2">
    <mergeCell ref="A2:M2"/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treasury, banking, and credit outlook | Bank Economics</t>
        </is>
      </c>
    </row>
    <row r="2" ht="25" customHeight="1">
      <c r="A2" s="11" t="inlineStr">
        <is>
          <t>PRIOR REVIEW COPY - retained for change history; not controller tied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TRY-00261</t>
        </is>
      </c>
      <c r="B5" s="27" t="inlineStr">
        <is>
          <t>Bank RFP economics and relationship recommendation</t>
        </is>
      </c>
      <c r="C5" s="27" t="inlineStr">
        <is>
          <t>Bank proposals</t>
        </is>
      </c>
      <c r="D5" s="27" t="inlineStr">
        <is>
          <t>Bank A</t>
        </is>
      </c>
      <c r="E5" s="27" t="inlineStr">
        <is>
          <t>2026-05 working copy</t>
        </is>
      </c>
      <c r="F5" s="27" t="inlineStr">
        <is>
          <t>Approved case</t>
        </is>
      </c>
      <c r="G5" s="27" t="inlineStr">
        <is>
          <t>Annual treasury service fees</t>
        </is>
      </c>
      <c r="H5" s="46" t="n">
        <v>84460</v>
      </c>
      <c r="I5" s="27" t="inlineStr"/>
      <c r="J5" s="27" t="inlineStr">
        <is>
          <t>USD</t>
        </is>
      </c>
      <c r="K5" s="27" t="inlineStr">
        <is>
          <t>Earlier management working export</t>
        </is>
      </c>
      <c r="L5" s="47" t="inlineStr">
        <is>
          <t>2026-06-24</t>
        </is>
      </c>
      <c r="M5" s="27" t="inlineStr"/>
    </row>
    <row r="6">
      <c r="A6" s="36" t="inlineStr">
        <is>
          <t>TRY-00262</t>
        </is>
      </c>
      <c r="B6" s="27" t="inlineStr">
        <is>
          <t>Bank RFP economics and relationship recommendation</t>
        </is>
      </c>
      <c r="C6" s="27" t="inlineStr">
        <is>
          <t>Bank proposals</t>
        </is>
      </c>
      <c r="D6" s="27" t="inlineStr">
        <is>
          <t>Bank A</t>
        </is>
      </c>
      <c r="E6" s="27" t="inlineStr">
        <is>
          <t>FY27</t>
        </is>
      </c>
      <c r="F6" s="27" t="inlineStr">
        <is>
          <t>Management stretch</t>
        </is>
      </c>
      <c r="G6" s="27" t="inlineStr">
        <is>
          <t>Positive pay capability</t>
        </is>
      </c>
      <c r="H6" s="46" t="n">
        <v>1.04</v>
      </c>
      <c r="I6" s="27" t="inlineStr"/>
      <c r="J6" s="27" t="inlineStr">
        <is>
          <t>boolean</t>
        </is>
      </c>
      <c r="K6" s="27" t="inlineStr">
        <is>
          <t>Earlier management working export</t>
        </is>
      </c>
      <c r="L6" s="47" t="inlineStr">
        <is>
          <t>2026-06-24</t>
        </is>
      </c>
      <c r="M6" s="27" t="inlineStr"/>
    </row>
    <row r="7">
      <c r="A7" s="36" t="inlineStr">
        <is>
          <t>TRY-00263</t>
        </is>
      </c>
      <c r="B7" s="27" t="inlineStr">
        <is>
          <t>Bank RFP economics and relationship recommendation</t>
        </is>
      </c>
      <c r="C7" s="27" t="inlineStr">
        <is>
          <t>Bank proposals</t>
        </is>
      </c>
      <c r="D7" s="27" t="inlineStr">
        <is>
          <t>Bank B</t>
        </is>
      </c>
      <c r="E7" s="27" t="inlineStr">
        <is>
          <t>2026-05 working copy</t>
        </is>
      </c>
      <c r="F7" s="27" t="inlineStr">
        <is>
          <t>Approved case</t>
        </is>
      </c>
      <c r="G7" s="27" t="inlineStr">
        <is>
          <t>Lockbox capability</t>
        </is>
      </c>
      <c r="H7" s="46" t="n">
        <v>1.05</v>
      </c>
      <c r="I7" s="27" t="inlineStr"/>
      <c r="J7" s="27" t="inlineStr">
        <is>
          <t>boolean</t>
        </is>
      </c>
      <c r="K7" s="27" t="inlineStr">
        <is>
          <t>Earlier management working export</t>
        </is>
      </c>
      <c r="L7" s="47" t="inlineStr">
        <is>
          <t>2026-06-24</t>
        </is>
      </c>
      <c r="M7" s="27" t="inlineStr"/>
    </row>
    <row r="8">
      <c r="A8" s="36" t="inlineStr">
        <is>
          <t>TRY-00264</t>
        </is>
      </c>
      <c r="B8" s="27" t="inlineStr">
        <is>
          <t>Bank RFP economics and relationship recommendation</t>
        </is>
      </c>
      <c r="C8" s="27" t="inlineStr">
        <is>
          <t>Bank proposals</t>
        </is>
      </c>
      <c r="D8" s="27" t="inlineStr">
        <is>
          <t>Bank C</t>
        </is>
      </c>
      <c r="E8" s="27" t="inlineStr">
        <is>
          <t>FY27</t>
        </is>
      </c>
      <c r="F8" s="27" t="inlineStr">
        <is>
          <t>Management stretch</t>
        </is>
      </c>
      <c r="G8" s="27" t="inlineStr">
        <is>
          <t>Implementation cost</t>
        </is>
      </c>
      <c r="H8" s="46" t="n">
        <v>144.2</v>
      </c>
      <c r="I8" s="27" t="inlineStr"/>
      <c r="J8" s="27" t="inlineStr">
        <is>
          <t>USD thousands</t>
        </is>
      </c>
      <c r="K8" s="27" t="inlineStr">
        <is>
          <t>Earlier management working export</t>
        </is>
      </c>
      <c r="L8" s="47" t="inlineStr">
        <is>
          <t>2026-06-24</t>
        </is>
      </c>
      <c r="M8" s="27" t="inlineStr"/>
    </row>
    <row r="9">
      <c r="A9" s="36" t="inlineStr">
        <is>
          <t>TRY-00265</t>
        </is>
      </c>
      <c r="B9" s="27" t="inlineStr">
        <is>
          <t>Bank RFP economics and relationship recommendation</t>
        </is>
      </c>
      <c r="C9" s="27" t="inlineStr">
        <is>
          <t>Bank proposals</t>
        </is>
      </c>
      <c r="D9" s="27" t="inlineStr">
        <is>
          <t>Bank A</t>
        </is>
      </c>
      <c r="E9" s="27" t="inlineStr">
        <is>
          <t>2026-05 working copy</t>
        </is>
      </c>
      <c r="F9" s="27" t="inlineStr">
        <is>
          <t>Approved case</t>
        </is>
      </c>
      <c r="G9" s="27" t="inlineStr">
        <is>
          <t>Annual treasury service fees</t>
        </is>
      </c>
      <c r="H9" s="46" t="n">
        <v>85280</v>
      </c>
      <c r="I9" s="27" t="inlineStr"/>
      <c r="J9" s="27" t="inlineStr">
        <is>
          <t>USD</t>
        </is>
      </c>
      <c r="K9" s="27" t="inlineStr">
        <is>
          <t>Earlier management working export</t>
        </is>
      </c>
      <c r="L9" s="47" t="inlineStr">
        <is>
          <t>2026-06-24</t>
        </is>
      </c>
      <c r="M9" s="27" t="inlineStr"/>
    </row>
    <row r="10">
      <c r="A10" s="36" t="inlineStr">
        <is>
          <t>TRY-00266</t>
        </is>
      </c>
      <c r="B10" s="27" t="inlineStr">
        <is>
          <t>Bank RFP economics and relationship recommendation</t>
        </is>
      </c>
      <c r="C10" s="27" t="inlineStr">
        <is>
          <t>Bank proposals</t>
        </is>
      </c>
      <c r="D10" s="27" t="inlineStr">
        <is>
          <t>Bank A</t>
        </is>
      </c>
      <c r="E10" s="27" t="inlineStr">
        <is>
          <t>FY27</t>
        </is>
      </c>
      <c r="F10" s="27" t="inlineStr">
        <is>
          <t>Management stretch</t>
        </is>
      </c>
      <c r="G10" s="27" t="inlineStr">
        <is>
          <t>Positive pay capability</t>
        </is>
      </c>
      <c r="H10" s="46" t="n">
        <v>1.05</v>
      </c>
      <c r="I10" s="27" t="inlineStr"/>
      <c r="J10" s="27" t="inlineStr">
        <is>
          <t>boolean</t>
        </is>
      </c>
      <c r="K10" s="27" t="inlineStr">
        <is>
          <t>Earlier management working export</t>
        </is>
      </c>
      <c r="L10" s="47" t="inlineStr">
        <is>
          <t>2026-06-24</t>
        </is>
      </c>
      <c r="M10" s="27" t="inlineStr"/>
    </row>
    <row r="11">
      <c r="A11" s="36" t="inlineStr">
        <is>
          <t>TRY-00267</t>
        </is>
      </c>
      <c r="B11" s="27" t="inlineStr">
        <is>
          <t>Bank RFP economics and relationship recommendation</t>
        </is>
      </c>
      <c r="C11" s="27" t="inlineStr">
        <is>
          <t>Bank proposals</t>
        </is>
      </c>
      <c r="D11" s="27" t="inlineStr">
        <is>
          <t>Bank B</t>
        </is>
      </c>
      <c r="E11" s="27" t="inlineStr">
        <is>
          <t>2026-05 working copy</t>
        </is>
      </c>
      <c r="F11" s="27" t="inlineStr">
        <is>
          <t>Approved case</t>
        </is>
      </c>
      <c r="G11" s="27" t="inlineStr">
        <is>
          <t>Lockbox capability</t>
        </is>
      </c>
      <c r="H11" s="46" t="n">
        <v>1.03</v>
      </c>
      <c r="I11" s="27" t="inlineStr"/>
      <c r="J11" s="27" t="inlineStr">
        <is>
          <t>boolean</t>
        </is>
      </c>
      <c r="K11" s="27" t="inlineStr">
        <is>
          <t>Earlier management working export</t>
        </is>
      </c>
      <c r="L11" s="47" t="inlineStr">
        <is>
          <t>2026-06-24</t>
        </is>
      </c>
      <c r="M11" s="27" t="inlineStr"/>
    </row>
    <row r="12">
      <c r="A12" s="36" t="inlineStr">
        <is>
          <t>TRY-00268</t>
        </is>
      </c>
      <c r="B12" s="27" t="inlineStr">
        <is>
          <t>Bank RFP economics and relationship recommendation</t>
        </is>
      </c>
      <c r="C12" s="27" t="inlineStr">
        <is>
          <t>Bank proposals</t>
        </is>
      </c>
      <c r="D12" s="27" t="inlineStr">
        <is>
          <t>Bank C</t>
        </is>
      </c>
      <c r="E12" s="27" t="inlineStr">
        <is>
          <t>FY27</t>
        </is>
      </c>
      <c r="F12" s="27" t="inlineStr">
        <is>
          <t>Management stretch</t>
        </is>
      </c>
      <c r="G12" s="27" t="inlineStr">
        <is>
          <t>Implementation cost</t>
        </is>
      </c>
      <c r="H12" s="46" t="n">
        <v>145.6</v>
      </c>
      <c r="I12" s="27" t="inlineStr"/>
      <c r="J12" s="27" t="inlineStr">
        <is>
          <t>USD thousands</t>
        </is>
      </c>
      <c r="K12" s="27" t="inlineStr">
        <is>
          <t>Earlier management working export</t>
        </is>
      </c>
      <c r="L12" s="47" t="inlineStr">
        <is>
          <t>2026-06-24</t>
        </is>
      </c>
      <c r="M12" s="27" t="inlineStr"/>
    </row>
    <row r="13">
      <c r="A13" s="36" t="inlineStr">
        <is>
          <t>TRY-00269</t>
        </is>
      </c>
      <c r="B13" s="27" t="inlineStr">
        <is>
          <t>Bank RFP economics and relationship recommendation</t>
        </is>
      </c>
      <c r="C13" s="27" t="inlineStr">
        <is>
          <t>Bank proposals</t>
        </is>
      </c>
      <c r="D13" s="27" t="inlineStr">
        <is>
          <t>Bank A</t>
        </is>
      </c>
      <c r="E13" s="27" t="inlineStr">
        <is>
          <t>2026-05 working copy</t>
        </is>
      </c>
      <c r="F13" s="27" t="inlineStr">
        <is>
          <t>Approved case</t>
        </is>
      </c>
      <c r="G13" s="27" t="inlineStr">
        <is>
          <t>Annual treasury service fees</t>
        </is>
      </c>
      <c r="H13" s="46" t="n">
        <v>86100</v>
      </c>
      <c r="I13" s="27" t="inlineStr"/>
      <c r="J13" s="27" t="inlineStr">
        <is>
          <t>USD</t>
        </is>
      </c>
      <c r="K13" s="27" t="inlineStr">
        <is>
          <t>Earlier management working export</t>
        </is>
      </c>
      <c r="L13" s="47" t="inlineStr">
        <is>
          <t>2026-06-24</t>
        </is>
      </c>
      <c r="M13" s="27" t="inlineStr"/>
    </row>
    <row r="14">
      <c r="A14" s="36" t="inlineStr">
        <is>
          <t>TRY-00270</t>
        </is>
      </c>
      <c r="B14" s="27" t="inlineStr">
        <is>
          <t>Bank RFP economics and relationship recommendation</t>
        </is>
      </c>
      <c r="C14" s="27" t="inlineStr">
        <is>
          <t>Bank proposals</t>
        </is>
      </c>
      <c r="D14" s="27" t="inlineStr">
        <is>
          <t>Bank A</t>
        </is>
      </c>
      <c r="E14" s="27" t="inlineStr">
        <is>
          <t>FY27</t>
        </is>
      </c>
      <c r="F14" s="27" t="inlineStr">
        <is>
          <t>Management stretch</t>
        </is>
      </c>
      <c r="G14" s="27" t="inlineStr">
        <is>
          <t>Positive pay capability</t>
        </is>
      </c>
      <c r="H14" s="46" t="n">
        <v>1.03</v>
      </c>
      <c r="I14" s="27" t="inlineStr"/>
      <c r="J14" s="27" t="inlineStr">
        <is>
          <t>boolean</t>
        </is>
      </c>
      <c r="K14" s="27" t="inlineStr">
        <is>
          <t>Earlier management working export</t>
        </is>
      </c>
      <c r="L14" s="47" t="inlineStr">
        <is>
          <t>2026-06-24</t>
        </is>
      </c>
      <c r="M14" s="27" t="inlineStr"/>
    </row>
    <row r="15">
      <c r="A15" s="36" t="inlineStr">
        <is>
          <t>TRY-00452</t>
        </is>
      </c>
      <c r="B15" s="27" t="inlineStr">
        <is>
          <t>Bank relationship profitability scorecard</t>
        </is>
      </c>
      <c r="C15" s="27" t="inlineStr">
        <is>
          <t>Bank relationship economics</t>
        </is>
      </c>
      <c r="D15" s="27" t="inlineStr">
        <is>
          <t>Bank A</t>
        </is>
      </c>
      <c r="E15" s="27" t="inlineStr">
        <is>
          <t>2026-05 working copy</t>
        </is>
      </c>
      <c r="F15" s="27" t="inlineStr">
        <is>
          <t>Approved case</t>
        </is>
      </c>
      <c r="G15" s="27" t="inlineStr">
        <is>
          <t>Average deposits</t>
        </is>
      </c>
      <c r="H15" s="46" t="n">
        <v>5253</v>
      </c>
      <c r="I15" s="27" t="inlineStr"/>
      <c r="J15" s="27" t="inlineStr">
        <is>
          <t>USD thousands</t>
        </is>
      </c>
      <c r="K15" s="27" t="inlineStr">
        <is>
          <t>Earlier management working export</t>
        </is>
      </c>
      <c r="L15" s="47" t="inlineStr">
        <is>
          <t>2026-06-24</t>
        </is>
      </c>
      <c r="M15" s="27" t="inlineStr"/>
    </row>
    <row r="16">
      <c r="A16" s="36" t="inlineStr">
        <is>
          <t>TRY-00453</t>
        </is>
      </c>
      <c r="B16" s="27" t="inlineStr">
        <is>
          <t>Bank relationship profitability scorecard</t>
        </is>
      </c>
      <c r="C16" s="27" t="inlineStr">
        <is>
          <t>Bank relationship economics</t>
        </is>
      </c>
      <c r="D16" s="27" t="inlineStr">
        <is>
          <t>Bank B</t>
        </is>
      </c>
      <c r="E16" s="27" t="inlineStr">
        <is>
          <t>FY27</t>
        </is>
      </c>
      <c r="F16" s="27" t="inlineStr">
        <is>
          <t>Management stretch</t>
        </is>
      </c>
      <c r="G16" s="27" t="inlineStr">
        <is>
          <t>Credit economics</t>
        </is>
      </c>
      <c r="H16" s="46" t="n">
        <v>353600</v>
      </c>
      <c r="I16" s="27" t="inlineStr"/>
      <c r="J16" s="27" t="inlineStr">
        <is>
          <t>USD</t>
        </is>
      </c>
      <c r="K16" s="27" t="inlineStr">
        <is>
          <t>Earlier management working export</t>
        </is>
      </c>
      <c r="L16" s="47" t="inlineStr">
        <is>
          <t>2026-06-24</t>
        </is>
      </c>
      <c r="M16" s="27" t="inlineStr"/>
    </row>
    <row r="17">
      <c r="A17" s="36" t="inlineStr">
        <is>
          <t>TRY-00454</t>
        </is>
      </c>
      <c r="B17" s="27" t="inlineStr">
        <is>
          <t>Bank relationship profitability scorecard</t>
        </is>
      </c>
      <c r="C17" s="27" t="inlineStr">
        <is>
          <t>Bank relationship economics</t>
        </is>
      </c>
      <c r="D17" s="27" t="inlineStr">
        <is>
          <t>Bank C</t>
        </is>
      </c>
      <c r="E17" s="27" t="inlineStr">
        <is>
          <t>2026-05 working copy</t>
        </is>
      </c>
      <c r="F17" s="27" t="inlineStr">
        <is>
          <t>Approved case</t>
        </is>
      </c>
      <c r="G17" s="27" t="inlineStr">
        <is>
          <t>Relationship risk cost</t>
        </is>
      </c>
      <c r="H17" s="46" t="n">
        <v>36750</v>
      </c>
      <c r="I17" s="27" t="inlineStr"/>
      <c r="J17" s="27" t="inlineStr">
        <is>
          <t>USD</t>
        </is>
      </c>
      <c r="K17" s="27" t="inlineStr">
        <is>
          <t>Earlier management working export</t>
        </is>
      </c>
      <c r="L17" s="47" t="inlineStr">
        <is>
          <t>2026-06-24</t>
        </is>
      </c>
      <c r="M17" s="27" t="inlineStr"/>
    </row>
    <row r="18">
      <c r="A18" s="36" t="inlineStr">
        <is>
          <t>TRY-00455</t>
        </is>
      </c>
      <c r="B18" s="27" t="inlineStr">
        <is>
          <t>Bank relationship profitability scorecard</t>
        </is>
      </c>
      <c r="C18" s="27" t="inlineStr">
        <is>
          <t>Bank relationship economics</t>
        </is>
      </c>
      <c r="D18" s="27" t="inlineStr">
        <is>
          <t>Bank A</t>
        </is>
      </c>
      <c r="E18" s="27" t="inlineStr">
        <is>
          <t>FY27</t>
        </is>
      </c>
      <c r="F18" s="27" t="inlineStr">
        <is>
          <t>Management stretch</t>
        </is>
      </c>
      <c r="G18" s="27" t="inlineStr">
        <is>
          <t>Credit economics</t>
        </is>
      </c>
      <c r="H18" s="46" t="n">
        <v>293550</v>
      </c>
      <c r="I18" s="27" t="inlineStr"/>
      <c r="J18" s="27" t="inlineStr">
        <is>
          <t>USD</t>
        </is>
      </c>
      <c r="K18" s="27" t="inlineStr">
        <is>
          <t>Earlier management working export</t>
        </is>
      </c>
      <c r="L18" s="47" t="inlineStr">
        <is>
          <t>2026-06-24</t>
        </is>
      </c>
      <c r="M18" s="27" t="inlineStr"/>
    </row>
    <row r="19">
      <c r="A19" s="36" t="inlineStr">
        <is>
          <t>TRY-00456</t>
        </is>
      </c>
      <c r="B19" s="27" t="inlineStr">
        <is>
          <t>Bank relationship profitability scorecard</t>
        </is>
      </c>
      <c r="C19" s="27" t="inlineStr">
        <is>
          <t>Bank relationship economics</t>
        </is>
      </c>
      <c r="D19" s="27" t="inlineStr">
        <is>
          <t>Bank B</t>
        </is>
      </c>
      <c r="E19" s="27" t="inlineStr">
        <is>
          <t>2026-05 working copy</t>
        </is>
      </c>
      <c r="F19" s="27" t="inlineStr">
        <is>
          <t>Approved case</t>
        </is>
      </c>
      <c r="G19" s="27" t="inlineStr">
        <is>
          <t>Relationship risk cost</t>
        </is>
      </c>
      <c r="H19" s="46" t="n">
        <v>124.8</v>
      </c>
      <c r="I19" s="27" t="inlineStr"/>
      <c r="J19" s="27" t="inlineStr">
        <is>
          <t>USD thousands</t>
        </is>
      </c>
      <c r="K19" s="27" t="inlineStr">
        <is>
          <t>Earlier management working export</t>
        </is>
      </c>
      <c r="L19" s="47" t="inlineStr">
        <is>
          <t>2026-06-24</t>
        </is>
      </c>
      <c r="M19" s="27" t="inlineStr"/>
    </row>
    <row r="20">
      <c r="A20" s="36" t="inlineStr">
        <is>
          <t>TRY-00457</t>
        </is>
      </c>
      <c r="B20" s="27" t="inlineStr">
        <is>
          <t>Bank relationship profitability scorecard</t>
        </is>
      </c>
      <c r="C20" s="27" t="inlineStr">
        <is>
          <t>Treasury concentration policy</t>
        </is>
      </c>
      <c r="D20" s="27" t="inlineStr">
        <is>
          <t>Portfolio</t>
        </is>
      </c>
      <c r="E20" s="27" t="inlineStr">
        <is>
          <t>FY27</t>
        </is>
      </c>
      <c r="F20" s="27" t="inlineStr">
        <is>
          <t>Management stretch</t>
        </is>
      </c>
      <c r="G20" s="27" t="inlineStr">
        <is>
          <t>Maximum credit concentration</t>
        </is>
      </c>
      <c r="H20" s="46" t="n">
        <v>0.525</v>
      </c>
      <c r="I20" s="27" t="inlineStr"/>
      <c r="J20" s="27" t="inlineStr">
        <is>
          <t>decimal ratio</t>
        </is>
      </c>
      <c r="K20" s="27" t="inlineStr">
        <is>
          <t>Earlier management working export</t>
        </is>
      </c>
      <c r="L20" s="47" t="inlineStr">
        <is>
          <t>2026-06-24</t>
        </is>
      </c>
      <c r="M20" s="27" t="inlineStr"/>
    </row>
    <row r="21">
      <c r="A21" s="36" t="inlineStr">
        <is>
          <t>TRY-00458</t>
        </is>
      </c>
      <c r="B21" s="27" t="inlineStr">
        <is>
          <t>Bank relationship profitability scorecard</t>
        </is>
      </c>
      <c r="C21" s="27" t="inlineStr">
        <is>
          <t>Bank relationship economics</t>
        </is>
      </c>
      <c r="D21" s="27" t="inlineStr">
        <is>
          <t>Bank A</t>
        </is>
      </c>
      <c r="E21" s="27" t="inlineStr">
        <is>
          <t>2026-05 working copy</t>
        </is>
      </c>
      <c r="F21" s="27" t="inlineStr">
        <is>
          <t>Approved case</t>
        </is>
      </c>
      <c r="G21" s="27" t="inlineStr">
        <is>
          <t>Relationship risk cost</t>
        </is>
      </c>
      <c r="H21" s="46" t="n">
        <v>97850</v>
      </c>
      <c r="I21" s="27" t="inlineStr"/>
      <c r="J21" s="27" t="inlineStr">
        <is>
          <t>USD</t>
        </is>
      </c>
      <c r="K21" s="27" t="inlineStr">
        <is>
          <t>Earlier management working export</t>
        </is>
      </c>
      <c r="L21" s="47" t="inlineStr">
        <is>
          <t>2026-06-24</t>
        </is>
      </c>
      <c r="M21" s="27" t="inlineStr"/>
    </row>
    <row r="22">
      <c r="A22" s="36" t="inlineStr">
        <is>
          <t>TRY-00459</t>
        </is>
      </c>
      <c r="B22" s="27" t="inlineStr">
        <is>
          <t>Bank relationship profitability scorecard</t>
        </is>
      </c>
      <c r="C22" s="27" t="inlineStr">
        <is>
          <t>Bank relationship economics</t>
        </is>
      </c>
      <c r="D22" s="27" t="inlineStr">
        <is>
          <t>Bank C</t>
        </is>
      </c>
      <c r="E22" s="27" t="inlineStr">
        <is>
          <t>FY27</t>
        </is>
      </c>
      <c r="F22" s="27" t="inlineStr">
        <is>
          <t>Management stretch</t>
        </is>
      </c>
      <c r="G22" s="27" t="inlineStr">
        <is>
          <t>Committed credit</t>
        </is>
      </c>
      <c r="H22" s="46" t="n">
        <v>3432000</v>
      </c>
      <c r="I22" s="27" t="inlineStr"/>
      <c r="J22" s="27" t="inlineStr">
        <is>
          <t>USD</t>
        </is>
      </c>
      <c r="K22" s="27" t="inlineStr">
        <is>
          <t>Earlier management working export</t>
        </is>
      </c>
      <c r="L22" s="47" t="inlineStr">
        <is>
          <t>2026-06-24</t>
        </is>
      </c>
      <c r="M22" s="27" t="inlineStr"/>
    </row>
  </sheetData>
  <autoFilter ref="A4:M22"/>
  <mergeCells count="2">
    <mergeCell ref="A2:M2"/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treasury, banking, and credit outlook | Credit Outlook</t>
        </is>
      </c>
    </row>
    <row r="2" ht="25" customHeight="1">
      <c r="A2" s="11" t="inlineStr">
        <is>
          <t>PRIOR REVIEW COPY - retained for change history; not controller tied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TRY-00398</t>
        </is>
      </c>
      <c r="B5" s="27" t="inlineStr">
        <is>
          <t>Complete the eight-quarter covenant forecast</t>
        </is>
      </c>
      <c r="C5" s="27" t="inlineStr">
        <is>
          <t>Debt Schedule</t>
        </is>
      </c>
      <c r="D5" s="27" t="inlineStr">
        <is>
          <t>Planned acquisition term loan</t>
        </is>
      </c>
      <c r="E5" s="27" t="inlineStr">
        <is>
          <t>2026-05 working copy</t>
        </is>
      </c>
      <c r="F5" s="27" t="inlineStr">
        <is>
          <t>Approved case</t>
        </is>
      </c>
      <c r="G5" s="27" t="inlineStr">
        <is>
          <t>Committed draw</t>
        </is>
      </c>
      <c r="H5" s="46" t="n">
        <v>37080000</v>
      </c>
      <c r="I5" s="27" t="inlineStr"/>
      <c r="J5" s="27" t="inlineStr">
        <is>
          <t>USD</t>
        </is>
      </c>
      <c r="K5" s="27" t="inlineStr">
        <is>
          <t>Earlier management working export</t>
        </is>
      </c>
      <c r="L5" s="47" t="inlineStr">
        <is>
          <t>2026-06-24</t>
        </is>
      </c>
      <c r="M5" s="27" t="inlineStr"/>
    </row>
    <row r="6">
      <c r="A6" s="36" t="inlineStr">
        <is>
          <t>TRY-00399</t>
        </is>
      </c>
      <c r="B6" s="27" t="inlineStr">
        <is>
          <t>Complete the eight-quarter covenant forecast</t>
        </is>
      </c>
      <c r="C6" s="27" t="inlineStr">
        <is>
          <t>Forecast Inputs</t>
        </is>
      </c>
      <c r="D6" s="27" t="inlineStr">
        <is>
          <t>Consolidated</t>
        </is>
      </c>
      <c r="E6" s="27" t="inlineStr">
        <is>
          <t>2026-Q4</t>
        </is>
      </c>
      <c r="F6" s="27" t="inlineStr">
        <is>
          <t>Management stretch</t>
        </is>
      </c>
      <c r="G6" s="27" t="inlineStr">
        <is>
          <t>Quarterly covenant EBITDA</t>
        </is>
      </c>
      <c r="H6" s="46" t="n">
        <v>3203200</v>
      </c>
      <c r="I6" s="27" t="inlineStr"/>
      <c r="J6" s="27" t="inlineStr">
        <is>
          <t>USD</t>
        </is>
      </c>
      <c r="K6" s="27" t="inlineStr">
        <is>
          <t>Earlier management working export</t>
        </is>
      </c>
      <c r="L6" s="47" t="inlineStr">
        <is>
          <t>2026-06-24</t>
        </is>
      </c>
      <c r="M6" s="27" t="inlineStr"/>
    </row>
    <row r="7">
      <c r="A7" s="36" t="inlineStr">
        <is>
          <t>TRY-00400</t>
        </is>
      </c>
      <c r="B7" s="27" t="inlineStr">
        <is>
          <t>Complete the eight-quarter covenant forecast</t>
        </is>
      </c>
      <c r="C7" s="27" t="inlineStr">
        <is>
          <t>Forecast Inputs</t>
        </is>
      </c>
      <c r="D7" s="27" t="inlineStr">
        <is>
          <t>Consolidated</t>
        </is>
      </c>
      <c r="E7" s="27" t="inlineStr">
        <is>
          <t>2026-05 working copy</t>
        </is>
      </c>
      <c r="F7" s="27" t="inlineStr">
        <is>
          <t>Approved case</t>
        </is>
      </c>
      <c r="G7" s="27" t="inlineStr">
        <is>
          <t>Cash interest</t>
        </is>
      </c>
      <c r="H7" s="46" t="n">
        <v>531.3</v>
      </c>
      <c r="I7" s="27" t="inlineStr"/>
      <c r="J7" s="27" t="inlineStr">
        <is>
          <t>USD thousands</t>
        </is>
      </c>
      <c r="K7" s="27" t="inlineStr">
        <is>
          <t>Earlier management working export</t>
        </is>
      </c>
      <c r="L7" s="47" t="inlineStr">
        <is>
          <t>2026-06-24</t>
        </is>
      </c>
      <c r="M7" s="27" t="inlineStr"/>
    </row>
    <row r="8">
      <c r="A8" s="36" t="inlineStr">
        <is>
          <t>TRY-00401</t>
        </is>
      </c>
      <c r="B8" s="27" t="inlineStr">
        <is>
          <t>Complete the eight-quarter covenant forecast</t>
        </is>
      </c>
      <c r="C8" s="27" t="inlineStr">
        <is>
          <t>Forecast Inputs</t>
        </is>
      </c>
      <c r="D8" s="27" t="inlineStr">
        <is>
          <t>Consolidated</t>
        </is>
      </c>
      <c r="E8" s="27" t="inlineStr">
        <is>
          <t>2027-Q2</t>
        </is>
      </c>
      <c r="F8" s="27" t="inlineStr">
        <is>
          <t>Management stretch</t>
        </is>
      </c>
      <c r="G8" s="27" t="inlineStr">
        <is>
          <t>Capital expenditures</t>
        </is>
      </c>
      <c r="H8" s="46" t="n">
        <v>896100</v>
      </c>
      <c r="I8" s="27" t="inlineStr"/>
      <c r="J8" s="27" t="inlineStr">
        <is>
          <t>USD</t>
        </is>
      </c>
      <c r="K8" s="27" t="inlineStr">
        <is>
          <t>Earlier management working export</t>
        </is>
      </c>
      <c r="L8" s="47" t="inlineStr">
        <is>
          <t>2026-06-24</t>
        </is>
      </c>
      <c r="M8" s="27" t="inlineStr"/>
    </row>
    <row r="9">
      <c r="A9" s="36" t="inlineStr">
        <is>
          <t>TRY-00402</t>
        </is>
      </c>
      <c r="B9" s="27" t="inlineStr">
        <is>
          <t>Complete the eight-quarter covenant forecast</t>
        </is>
      </c>
      <c r="C9" s="27" t="inlineStr">
        <is>
          <t>Forecast Inputs</t>
        </is>
      </c>
      <c r="D9" s="27" t="inlineStr">
        <is>
          <t>Consolidated</t>
        </is>
      </c>
      <c r="E9" s="27" t="inlineStr">
        <is>
          <t>2026-05 working copy</t>
        </is>
      </c>
      <c r="F9" s="27" t="inlineStr">
        <is>
          <t>Approved case</t>
        </is>
      </c>
      <c r="G9" s="27" t="inlineStr">
        <is>
          <t>Cash taxes</t>
        </is>
      </c>
      <c r="H9" s="46" t="n">
        <v>372320</v>
      </c>
      <c r="I9" s="27" t="inlineStr"/>
      <c r="J9" s="27" t="inlineStr">
        <is>
          <t>USD</t>
        </is>
      </c>
      <c r="K9" s="27" t="inlineStr">
        <is>
          <t>Earlier management working export</t>
        </is>
      </c>
      <c r="L9" s="47" t="inlineStr">
        <is>
          <t>2026-06-24</t>
        </is>
      </c>
      <c r="M9" s="27" t="inlineStr"/>
    </row>
    <row r="10">
      <c r="A10" s="36" t="inlineStr">
        <is>
          <t>TRY-00403</t>
        </is>
      </c>
      <c r="B10" s="27" t="inlineStr">
        <is>
          <t>Complete the eight-quarter covenant forecast</t>
        </is>
      </c>
      <c r="C10" s="27" t="inlineStr">
        <is>
          <t>Forecast Inputs</t>
        </is>
      </c>
      <c r="D10" s="27" t="inlineStr">
        <is>
          <t>Consolidated</t>
        </is>
      </c>
      <c r="E10" s="27" t="inlineStr">
        <is>
          <t>2027-Q4</t>
        </is>
      </c>
      <c r="F10" s="27" t="inlineStr">
        <is>
          <t>Management stretch</t>
        </is>
      </c>
      <c r="G10" s="27" t="inlineStr">
        <is>
          <t>Distributions</t>
        </is>
      </c>
      <c r="H10" s="46" t="n">
        <v>105000</v>
      </c>
      <c r="I10" s="27" t="inlineStr"/>
      <c r="J10" s="27" t="inlineStr">
        <is>
          <t>USD</t>
        </is>
      </c>
      <c r="K10" s="27" t="inlineStr">
        <is>
          <t>Earlier management working export</t>
        </is>
      </c>
      <c r="L10" s="47" t="inlineStr">
        <is>
          <t>2026-06-24</t>
        </is>
      </c>
      <c r="M10" s="27" t="inlineStr"/>
    </row>
    <row r="11">
      <c r="A11" s="36" t="inlineStr">
        <is>
          <t>TRY-00404</t>
        </is>
      </c>
      <c r="B11" s="27" t="inlineStr">
        <is>
          <t>Complete the eight-quarter covenant forecast</t>
        </is>
      </c>
      <c r="C11" s="27" t="inlineStr">
        <is>
          <t>Forecast Inputs</t>
        </is>
      </c>
      <c r="D11" s="27" t="inlineStr">
        <is>
          <t>Consolidated</t>
        </is>
      </c>
      <c r="E11" s="27" t="inlineStr">
        <is>
          <t>2026-05 working copy</t>
        </is>
      </c>
      <c r="F11" s="27" t="inlineStr">
        <is>
          <t>Approved case</t>
        </is>
      </c>
      <c r="G11" s="27" t="inlineStr">
        <is>
          <t>Scheduled debt repayment</t>
        </is>
      </c>
      <c r="H11" s="46" t="n">
        <v>669.5</v>
      </c>
      <c r="I11" s="27" t="inlineStr"/>
      <c r="J11" s="27" t="inlineStr">
        <is>
          <t>USD thousands</t>
        </is>
      </c>
      <c r="K11" s="27" t="inlineStr">
        <is>
          <t>Earlier management working export</t>
        </is>
      </c>
      <c r="L11" s="47" t="inlineStr">
        <is>
          <t>2026-06-24</t>
        </is>
      </c>
      <c r="M11" s="27" t="inlineStr"/>
    </row>
    <row r="12">
      <c r="A12" s="36" t="inlineStr">
        <is>
          <t>TRY-00405</t>
        </is>
      </c>
      <c r="B12" s="27" t="inlineStr">
        <is>
          <t>Complete the eight-quarter covenant forecast</t>
        </is>
      </c>
      <c r="C12" s="27" t="inlineStr">
        <is>
          <t>Covenant policy</t>
        </is>
      </c>
      <c r="D12" s="27" t="inlineStr">
        <is>
          <t>Credit agreement</t>
        </is>
      </c>
      <c r="E12" s="27" t="inlineStr">
        <is>
          <t>Forecast horizon</t>
        </is>
      </c>
      <c r="F12" s="27" t="inlineStr">
        <is>
          <t>Management stretch</t>
        </is>
      </c>
      <c r="G12" s="27" t="inlineStr">
        <is>
          <t>Maximum funded-debt leverage</t>
        </is>
      </c>
      <c r="H12" s="46" t="n">
        <v>3.38</v>
      </c>
      <c r="I12" s="27" t="inlineStr"/>
      <c r="J12" s="27" t="inlineStr">
        <is>
          <t>multiple</t>
        </is>
      </c>
      <c r="K12" s="27" t="inlineStr">
        <is>
          <t>Earlier management working export</t>
        </is>
      </c>
      <c r="L12" s="47" t="inlineStr">
        <is>
          <t>2026-06-24</t>
        </is>
      </c>
      <c r="M12" s="27" t="inlineStr"/>
    </row>
    <row r="13">
      <c r="A13" s="36" t="inlineStr">
        <is>
          <t>TRY-00406</t>
        </is>
      </c>
      <c r="B13" s="27" t="inlineStr">
        <is>
          <t>Complete the eight-quarter covenant forecast</t>
        </is>
      </c>
      <c r="C13" s="27" t="inlineStr">
        <is>
          <t>Forecast Inputs</t>
        </is>
      </c>
      <c r="D13" s="27" t="inlineStr">
        <is>
          <t>Consolidated</t>
        </is>
      </c>
      <c r="E13" s="27" t="inlineStr">
        <is>
          <t>2026-05 working copy</t>
        </is>
      </c>
      <c r="F13" s="27" t="inlineStr">
        <is>
          <t>Approved case</t>
        </is>
      </c>
      <c r="G13" s="27" t="inlineStr">
        <is>
          <t>Cash taxes</t>
        </is>
      </c>
      <c r="H13" s="46" t="n">
        <v>325500</v>
      </c>
      <c r="I13" s="27" t="inlineStr"/>
      <c r="J13" s="27" t="inlineStr">
        <is>
          <t>USD</t>
        </is>
      </c>
      <c r="K13" s="27" t="inlineStr">
        <is>
          <t>Earlier management working export</t>
        </is>
      </c>
      <c r="L13" s="47" t="inlineStr">
        <is>
          <t>2026-06-24</t>
        </is>
      </c>
      <c r="M13" s="27" t="inlineStr"/>
    </row>
    <row r="14">
      <c r="A14" s="36" t="inlineStr">
        <is>
          <t>TRY-00407</t>
        </is>
      </c>
      <c r="B14" s="27" t="inlineStr">
        <is>
          <t>Complete the eight-quarter covenant forecast</t>
        </is>
      </c>
      <c r="C14" s="27" t="inlineStr">
        <is>
          <t>Forecast Inputs</t>
        </is>
      </c>
      <c r="D14" s="27" t="inlineStr">
        <is>
          <t>Consolidated</t>
        </is>
      </c>
      <c r="E14" s="27" t="inlineStr">
        <is>
          <t>2026-Q4</t>
        </is>
      </c>
      <c r="F14" s="27" t="inlineStr">
        <is>
          <t>Management stretch</t>
        </is>
      </c>
      <c r="G14" s="27" t="inlineStr">
        <is>
          <t>Distributions</t>
        </is>
      </c>
      <c r="H14" s="46" t="n">
        <v>103000</v>
      </c>
      <c r="I14" s="27" t="inlineStr"/>
      <c r="J14" s="27" t="inlineStr">
        <is>
          <t>USD</t>
        </is>
      </c>
      <c r="K14" s="27" t="inlineStr">
        <is>
          <t>Earlier management working export</t>
        </is>
      </c>
      <c r="L14" s="47" t="inlineStr">
        <is>
          <t>2026-06-24</t>
        </is>
      </c>
      <c r="M14" s="27" t="inlineStr"/>
    </row>
    <row r="15">
      <c r="A15" s="36" t="inlineStr">
        <is>
          <t>TRY-00408</t>
        </is>
      </c>
      <c r="B15" s="27" t="inlineStr">
        <is>
          <t>Complete the eight-quarter covenant forecast</t>
        </is>
      </c>
      <c r="C15" s="27" t="inlineStr">
        <is>
          <t>Forecast Inputs</t>
        </is>
      </c>
      <c r="D15" s="27" t="inlineStr">
        <is>
          <t>Consolidated</t>
        </is>
      </c>
      <c r="E15" s="27" t="inlineStr">
        <is>
          <t>2026-05 working copy</t>
        </is>
      </c>
      <c r="F15" s="27" t="inlineStr">
        <is>
          <t>Approved case</t>
        </is>
      </c>
      <c r="G15" s="27" t="inlineStr">
        <is>
          <t>Scheduled debt repayment</t>
        </is>
      </c>
      <c r="H15" s="46" t="n">
        <v>676</v>
      </c>
      <c r="I15" s="27" t="inlineStr"/>
      <c r="J15" s="27" t="inlineStr">
        <is>
          <t>USD thousands</t>
        </is>
      </c>
      <c r="K15" s="27" t="inlineStr">
        <is>
          <t>Earlier management working export</t>
        </is>
      </c>
      <c r="L15" s="47" t="inlineStr">
        <is>
          <t>2026-06-24</t>
        </is>
      </c>
      <c r="M15" s="27" t="inlineStr"/>
    </row>
    <row r="16">
      <c r="A16" s="36" t="inlineStr">
        <is>
          <t>TRY-00409</t>
        </is>
      </c>
      <c r="B16" s="27" t="inlineStr">
        <is>
          <t>Complete the eight-quarter covenant forecast</t>
        </is>
      </c>
      <c r="C16" s="27" t="inlineStr">
        <is>
          <t>Forecast Inputs</t>
        </is>
      </c>
      <c r="D16" s="27" t="inlineStr">
        <is>
          <t>Consolidated</t>
        </is>
      </c>
      <c r="E16" s="27" t="inlineStr">
        <is>
          <t>2027-Q3</t>
        </is>
      </c>
      <c r="F16" s="27" t="inlineStr">
        <is>
          <t>Management stretch</t>
        </is>
      </c>
      <c r="G16" s="27" t="inlineStr">
        <is>
          <t>Quarterly covenant EBITDA</t>
        </is>
      </c>
      <c r="H16" s="46" t="n">
        <v>3013500</v>
      </c>
      <c r="I16" s="27" t="inlineStr"/>
      <c r="J16" s="27" t="inlineStr">
        <is>
          <t>USD</t>
        </is>
      </c>
      <c r="K16" s="27" t="inlineStr">
        <is>
          <t>Earlier management working export</t>
        </is>
      </c>
      <c r="L16" s="47" t="inlineStr">
        <is>
          <t>2026-06-24</t>
        </is>
      </c>
      <c r="M16" s="27" t="inlineStr"/>
    </row>
    <row r="17">
      <c r="A17" s="36" t="inlineStr">
        <is>
          <t>TRY-00425</t>
        </is>
      </c>
      <c r="B17" s="27" t="inlineStr">
        <is>
          <t>Credit metrics and incremental debt capacity</t>
        </is>
      </c>
      <c r="C17" s="27" t="inlineStr">
        <is>
          <t>Credit population</t>
        </is>
      </c>
      <c r="D17" s="27" t="inlineStr">
        <is>
          <t>Committed acquisition facility</t>
        </is>
      </c>
      <c r="E17" s="27" t="inlineStr">
        <is>
          <t>2026-05 working copy</t>
        </is>
      </c>
      <c r="F17" s="27" t="inlineStr">
        <is>
          <t>Approved case</t>
        </is>
      </c>
      <c r="G17" s="27" t="inlineStr">
        <is>
          <t>Pro forma funded draw</t>
        </is>
      </c>
      <c r="H17" s="46" t="n">
        <v>24720</v>
      </c>
      <c r="I17" s="27" t="inlineStr"/>
      <c r="J17" s="27" t="inlineStr">
        <is>
          <t>USD thousands</t>
        </is>
      </c>
      <c r="K17" s="27" t="inlineStr">
        <is>
          <t>Earlier management working export</t>
        </is>
      </c>
      <c r="L17" s="47" t="inlineStr">
        <is>
          <t>2026-06-24</t>
        </is>
      </c>
      <c r="M17" s="27" t="inlineStr"/>
    </row>
    <row r="18">
      <c r="A18" s="36" t="inlineStr">
        <is>
          <t>TRY-00426</t>
        </is>
      </c>
      <c r="B18" s="27" t="inlineStr">
        <is>
          <t>Credit metrics and incremental debt capacity</t>
        </is>
      </c>
      <c r="C18" s="27" t="inlineStr">
        <is>
          <t>Credit policy</t>
        </is>
      </c>
      <c r="D18" s="27" t="inlineStr">
        <is>
          <t>Alder Ridge</t>
        </is>
      </c>
      <c r="E18" s="27" t="inlineStr">
        <is>
          <t>LTM 2026-06-30</t>
        </is>
      </c>
      <c r="F18" s="27" t="inlineStr">
        <is>
          <t>Management stretch</t>
        </is>
      </c>
      <c r="G18" s="27" t="inlineStr">
        <is>
          <t>Tangible net worth</t>
        </is>
      </c>
      <c r="H18" s="46" t="n">
        <v>24024000</v>
      </c>
      <c r="I18" s="27" t="inlineStr"/>
      <c r="J18" s="27" t="inlineStr">
        <is>
          <t>USD</t>
        </is>
      </c>
      <c r="K18" s="27" t="inlineStr">
        <is>
          <t>Earlier management working export</t>
        </is>
      </c>
      <c r="L18" s="47" t="inlineStr">
        <is>
          <t>2026-06-24</t>
        </is>
      </c>
      <c r="M18" s="27" t="inlineStr"/>
    </row>
    <row r="19">
      <c r="A19" s="36" t="inlineStr">
        <is>
          <t>TRY-00427</t>
        </is>
      </c>
      <c r="B19" s="27" t="inlineStr">
        <is>
          <t>Credit metrics and incremental debt capacity</t>
        </is>
      </c>
      <c r="C19" s="27" t="inlineStr">
        <is>
          <t>Credit population</t>
        </is>
      </c>
      <c r="D19" s="27" t="inlineStr">
        <is>
          <t>Committed acquisition facility</t>
        </is>
      </c>
      <c r="E19" s="27" t="inlineStr">
        <is>
          <t>2026-05 working copy</t>
        </is>
      </c>
      <c r="F19" s="27" t="inlineStr">
        <is>
          <t>Approved case</t>
        </is>
      </c>
      <c r="G19" s="27" t="inlineStr">
        <is>
          <t>Pro forma funded draw</t>
        </is>
      </c>
      <c r="H19" s="46" t="n">
        <v>25200000</v>
      </c>
      <c r="I19" s="27" t="inlineStr"/>
      <c r="J19" s="27" t="inlineStr">
        <is>
          <t>USD</t>
        </is>
      </c>
      <c r="K19" s="27" t="inlineStr">
        <is>
          <t>Earlier management working export</t>
        </is>
      </c>
      <c r="L19" s="47" t="inlineStr">
        <is>
          <t>2026-06-24</t>
        </is>
      </c>
      <c r="M19" s="27" t="inlineStr"/>
    </row>
    <row r="20">
      <c r="A20" s="36" t="inlineStr">
        <is>
          <t>TRY-00428</t>
        </is>
      </c>
      <c r="B20" s="27" t="inlineStr">
        <is>
          <t>Credit metrics and incremental debt capacity</t>
        </is>
      </c>
      <c r="C20" s="27" t="inlineStr">
        <is>
          <t>Credit policy</t>
        </is>
      </c>
      <c r="D20" s="27" t="inlineStr">
        <is>
          <t>Alder Ridge</t>
        </is>
      </c>
      <c r="E20" s="27" t="inlineStr">
        <is>
          <t>LTM 2026-06-30</t>
        </is>
      </c>
      <c r="F20" s="27" t="inlineStr">
        <is>
          <t>Management stretch</t>
        </is>
      </c>
      <c r="G20" s="27" t="inlineStr">
        <is>
          <t>Tangible net worth</t>
        </is>
      </c>
      <c r="H20" s="46" t="n">
        <v>23793000</v>
      </c>
      <c r="I20" s="27" t="inlineStr"/>
      <c r="J20" s="27" t="inlineStr">
        <is>
          <t>USD</t>
        </is>
      </c>
      <c r="K20" s="27" t="inlineStr">
        <is>
          <t>Earlier management working export</t>
        </is>
      </c>
      <c r="L20" s="47" t="inlineStr">
        <is>
          <t>2026-06-24</t>
        </is>
      </c>
      <c r="M20" s="27" t="inlineStr"/>
    </row>
    <row r="21">
      <c r="A21" s="36" t="inlineStr">
        <is>
          <t>TRY-00429</t>
        </is>
      </c>
      <c r="B21" s="27" t="inlineStr">
        <is>
          <t>Credit metrics and incremental debt capacity</t>
        </is>
      </c>
      <c r="C21" s="27" t="inlineStr">
        <is>
          <t>Credit population</t>
        </is>
      </c>
      <c r="D21" s="27" t="inlineStr">
        <is>
          <t>Committed acquisition facility</t>
        </is>
      </c>
      <c r="E21" s="27" t="inlineStr">
        <is>
          <t>2026-05 working copy</t>
        </is>
      </c>
      <c r="F21" s="27" t="inlineStr">
        <is>
          <t>Approved case</t>
        </is>
      </c>
      <c r="G21" s="27" t="inlineStr">
        <is>
          <t>Pro forma funded draw</t>
        </is>
      </c>
      <c r="H21" s="46" t="n">
        <v>24960</v>
      </c>
      <c r="I21" s="27" t="inlineStr"/>
      <c r="J21" s="27" t="inlineStr">
        <is>
          <t>USD thousands</t>
        </is>
      </c>
      <c r="K21" s="27" t="inlineStr">
        <is>
          <t>Earlier management working export</t>
        </is>
      </c>
      <c r="L21" s="47" t="inlineStr">
        <is>
          <t>2026-06-24</t>
        </is>
      </c>
      <c r="M21" s="27" t="inlineStr"/>
    </row>
    <row r="22">
      <c r="A22" s="36" t="inlineStr">
        <is>
          <t>TRY-00430</t>
        </is>
      </c>
      <c r="B22" s="27" t="inlineStr">
        <is>
          <t>Credit metrics and incremental debt capacity</t>
        </is>
      </c>
      <c r="C22" s="27" t="inlineStr">
        <is>
          <t>Credit policy</t>
        </is>
      </c>
      <c r="D22" s="27" t="inlineStr">
        <is>
          <t>Alder Ridge</t>
        </is>
      </c>
      <c r="E22" s="27" t="inlineStr">
        <is>
          <t>LTM 2026-06-30</t>
        </is>
      </c>
      <c r="F22" s="27" t="inlineStr">
        <is>
          <t>Management stretch</t>
        </is>
      </c>
      <c r="G22" s="27" t="inlineStr">
        <is>
          <t>Tangible net worth</t>
        </is>
      </c>
      <c r="H22" s="46" t="n">
        <v>24255000</v>
      </c>
      <c r="I22" s="27" t="inlineStr"/>
      <c r="J22" s="27" t="inlineStr">
        <is>
          <t>USD</t>
        </is>
      </c>
      <c r="K22" s="27" t="inlineStr">
        <is>
          <t>Earlier management working export</t>
        </is>
      </c>
      <c r="L22" s="47" t="inlineStr">
        <is>
          <t>2026-06-24</t>
        </is>
      </c>
      <c r="M22" s="27" t="inlineStr"/>
    </row>
    <row r="23">
      <c r="A23" s="36" t="inlineStr">
        <is>
          <t>TRY-00431</t>
        </is>
      </c>
      <c r="B23" s="27" t="inlineStr">
        <is>
          <t>Credit metrics and incremental debt capacity</t>
        </is>
      </c>
      <c r="C23" s="27" t="inlineStr">
        <is>
          <t>Credit population</t>
        </is>
      </c>
      <c r="D23" s="27" t="inlineStr">
        <is>
          <t>Committed acquisition facility</t>
        </is>
      </c>
      <c r="E23" s="27" t="inlineStr">
        <is>
          <t>2026-05 working copy</t>
        </is>
      </c>
      <c r="F23" s="27" t="inlineStr">
        <is>
          <t>Approved case</t>
        </is>
      </c>
      <c r="G23" s="27" t="inlineStr">
        <is>
          <t>Pro forma funded draw</t>
        </is>
      </c>
      <c r="H23" s="46" t="n">
        <v>24720000</v>
      </c>
      <c r="I23" s="27" t="inlineStr"/>
      <c r="J23" s="27" t="inlineStr">
        <is>
          <t>USD</t>
        </is>
      </c>
      <c r="K23" s="27" t="inlineStr">
        <is>
          <t>Earlier management working export</t>
        </is>
      </c>
      <c r="L23" s="47" t="inlineStr">
        <is>
          <t>2026-06-24</t>
        </is>
      </c>
      <c r="M23" s="27" t="inlineStr"/>
    </row>
    <row r="24">
      <c r="A24" s="36" t="inlineStr">
        <is>
          <t>TRY-00432</t>
        </is>
      </c>
      <c r="B24" s="27" t="inlineStr">
        <is>
          <t>Credit metrics and incremental debt capacity</t>
        </is>
      </c>
      <c r="C24" s="27" t="inlineStr">
        <is>
          <t>Credit policy</t>
        </is>
      </c>
      <c r="D24" s="27" t="inlineStr">
        <is>
          <t>Alder Ridge</t>
        </is>
      </c>
      <c r="E24" s="27" t="inlineStr">
        <is>
          <t>LTM 2026-06-30</t>
        </is>
      </c>
      <c r="F24" s="27" t="inlineStr">
        <is>
          <t>Management stretch</t>
        </is>
      </c>
      <c r="G24" s="27" t="inlineStr">
        <is>
          <t>Tangible net worth</t>
        </is>
      </c>
      <c r="H24" s="46" t="n">
        <v>24024000</v>
      </c>
      <c r="I24" s="27" t="inlineStr"/>
      <c r="J24" s="27" t="inlineStr">
        <is>
          <t>USD</t>
        </is>
      </c>
      <c r="K24" s="27" t="inlineStr">
        <is>
          <t>Earlier management working export</t>
        </is>
      </c>
      <c r="L24" s="47" t="inlineStr">
        <is>
          <t>2026-06-24</t>
        </is>
      </c>
      <c r="M24" s="27" t="inlineStr"/>
    </row>
    <row r="25">
      <c r="A25" s="36" t="inlineStr">
        <is>
          <t>TRY-00730</t>
        </is>
      </c>
      <c r="B25" s="27" t="inlineStr">
        <is>
          <t>ABL borrowing base and covenant cure</t>
        </is>
      </c>
      <c r="C25" s="27" t="inlineStr">
        <is>
          <t>ABL borrowing base</t>
        </is>
      </c>
      <c r="D25" s="27" t="inlineStr">
        <is>
          <t>Eligible accounts receivable</t>
        </is>
      </c>
      <c r="E25" s="27" t="inlineStr">
        <is>
          <t>2026-05 working copy</t>
        </is>
      </c>
      <c r="F25" s="27" t="inlineStr">
        <is>
          <t>Approved case</t>
        </is>
      </c>
      <c r="G25" s="27" t="inlineStr">
        <is>
          <t>Gross eligible collateral</t>
        </is>
      </c>
      <c r="H25" s="46" t="n">
        <v>12205500</v>
      </c>
      <c r="I25" s="27" t="inlineStr"/>
      <c r="J25" s="27" t="inlineStr">
        <is>
          <t>USD</t>
        </is>
      </c>
      <c r="K25" s="27" t="inlineStr">
        <is>
          <t>Earlier management working export</t>
        </is>
      </c>
      <c r="L25" s="47" t="inlineStr">
        <is>
          <t>2026-06-24</t>
        </is>
      </c>
      <c r="M25" s="27" t="inlineStr"/>
    </row>
    <row r="26">
      <c r="A26" s="36" t="inlineStr">
        <is>
          <t>TRY-00731</t>
        </is>
      </c>
      <c r="B26" s="27" t="inlineStr">
        <is>
          <t>ABL borrowing base and covenant cure</t>
        </is>
      </c>
      <c r="C26" s="27" t="inlineStr">
        <is>
          <t>ABL borrowing base</t>
        </is>
      </c>
      <c r="D26" s="27" t="inlineStr">
        <is>
          <t>Eligible equipment</t>
        </is>
      </c>
      <c r="E26" s="27" t="inlineStr">
        <is>
          <t>2026-06-30</t>
        </is>
      </c>
      <c r="F26" s="27" t="inlineStr">
        <is>
          <t>Management stretch</t>
        </is>
      </c>
      <c r="G26" s="27" t="inlineStr">
        <is>
          <t>Advance rate</t>
        </is>
      </c>
      <c r="H26" s="46" t="n">
        <v>0.364</v>
      </c>
      <c r="I26" s="27" t="inlineStr"/>
      <c r="J26" s="27" t="inlineStr">
        <is>
          <t>decimal ratio</t>
        </is>
      </c>
      <c r="K26" s="27" t="inlineStr">
        <is>
          <t>Earlier management working export</t>
        </is>
      </c>
      <c r="L26" s="47" t="inlineStr">
        <is>
          <t>2026-06-24</t>
        </is>
      </c>
      <c r="M26" s="27" t="inlineStr"/>
    </row>
    <row r="27">
      <c r="A27" s="36" t="inlineStr">
        <is>
          <t>TRY-00732</t>
        </is>
      </c>
      <c r="B27" s="27" t="inlineStr">
        <is>
          <t>ABL borrowing base and covenant cure</t>
        </is>
      </c>
      <c r="C27" s="27" t="inlineStr">
        <is>
          <t>ABL covenant inputs</t>
        </is>
      </c>
      <c r="D27" s="27" t="inlineStr">
        <is>
          <t>Alder Ridge</t>
        </is>
      </c>
      <c r="E27" s="27" t="inlineStr">
        <is>
          <t>2026-05 working copy</t>
        </is>
      </c>
      <c r="F27" s="27" t="inlineStr">
        <is>
          <t>Approved case</t>
        </is>
      </c>
      <c r="G27" s="27" t="inlineStr">
        <is>
          <t>Existing letters of credit</t>
        </is>
      </c>
      <c r="H27" s="46" t="n">
        <v>892.5</v>
      </c>
      <c r="I27" s="27" t="inlineStr"/>
      <c r="J27" s="27" t="inlineStr">
        <is>
          <t>USD thousands</t>
        </is>
      </c>
      <c r="K27" s="27" t="inlineStr">
        <is>
          <t>Earlier management working export</t>
        </is>
      </c>
      <c r="L27" s="47" t="inlineStr">
        <is>
          <t>2026-06-24</t>
        </is>
      </c>
      <c r="M27" s="27" t="inlineStr"/>
    </row>
    <row r="28">
      <c r="A28" s="36" t="inlineStr">
        <is>
          <t>TRY-00733</t>
        </is>
      </c>
      <c r="B28" s="27" t="inlineStr">
        <is>
          <t>ABL borrowing base and covenant cure</t>
        </is>
      </c>
      <c r="C28" s="27" t="inlineStr">
        <is>
          <t>ABL covenant inputs</t>
        </is>
      </c>
      <c r="D28" s="27" t="inlineStr">
        <is>
          <t>Alder Ridge</t>
        </is>
      </c>
      <c r="E28" s="27" t="inlineStr">
        <is>
          <t>2026-06-30</t>
        </is>
      </c>
      <c r="F28" s="27" t="inlineStr">
        <is>
          <t>Management stretch</t>
        </is>
      </c>
      <c r="G28" s="27" t="inlineStr">
        <is>
          <t>Scheduled principal</t>
        </is>
      </c>
      <c r="H28" s="46" t="n">
        <v>844600</v>
      </c>
      <c r="I28" s="27" t="inlineStr"/>
      <c r="J28" s="27" t="inlineStr">
        <is>
          <t>USD</t>
        </is>
      </c>
      <c r="K28" s="27" t="inlineStr">
        <is>
          <t>Earlier management working export</t>
        </is>
      </c>
      <c r="L28" s="47" t="inlineStr">
        <is>
          <t>2026-06-24</t>
        </is>
      </c>
      <c r="M28" s="27" t="inlineStr"/>
    </row>
    <row r="29">
      <c r="A29" s="36" t="inlineStr">
        <is>
          <t>TRY-00734</t>
        </is>
      </c>
      <c r="B29" s="27" t="inlineStr">
        <is>
          <t>ABL borrowing base and covenant cure</t>
        </is>
      </c>
      <c r="C29" s="27" t="inlineStr">
        <is>
          <t>ABL borrowing base</t>
        </is>
      </c>
      <c r="D29" s="27" t="inlineStr">
        <is>
          <t>Eligible inventory</t>
        </is>
      </c>
      <c r="E29" s="27" t="inlineStr">
        <is>
          <t>2026-05 working copy</t>
        </is>
      </c>
      <c r="F29" s="27" t="inlineStr">
        <is>
          <t>Approved case</t>
        </is>
      </c>
      <c r="G29" s="27" t="inlineStr">
        <is>
          <t>Gross eligible collateral</t>
        </is>
      </c>
      <c r="H29" s="46" t="n">
        <v>3744000</v>
      </c>
      <c r="I29" s="27" t="inlineStr"/>
      <c r="J29" s="27" t="inlineStr">
        <is>
          <t>USD</t>
        </is>
      </c>
      <c r="K29" s="27" t="inlineStr">
        <is>
          <t>Earlier management working export</t>
        </is>
      </c>
      <c r="L29" s="47" t="inlineStr">
        <is>
          <t>2026-06-24</t>
        </is>
      </c>
      <c r="M29" s="27" t="inlineStr"/>
    </row>
    <row r="30">
      <c r="A30" s="36" t="inlineStr">
        <is>
          <t>TRY-00735</t>
        </is>
      </c>
      <c r="B30" s="27" t="inlineStr">
        <is>
          <t>ABL borrowing base and covenant cure</t>
        </is>
      </c>
      <c r="C30" s="27" t="inlineStr">
        <is>
          <t>ABL eligibility exclusions</t>
        </is>
      </c>
      <c r="D30" s="27" t="inlineStr">
        <is>
          <t>Cross-aged customers</t>
        </is>
      </c>
      <c r="E30" s="27" t="inlineStr">
        <is>
          <t>2026-06-30</t>
        </is>
      </c>
      <c r="F30" s="27" t="inlineStr">
        <is>
          <t>Management stretch</t>
        </is>
      </c>
      <c r="G30" s="27" t="inlineStr">
        <is>
          <t>Excluded amount</t>
        </is>
      </c>
      <c r="H30" s="46" t="n">
        <v>567000</v>
      </c>
      <c r="I30" s="27" t="inlineStr"/>
      <c r="J30" s="27" t="inlineStr">
        <is>
          <t>USD</t>
        </is>
      </c>
      <c r="K30" s="27" t="inlineStr">
        <is>
          <t>Earlier management working export</t>
        </is>
      </c>
      <c r="L30" s="47" t="inlineStr">
        <is>
          <t>2026-06-24</t>
        </is>
      </c>
      <c r="M30" s="27" t="inlineStr"/>
    </row>
    <row r="31">
      <c r="A31" s="36" t="inlineStr">
        <is>
          <t>TRY-00736</t>
        </is>
      </c>
      <c r="B31" s="27" t="inlineStr">
        <is>
          <t>ABL borrowing base and covenant cure</t>
        </is>
      </c>
      <c r="C31" s="27" t="inlineStr">
        <is>
          <t>ABL covenant inputs</t>
        </is>
      </c>
      <c r="D31" s="27" t="inlineStr">
        <is>
          <t>Alder Ridge</t>
        </is>
      </c>
      <c r="E31" s="27" t="inlineStr">
        <is>
          <t>2026-05 working copy</t>
        </is>
      </c>
      <c r="F31" s="27" t="inlineStr">
        <is>
          <t>Approved case</t>
        </is>
      </c>
      <c r="G31" s="27" t="inlineStr">
        <is>
          <t>Minimum excess availability</t>
        </is>
      </c>
      <c r="H31" s="46" t="n">
        <v>1545</v>
      </c>
      <c r="I31" s="27" t="inlineStr"/>
      <c r="J31" s="27" t="inlineStr">
        <is>
          <t>USD thousands</t>
        </is>
      </c>
      <c r="K31" s="27" t="inlineStr">
        <is>
          <t>Earlier management working export</t>
        </is>
      </c>
      <c r="L31" s="47" t="inlineStr">
        <is>
          <t>2026-06-24</t>
        </is>
      </c>
      <c r="M31" s="27" t="inlineStr"/>
    </row>
    <row r="32">
      <c r="A32" s="36" t="inlineStr">
        <is>
          <t>TRY-00737</t>
        </is>
      </c>
      <c r="B32" s="27" t="inlineStr">
        <is>
          <t>ABL borrowing base and covenant cure</t>
        </is>
      </c>
      <c r="C32" s="27" t="inlineStr">
        <is>
          <t>ABL covenant inputs</t>
        </is>
      </c>
      <c r="D32" s="27" t="inlineStr">
        <is>
          <t>Alder Ridge</t>
        </is>
      </c>
      <c r="E32" s="27" t="inlineStr">
        <is>
          <t>2026-06-30</t>
        </is>
      </c>
      <c r="F32" s="27" t="inlineStr">
        <is>
          <t>Management stretch</t>
        </is>
      </c>
      <c r="G32" s="27" t="inlineStr">
        <is>
          <t>Approved equity cure</t>
        </is>
      </c>
      <c r="H32" s="46" t="n">
        <v>650000</v>
      </c>
      <c r="I32" s="27" t="inlineStr"/>
      <c r="J32" s="27" t="inlineStr">
        <is>
          <t>USD</t>
        </is>
      </c>
      <c r="K32" s="27" t="inlineStr">
        <is>
          <t>Earlier management working export</t>
        </is>
      </c>
      <c r="L32" s="47" t="inlineStr">
        <is>
          <t>2026-06-24</t>
        </is>
      </c>
      <c r="M32" s="27" t="inlineStr"/>
    </row>
    <row r="33">
      <c r="A33" s="36" t="inlineStr">
        <is>
          <t>TRY-00738</t>
        </is>
      </c>
      <c r="B33" s="27" t="inlineStr">
        <is>
          <t>ABL borrowing base and covenant cure</t>
        </is>
      </c>
      <c r="C33" s="27" t="inlineStr">
        <is>
          <t>ABL borrowing base</t>
        </is>
      </c>
      <c r="D33" s="27" t="inlineStr">
        <is>
          <t>Eligible equipment</t>
        </is>
      </c>
      <c r="E33" s="27" t="inlineStr">
        <is>
          <t>2026-05 working copy</t>
        </is>
      </c>
      <c r="F33" s="27" t="inlineStr">
        <is>
          <t>Approved case</t>
        </is>
      </c>
      <c r="G33" s="27" t="inlineStr">
        <is>
          <t>Gross eligible collateral</t>
        </is>
      </c>
      <c r="H33" s="46" t="n">
        <v>5460000</v>
      </c>
      <c r="I33" s="27" t="inlineStr"/>
      <c r="J33" s="27" t="inlineStr">
        <is>
          <t>USD</t>
        </is>
      </c>
      <c r="K33" s="27" t="inlineStr">
        <is>
          <t>Earlier management working export</t>
        </is>
      </c>
      <c r="L33" s="47" t="inlineStr">
        <is>
          <t>2026-06-24</t>
        </is>
      </c>
      <c r="M33" s="27" t="inlineStr"/>
    </row>
    <row r="34">
      <c r="A34" s="36" t="inlineStr">
        <is>
          <t>TRY-00739</t>
        </is>
      </c>
      <c r="B34" s="27" t="inlineStr">
        <is>
          <t>ABL borrowing base and covenant cure</t>
        </is>
      </c>
      <c r="C34" s="27" t="inlineStr">
        <is>
          <t>ABL covenant inputs</t>
        </is>
      </c>
      <c r="D34" s="27" t="inlineStr">
        <is>
          <t>Alder Ridge</t>
        </is>
      </c>
      <c r="E34" s="27" t="inlineStr">
        <is>
          <t>2026-06-30</t>
        </is>
      </c>
      <c r="F34" s="27" t="inlineStr">
        <is>
          <t>Management stretch</t>
        </is>
      </c>
      <c r="G34" s="27" t="inlineStr">
        <is>
          <t>Facility commitment</t>
        </is>
      </c>
      <c r="H34" s="46" t="n">
        <v>12360000</v>
      </c>
      <c r="I34" s="27" t="inlineStr"/>
      <c r="J34" s="27" t="inlineStr">
        <is>
          <t>USD</t>
        </is>
      </c>
      <c r="K34" s="27" t="inlineStr">
        <is>
          <t>Earlier management working export</t>
        </is>
      </c>
      <c r="L34" s="47" t="inlineStr">
        <is>
          <t>2026-06-24</t>
        </is>
      </c>
      <c r="M34" s="27" t="inlineStr"/>
    </row>
    <row r="35">
      <c r="A35" s="36" t="inlineStr">
        <is>
          <t>TRY-00740</t>
        </is>
      </c>
      <c r="B35" s="27" t="inlineStr">
        <is>
          <t>ABL borrowing base and covenant cure</t>
        </is>
      </c>
      <c r="C35" s="27" t="inlineStr">
        <is>
          <t>ABL covenant inputs</t>
        </is>
      </c>
      <c r="D35" s="27" t="inlineStr">
        <is>
          <t>Alder Ridge</t>
        </is>
      </c>
      <c r="E35" s="27" t="inlineStr">
        <is>
          <t>2026-05 working copy</t>
        </is>
      </c>
      <c r="F35" s="27" t="inlineStr">
        <is>
          <t>Approved case</t>
        </is>
      </c>
      <c r="G35" s="27" t="inlineStr">
        <is>
          <t>Cash interest</t>
        </is>
      </c>
      <c r="H35" s="46" t="n">
        <v>686.4</v>
      </c>
      <c r="I35" s="27" t="inlineStr"/>
      <c r="J35" s="27" t="inlineStr">
        <is>
          <t>USD thousands</t>
        </is>
      </c>
      <c r="K35" s="27" t="inlineStr">
        <is>
          <t>Earlier management working export</t>
        </is>
      </c>
      <c r="L35" s="47" t="inlineStr">
        <is>
          <t>2026-06-24</t>
        </is>
      </c>
      <c r="M35" s="27" t="inlineStr"/>
    </row>
    <row r="36">
      <c r="A36" s="36" t="inlineStr">
        <is>
          <t>TRY-00741</t>
        </is>
      </c>
      <c r="B36" s="27" t="inlineStr">
        <is>
          <t>ABL borrowing base and covenant cure</t>
        </is>
      </c>
      <c r="C36" s="27" t="inlineStr">
        <is>
          <t>ABL borrowing base</t>
        </is>
      </c>
      <c r="D36" s="27" t="inlineStr">
        <is>
          <t>Eligible accounts receivable</t>
        </is>
      </c>
      <c r="E36" s="27" t="inlineStr">
        <is>
          <t>2026-06-30</t>
        </is>
      </c>
      <c r="F36" s="27" t="inlineStr">
        <is>
          <t>Management stretch</t>
        </is>
      </c>
      <c r="G36" s="27" t="inlineStr">
        <is>
          <t>Specific reserve</t>
        </is>
      </c>
      <c r="H36" s="46" t="n">
        <v>1491000</v>
      </c>
      <c r="I36" s="27" t="inlineStr"/>
      <c r="J36" s="27" t="inlineStr">
        <is>
          <t>USD</t>
        </is>
      </c>
      <c r="K36" s="27" t="inlineStr">
        <is>
          <t>Earlier management working export</t>
        </is>
      </c>
      <c r="L36" s="47" t="inlineStr">
        <is>
          <t>2026-06-24</t>
        </is>
      </c>
      <c r="M36" s="27" t="inlineStr"/>
    </row>
    <row r="37">
      <c r="A37" s="36" t="inlineStr">
        <is>
          <t>TRY-00742</t>
        </is>
      </c>
      <c r="B37" s="27" t="inlineStr">
        <is>
          <t>ABL borrowing base and covenant cure</t>
        </is>
      </c>
      <c r="C37" s="27" t="inlineStr">
        <is>
          <t>ABL eligibility exclusions</t>
        </is>
      </c>
      <c r="D37" s="27" t="inlineStr">
        <is>
          <t>AR over 90 days</t>
        </is>
      </c>
      <c r="E37" s="27" t="inlineStr">
        <is>
          <t>2026-05 working copy</t>
        </is>
      </c>
      <c r="F37" s="27" t="inlineStr">
        <is>
          <t>Approved case</t>
        </is>
      </c>
      <c r="G37" s="27" t="inlineStr">
        <is>
          <t>Excluded amount</t>
        </is>
      </c>
      <c r="H37" s="46" t="n">
        <v>782800</v>
      </c>
      <c r="I37" s="27" t="inlineStr"/>
      <c r="J37" s="27" t="inlineStr">
        <is>
          <t>USD</t>
        </is>
      </c>
      <c r="K37" s="27" t="inlineStr">
        <is>
          <t>Earlier management working export</t>
        </is>
      </c>
      <c r="L37" s="47" t="inlineStr">
        <is>
          <t>2026-06-24</t>
        </is>
      </c>
      <c r="M37" s="27" t="inlineStr"/>
    </row>
    <row r="38">
      <c r="A38" s="36" t="inlineStr">
        <is>
          <t>TRY-00743</t>
        </is>
      </c>
      <c r="B38" s="27" t="inlineStr">
        <is>
          <t>ABL borrowing base and covenant cure</t>
        </is>
      </c>
      <c r="C38" s="27" t="inlineStr">
        <is>
          <t>ABL covenant inputs</t>
        </is>
      </c>
      <c r="D38" s="27" t="inlineStr">
        <is>
          <t>Alder Ridge</t>
        </is>
      </c>
      <c r="E38" s="27" t="inlineStr">
        <is>
          <t>2026-06-30</t>
        </is>
      </c>
      <c r="F38" s="27" t="inlineStr">
        <is>
          <t>Management stretch</t>
        </is>
      </c>
      <c r="G38" s="27" t="inlineStr">
        <is>
          <t>Availability block</t>
        </is>
      </c>
      <c r="H38" s="46" t="n">
        <v>780000</v>
      </c>
      <c r="I38" s="27" t="inlineStr"/>
      <c r="J38" s="27" t="inlineStr">
        <is>
          <t>USD</t>
        </is>
      </c>
      <c r="K38" s="27" t="inlineStr">
        <is>
          <t>Earlier management working export</t>
        </is>
      </c>
      <c r="L38" s="47" t="inlineStr">
        <is>
          <t>2026-06-24</t>
        </is>
      </c>
      <c r="M38" s="27" t="inlineStr"/>
    </row>
    <row r="39">
      <c r="A39" s="36" t="inlineStr">
        <is>
          <t>TRY-00776</t>
        </is>
      </c>
      <c r="B39" s="27" t="inlineStr">
        <is>
          <t>ABL borrowing base and covenant cure</t>
        </is>
      </c>
      <c r="C39" s="27" t="inlineStr">
        <is>
          <t>Detailed AR collateral control</t>
        </is>
      </c>
      <c r="D39" s="27" t="inlineStr">
        <is>
          <t>Cedar Medical</t>
        </is>
      </c>
      <c r="E39" s="27" t="inlineStr">
        <is>
          <t>2026-05 working copy</t>
        </is>
      </c>
      <c r="F39" s="27" t="inlineStr">
        <is>
          <t>Approved case</t>
        </is>
      </c>
      <c r="G39" s="27" t="inlineStr">
        <is>
          <t>Gross receivable</t>
        </is>
      </c>
      <c r="H39" s="46" t="n">
        <v>2472000</v>
      </c>
      <c r="I39" s="27" t="inlineStr"/>
      <c r="J39" s="27" t="inlineStr">
        <is>
          <t>USD</t>
        </is>
      </c>
      <c r="K39" s="27" t="inlineStr">
        <is>
          <t>Earlier management working export</t>
        </is>
      </c>
      <c r="L39" s="47" t="inlineStr">
        <is>
          <t>2026-06-24</t>
        </is>
      </c>
      <c r="M39" s="27" t="inlineStr"/>
    </row>
    <row r="40">
      <c r="A40" s="36" t="inlineStr">
        <is>
          <t>TRY-00777</t>
        </is>
      </c>
      <c r="B40" s="27" t="inlineStr">
        <is>
          <t>ABL borrowing base and covenant cure</t>
        </is>
      </c>
      <c r="C40" s="27" t="inlineStr">
        <is>
          <t>Detailed AR collateral control</t>
        </is>
      </c>
      <c r="D40" s="27" t="inlineStr">
        <is>
          <t>Helix Data Center</t>
        </is>
      </c>
      <c r="E40" s="27" t="inlineStr">
        <is>
          <t>2026-06-30</t>
        </is>
      </c>
      <c r="F40" s="27" t="inlineStr">
        <is>
          <t>Management stretch</t>
        </is>
      </c>
      <c r="G40" s="27" t="inlineStr">
        <is>
          <t>Related-party exclusion</t>
        </is>
      </c>
      <c r="H40" s="46" t="n">
        <v>0</v>
      </c>
      <c r="I40" s="27" t="inlineStr"/>
      <c r="J40" s="27" t="inlineStr">
        <is>
          <t>USD</t>
        </is>
      </c>
      <c r="K40" s="27" t="inlineStr">
        <is>
          <t>Earlier management working export</t>
        </is>
      </c>
      <c r="L40" s="47" t="inlineStr">
        <is>
          <t>2026-06-24</t>
        </is>
      </c>
      <c r="M40" s="27" t="inlineStr"/>
    </row>
    <row r="41">
      <c r="A41" s="36" t="inlineStr">
        <is>
          <t>TRY-00778</t>
        </is>
      </c>
      <c r="B41" s="27" t="inlineStr">
        <is>
          <t>ABL borrowing base and covenant cure</t>
        </is>
      </c>
      <c r="C41" s="27" t="inlineStr">
        <is>
          <t>Detailed AR collateral control</t>
        </is>
      </c>
      <c r="D41" s="27" t="inlineStr">
        <is>
          <t>Juniper Offices</t>
        </is>
      </c>
      <c r="E41" s="27" t="inlineStr">
        <is>
          <t>2026-05 working copy</t>
        </is>
      </c>
      <c r="F41" s="27" t="inlineStr">
        <is>
          <t>Approved case</t>
        </is>
      </c>
      <c r="G41" s="27" t="inlineStr">
        <is>
          <t>Cross-aged exclusion</t>
        </is>
      </c>
      <c r="H41" s="46" t="n">
        <v>0</v>
      </c>
      <c r="I41" s="27" t="inlineStr"/>
      <c r="J41" s="27" t="inlineStr">
        <is>
          <t>USD</t>
        </is>
      </c>
      <c r="K41" s="27" t="inlineStr">
        <is>
          <t>Earlier management working export</t>
        </is>
      </c>
      <c r="L41" s="47" t="inlineStr">
        <is>
          <t>2026-06-24</t>
        </is>
      </c>
      <c r="M41" s="27" t="inlineStr"/>
    </row>
    <row r="42">
      <c r="A42" s="36" t="inlineStr">
        <is>
          <t>TRY-00779</t>
        </is>
      </c>
      <c r="B42" s="27" t="inlineStr">
        <is>
          <t>ABL borrowing base and covenant cure</t>
        </is>
      </c>
      <c r="C42" s="27" t="inlineStr">
        <is>
          <t>Detailed AR collateral control</t>
        </is>
      </c>
      <c r="D42" s="27" t="inlineStr">
        <is>
          <t>Other and affiliate</t>
        </is>
      </c>
      <c r="E42" s="27" t="inlineStr">
        <is>
          <t>2026-06-30</t>
        </is>
      </c>
      <c r="F42" s="27" t="inlineStr">
        <is>
          <t>Management stretch</t>
        </is>
      </c>
      <c r="G42" s="27" t="inlineStr">
        <is>
          <t>Over 90 days</t>
        </is>
      </c>
      <c r="H42" s="46" t="n">
        <v>0</v>
      </c>
      <c r="I42" s="27" t="inlineStr"/>
      <c r="J42" s="27" t="inlineStr">
        <is>
          <t>USD</t>
        </is>
      </c>
      <c r="K42" s="27" t="inlineStr">
        <is>
          <t>Earlier management working export</t>
        </is>
      </c>
      <c r="L42" s="47" t="inlineStr">
        <is>
          <t>2026-06-24</t>
        </is>
      </c>
      <c r="M42" s="27" t="inlineStr"/>
    </row>
    <row r="43">
      <c r="A43" s="36" t="inlineStr">
        <is>
          <t>TRY-00780</t>
        </is>
      </c>
      <c r="B43" s="27" t="inlineStr">
        <is>
          <t>ABL borrowing base and covenant cure</t>
        </is>
      </c>
      <c r="C43" s="27" t="inlineStr">
        <is>
          <t>Detailed inventory collateral control</t>
        </is>
      </c>
      <c r="D43" s="27" t="inlineStr">
        <is>
          <t>Finished goods</t>
        </is>
      </c>
      <c r="E43" s="27" t="inlineStr">
        <is>
          <t>2026-05 working copy</t>
        </is>
      </c>
      <c r="F43" s="27" t="inlineStr">
        <is>
          <t>Approved case</t>
        </is>
      </c>
      <c r="G43" s="27" t="inlineStr">
        <is>
          <t>Gross inventory</t>
        </is>
      </c>
      <c r="H43" s="46" t="n">
        <v>1144000</v>
      </c>
      <c r="I43" s="27" t="inlineStr"/>
      <c r="J43" s="27" t="inlineStr">
        <is>
          <t>USD</t>
        </is>
      </c>
      <c r="K43" s="27" t="inlineStr">
        <is>
          <t>Earlier management working export</t>
        </is>
      </c>
      <c r="L43" s="47" t="inlineStr">
        <is>
          <t>2026-06-24</t>
        </is>
      </c>
      <c r="M43" s="27" t="inlineStr"/>
    </row>
    <row r="44">
      <c r="A44" s="36" t="inlineStr">
        <is>
          <t>TRY-00781</t>
        </is>
      </c>
      <c r="B44" s="27" t="inlineStr">
        <is>
          <t>ABL borrowing base and covenant cure</t>
        </is>
      </c>
      <c r="C44" s="27" t="inlineStr">
        <is>
          <t>Detailed AR collateral control</t>
        </is>
      </c>
      <c r="D44" s="27" t="inlineStr">
        <is>
          <t>Helix Data Center</t>
        </is>
      </c>
      <c r="E44" s="27" t="inlineStr">
        <is>
          <t>2026-06-30</t>
        </is>
      </c>
      <c r="F44" s="27" t="inlineStr">
        <is>
          <t>Management stretch</t>
        </is>
      </c>
      <c r="G44" s="27" t="inlineStr">
        <is>
          <t>Gross receivable</t>
        </is>
      </c>
      <c r="H44" s="46" t="n">
        <v>3255000</v>
      </c>
      <c r="I44" s="27" t="inlineStr"/>
      <c r="J44" s="27" t="inlineStr">
        <is>
          <t>USD</t>
        </is>
      </c>
      <c r="K44" s="27" t="inlineStr">
        <is>
          <t>Earlier management working export</t>
        </is>
      </c>
      <c r="L44" s="47" t="inlineStr">
        <is>
          <t>2026-06-24</t>
        </is>
      </c>
      <c r="M44" s="27" t="inlineStr"/>
    </row>
  </sheetData>
  <autoFilter ref="A4:M44"/>
  <mergeCells count="2">
    <mergeCell ref="A2:M2"/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4" customWidth="1" min="6" max="6"/>
  </cols>
  <sheetData>
    <row r="1" ht="25" customHeight="1">
      <c r="A1" s="9" t="inlineStr">
        <is>
          <t>treasury, banking, and credit outlook | data checks</t>
        </is>
      </c>
    </row>
    <row r="2" ht="25" customHeight="1">
      <c r="A2" s="11" t="inlineStr">
        <is>
          <t>Row-count and version checks; investigate any unexpected change before using the book</t>
        </is>
      </c>
    </row>
    <row r="4" ht="30" customHeight="1">
      <c r="A4" s="20" t="inlineStr">
        <is>
          <t>Data sheet</t>
        </is>
      </c>
      <c r="B4" s="21" t="inlineStr">
        <is>
          <t>Expected rows</t>
        </is>
      </c>
      <c r="C4" s="21" t="inlineStr">
        <is>
          <t>Workbook rows</t>
        </is>
      </c>
      <c r="D4" s="21" t="inlineStr">
        <is>
          <t>Difference</t>
        </is>
      </c>
      <c r="E4" s="21" t="inlineStr">
        <is>
          <t>Status</t>
        </is>
      </c>
      <c r="F4" s="22" t="inlineStr">
        <is>
          <t>Version note</t>
        </is>
      </c>
    </row>
    <row r="5">
      <c r="A5" s="40" t="inlineStr">
        <is>
          <t>Cash and Liquidity</t>
        </is>
      </c>
      <c r="B5" s="40" t="n">
        <v>78</v>
      </c>
      <c r="C5" s="40">
        <f>COUNTA('Cash and Liquidity'!$A$5:$A$82)</f>
        <v/>
      </c>
      <c r="D5" s="40">
        <f>C5-B5</f>
        <v/>
      </c>
      <c r="E5" s="43">
        <f>IF(D5=0,"OK","CHECK")</f>
        <v/>
      </c>
      <c r="F5" s="40" t="inlineStr">
        <is>
          <t>PRIOR REVIEW COPY • NOT CURRENT</t>
        </is>
      </c>
    </row>
    <row r="6">
      <c r="A6" s="41" t="inlineStr">
        <is>
          <t>Debt and Hedges</t>
        </is>
      </c>
      <c r="B6" s="41" t="n">
        <v>68</v>
      </c>
      <c r="C6" s="41">
        <f>COUNTA('Debt and Hedges'!$A$5:$A$72)</f>
        <v/>
      </c>
      <c r="D6" s="41">
        <f>C6-B6</f>
        <v/>
      </c>
      <c r="E6" s="44">
        <f>IF(D6=0,"OK","CHECK")</f>
        <v/>
      </c>
      <c r="F6" s="41" t="inlineStr">
        <is>
          <t>PRIOR REVIEW COPY • NOT CURRENT</t>
        </is>
      </c>
    </row>
    <row r="7">
      <c r="A7" s="41" t="inlineStr">
        <is>
          <t>Bank Economics</t>
        </is>
      </c>
      <c r="B7" s="41" t="n">
        <v>18</v>
      </c>
      <c r="C7" s="41">
        <f>COUNTA('Bank Economics'!$A$5:$A$22)</f>
        <v/>
      </c>
      <c r="D7" s="41">
        <f>C7-B7</f>
        <v/>
      </c>
      <c r="E7" s="44">
        <f>IF(D7=0,"OK","CHECK")</f>
        <v/>
      </c>
      <c r="F7" s="41" t="inlineStr">
        <is>
          <t>PRIOR REVIEW COPY • NOT CURRENT</t>
        </is>
      </c>
    </row>
    <row r="8">
      <c r="A8" s="42" t="inlineStr">
        <is>
          <t>Credit Outlook</t>
        </is>
      </c>
      <c r="B8" s="42" t="n">
        <v>40</v>
      </c>
      <c r="C8" s="42">
        <f>COUNTA('Credit Outlook'!$A$5:$A$44)</f>
        <v/>
      </c>
      <c r="D8" s="42">
        <f>C8-B8</f>
        <v/>
      </c>
      <c r="E8" s="45">
        <f>IF(D8=0,"OK","CHECK")</f>
        <v/>
      </c>
      <c r="F8" s="42" t="inlineStr">
        <is>
          <t>PRIOR REVIEW COPY • NOT CURRENT</t>
        </is>
      </c>
    </row>
  </sheetData>
  <mergeCells count="2">
    <mergeCell ref="A2:F2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2026-08-01T05:21:43Z</dcterms:created>
  <dcterms:modified xmlns:dcterms="http://purl.org/dc/terms/" xmlns:xsi="http://www.w3.org/2001/XMLSchema-instance" xsi:type="dcterms:W3CDTF">2026-08-01T05:21:43Z</dcterms:modified>
</cp:coreProperties>
</file>