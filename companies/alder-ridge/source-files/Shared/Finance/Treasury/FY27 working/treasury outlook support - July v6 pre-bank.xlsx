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Cash and Liquidity" sheetId="2" state="visible" r:id="rId2"/>
    <sheet xmlns:r="http://schemas.openxmlformats.org/officeDocument/2006/relationships" name="Debt and Hedges" sheetId="3" state="visible" r:id="rId3"/>
    <sheet xmlns:r="http://schemas.openxmlformats.org/officeDocument/2006/relationships" name="Bank Economics" sheetId="4" state="visible" r:id="rId4"/>
    <sheet xmlns:r="http://schemas.openxmlformats.org/officeDocument/2006/relationships" name="Credit Outlook" sheetId="5" state="visible" r:id="rId5"/>
    <sheet xmlns:r="http://schemas.openxmlformats.org/officeDocument/2006/relationships" name="Data Checks" sheetId="6" state="visible" r:id="rId6"/>
  </sheets>
  <definedNames>
    <definedName name="_xlnm._FilterDatabase" localSheetId="1" hidden="1">'Cash and Liquidity'!$A$4:$M$82</definedName>
    <definedName name="_xlnm._FilterDatabase" localSheetId="2" hidden="1">'Debt and Hedges'!$A$4:$M$72</definedName>
    <definedName name="_xlnm._FilterDatabase" localSheetId="3" hidden="1">'Bank Economics'!$A$4:$M$22</definedName>
    <definedName name="_xlnm._FilterDatabase" localSheetId="4" hidden="1">'Credit Outlook'!$A$4:$M$44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Cash and Liquidity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TRY-00070</t>
        </is>
      </c>
      <c r="B5" s="27" t="inlineStr">
        <is>
          <t>Complete the 30-day daily cash-position model</t>
        </is>
      </c>
      <c r="C5" s="27" t="inlineStr">
        <is>
          <t>Bank Balances</t>
        </is>
      </c>
      <c r="D5" s="27" t="inlineStr">
        <is>
          <t>Operating Bank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Minimum operating balance</t>
        </is>
      </c>
      <c r="H5" s="46" t="n">
        <v>875500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TRY-00071</t>
        </is>
      </c>
      <c r="B6" s="27" t="inlineStr">
        <is>
          <t>Complete the 30-day daily cash-position model</t>
        </is>
      </c>
      <c r="C6" s="27" t="inlineStr">
        <is>
          <t>Expected Receipts</t>
        </is>
      </c>
      <c r="D6" s="27" t="inlineStr">
        <is>
          <t>Concentration account</t>
        </is>
      </c>
      <c r="E6" s="27" t="inlineStr">
        <is>
          <t>2026-07-03</t>
        </is>
      </c>
      <c r="F6" s="27" t="inlineStr">
        <is>
          <t>Management stretch</t>
        </is>
      </c>
      <c r="G6" s="27" t="inlineStr">
        <is>
          <t>Settling receipts</t>
        </is>
      </c>
      <c r="H6" s="46" t="n">
        <v>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TRY-00072</t>
        </is>
      </c>
      <c r="B7" s="27" t="inlineStr">
        <is>
          <t>Complete the 30-day daily cash-position model</t>
        </is>
      </c>
      <c r="C7" s="27" t="inlineStr">
        <is>
          <t>Expected Disbursements</t>
        </is>
      </c>
      <c r="D7" s="27" t="inlineStr">
        <is>
          <t>Consolidated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Settling disbursements</t>
        </is>
      </c>
      <c r="H7" s="46" t="n">
        <v>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TRY-00073</t>
        </is>
      </c>
      <c r="B8" s="27" t="inlineStr">
        <is>
          <t>Complete the 30-day daily cash-position model</t>
        </is>
      </c>
      <c r="C8" s="27" t="inlineStr">
        <is>
          <t>Expected Receipts</t>
        </is>
      </c>
      <c r="D8" s="27" t="inlineStr">
        <is>
          <t>Concentration account</t>
        </is>
      </c>
      <c r="E8" s="27" t="inlineStr">
        <is>
          <t>2026-07-10</t>
        </is>
      </c>
      <c r="F8" s="27" t="inlineStr">
        <is>
          <t>Management stretch</t>
        </is>
      </c>
      <c r="G8" s="27" t="inlineStr">
        <is>
          <t>Settling receipts</t>
        </is>
      </c>
      <c r="H8" s="46" t="n">
        <v>432600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TRY-00074</t>
        </is>
      </c>
      <c r="B9" s="27" t="inlineStr">
        <is>
          <t>Complete the 30-day daily cash-position model</t>
        </is>
      </c>
      <c r="C9" s="27" t="inlineStr">
        <is>
          <t>Expected Disbursements</t>
        </is>
      </c>
      <c r="D9" s="27" t="inlineStr">
        <is>
          <t>Consolidated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Settling disbursements</t>
        </is>
      </c>
      <c r="H9" s="46" t="n">
        <v>0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TRY-00075</t>
        </is>
      </c>
      <c r="B10" s="27" t="inlineStr">
        <is>
          <t>Complete the 30-day daily cash-position model</t>
        </is>
      </c>
      <c r="C10" s="27" t="inlineStr">
        <is>
          <t>Expected Receipts</t>
        </is>
      </c>
      <c r="D10" s="27" t="inlineStr">
        <is>
          <t>Concentration account</t>
        </is>
      </c>
      <c r="E10" s="27" t="inlineStr">
        <is>
          <t>2026-07-17</t>
        </is>
      </c>
      <c r="F10" s="27" t="inlineStr">
        <is>
          <t>Management stretch</t>
        </is>
      </c>
      <c r="G10" s="27" t="inlineStr">
        <is>
          <t>Settling receipts</t>
        </is>
      </c>
      <c r="H10" s="46" t="n">
        <v>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TRY-00076</t>
        </is>
      </c>
      <c r="B11" s="27" t="inlineStr">
        <is>
          <t>Complete the 30-day daily cash-position model</t>
        </is>
      </c>
      <c r="C11" s="27" t="inlineStr">
        <is>
          <t>Expected Disbursements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Settling disbursements</t>
        </is>
      </c>
      <c r="H11" s="46" t="n">
        <v>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TRY-00077</t>
        </is>
      </c>
      <c r="B12" s="27" t="inlineStr">
        <is>
          <t>Complete the 30-day daily cash-position model</t>
        </is>
      </c>
      <c r="C12" s="27" t="inlineStr">
        <is>
          <t>Expected Receipts</t>
        </is>
      </c>
      <c r="D12" s="27" t="inlineStr">
        <is>
          <t>Concentration account</t>
        </is>
      </c>
      <c r="E12" s="27" t="inlineStr">
        <is>
          <t>2026-07-24</t>
        </is>
      </c>
      <c r="F12" s="27" t="inlineStr">
        <is>
          <t>Management stretch</t>
        </is>
      </c>
      <c r="G12" s="27" t="inlineStr">
        <is>
          <t>Settling receipts</t>
        </is>
      </c>
      <c r="H12" s="46" t="n">
        <v>540800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TRY-00078</t>
        </is>
      </c>
      <c r="B13" s="27" t="inlineStr">
        <is>
          <t>Complete the 30-day daily cash-position model</t>
        </is>
      </c>
      <c r="C13" s="27" t="inlineStr">
        <is>
          <t>Expected Disbursements</t>
        </is>
      </c>
      <c r="D13" s="27" t="inlineStr">
        <is>
          <t>Consolidated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Settling disbursements</t>
        </is>
      </c>
      <c r="H13" s="46" t="n">
        <v>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TRY-00079</t>
        </is>
      </c>
      <c r="B14" s="27" t="inlineStr">
        <is>
          <t>Complete the 30-day daily cash-position model</t>
        </is>
      </c>
      <c r="C14" s="27" t="inlineStr">
        <is>
          <t>Treasury policy</t>
        </is>
      </c>
      <c r="D14" s="27" t="inlineStr">
        <is>
          <t>Consolidated</t>
        </is>
      </c>
      <c r="E14" s="27" t="inlineStr">
        <is>
          <t>July 2026</t>
        </is>
      </c>
      <c r="F14" s="27" t="inlineStr">
        <is>
          <t>Management stretch</t>
        </is>
      </c>
      <c r="G14" s="27" t="inlineStr">
        <is>
          <t>Consolidated minimum available cash</t>
        </is>
      </c>
      <c r="H14" s="46" t="n">
        <v>2317500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TRY-00080</t>
        </is>
      </c>
      <c r="B15" s="27" t="inlineStr">
        <is>
          <t>Complete the 30-day daily cash-position model</t>
        </is>
      </c>
      <c r="C15" s="27" t="inlineStr">
        <is>
          <t>Expected Disbursements</t>
        </is>
      </c>
      <c r="D15" s="27" t="inlineStr">
        <is>
          <t>Consolidated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Settling disbursements</t>
        </is>
      </c>
      <c r="H15" s="46" t="n">
        <v>478.4</v>
      </c>
      <c r="I15" s="27" t="inlineStr"/>
      <c r="J15" s="27" t="inlineStr">
        <is>
          <t>USD thousands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TRY-00081</t>
        </is>
      </c>
      <c r="B16" s="27" t="inlineStr">
        <is>
          <t>Complete the 30-day daily cash-position model</t>
        </is>
      </c>
      <c r="C16" s="27" t="inlineStr">
        <is>
          <t>Expected Receipts</t>
        </is>
      </c>
      <c r="D16" s="27" t="inlineStr">
        <is>
          <t>Concentration account</t>
        </is>
      </c>
      <c r="E16" s="27" t="inlineStr">
        <is>
          <t>2026-07-05</t>
        </is>
      </c>
      <c r="F16" s="27" t="inlineStr">
        <is>
          <t>Management stretch</t>
        </is>
      </c>
      <c r="G16" s="27" t="inlineStr">
        <is>
          <t>Settling receipts</t>
        </is>
      </c>
      <c r="H16" s="46" t="n">
        <v>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TRY-00082</t>
        </is>
      </c>
      <c r="B17" s="27" t="inlineStr">
        <is>
          <t>Complete the 30-day daily cash-position model</t>
        </is>
      </c>
      <c r="C17" s="27" t="inlineStr">
        <is>
          <t>Expected Disbursements</t>
        </is>
      </c>
      <c r="D17" s="27" t="inlineStr">
        <is>
          <t>Consolidated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Settling disbursements</t>
        </is>
      </c>
      <c r="H17" s="46" t="n">
        <v>803400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TRY-00083</t>
        </is>
      </c>
      <c r="B18" s="27" t="inlineStr">
        <is>
          <t>Complete the 30-day daily cash-position model</t>
        </is>
      </c>
      <c r="C18" s="27" t="inlineStr">
        <is>
          <t>Expected Receipts</t>
        </is>
      </c>
      <c r="D18" s="27" t="inlineStr">
        <is>
          <t>Concentration account</t>
        </is>
      </c>
      <c r="E18" s="27" t="inlineStr">
        <is>
          <t>2026-07-12</t>
        </is>
      </c>
      <c r="F18" s="27" t="inlineStr">
        <is>
          <t>Management stretch</t>
        </is>
      </c>
      <c r="G18" s="27" t="inlineStr">
        <is>
          <t>Settling receipts</t>
        </is>
      </c>
      <c r="H18" s="46" t="n">
        <v>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TRY-00160</t>
        </is>
      </c>
      <c r="B19" s="27" t="inlineStr">
        <is>
          <t>Seasonal liquidity and revolver headroom</t>
        </is>
      </c>
      <c r="C19" s="27" t="inlineStr">
        <is>
          <t>Monthly liquidity forecast</t>
        </is>
      </c>
      <c r="D19" s="27" t="inlineStr">
        <is>
          <t>Consolidated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Customer receipts</t>
        </is>
      </c>
      <c r="H19" s="46" t="n">
        <v>7004000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TRY-00161</t>
        </is>
      </c>
      <c r="B20" s="27" t="inlineStr">
        <is>
          <t>Seasonal liquidity and revolver headroom</t>
        </is>
      </c>
      <c r="C20" s="27" t="inlineStr">
        <is>
          <t>Monthly liquidity forecast</t>
        </is>
      </c>
      <c r="D20" s="27" t="inlineStr">
        <is>
          <t>Consolidated</t>
        </is>
      </c>
      <c r="E20" s="27" t="inlineStr">
        <is>
          <t>2026-08</t>
        </is>
      </c>
      <c r="F20" s="27" t="inlineStr">
        <is>
          <t>Management stretch</t>
        </is>
      </c>
      <c r="G20" s="27" t="inlineStr">
        <is>
          <t>Operating disbursements</t>
        </is>
      </c>
      <c r="H20" s="46" t="n">
        <v>5720000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TRY-00162</t>
        </is>
      </c>
      <c r="B21" s="27" t="inlineStr">
        <is>
          <t>Seasonal liquidity and revolver headroom</t>
        </is>
      </c>
      <c r="C21" s="27" t="inlineStr">
        <is>
          <t>Monthly liquidity forecast</t>
        </is>
      </c>
      <c r="D21" s="27" t="inlineStr">
        <is>
          <t>Consolidated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Cash taxes</t>
        </is>
      </c>
      <c r="H21" s="46" t="n">
        <v>504000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TRY-00163</t>
        </is>
      </c>
      <c r="B22" s="27" t="inlineStr">
        <is>
          <t>Seasonal liquidity and revolver headroom</t>
        </is>
      </c>
      <c r="C22" s="27" t="inlineStr">
        <is>
          <t>Monthly liquidity forecast</t>
        </is>
      </c>
      <c r="D22" s="27" t="inlineStr">
        <is>
          <t>Consolidated</t>
        </is>
      </c>
      <c r="E22" s="27" t="inlineStr">
        <is>
          <t>2026-10</t>
        </is>
      </c>
      <c r="F22" s="27" t="inlineStr">
        <is>
          <t>Management stretch</t>
        </is>
      </c>
      <c r="G22" s="27" t="inlineStr">
        <is>
          <t>Capital expenditures</t>
        </is>
      </c>
      <c r="H22" s="46" t="n">
        <v>185.4</v>
      </c>
      <c r="I22" s="27" t="inlineStr"/>
      <c r="J22" s="27" t="inlineStr">
        <is>
          <t>USD thousands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TRY-00164</t>
        </is>
      </c>
      <c r="B23" s="27" t="inlineStr">
        <is>
          <t>Seasonal liquidity and revolver headroom</t>
        </is>
      </c>
      <c r="C23" s="27" t="inlineStr">
        <is>
          <t>Monthly liquidity forecast</t>
        </is>
      </c>
      <c r="D23" s="27" t="inlineStr">
        <is>
          <t>Consolidated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Scheduled debt service</t>
        </is>
      </c>
      <c r="H23" s="46" t="n">
        <v>135200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TRY-00165</t>
        </is>
      </c>
      <c r="B24" s="27" t="inlineStr">
        <is>
          <t>Seasonal liquidity and revolver headroom</t>
        </is>
      </c>
      <c r="C24" s="27" t="inlineStr">
        <is>
          <t>Borrowing base</t>
        </is>
      </c>
      <c r="D24" s="27" t="inlineStr">
        <is>
          <t>Revolver</t>
        </is>
      </c>
      <c r="E24" s="27" t="inlineStr">
        <is>
          <t>2026-12</t>
        </is>
      </c>
      <c r="F24" s="27" t="inlineStr">
        <is>
          <t>Management stretch</t>
        </is>
      </c>
      <c r="G24" s="27" t="inlineStr">
        <is>
          <t>Eligible borrowing base</t>
        </is>
      </c>
      <c r="H24" s="46" t="n">
        <v>12600000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TRY-00166</t>
        </is>
      </c>
      <c r="B25" s="27" t="inlineStr">
        <is>
          <t>Seasonal liquidity and revolver headroom</t>
        </is>
      </c>
      <c r="C25" s="27" t="inlineStr">
        <is>
          <t>Monthly liquidity forecast</t>
        </is>
      </c>
      <c r="D25" s="27" t="inlineStr">
        <is>
          <t>Consolidated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Customer receipts</t>
        </is>
      </c>
      <c r="H25" s="46" t="n">
        <v>4532000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TRY-00167</t>
        </is>
      </c>
      <c r="B26" s="27" t="inlineStr">
        <is>
          <t>Seasonal liquidity and revolver headroom</t>
        </is>
      </c>
      <c r="C26" s="27" t="inlineStr">
        <is>
          <t>Monthly liquidity forecast</t>
        </is>
      </c>
      <c r="D26" s="27" t="inlineStr">
        <is>
          <t>Consolidated</t>
        </is>
      </c>
      <c r="E26" s="27" t="inlineStr">
        <is>
          <t>2027-03</t>
        </is>
      </c>
      <c r="F26" s="27" t="inlineStr">
        <is>
          <t>Management stretch</t>
        </is>
      </c>
      <c r="G26" s="27" t="inlineStr">
        <is>
          <t>Operating disbursements</t>
        </is>
      </c>
      <c r="H26" s="46" t="n">
        <v>6240</v>
      </c>
      <c r="I26" s="27" t="inlineStr"/>
      <c r="J26" s="27" t="inlineStr">
        <is>
          <t>USD thousands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TRY-00168</t>
        </is>
      </c>
      <c r="B27" s="27" t="inlineStr">
        <is>
          <t>Seasonal liquidity and revolver headroom</t>
        </is>
      </c>
      <c r="C27" s="27" t="inlineStr">
        <is>
          <t>Monthly liquidity forecast</t>
        </is>
      </c>
      <c r="D27" s="27" t="inlineStr">
        <is>
          <t>Consolidated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Cash taxes</t>
        </is>
      </c>
      <c r="H27" s="46" t="n">
        <v>0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TRY-00169</t>
        </is>
      </c>
      <c r="B28" s="27" t="inlineStr">
        <is>
          <t>Seasonal liquidity and revolver headroom</t>
        </is>
      </c>
      <c r="C28" s="27" t="inlineStr">
        <is>
          <t>Monthly liquidity forecast</t>
        </is>
      </c>
      <c r="D28" s="27" t="inlineStr">
        <is>
          <t>Consolidated</t>
        </is>
      </c>
      <c r="E28" s="27" t="inlineStr">
        <is>
          <t>2027-05</t>
        </is>
      </c>
      <c r="F28" s="27" t="inlineStr">
        <is>
          <t>Management stretch</t>
        </is>
      </c>
      <c r="G28" s="27" t="inlineStr">
        <is>
          <t>Capital expenditures</t>
        </is>
      </c>
      <c r="H28" s="46" t="n">
        <v>185400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TRY-00170</t>
        </is>
      </c>
      <c r="B29" s="27" t="inlineStr">
        <is>
          <t>Seasonal liquidity and revolver headroom</t>
        </is>
      </c>
      <c r="C29" s="27" t="inlineStr">
        <is>
          <t>Monthly liquidity forecast</t>
        </is>
      </c>
      <c r="D29" s="27" t="inlineStr">
        <is>
          <t>Consolidated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Scheduled debt service</t>
        </is>
      </c>
      <c r="H29" s="46" t="n">
        <v>135200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TRY-00171</t>
        </is>
      </c>
      <c r="B30" s="27" t="inlineStr">
        <is>
          <t>Seasonal liquidity and revolver headroom</t>
        </is>
      </c>
      <c r="C30" s="27" t="inlineStr">
        <is>
          <t>Monthly liquidity forecast</t>
        </is>
      </c>
      <c r="D30" s="27" t="inlineStr">
        <is>
          <t>Consolidated</t>
        </is>
      </c>
      <c r="E30" s="27" t="inlineStr">
        <is>
          <t>2026-07</t>
        </is>
      </c>
      <c r="F30" s="27" t="inlineStr">
        <is>
          <t>Management stretch</t>
        </is>
      </c>
      <c r="G30" s="27" t="inlineStr">
        <is>
          <t>Cash taxes</t>
        </is>
      </c>
      <c r="H30" s="46" t="n">
        <v>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TRY-00335</t>
        </is>
      </c>
      <c r="B31" s="27" t="inlineStr">
        <is>
          <t>Short-term liquidity investment allocation</t>
        </is>
      </c>
      <c r="C31" s="27" t="inlineStr">
        <is>
          <t>Available cash</t>
        </is>
      </c>
      <c r="D31" s="27" t="inlineStr">
        <is>
          <t>Executed asset-sale proceeds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Settling proceeds</t>
        </is>
      </c>
      <c r="H31" s="46" t="n">
        <v>12154000</v>
      </c>
      <c r="I31" s="27" t="inlineStr"/>
      <c r="J31" s="27" t="inlineStr">
        <is>
          <t>USD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TRY-00336</t>
        </is>
      </c>
      <c r="B32" s="27" t="inlineStr">
        <is>
          <t>Short-term liquidity investment allocation</t>
        </is>
      </c>
      <c r="C32" s="27" t="inlineStr">
        <is>
          <t>Approved investment menu</t>
        </is>
      </c>
      <c r="D32" s="27" t="inlineStr">
        <is>
          <t>Operating money market</t>
        </is>
      </c>
      <c r="E32" s="27" t="inlineStr">
        <is>
          <t>2026-07-05</t>
        </is>
      </c>
      <c r="F32" s="27" t="inlineStr">
        <is>
          <t>Management stretch</t>
        </is>
      </c>
      <c r="G32" s="27" t="inlineStr">
        <is>
          <t>Same-day liquidity factor</t>
        </is>
      </c>
      <c r="H32" s="46" t="n">
        <v>1.04</v>
      </c>
      <c r="I32" s="27" t="inlineStr"/>
      <c r="J32" s="27" t="inlineStr">
        <is>
          <t>decimal ratio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TRY-00337</t>
        </is>
      </c>
      <c r="B33" s="27" t="inlineStr">
        <is>
          <t>Short-term liquidity investment allocation</t>
        </is>
      </c>
      <c r="C33" s="27" t="inlineStr">
        <is>
          <t>Approved investment menu</t>
        </is>
      </c>
      <c r="D33" s="27" t="inlineStr">
        <is>
          <t>Government fund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Approved capacity</t>
        </is>
      </c>
      <c r="H33" s="46" t="n">
        <v>6300000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TRY-00338</t>
        </is>
      </c>
      <c r="B34" s="27" t="inlineStr">
        <is>
          <t>Short-term liquidity investment allocation</t>
        </is>
      </c>
      <c r="C34" s="27" t="inlineStr">
        <is>
          <t>Investment policy</t>
        </is>
      </c>
      <c r="D34" s="27" t="inlineStr">
        <is>
          <t>Portfolio</t>
        </is>
      </c>
      <c r="E34" s="27" t="inlineStr">
        <is>
          <t>2026-07-05</t>
        </is>
      </c>
      <c r="F34" s="27" t="inlineStr">
        <is>
          <t>Management stretch</t>
        </is>
      </c>
      <c r="G34" s="27" t="inlineStr">
        <is>
          <t>Minimum same-day liquidity percent</t>
        </is>
      </c>
      <c r="H34" s="46" t="n">
        <v>0.4326</v>
      </c>
      <c r="I34" s="27" t="inlineStr"/>
      <c r="J34" s="27" t="inlineStr">
        <is>
          <t>decimal ratio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TRY-00339</t>
        </is>
      </c>
      <c r="B35" s="27" t="inlineStr">
        <is>
          <t>Short-term liquidity investment allocation</t>
        </is>
      </c>
      <c r="C35" s="27" t="inlineStr">
        <is>
          <t>Approved investment menu</t>
        </is>
      </c>
      <c r="D35" s="27" t="inlineStr">
        <is>
          <t>Operating money market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Weighted-average maturity days</t>
        </is>
      </c>
      <c r="H35" s="46" t="n">
        <v>1.04</v>
      </c>
      <c r="I35" s="27" t="inlineStr"/>
      <c r="J35" s="27" t="inlineStr">
        <is>
          <t>days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TRY-00340</t>
        </is>
      </c>
      <c r="B36" s="27" t="inlineStr">
        <is>
          <t>Short-term liquidity investment allocation</t>
        </is>
      </c>
      <c r="C36" s="27" t="inlineStr">
        <is>
          <t>Approved investment menu</t>
        </is>
      </c>
      <c r="D36" s="27" t="inlineStr">
        <is>
          <t>Government fund</t>
        </is>
      </c>
      <c r="E36" s="27" t="inlineStr">
        <is>
          <t>2026-07-05</t>
        </is>
      </c>
      <c r="F36" s="27" t="inlineStr">
        <is>
          <t>Management stretch</t>
        </is>
      </c>
      <c r="G36" s="27" t="inlineStr">
        <is>
          <t>Annual yield</t>
        </is>
      </c>
      <c r="H36" s="46" t="n">
        <v>0.0462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TRY-00341</t>
        </is>
      </c>
      <c r="B37" s="27" t="inlineStr">
        <is>
          <t>Short-term liquidity investment allocation</t>
        </is>
      </c>
      <c r="C37" s="27" t="inlineStr">
        <is>
          <t>Approved investment menu</t>
        </is>
      </c>
      <c r="D37" s="27" t="inlineStr">
        <is>
          <t>Insured sweep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Same-day liquidity factor</t>
        </is>
      </c>
      <c r="H37" s="46" t="n">
        <v>1.03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TRY-00342</t>
        </is>
      </c>
      <c r="B38" s="27" t="inlineStr">
        <is>
          <t>Short-term liquidity investment allocation</t>
        </is>
      </c>
      <c r="C38" s="27" t="inlineStr">
        <is>
          <t>Liquidity floors</t>
        </is>
      </c>
      <c r="D38" s="27" t="inlineStr">
        <is>
          <t>Payroll</t>
        </is>
      </c>
      <c r="E38" s="27" t="inlineStr">
        <is>
          <t>2026-07-05</t>
        </is>
      </c>
      <c r="F38" s="27" t="inlineStr">
        <is>
          <t>Management stretch</t>
        </is>
      </c>
      <c r="G38" s="27" t="inlineStr">
        <is>
          <t>Payroll cash floor</t>
        </is>
      </c>
      <c r="H38" s="46" t="n">
        <v>988</v>
      </c>
      <c r="I38" s="27" t="inlineStr"/>
      <c r="J38" s="27" t="inlineStr">
        <is>
          <t>USD thousands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TRY-00343</t>
        </is>
      </c>
      <c r="B39" s="27" t="inlineStr">
        <is>
          <t>Short-term liquidity investment allocation</t>
        </is>
      </c>
      <c r="C39" s="27" t="inlineStr">
        <is>
          <t>Approved investment menu</t>
        </is>
      </c>
      <c r="D39" s="27" t="inlineStr">
        <is>
          <t>Treasury bill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Approved capacity</t>
        </is>
      </c>
      <c r="H39" s="46" t="n">
        <v>7350000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TRY-00344</t>
        </is>
      </c>
      <c r="B40" s="27" t="inlineStr">
        <is>
          <t>Short-term liquidity investment allocation</t>
        </is>
      </c>
      <c r="C40" s="27" t="inlineStr">
        <is>
          <t>Approved investment menu</t>
        </is>
      </c>
      <c r="D40" s="27" t="inlineStr">
        <is>
          <t>Insured sweep</t>
        </is>
      </c>
      <c r="E40" s="27" t="inlineStr">
        <is>
          <t>2026-07-05</t>
        </is>
      </c>
      <c r="F40" s="27" t="inlineStr">
        <is>
          <t>Management stretch</t>
        </is>
      </c>
      <c r="G40" s="27" t="inlineStr">
        <is>
          <t>Weighted-average maturity days</t>
        </is>
      </c>
      <c r="H40" s="46" t="n">
        <v>2.06</v>
      </c>
      <c r="I40" s="27" t="inlineStr"/>
      <c r="J40" s="27" t="inlineStr">
        <is>
          <t>days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TRY-00552</t>
        </is>
      </c>
      <c r="B41" s="27" t="inlineStr">
        <is>
          <t>Create the dynamic 13-week cash and revolver model</t>
        </is>
      </c>
      <c r="C41" s="27" t="inlineStr">
        <is>
          <t>13-week direct cash forecast</t>
        </is>
      </c>
      <c r="D41" s="27" t="inlineStr">
        <is>
          <t>Alder Ridge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Customer receipts</t>
        </is>
      </c>
      <c r="H41" s="46" t="n">
        <v>2245.4</v>
      </c>
      <c r="I41" s="27" t="inlineStr"/>
      <c r="J41" s="27" t="inlineStr">
        <is>
          <t>USD thousands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TRY-00553</t>
        </is>
      </c>
      <c r="B42" s="27" t="inlineStr">
        <is>
          <t>Create the dynamic 13-week cash and revolver model</t>
        </is>
      </c>
      <c r="C42" s="27" t="inlineStr">
        <is>
          <t>13-week direct cash forecast</t>
        </is>
      </c>
      <c r="D42" s="27" t="inlineStr">
        <is>
          <t>Alder Ridge</t>
        </is>
      </c>
      <c r="E42" s="27" t="inlineStr">
        <is>
          <t>2026-07-17</t>
        </is>
      </c>
      <c r="F42" s="27" t="inlineStr">
        <is>
          <t>Management stretch</t>
        </is>
      </c>
      <c r="G42" s="27" t="inlineStr">
        <is>
          <t>Taxes and capex</t>
        </is>
      </c>
      <c r="H42" s="46" t="n">
        <v>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TRY-00554</t>
        </is>
      </c>
      <c r="B43" s="27" t="inlineStr">
        <is>
          <t>Create the dynamic 13-week cash and revolver model</t>
        </is>
      </c>
      <c r="C43" s="27" t="inlineStr">
        <is>
          <t>13-week direct cash forecast</t>
        </is>
      </c>
      <c r="D43" s="27" t="inlineStr">
        <is>
          <t>Alder Ridge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Payroll</t>
        </is>
      </c>
      <c r="H43" s="46" t="n">
        <v>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TRY-00555</t>
        </is>
      </c>
      <c r="B44" s="27" t="inlineStr">
        <is>
          <t>Create the dynamic 13-week cash and revolver model</t>
        </is>
      </c>
      <c r="C44" s="27" t="inlineStr">
        <is>
          <t>13-week direct cash forecast</t>
        </is>
      </c>
      <c r="D44" s="27" t="inlineStr">
        <is>
          <t>Alder Ridge</t>
        </is>
      </c>
      <c r="E44" s="27" t="inlineStr">
        <is>
          <t>2026-08-14</t>
        </is>
      </c>
      <c r="F44" s="27" t="inlineStr">
        <is>
          <t>Management stretch</t>
        </is>
      </c>
      <c r="G44" s="27" t="inlineStr">
        <is>
          <t>Operating disbursements</t>
        </is>
      </c>
      <c r="H44" s="46" t="n">
        <v>2193900</v>
      </c>
      <c r="I44" s="27" t="inlineStr"/>
      <c r="J44" s="27" t="inlineStr">
        <is>
          <t>USD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TRY-00556</t>
        </is>
      </c>
      <c r="B45" s="27" t="inlineStr">
        <is>
          <t>Create the dynamic 13-week cash and revolver model</t>
        </is>
      </c>
      <c r="C45" s="27" t="inlineStr">
        <is>
          <t>13-week direct cash forecast</t>
        </is>
      </c>
      <c r="D45" s="27" t="inlineStr">
        <is>
          <t>Alder Ridge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Customer receipts</t>
        </is>
      </c>
      <c r="H45" s="46" t="n">
        <v>3577.6</v>
      </c>
      <c r="I45" s="27" t="inlineStr"/>
      <c r="J45" s="27" t="inlineStr">
        <is>
          <t>USD thousands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TRY-00557</t>
        </is>
      </c>
      <c r="B46" s="27" t="inlineStr">
        <is>
          <t>Create the dynamic 13-week cash and revolver model</t>
        </is>
      </c>
      <c r="C46" s="27" t="inlineStr">
        <is>
          <t>13-week direct cash forecast</t>
        </is>
      </c>
      <c r="D46" s="27" t="inlineStr">
        <is>
          <t>Alder Ridge</t>
        </is>
      </c>
      <c r="E46" s="27" t="inlineStr">
        <is>
          <t>2026-09-04</t>
        </is>
      </c>
      <c r="F46" s="27" t="inlineStr">
        <is>
          <t>Management stretch</t>
        </is>
      </c>
      <c r="G46" s="27" t="inlineStr">
        <is>
          <t>Taxes and capex</t>
        </is>
      </c>
      <c r="H46" s="46" t="n">
        <v>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TRY-00558</t>
        </is>
      </c>
      <c r="B47" s="27" t="inlineStr">
        <is>
          <t>Create the dynamic 13-week cash and revolver model</t>
        </is>
      </c>
      <c r="C47" s="27" t="inlineStr">
        <is>
          <t>13-week direct cash forecast</t>
        </is>
      </c>
      <c r="D47" s="27" t="inlineStr">
        <is>
          <t>Alder Ridge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Payroll</t>
        </is>
      </c>
      <c r="H47" s="46" t="n">
        <v>968200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TRY-00559</t>
        </is>
      </c>
      <c r="B48" s="27" t="inlineStr">
        <is>
          <t>Create the dynamic 13-week cash and revolver model</t>
        </is>
      </c>
      <c r="C48" s="27" t="inlineStr">
        <is>
          <t>13-week direct cash forecast</t>
        </is>
      </c>
      <c r="D48" s="27" t="inlineStr">
        <is>
          <t>Alder Ridge</t>
        </is>
      </c>
      <c r="E48" s="27" t="inlineStr">
        <is>
          <t>2026-10-02</t>
        </is>
      </c>
      <c r="F48" s="27" t="inlineStr">
        <is>
          <t>Management stretch</t>
        </is>
      </c>
      <c r="G48" s="27" t="inlineStr">
        <is>
          <t>Operating disbursements</t>
        </is>
      </c>
      <c r="H48" s="46" t="n">
        <v>2589600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TRY-00560</t>
        </is>
      </c>
      <c r="B49" s="27" t="inlineStr">
        <is>
          <t>Create the dynamic 13-week cash and revolver model</t>
        </is>
      </c>
      <c r="C49" s="27" t="inlineStr">
        <is>
          <t>Weekly funding policy</t>
        </is>
      </c>
      <c r="D49" s="27" t="inlineStr">
        <is>
          <t>Alder Ridge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Unused commitment fee</t>
        </is>
      </c>
      <c r="H49" s="46" t="n">
        <v>0.00315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TRY-00561</t>
        </is>
      </c>
      <c r="B50" s="27" t="inlineStr">
        <is>
          <t>Create the dynamic 13-week cash and revolver model</t>
        </is>
      </c>
      <c r="C50" s="27" t="inlineStr">
        <is>
          <t>13-week direct cash forecast</t>
        </is>
      </c>
      <c r="D50" s="27" t="inlineStr">
        <is>
          <t>Alder Ridge</t>
        </is>
      </c>
      <c r="E50" s="27" t="inlineStr">
        <is>
          <t>2026-07-17</t>
        </is>
      </c>
      <c r="F50" s="27" t="inlineStr">
        <is>
          <t>Management stretch</t>
        </is>
      </c>
      <c r="G50" s="27" t="inlineStr">
        <is>
          <t>Operating disbursements</t>
        </is>
      </c>
      <c r="H50" s="46" t="n">
        <v>2255700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TRY-00562</t>
        </is>
      </c>
      <c r="B51" s="27" t="inlineStr">
        <is>
          <t>Create the dynamic 13-week cash and revolver model</t>
        </is>
      </c>
      <c r="C51" s="27" t="inlineStr">
        <is>
          <t>13-week direct cash forecast</t>
        </is>
      </c>
      <c r="D51" s="27" t="inlineStr">
        <is>
          <t>Alder Ridge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Customer receipts</t>
        </is>
      </c>
      <c r="H51" s="46" t="n">
        <v>3390400</v>
      </c>
      <c r="I51" s="27" t="inlineStr"/>
      <c r="J51" s="27" t="inlineStr">
        <is>
          <t>USD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TRY-00563</t>
        </is>
      </c>
      <c r="B52" s="27" t="inlineStr">
        <is>
          <t>Create the dynamic 13-week cash and revolver model</t>
        </is>
      </c>
      <c r="C52" s="27" t="inlineStr">
        <is>
          <t>13-week direct cash forecast</t>
        </is>
      </c>
      <c r="D52" s="27" t="inlineStr">
        <is>
          <t>Alder Ridge</t>
        </is>
      </c>
      <c r="E52" s="27" t="inlineStr">
        <is>
          <t>2026-08-07</t>
        </is>
      </c>
      <c r="F52" s="27" t="inlineStr">
        <is>
          <t>Management stretch</t>
        </is>
      </c>
      <c r="G52" s="27" t="inlineStr">
        <is>
          <t>Taxes and capex</t>
        </is>
      </c>
      <c r="H52" s="46" t="n">
        <v>0</v>
      </c>
      <c r="I52" s="27" t="inlineStr"/>
      <c r="J52" s="27" t="inlineStr">
        <is>
          <t>USD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TRY-00564</t>
        </is>
      </c>
      <c r="B53" s="27" t="inlineStr">
        <is>
          <t>Create the dynamic 13-week cash and revolver model</t>
        </is>
      </c>
      <c r="C53" s="27" t="inlineStr">
        <is>
          <t>13-week direct cash forecast</t>
        </is>
      </c>
      <c r="D53" s="27" t="inlineStr">
        <is>
          <t>Alder Ridge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Payroll</t>
        </is>
      </c>
      <c r="H53" s="46" t="n">
        <v>968.2</v>
      </c>
      <c r="I53" s="27" t="inlineStr"/>
      <c r="J53" s="27" t="inlineStr">
        <is>
          <t>USD thousands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TRY-00565</t>
        </is>
      </c>
      <c r="B54" s="27" t="inlineStr">
        <is>
          <t>Create the dynamic 13-week cash and revolver model</t>
        </is>
      </c>
      <c r="C54" s="27" t="inlineStr">
        <is>
          <t>13-week direct cash forecast</t>
        </is>
      </c>
      <c r="D54" s="27" t="inlineStr">
        <is>
          <t>Alder Ridge</t>
        </is>
      </c>
      <c r="E54" s="27" t="inlineStr">
        <is>
          <t>2026-09-04</t>
        </is>
      </c>
      <c r="F54" s="27" t="inlineStr">
        <is>
          <t>Management stretch</t>
        </is>
      </c>
      <c r="G54" s="27" t="inlineStr">
        <is>
          <t>Operating disbursements</t>
        </is>
      </c>
      <c r="H54" s="46" t="n">
        <v>2610400</v>
      </c>
      <c r="I54" s="27" t="inlineStr"/>
      <c r="J54" s="27" t="inlineStr">
        <is>
          <t>USD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TRY-00566</t>
        </is>
      </c>
      <c r="B55" s="27" t="inlineStr">
        <is>
          <t>Create the dynamic 13-week cash and revolver model</t>
        </is>
      </c>
      <c r="C55" s="27" t="inlineStr">
        <is>
          <t>13-week direct cash forecast</t>
        </is>
      </c>
      <c r="D55" s="27" t="inlineStr">
        <is>
          <t>Alder Ridge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Customer receipts</t>
        </is>
      </c>
      <c r="H55" s="46" t="n">
        <v>2152500</v>
      </c>
      <c r="I55" s="27" t="inlineStr"/>
      <c r="J55" s="27" t="inlineStr">
        <is>
          <t>USD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TRY-00567</t>
        </is>
      </c>
      <c r="B56" s="27" t="inlineStr">
        <is>
          <t>Create the dynamic 13-week cash and revolver model</t>
        </is>
      </c>
      <c r="C56" s="27" t="inlineStr">
        <is>
          <t>13-week direct cash forecast</t>
        </is>
      </c>
      <c r="D56" s="27" t="inlineStr">
        <is>
          <t>Alder Ridge</t>
        </is>
      </c>
      <c r="E56" s="27" t="inlineStr">
        <is>
          <t>2026-09-25</t>
        </is>
      </c>
      <c r="F56" s="27" t="inlineStr">
        <is>
          <t>Management stretch</t>
        </is>
      </c>
      <c r="G56" s="27" t="inlineStr">
        <is>
          <t>Taxes and capex</t>
        </is>
      </c>
      <c r="H56" s="46" t="n">
        <v>700400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TRY-00611</t>
        </is>
      </c>
      <c r="B57" s="27" t="inlineStr">
        <is>
          <t>Create the dynamic 13-week cash and revolver model</t>
        </is>
      </c>
      <c r="C57" s="27" t="inlineStr">
        <is>
          <t>Weekly collection and collateral control</t>
        </is>
      </c>
      <c r="D57" s="27" t="inlineStr">
        <is>
          <t>Alder Ridge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Receipt confidence</t>
        </is>
      </c>
      <c r="H57" s="46" t="n">
        <v>0.9888</v>
      </c>
      <c r="I57" s="27" t="inlineStr"/>
      <c r="J57" s="27" t="inlineStr">
        <is>
          <t>decimal ratio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TRY-00612</t>
        </is>
      </c>
      <c r="B58" s="27" t="inlineStr">
        <is>
          <t>Create the dynamic 13-week cash and revolver model</t>
        </is>
      </c>
      <c r="C58" s="27" t="inlineStr">
        <is>
          <t>Weekly collection and collateral control</t>
        </is>
      </c>
      <c r="D58" s="27" t="inlineStr">
        <is>
          <t>Alder Ridge</t>
        </is>
      </c>
      <c r="E58" s="27" t="inlineStr">
        <is>
          <t>2026-07-24</t>
        </is>
      </c>
      <c r="F58" s="27" t="inlineStr">
        <is>
          <t>Management stretch</t>
        </is>
      </c>
      <c r="G58" s="27" t="inlineStr">
        <is>
          <t>Eligible AR</t>
        </is>
      </c>
      <c r="H58" s="46" t="n">
        <v>9568000</v>
      </c>
      <c r="I58" s="27" t="inlineStr"/>
      <c r="J58" s="27" t="inlineStr">
        <is>
          <t>USD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TRY-00613</t>
        </is>
      </c>
      <c r="B59" s="27" t="inlineStr">
        <is>
          <t>Create the dynamic 13-week cash and revolver model</t>
        </is>
      </c>
      <c r="C59" s="27" t="inlineStr">
        <is>
          <t>Weekly collection and collateral control</t>
        </is>
      </c>
      <c r="D59" s="27" t="inlineStr">
        <is>
          <t>Alder Ridge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Eligible inventory</t>
        </is>
      </c>
      <c r="H59" s="46" t="n">
        <v>3612000</v>
      </c>
      <c r="I59" s="27" t="inlineStr"/>
      <c r="J59" s="27" t="inlineStr">
        <is>
          <t>USD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TRY-00614</t>
        </is>
      </c>
      <c r="B60" s="27" t="inlineStr">
        <is>
          <t>Create the dynamic 13-week cash and revolver model</t>
        </is>
      </c>
      <c r="C60" s="27" t="inlineStr">
        <is>
          <t>Weekly collection and collateral control</t>
        </is>
      </c>
      <c r="D60" s="27" t="inlineStr">
        <is>
          <t>Alder Ridge</t>
        </is>
      </c>
      <c r="E60" s="27" t="inlineStr">
        <is>
          <t>2026-08-28</t>
        </is>
      </c>
      <c r="F60" s="27" t="inlineStr">
        <is>
          <t>Management stretch</t>
        </is>
      </c>
      <c r="G60" s="27" t="inlineStr">
        <is>
          <t>Receipt confidence</t>
        </is>
      </c>
      <c r="H60" s="46" t="n">
        <v>1.0094</v>
      </c>
      <c r="I60" s="27" t="inlineStr"/>
      <c r="J60" s="27" t="inlineStr">
        <is>
          <t>decimal ratio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TRY-00615</t>
        </is>
      </c>
      <c r="B61" s="27" t="inlineStr">
        <is>
          <t>Create the dynamic 13-week cash and revolver model</t>
        </is>
      </c>
      <c r="C61" s="27" t="inlineStr">
        <is>
          <t>Weekly collection and collateral control</t>
        </is>
      </c>
      <c r="D61" s="27" t="inlineStr">
        <is>
          <t>Alder Ridge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Eligible AR</t>
        </is>
      </c>
      <c r="H61" s="46" t="n">
        <v>9672</v>
      </c>
      <c r="I61" s="27" t="inlineStr"/>
      <c r="J61" s="27" t="inlineStr">
        <is>
          <t>USD thousands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TRY-00616</t>
        </is>
      </c>
      <c r="B62" s="27" t="inlineStr">
        <is>
          <t>Create the dynamic 13-week cash and revolver model</t>
        </is>
      </c>
      <c r="C62" s="27" t="inlineStr">
        <is>
          <t>Weekly collection and collateral control</t>
        </is>
      </c>
      <c r="D62" s="27" t="inlineStr">
        <is>
          <t>Alder Ridge</t>
        </is>
      </c>
      <c r="E62" s="27" t="inlineStr">
        <is>
          <t>2026-09-25</t>
        </is>
      </c>
      <c r="F62" s="27" t="inlineStr">
        <is>
          <t>Management stretch</t>
        </is>
      </c>
      <c r="G62" s="27" t="inlineStr">
        <is>
          <t>Eligible inventory</t>
        </is>
      </c>
      <c r="H62" s="46" t="n">
        <v>3444000</v>
      </c>
      <c r="I62" s="27" t="inlineStr"/>
      <c r="J62" s="27" t="inlineStr">
        <is>
          <t>USD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TRY-00617</t>
        </is>
      </c>
      <c r="B63" s="27" t="inlineStr">
        <is>
          <t>Create the dynamic 13-week cash and revolver model</t>
        </is>
      </c>
      <c r="C63" s="27" t="inlineStr">
        <is>
          <t>Weekly borrowing base policy</t>
        </is>
      </c>
      <c r="D63" s="27" t="inlineStr">
        <is>
          <t>Alder Ridge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Availability block</t>
        </is>
      </c>
      <c r="H63" s="46" t="n">
        <v>746750</v>
      </c>
      <c r="I63" s="27" t="inlineStr"/>
      <c r="J63" s="27" t="inlineStr">
        <is>
          <t>USD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TRY-00618</t>
        </is>
      </c>
      <c r="B64" s="27" t="inlineStr">
        <is>
          <t>Create the dynamic 13-week cash and revolver model</t>
        </is>
      </c>
      <c r="C64" s="27" t="inlineStr">
        <is>
          <t>Weekly collection and collateral control</t>
        </is>
      </c>
      <c r="D64" s="27" t="inlineStr">
        <is>
          <t>Alder Ridge</t>
        </is>
      </c>
      <c r="E64" s="27" t="inlineStr">
        <is>
          <t>2026-07-24</t>
        </is>
      </c>
      <c r="F64" s="27" t="inlineStr">
        <is>
          <t>Management stretch</t>
        </is>
      </c>
      <c r="G64" s="27" t="inlineStr">
        <is>
          <t>Receipt confidence</t>
        </is>
      </c>
      <c r="H64" s="46" t="n">
        <v>0.9152</v>
      </c>
      <c r="I64" s="27" t="inlineStr"/>
      <c r="J64" s="27" t="inlineStr">
        <is>
          <t>decimal ratio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TRY-00853</t>
        </is>
      </c>
      <c r="B65" s="27" t="inlineStr">
        <is>
          <t>Cash-investment liquidity ladder</t>
        </is>
      </c>
      <c r="C65" s="27" t="inlineStr">
        <is>
          <t>Permitted cash investments</t>
        </is>
      </c>
      <c r="D65" s="27" t="inlineStr">
        <is>
          <t>Operating deposit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Maximum allocation</t>
        </is>
      </c>
      <c r="H65" s="46" t="n">
        <v>1287500</v>
      </c>
      <c r="I65" s="27" t="inlineStr"/>
      <c r="J65" s="27" t="inlineStr">
        <is>
          <t>USD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TRY-00854</t>
        </is>
      </c>
      <c r="B66" s="27" t="inlineStr">
        <is>
          <t>Cash-investment liquidity ladder</t>
        </is>
      </c>
      <c r="C66" s="27" t="inlineStr">
        <is>
          <t>Permitted cash investments</t>
        </is>
      </c>
      <c r="D66" s="27" t="inlineStr">
        <is>
          <t>Government MMF</t>
        </is>
      </c>
      <c r="E66" s="27" t="inlineStr">
        <is>
          <t>2026-07-06</t>
        </is>
      </c>
      <c r="F66" s="27" t="inlineStr">
        <is>
          <t>Management stretch</t>
        </is>
      </c>
      <c r="G66" s="27" t="inlineStr">
        <is>
          <t>Maturity days</t>
        </is>
      </c>
      <c r="H66" s="46" t="n">
        <v>0</v>
      </c>
      <c r="I66" s="27" t="inlineStr"/>
      <c r="J66" s="27" t="inlineStr">
        <is>
          <t>days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TRY-00855</t>
        </is>
      </c>
      <c r="B67" s="27" t="inlineStr">
        <is>
          <t>Cash-investment liquidity ladder</t>
        </is>
      </c>
      <c r="C67" s="27" t="inlineStr">
        <is>
          <t>Permitted cash investments</t>
        </is>
      </c>
      <c r="D67" s="27" t="inlineStr">
        <is>
          <t>4-week T-bill</t>
        </is>
      </c>
      <c r="E67" s="27" t="inlineStr">
        <is>
          <t>2026-05 working copy</t>
        </is>
      </c>
      <c r="F67" s="27" t="inlineStr">
        <is>
          <t>Approved case</t>
        </is>
      </c>
      <c r="G67" s="27" t="inlineStr">
        <is>
          <t>Same-day value factor</t>
        </is>
      </c>
      <c r="H67" s="46" t="n">
        <v>1.0479</v>
      </c>
      <c r="I67" s="27" t="inlineStr"/>
      <c r="J67" s="27" t="inlineStr">
        <is>
          <t>decimal ratio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TRY-00856</t>
        </is>
      </c>
      <c r="B68" s="27" t="inlineStr">
        <is>
          <t>Cash-investment liquidity ladder</t>
        </is>
      </c>
      <c r="C68" s="27" t="inlineStr">
        <is>
          <t>Permitted cash investments</t>
        </is>
      </c>
      <c r="D68" s="27" t="inlineStr">
        <is>
          <t>13-week T-bill</t>
        </is>
      </c>
      <c r="E68" s="27" t="inlineStr">
        <is>
          <t>2026-07-06</t>
        </is>
      </c>
      <c r="F68" s="27" t="inlineStr">
        <is>
          <t>Management stretch</t>
        </is>
      </c>
      <c r="G68" s="27" t="inlineStr">
        <is>
          <t>Annual yield</t>
        </is>
      </c>
      <c r="H68" s="46" t="n">
        <v>0.05356</v>
      </c>
      <c r="I68" s="27" t="inlineStr"/>
      <c r="J68" s="27" t="inlineStr">
        <is>
          <t>decimal ratio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TRY-00857</t>
        </is>
      </c>
      <c r="B69" s="27" t="inlineStr">
        <is>
          <t>Cash-investment liquidity ladder</t>
        </is>
      </c>
      <c r="C69" s="27" t="inlineStr">
        <is>
          <t>Permitted cash investments</t>
        </is>
      </c>
      <c r="D69" s="27" t="inlineStr">
        <is>
          <t>AAA commercial paper</t>
        </is>
      </c>
      <c r="E69" s="27" t="inlineStr">
        <is>
          <t>2026-05 working copy</t>
        </is>
      </c>
      <c r="F69" s="27" t="inlineStr">
        <is>
          <t>Approved case</t>
        </is>
      </c>
      <c r="G69" s="27" t="inlineStr">
        <is>
          <t>Settlement days</t>
        </is>
      </c>
      <c r="H69" s="46" t="n">
        <v>3.12</v>
      </c>
      <c r="I69" s="27" t="inlineStr"/>
      <c r="J69" s="27" t="inlineStr">
        <is>
          <t>days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TRY-00858</t>
        </is>
      </c>
      <c r="B70" s="27" t="inlineStr">
        <is>
          <t>Cash-investment liquidity ladder</t>
        </is>
      </c>
      <c r="C70" s="27" t="inlineStr">
        <is>
          <t>Investment policy</t>
        </is>
      </c>
      <c r="D70" s="27" t="inlineStr">
        <is>
          <t>Alder Ridge</t>
        </is>
      </c>
      <c r="E70" s="27" t="inlineStr">
        <is>
          <t>2026-07-06</t>
        </is>
      </c>
      <c r="F70" s="27" t="inlineStr">
        <is>
          <t>Management stretch</t>
        </is>
      </c>
      <c r="G70" s="27" t="inlineStr">
        <is>
          <t>Minimum same-day liquidity</t>
        </is>
      </c>
      <c r="H70" s="46" t="n">
        <v>2625</v>
      </c>
      <c r="I70" s="27" t="inlineStr"/>
      <c r="J70" s="27" t="inlineStr">
        <is>
          <t>USD thousands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TRY-00859</t>
        </is>
      </c>
      <c r="B71" s="27" t="inlineStr">
        <is>
          <t>Cash-investment liquidity ladder</t>
        </is>
      </c>
      <c r="C71" s="27" t="inlineStr">
        <is>
          <t>Permitted cash investments</t>
        </is>
      </c>
      <c r="D71" s="27" t="inlineStr">
        <is>
          <t>Operating deposit</t>
        </is>
      </c>
      <c r="E71" s="27" t="inlineStr">
        <is>
          <t>2026-05 working copy</t>
        </is>
      </c>
      <c r="F71" s="27" t="inlineStr">
        <is>
          <t>Approved case</t>
        </is>
      </c>
      <c r="G71" s="27" t="inlineStr">
        <is>
          <t>Same-day value factor</t>
        </is>
      </c>
      <c r="H71" s="46" t="n">
        <v>1.03</v>
      </c>
      <c r="I71" s="27" t="inlineStr"/>
      <c r="J71" s="27" t="inlineStr">
        <is>
          <t>decimal ratio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TRY-00860</t>
        </is>
      </c>
      <c r="B72" s="27" t="inlineStr">
        <is>
          <t>Cash-investment liquidity ladder</t>
        </is>
      </c>
      <c r="C72" s="27" t="inlineStr">
        <is>
          <t>Permitted cash investments</t>
        </is>
      </c>
      <c r="D72" s="27" t="inlineStr">
        <is>
          <t>4-week T-bill</t>
        </is>
      </c>
      <c r="E72" s="27" t="inlineStr">
        <is>
          <t>2026-07-06</t>
        </is>
      </c>
      <c r="F72" s="27" t="inlineStr">
        <is>
          <t>Management stretch</t>
        </is>
      </c>
      <c r="G72" s="27" t="inlineStr">
        <is>
          <t>Annual yield</t>
        </is>
      </c>
      <c r="H72" s="46" t="n">
        <v>0.05252</v>
      </c>
      <c r="I72" s="27" t="inlineStr"/>
      <c r="J72" s="27" t="inlineStr">
        <is>
          <t>decimal ratio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  <row r="73">
      <c r="A73" s="36" t="inlineStr">
        <is>
          <t>TRY-00861</t>
        </is>
      </c>
      <c r="B73" s="27" t="inlineStr">
        <is>
          <t>Cash-investment liquidity ladder</t>
        </is>
      </c>
      <c r="C73" s="27" t="inlineStr">
        <is>
          <t>Permitted cash investments</t>
        </is>
      </c>
      <c r="D73" s="27" t="inlineStr">
        <is>
          <t>8-week T-bill</t>
        </is>
      </c>
      <c r="E73" s="27" t="inlineStr">
        <is>
          <t>2026-05 working copy</t>
        </is>
      </c>
      <c r="F73" s="27" t="inlineStr">
        <is>
          <t>Approved case</t>
        </is>
      </c>
      <c r="G73" s="27" t="inlineStr">
        <is>
          <t>Settlement days</t>
        </is>
      </c>
      <c r="H73" s="46" t="n">
        <v>1.05</v>
      </c>
      <c r="I73" s="27" t="inlineStr"/>
      <c r="J73" s="27" t="inlineStr">
        <is>
          <t>days</t>
        </is>
      </c>
      <c r="K73" s="27" t="inlineStr">
        <is>
          <t>Earlier management working export</t>
        </is>
      </c>
      <c r="L73" s="47" t="inlineStr">
        <is>
          <t>2026-06-24</t>
        </is>
      </c>
      <c r="M73" s="27" t="inlineStr"/>
    </row>
    <row r="74">
      <c r="A74" s="36" t="inlineStr">
        <is>
          <t>TRY-00862</t>
        </is>
      </c>
      <c r="B74" s="27" t="inlineStr">
        <is>
          <t>Cash-investment liquidity ladder</t>
        </is>
      </c>
      <c r="C74" s="27" t="inlineStr">
        <is>
          <t>Permitted cash investments</t>
        </is>
      </c>
      <c r="D74" s="27" t="inlineStr">
        <is>
          <t>AAA commercial paper</t>
        </is>
      </c>
      <c r="E74" s="27" t="inlineStr">
        <is>
          <t>2026-07-06</t>
        </is>
      </c>
      <c r="F74" s="27" t="inlineStr">
        <is>
          <t>Management stretch</t>
        </is>
      </c>
      <c r="G74" s="27" t="inlineStr">
        <is>
          <t>Maximum allocation</t>
        </is>
      </c>
      <c r="H74" s="46" t="n">
        <v>1236</v>
      </c>
      <c r="I74" s="27" t="inlineStr"/>
      <c r="J74" s="27" t="inlineStr">
        <is>
          <t>USD thousands</t>
        </is>
      </c>
      <c r="K74" s="27" t="inlineStr">
        <is>
          <t>Earlier management working export</t>
        </is>
      </c>
      <c r="L74" s="47" t="inlineStr">
        <is>
          <t>2026-06-24</t>
        </is>
      </c>
      <c r="M74" s="27" t="inlineStr"/>
    </row>
    <row r="75">
      <c r="A75" s="36" t="inlineStr">
        <is>
          <t>TRY-00863</t>
        </is>
      </c>
      <c r="B75" s="27" t="inlineStr">
        <is>
          <t>Cash-investment liquidity ladder</t>
        </is>
      </c>
      <c r="C75" s="27" t="inlineStr">
        <is>
          <t>Liquidity requirement tranches</t>
        </is>
      </c>
      <c r="D75" s="27" t="inlineStr">
        <is>
          <t>Alder Ridge</t>
        </is>
      </c>
      <c r="E75" s="27" t="inlineStr">
        <is>
          <t>2026-05 working copy</t>
        </is>
      </c>
      <c r="F75" s="27" t="inlineStr">
        <is>
          <t>Approved case</t>
        </is>
      </c>
      <c r="G75" s="27" t="inlineStr">
        <is>
          <t>Incremental cash need</t>
        </is>
      </c>
      <c r="H75" s="46" t="n">
        <v>1976000</v>
      </c>
      <c r="I75" s="27" t="inlineStr"/>
      <c r="J75" s="27" t="inlineStr">
        <is>
          <t>USD</t>
        </is>
      </c>
      <c r="K75" s="27" t="inlineStr">
        <is>
          <t>Earlier management working export</t>
        </is>
      </c>
      <c r="L75" s="47" t="inlineStr">
        <is>
          <t>2026-06-24</t>
        </is>
      </c>
      <c r="M75" s="27" t="inlineStr"/>
    </row>
    <row r="76">
      <c r="A76" s="36" t="inlineStr">
        <is>
          <t>TRY-00864</t>
        </is>
      </c>
      <c r="B76" s="27" t="inlineStr">
        <is>
          <t>Cash-investment liquidity ladder</t>
        </is>
      </c>
      <c r="C76" s="27" t="inlineStr">
        <is>
          <t>Permitted cash investments</t>
        </is>
      </c>
      <c r="D76" s="27" t="inlineStr">
        <is>
          <t>Operating deposit</t>
        </is>
      </c>
      <c r="E76" s="27" t="inlineStr">
        <is>
          <t>2026-07-06</t>
        </is>
      </c>
      <c r="F76" s="27" t="inlineStr">
        <is>
          <t>Management stretch</t>
        </is>
      </c>
      <c r="G76" s="27" t="inlineStr">
        <is>
          <t>Annual yield</t>
        </is>
      </c>
      <c r="H76" s="46" t="n">
        <v>0.04305</v>
      </c>
      <c r="I76" s="27" t="inlineStr"/>
      <c r="J76" s="27" t="inlineStr">
        <is>
          <t>decimal ratio</t>
        </is>
      </c>
      <c r="K76" s="27" t="inlineStr">
        <is>
          <t>Earlier management working export</t>
        </is>
      </c>
      <c r="L76" s="47" t="inlineStr">
        <is>
          <t>2026-06-24</t>
        </is>
      </c>
      <c r="M76" s="27" t="inlineStr"/>
    </row>
    <row r="77">
      <c r="A77" s="36" t="inlineStr">
        <is>
          <t>TRY-00886</t>
        </is>
      </c>
      <c r="B77" s="27" t="inlineStr">
        <is>
          <t>Cash-investment liquidity ladder</t>
        </is>
      </c>
      <c r="C77" s="27" t="inlineStr">
        <is>
          <t>Investment stress control</t>
        </is>
      </c>
      <c r="D77" s="27" t="inlineStr">
        <is>
          <t>Operating deposit</t>
        </is>
      </c>
      <c r="E77" s="27" t="inlineStr">
        <is>
          <t>2026-05 working copy</t>
        </is>
      </c>
      <c r="F77" s="27" t="inlineStr">
        <is>
          <t>Approved case</t>
        </is>
      </c>
      <c r="G77" s="27" t="inlineStr">
        <is>
          <t>Effective maturity days</t>
        </is>
      </c>
      <c r="H77" s="46" t="n">
        <v>0</v>
      </c>
      <c r="I77" s="27" t="inlineStr"/>
      <c r="J77" s="27" t="inlineStr">
        <is>
          <t>days</t>
        </is>
      </c>
      <c r="K77" s="27" t="inlineStr">
        <is>
          <t>Earlier management working export</t>
        </is>
      </c>
      <c r="L77" s="47" t="inlineStr">
        <is>
          <t>2026-06-24</t>
        </is>
      </c>
      <c r="M77" s="27" t="inlineStr"/>
    </row>
    <row r="78">
      <c r="A78" s="36" t="inlineStr">
        <is>
          <t>TRY-00887</t>
        </is>
      </c>
      <c r="B78" s="27" t="inlineStr">
        <is>
          <t>Cash-investment liquidity ladder</t>
        </is>
      </c>
      <c r="C78" s="27" t="inlineStr">
        <is>
          <t>Investment stress control</t>
        </is>
      </c>
      <c r="D78" s="27" t="inlineStr">
        <is>
          <t>8-week T-bill</t>
        </is>
      </c>
      <c r="E78" s="27" t="inlineStr">
        <is>
          <t>Day 35</t>
        </is>
      </c>
      <c r="F78" s="27" t="inlineStr">
        <is>
          <t>Management stretch</t>
        </is>
      </c>
      <c r="G78" s="27" t="inlineStr">
        <is>
          <t>Stress value factor</t>
        </is>
      </c>
      <c r="H78" s="46" t="n">
        <v>1.03168</v>
      </c>
      <c r="I78" s="27" t="inlineStr"/>
      <c r="J78" s="27" t="inlineStr">
        <is>
          <t>decimal ratio</t>
        </is>
      </c>
      <c r="K78" s="27" t="inlineStr">
        <is>
          <t>Earlier management working export</t>
        </is>
      </c>
      <c r="L78" s="47" t="inlineStr">
        <is>
          <t>2026-06-24</t>
        </is>
      </c>
      <c r="M78" s="27" t="inlineStr"/>
    </row>
    <row r="79">
      <c r="A79" s="36" t="inlineStr">
        <is>
          <t>TRY-00888</t>
        </is>
      </c>
      <c r="B79" s="27" t="inlineStr">
        <is>
          <t>Cash-investment liquidity ladder</t>
        </is>
      </c>
      <c r="C79" s="27" t="inlineStr">
        <is>
          <t>Investment policy</t>
        </is>
      </c>
      <c r="D79" s="27" t="inlineStr">
        <is>
          <t>Alder Ridge</t>
        </is>
      </c>
      <c r="E79" s="27" t="inlineStr">
        <is>
          <t>2026-05 working copy</t>
        </is>
      </c>
      <c r="F79" s="27" t="inlineStr">
        <is>
          <t>Approved case</t>
        </is>
      </c>
      <c r="G79" s="27" t="inlineStr">
        <is>
          <t>Minimum stressed day-35 liquidity</t>
        </is>
      </c>
      <c r="H79" s="46" t="n">
        <v>5302.5</v>
      </c>
      <c r="I79" s="27" t="inlineStr"/>
      <c r="J79" s="27" t="inlineStr">
        <is>
          <t>USD thousands</t>
        </is>
      </c>
      <c r="K79" s="27" t="inlineStr">
        <is>
          <t>Earlier management working export</t>
        </is>
      </c>
      <c r="L79" s="47" t="inlineStr">
        <is>
          <t>2026-06-24</t>
        </is>
      </c>
      <c r="M79" s="27" t="inlineStr"/>
    </row>
    <row r="80">
      <c r="A80" s="36" t="inlineStr">
        <is>
          <t>TRY-00889</t>
        </is>
      </c>
      <c r="B80" s="27" t="inlineStr">
        <is>
          <t>Cash-investment liquidity ladder</t>
        </is>
      </c>
      <c r="C80" s="27" t="inlineStr">
        <is>
          <t>Investment stress control</t>
        </is>
      </c>
      <c r="D80" s="27" t="inlineStr">
        <is>
          <t>8-week T-bill</t>
        </is>
      </c>
      <c r="E80" s="27" t="inlineStr">
        <is>
          <t>Day 35</t>
        </is>
      </c>
      <c r="F80" s="27" t="inlineStr">
        <is>
          <t>Management stretch</t>
        </is>
      </c>
      <c r="G80" s="27" t="inlineStr">
        <is>
          <t>Effective maturity days</t>
        </is>
      </c>
      <c r="H80" s="46" t="n">
        <v>57.68</v>
      </c>
      <c r="I80" s="27" t="inlineStr"/>
      <c r="J80" s="27" t="inlineStr">
        <is>
          <t>days</t>
        </is>
      </c>
      <c r="K80" s="27" t="inlineStr">
        <is>
          <t>Earlier management working export</t>
        </is>
      </c>
      <c r="L80" s="47" t="inlineStr">
        <is>
          <t>2026-06-24</t>
        </is>
      </c>
      <c r="M80" s="27" t="inlineStr"/>
    </row>
    <row r="81">
      <c r="A81" s="36" t="inlineStr">
        <is>
          <t>TRY-00890</t>
        </is>
      </c>
      <c r="B81" s="27" t="inlineStr">
        <is>
          <t>Cash-investment liquidity ladder</t>
        </is>
      </c>
      <c r="C81" s="27" t="inlineStr">
        <is>
          <t>Investment policy</t>
        </is>
      </c>
      <c r="D81" s="27" t="inlineStr">
        <is>
          <t>Alder Ridge</t>
        </is>
      </c>
      <c r="E81" s="27" t="inlineStr">
        <is>
          <t>2026-05 working copy</t>
        </is>
      </c>
      <c r="F81" s="27" t="inlineStr">
        <is>
          <t>Approved case</t>
        </is>
      </c>
      <c r="G81" s="27" t="inlineStr">
        <is>
          <t>Maximum government issuer concentration</t>
        </is>
      </c>
      <c r="H81" s="46" t="n">
        <v>0.8112</v>
      </c>
      <c r="I81" s="27" t="inlineStr"/>
      <c r="J81" s="27" t="inlineStr">
        <is>
          <t>decimal ratio</t>
        </is>
      </c>
      <c r="K81" s="27" t="inlineStr">
        <is>
          <t>Earlier management working export</t>
        </is>
      </c>
      <c r="L81" s="47" t="inlineStr">
        <is>
          <t>2026-06-24</t>
        </is>
      </c>
      <c r="M81" s="27" t="inlineStr"/>
    </row>
    <row r="82">
      <c r="A82" s="36" t="inlineStr">
        <is>
          <t>TRY-00891</t>
        </is>
      </c>
      <c r="B82" s="27" t="inlineStr">
        <is>
          <t>Cash-investment liquidity ladder</t>
        </is>
      </c>
      <c r="C82" s="27" t="inlineStr">
        <is>
          <t>Investment stress control</t>
        </is>
      </c>
      <c r="D82" s="27" t="inlineStr">
        <is>
          <t>4-week T-bill</t>
        </is>
      </c>
      <c r="E82" s="27" t="inlineStr">
        <is>
          <t>Day 35</t>
        </is>
      </c>
      <c r="F82" s="27" t="inlineStr">
        <is>
          <t>Management stretch</t>
        </is>
      </c>
      <c r="G82" s="27" t="inlineStr">
        <is>
          <t>Stress value factor</t>
        </is>
      </c>
      <c r="H82" s="46" t="n">
        <v>1.04685</v>
      </c>
      <c r="I82" s="27" t="inlineStr"/>
      <c r="J82" s="27" t="inlineStr">
        <is>
          <t>decimal ratio</t>
        </is>
      </c>
      <c r="K82" s="27" t="inlineStr">
        <is>
          <t>Earlier management working export</t>
        </is>
      </c>
      <c r="L82" s="47" t="inlineStr">
        <is>
          <t>2026-06-24</t>
        </is>
      </c>
      <c r="M82" s="27" t="inlineStr"/>
    </row>
  </sheetData>
  <autoFilter ref="A4:M82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Debt and Hedges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TRY-00191</t>
        </is>
      </c>
      <c r="B5" s="27" t="inlineStr">
        <is>
          <t>Term-loan refinancing NPV decision</t>
        </is>
      </c>
      <c r="C5" s="27" t="inlineStr">
        <is>
          <t>Existing notes</t>
        </is>
      </c>
      <c r="D5" s="27" t="inlineStr">
        <is>
          <t>Consolidated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Outstanding principal</t>
        </is>
      </c>
      <c r="H5" s="46" t="n">
        <v>6695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TRY-00192</t>
        </is>
      </c>
      <c r="B6" s="27" t="inlineStr">
        <is>
          <t>Term-loan refinancing NPV decision</t>
        </is>
      </c>
      <c r="C6" s="27" t="inlineStr">
        <is>
          <t>Refinancing proposals</t>
        </is>
      </c>
      <c r="D6" s="27" t="inlineStr">
        <is>
          <t>Proposal A</t>
        </is>
      </c>
      <c r="E6" s="27" t="inlineStr">
        <is>
          <t>2026-07-01</t>
        </is>
      </c>
      <c r="F6" s="27" t="inlineStr">
        <is>
          <t>Management stretch</t>
        </is>
      </c>
      <c r="G6" s="27" t="inlineStr">
        <is>
          <t>Amortization months</t>
        </is>
      </c>
      <c r="H6" s="46" t="n">
        <v>49.92</v>
      </c>
      <c r="I6" s="27" t="inlineStr"/>
      <c r="J6" s="27" t="inlineStr">
        <is>
          <t>count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TRY-00193</t>
        </is>
      </c>
      <c r="B7" s="27" t="inlineStr">
        <is>
          <t>Term-loan refinancing NPV decision</t>
        </is>
      </c>
      <c r="C7" s="27" t="inlineStr">
        <is>
          <t>Refinancing proposals</t>
        </is>
      </c>
      <c r="D7" s="27" t="inlineStr">
        <is>
          <t>Proposal B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Existing-note prepayment penalty rate</t>
        </is>
      </c>
      <c r="H7" s="46" t="n">
        <v>0.01575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TRY-00194</t>
        </is>
      </c>
      <c r="B8" s="27" t="inlineStr">
        <is>
          <t>Term-loan refinancing NPV decision</t>
        </is>
      </c>
      <c r="C8" s="27" t="inlineStr">
        <is>
          <t>Refinancing proposals</t>
        </is>
      </c>
      <c r="D8" s="27" t="inlineStr">
        <is>
          <t>Keep existing</t>
        </is>
      </c>
      <c r="E8" s="27" t="inlineStr">
        <is>
          <t>2026-07-01</t>
        </is>
      </c>
      <c r="F8" s="27" t="inlineStr">
        <is>
          <t>Management stretch</t>
        </is>
      </c>
      <c r="G8" s="27" t="inlineStr">
        <is>
          <t>Upfront fee</t>
        </is>
      </c>
      <c r="H8" s="46" t="n">
        <v>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TRY-00195</t>
        </is>
      </c>
      <c r="B9" s="27" t="inlineStr">
        <is>
          <t>Term-loan refinancing NPV decision</t>
        </is>
      </c>
      <c r="C9" s="27" t="inlineStr">
        <is>
          <t>Refinancing proposals</t>
        </is>
      </c>
      <c r="D9" s="27" t="inlineStr">
        <is>
          <t>Proposal A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Maturity balloon percent</t>
        </is>
      </c>
      <c r="H9" s="46" t="n">
        <v>0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TRY-00196</t>
        </is>
      </c>
      <c r="B10" s="27" t="inlineStr">
        <is>
          <t>Term-loan refinancing NPV decision</t>
        </is>
      </c>
      <c r="C10" s="27" t="inlineStr">
        <is>
          <t>Treasury policy</t>
        </is>
      </c>
      <c r="D10" s="27" t="inlineStr">
        <is>
          <t>Existing notes</t>
        </is>
      </c>
      <c r="E10" s="27" t="inlineStr">
        <is>
          <t>2026-07-01</t>
        </is>
      </c>
      <c r="F10" s="27" t="inlineStr">
        <is>
          <t>Management stretch</t>
        </is>
      </c>
      <c r="G10" s="27" t="inlineStr">
        <is>
          <t>Unamortized fee write-off</t>
        </is>
      </c>
      <c r="H10" s="46" t="n">
        <v>23625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TRY-00197</t>
        </is>
      </c>
      <c r="B11" s="27" t="inlineStr">
        <is>
          <t>Term-loan refinancing NPV decision</t>
        </is>
      </c>
      <c r="C11" s="27" t="inlineStr">
        <is>
          <t>Refinancing proposals</t>
        </is>
      </c>
      <c r="D11" s="27" t="inlineStr">
        <is>
          <t>Proposal A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Annual interest rate</t>
        </is>
      </c>
      <c r="H11" s="46" t="n">
        <v>0.06283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TRY-00198</t>
        </is>
      </c>
      <c r="B12" s="27" t="inlineStr">
        <is>
          <t>Term-loan refinancing NPV decision</t>
        </is>
      </c>
      <c r="C12" s="27" t="inlineStr">
        <is>
          <t>Refinancing proposals</t>
        </is>
      </c>
      <c r="D12" s="27" t="inlineStr">
        <is>
          <t>Proposal B</t>
        </is>
      </c>
      <c r="E12" s="27" t="inlineStr">
        <is>
          <t>2026-07-01</t>
        </is>
      </c>
      <c r="F12" s="27" t="inlineStr">
        <is>
          <t>Management stretch</t>
        </is>
      </c>
      <c r="G12" s="27" t="inlineStr">
        <is>
          <t>Upfront fee</t>
        </is>
      </c>
      <c r="H12" s="46" t="n">
        <v>70720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TRY-00199</t>
        </is>
      </c>
      <c r="B13" s="27" t="inlineStr">
        <is>
          <t>Term-loan refinancing NPV decision</t>
        </is>
      </c>
      <c r="C13" s="27" t="inlineStr">
        <is>
          <t>Refinancing proposals</t>
        </is>
      </c>
      <c r="D13" s="27" t="inlineStr">
        <is>
          <t>Keep existing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Amortization months</t>
        </is>
      </c>
      <c r="H13" s="46" t="n">
        <v>31.5</v>
      </c>
      <c r="I13" s="27" t="inlineStr"/>
      <c r="J13" s="27" t="inlineStr">
        <is>
          <t>count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TRY-00200</t>
        </is>
      </c>
      <c r="B14" s="27" t="inlineStr">
        <is>
          <t>Term-loan refinancing NPV decision</t>
        </is>
      </c>
      <c r="C14" s="27" t="inlineStr">
        <is>
          <t>Refinancing proposals</t>
        </is>
      </c>
      <c r="D14" s="27" t="inlineStr">
        <is>
          <t>Proposal A</t>
        </is>
      </c>
      <c r="E14" s="27" t="inlineStr">
        <is>
          <t>2026-07-01</t>
        </is>
      </c>
      <c r="F14" s="27" t="inlineStr">
        <is>
          <t>Management stretch</t>
        </is>
      </c>
      <c r="G14" s="27" t="inlineStr">
        <is>
          <t>Existing-note prepayment penalty rate</t>
        </is>
      </c>
      <c r="H14" s="46" t="n">
        <v>0.01545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TRY-00223</t>
        </is>
      </c>
      <c r="B15" s="27" t="inlineStr">
        <is>
          <t>Interest-rate hedge strategy</t>
        </is>
      </c>
      <c r="C15" s="27" t="inlineStr">
        <is>
          <t>SOFR scenarios</t>
        </is>
      </c>
      <c r="D15" s="27" t="inlineStr">
        <is>
          <t>Base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Probability</t>
        </is>
      </c>
      <c r="H15" s="46" t="n">
        <v>0.515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TRY-00224</t>
        </is>
      </c>
      <c r="B16" s="27" t="inlineStr">
        <is>
          <t>Interest-rate hedge strategy</t>
        </is>
      </c>
      <c r="C16" s="27" t="inlineStr">
        <is>
          <t>SOFR scenarios</t>
        </is>
      </c>
      <c r="D16" s="27" t="inlineStr">
        <is>
          <t>Downside</t>
        </is>
      </c>
      <c r="E16" s="27" t="inlineStr">
        <is>
          <t>Year 3</t>
        </is>
      </c>
      <c r="F16" s="27" t="inlineStr">
        <is>
          <t>Management stretch</t>
        </is>
      </c>
      <c r="G16" s="27" t="inlineStr">
        <is>
          <t>Average SOFR</t>
        </is>
      </c>
      <c r="H16" s="46" t="n">
        <v>0.06032000000000001</v>
      </c>
      <c r="I16" s="27" t="inlineStr"/>
      <c r="J16" s="27" t="inlineStr">
        <is>
          <t>decimal ratio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TRY-00225</t>
        </is>
      </c>
      <c r="B17" s="27" t="inlineStr">
        <is>
          <t>Interest-rate hedge strategy</t>
        </is>
      </c>
      <c r="C17" s="27" t="inlineStr">
        <is>
          <t>Hedge terms</t>
        </is>
      </c>
      <c r="D17" s="27" t="inlineStr">
        <is>
          <t>Policy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Cap premium</t>
        </is>
      </c>
      <c r="H17" s="46" t="n">
        <v>65100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TRY-00226</t>
        </is>
      </c>
      <c r="B18" s="27" t="inlineStr">
        <is>
          <t>Interest-rate hedge strategy</t>
        </is>
      </c>
      <c r="C18" s="27" t="inlineStr">
        <is>
          <t>SOFR scenarios</t>
        </is>
      </c>
      <c r="D18" s="27" t="inlineStr">
        <is>
          <t>Base</t>
        </is>
      </c>
      <c r="E18" s="27" t="inlineStr">
        <is>
          <t>Year 3</t>
        </is>
      </c>
      <c r="F18" s="27" t="inlineStr">
        <is>
          <t>Management stretch</t>
        </is>
      </c>
      <c r="G18" s="27" t="inlineStr">
        <is>
          <t>Average SOFR</t>
        </is>
      </c>
      <c r="H18" s="46" t="n">
        <v>0.03914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TRY-00227</t>
        </is>
      </c>
      <c r="B19" s="27" t="inlineStr">
        <is>
          <t>Interest-rate hedge strategy</t>
        </is>
      </c>
      <c r="C19" s="27" t="inlineStr">
        <is>
          <t>SOFR scenarios</t>
        </is>
      </c>
      <c r="D19" s="27" t="inlineStr">
        <is>
          <t>Falling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Average SOFR</t>
        </is>
      </c>
      <c r="H19" s="46" t="n">
        <v>0.02912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TRY-00228</t>
        </is>
      </c>
      <c r="B20" s="27" t="inlineStr">
        <is>
          <t>Interest-rate hedge strategy</t>
        </is>
      </c>
      <c r="C20" s="27" t="inlineStr">
        <is>
          <t>Hedge terms</t>
        </is>
      </c>
      <c r="D20" s="27" t="inlineStr">
        <is>
          <t>Policy</t>
        </is>
      </c>
      <c r="E20" s="27" t="inlineStr">
        <is>
          <t>Three-year horizon</t>
        </is>
      </c>
      <c r="F20" s="27" t="inlineStr">
        <is>
          <t>Management stretch</t>
        </is>
      </c>
      <c r="G20" s="27" t="inlineStr">
        <is>
          <t>Downside annual interest ceiling</t>
        </is>
      </c>
      <c r="H20" s="46" t="n">
        <v>152.25</v>
      </c>
      <c r="I20" s="27" t="inlineStr"/>
      <c r="J20" s="27" t="inlineStr">
        <is>
          <t>USD thousands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TRY-00229</t>
        </is>
      </c>
      <c r="B21" s="27" t="inlineStr">
        <is>
          <t>Interest-rate hedge strategy</t>
        </is>
      </c>
      <c r="C21" s="27" t="inlineStr">
        <is>
          <t>SOFR scenarios</t>
        </is>
      </c>
      <c r="D21" s="27" t="inlineStr">
        <is>
          <t>Downside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Average SOFR</t>
        </is>
      </c>
      <c r="H21" s="46" t="n">
        <v>0.06386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TRY-00230</t>
        </is>
      </c>
      <c r="B22" s="27" t="inlineStr">
        <is>
          <t>Interest-rate hedge strategy</t>
        </is>
      </c>
      <c r="C22" s="27" t="inlineStr">
        <is>
          <t>Hedge terms</t>
        </is>
      </c>
      <c r="D22" s="27" t="inlineStr">
        <is>
          <t>Policy</t>
        </is>
      </c>
      <c r="E22" s="27" t="inlineStr">
        <is>
          <t>Three-year horizon</t>
        </is>
      </c>
      <c r="F22" s="27" t="inlineStr">
        <is>
          <t>Management stretch</t>
        </is>
      </c>
      <c r="G22" s="27" t="inlineStr">
        <is>
          <t>Cap strike</t>
        </is>
      </c>
      <c r="H22" s="46" t="n">
        <v>0.0468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TRY-00231</t>
        </is>
      </c>
      <c r="B23" s="27" t="inlineStr">
        <is>
          <t>Interest-rate hedge strategy</t>
        </is>
      </c>
      <c r="C23" s="27" t="inlineStr">
        <is>
          <t>SOFR scenarios</t>
        </is>
      </c>
      <c r="D23" s="27" t="inlineStr">
        <is>
          <t>Base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Average SOFR</t>
        </is>
      </c>
      <c r="H23" s="46" t="n">
        <v>0.042</v>
      </c>
      <c r="I23" s="27" t="inlineStr"/>
      <c r="J23" s="27" t="inlineStr">
        <is>
          <t>decimal ratio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TRY-00232</t>
        </is>
      </c>
      <c r="B24" s="27" t="inlineStr">
        <is>
          <t>Interest-rate hedge strategy</t>
        </is>
      </c>
      <c r="C24" s="27" t="inlineStr">
        <is>
          <t>SOFR scenarios</t>
        </is>
      </c>
      <c r="D24" s="27" t="inlineStr">
        <is>
          <t>Falling</t>
        </is>
      </c>
      <c r="E24" s="27" t="inlineStr">
        <is>
          <t>Year 1</t>
        </is>
      </c>
      <c r="F24" s="27" t="inlineStr">
        <is>
          <t>Management stretch</t>
        </is>
      </c>
      <c r="G24" s="27" t="inlineStr">
        <is>
          <t>Average SOFR</t>
        </is>
      </c>
      <c r="H24" s="46" t="n">
        <v>0.03605000000000001</v>
      </c>
      <c r="I24" s="27" t="inlineStr"/>
      <c r="J24" s="27" t="inlineStr">
        <is>
          <t>decimal ratio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TRY-00297</t>
        </is>
      </c>
      <c r="B25" s="27" t="inlineStr">
        <is>
          <t>Foreign-currency equipment hedge</t>
        </is>
      </c>
      <c r="C25" s="27" t="inlineStr">
        <is>
          <t>Equipment payment schedule</t>
        </is>
      </c>
      <c r="D25" s="27" t="inlineStr">
        <is>
          <t>CAD-PO-417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Contract amount</t>
        </is>
      </c>
      <c r="H25" s="46" t="n">
        <v>1493500</v>
      </c>
      <c r="I25" s="27" t="inlineStr"/>
      <c r="J25" s="27" t="inlineStr">
        <is>
          <t>CAD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TRY-00298</t>
        </is>
      </c>
      <c r="B26" s="27" t="inlineStr">
        <is>
          <t>Foreign-currency equipment hedge</t>
        </is>
      </c>
      <c r="C26" s="27" t="inlineStr">
        <is>
          <t>Equipment payment schedule</t>
        </is>
      </c>
      <c r="D26" s="27" t="inlineStr">
        <is>
          <t>CAD-PO-433</t>
        </is>
      </c>
      <c r="E26" s="27" t="inlineStr">
        <is>
          <t>2026-12</t>
        </is>
      </c>
      <c r="F26" s="27" t="inlineStr">
        <is>
          <t>Management stretch</t>
        </is>
      </c>
      <c r="G26" s="27" t="inlineStr">
        <is>
          <t>Execution probability</t>
        </is>
      </c>
      <c r="H26" s="46" t="n">
        <v>1.04</v>
      </c>
      <c r="I26" s="27" t="inlineStr"/>
      <c r="J26" s="27" t="inlineStr">
        <is>
          <t>decimal ratio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TRY-00299</t>
        </is>
      </c>
      <c r="B27" s="27" t="inlineStr">
        <is>
          <t>Foreign-currency equipment hedge</t>
        </is>
      </c>
      <c r="C27" s="27" t="inlineStr">
        <is>
          <t>Existing hedge register</t>
        </is>
      </c>
      <c r="D27" s="27" t="inlineStr">
        <is>
          <t>FWD-121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Hedged notional</t>
        </is>
      </c>
      <c r="H27" s="46" t="n">
        <v>735000</v>
      </c>
      <c r="I27" s="27" t="inlineStr"/>
      <c r="J27" s="27" t="inlineStr">
        <is>
          <t>CAD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TRY-00300</t>
        </is>
      </c>
      <c r="B28" s="27" t="inlineStr">
        <is>
          <t>Foreign-currency equipment hedge</t>
        </is>
      </c>
      <c r="C28" s="27" t="inlineStr">
        <is>
          <t>Hedge policy</t>
        </is>
      </c>
      <c r="D28" s="27" t="inlineStr">
        <is>
          <t>Optional exposure</t>
        </is>
      </c>
      <c r="E28" s="27" t="inlineStr">
        <is>
          <t>2026-07-04</t>
        </is>
      </c>
      <c r="F28" s="27" t="inlineStr">
        <is>
          <t>Management stretch</t>
        </is>
      </c>
      <c r="G28" s="27" t="inlineStr">
        <is>
          <t>Maximum hedge percent</t>
        </is>
      </c>
      <c r="H28" s="46" t="n">
        <v>0</v>
      </c>
      <c r="I28" s="27" t="inlineStr"/>
      <c r="J28" s="27" t="inlineStr">
        <is>
          <t>decimal ratio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TRY-00301</t>
        </is>
      </c>
      <c r="B29" s="27" t="inlineStr">
        <is>
          <t>Foreign-currency equipment hedge</t>
        </is>
      </c>
      <c r="C29" s="27" t="inlineStr">
        <is>
          <t>Equipment payment schedule</t>
        </is>
      </c>
      <c r="D29" s="27" t="inlineStr">
        <is>
          <t>CAD-PO-433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Contract amount</t>
        </is>
      </c>
      <c r="H29" s="46" t="n">
        <v>1788800</v>
      </c>
      <c r="I29" s="27" t="inlineStr"/>
      <c r="J29" s="27" t="inlineStr">
        <is>
          <t>CAD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TRY-00302</t>
        </is>
      </c>
      <c r="B30" s="27" t="inlineStr">
        <is>
          <t>Foreign-currency equipment hedge</t>
        </is>
      </c>
      <c r="C30" s="27" t="inlineStr">
        <is>
          <t>Existing hedge register</t>
        </is>
      </c>
      <c r="D30" s="27" t="inlineStr">
        <is>
          <t>FWD-118</t>
        </is>
      </c>
      <c r="E30" s="27" t="inlineStr">
        <is>
          <t>2026-08</t>
        </is>
      </c>
      <c r="F30" s="27" t="inlineStr">
        <is>
          <t>Management stretch</t>
        </is>
      </c>
      <c r="G30" s="27" t="inlineStr">
        <is>
          <t>Contract USD per CAD</t>
        </is>
      </c>
      <c r="H30" s="46" t="n">
        <v>0.7602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TRY-00303</t>
        </is>
      </c>
      <c r="B31" s="27" t="inlineStr">
        <is>
          <t>Foreign-currency equipment hedge</t>
        </is>
      </c>
      <c r="C31" s="27" t="inlineStr">
        <is>
          <t>Hedge policy</t>
        </is>
      </c>
      <c r="D31" s="27" t="inlineStr">
        <is>
          <t>Committed exposure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Required hedge percent</t>
        </is>
      </c>
      <c r="H31" s="46" t="n">
        <v>1.03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TRY-00304</t>
        </is>
      </c>
      <c r="B32" s="27" t="inlineStr">
        <is>
          <t>Foreign-currency equipment hedge</t>
        </is>
      </c>
      <c r="C32" s="27" t="inlineStr">
        <is>
          <t>Equipment payment schedule</t>
        </is>
      </c>
      <c r="D32" s="27" t="inlineStr">
        <is>
          <t>CAD-PO-428</t>
        </is>
      </c>
      <c r="E32" s="27" t="inlineStr">
        <is>
          <t>2026-10</t>
        </is>
      </c>
      <c r="F32" s="27" t="inlineStr">
        <is>
          <t>Management stretch</t>
        </is>
      </c>
      <c r="G32" s="27" t="inlineStr">
        <is>
          <t>Forward USD per CAD</t>
        </is>
      </c>
      <c r="H32" s="46" t="n">
        <v>0.7711600000000001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TRY-00305</t>
        </is>
      </c>
      <c r="B33" s="27" t="inlineStr">
        <is>
          <t>Foreign-currency equipment hedge</t>
        </is>
      </c>
      <c r="C33" s="27" t="inlineStr">
        <is>
          <t>Existing hedge register</t>
        </is>
      </c>
      <c r="D33" s="27" t="inlineStr">
        <is>
          <t>FWD-118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Hedged notional</t>
        </is>
      </c>
      <c r="H33" s="46" t="n">
        <v>840000</v>
      </c>
      <c r="I33" s="27" t="inlineStr"/>
      <c r="J33" s="27" t="inlineStr">
        <is>
          <t>CAD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TRY-00306</t>
        </is>
      </c>
      <c r="B34" s="27" t="inlineStr">
        <is>
          <t>Foreign-currency equipment hedge</t>
        </is>
      </c>
      <c r="C34" s="27" t="inlineStr">
        <is>
          <t>Downside FX scenario</t>
        </is>
      </c>
      <c r="D34" s="27" t="inlineStr">
        <is>
          <t>CAD downside</t>
        </is>
      </c>
      <c r="E34" s="27" t="inlineStr">
        <is>
          <t>2027-02</t>
        </is>
      </c>
      <c r="F34" s="27" t="inlineStr">
        <is>
          <t>Management stretch</t>
        </is>
      </c>
      <c r="G34" s="27" t="inlineStr">
        <is>
          <t>USD per CAD spot</t>
        </is>
      </c>
      <c r="H34" s="46" t="n">
        <v>0.82606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TRY-00651</t>
        </is>
      </c>
      <c r="B35" s="27" t="inlineStr">
        <is>
          <t>Refinancing, hedge, and covenant economics</t>
        </is>
      </c>
      <c r="C35" s="27" t="inlineStr">
        <is>
          <t>Refinancing alternatives</t>
        </is>
      </c>
      <c r="D35" s="27" t="inlineStr">
        <is>
          <t>Keep existing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Opening principal</t>
        </is>
      </c>
      <c r="H35" s="46" t="n">
        <v>7004000</v>
      </c>
      <c r="I35" s="27" t="inlineStr"/>
      <c r="J35" s="27" t="inlineStr">
        <is>
          <t>USD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TRY-00652</t>
        </is>
      </c>
      <c r="B36" s="27" t="inlineStr">
        <is>
          <t>Refinancing, hedge, and covenant economics</t>
        </is>
      </c>
      <c r="C36" s="27" t="inlineStr">
        <is>
          <t>Refinancing alternatives</t>
        </is>
      </c>
      <c r="D36" s="27" t="inlineStr">
        <is>
          <t>Term loan A</t>
        </is>
      </c>
      <c r="E36" s="27" t="inlineStr">
        <is>
          <t>2026-07-31</t>
        </is>
      </c>
      <c r="F36" s="27" t="inlineStr">
        <is>
          <t>Management stretch</t>
        </is>
      </c>
      <c r="G36" s="27" t="inlineStr">
        <is>
          <t>SOFR floor</t>
        </is>
      </c>
      <c r="H36" s="46" t="n">
        <v>0.052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TRY-00653</t>
        </is>
      </c>
      <c r="B37" s="27" t="inlineStr">
        <is>
          <t>Refinancing, hedge, and covenant economics</t>
        </is>
      </c>
      <c r="C37" s="27" t="inlineStr">
        <is>
          <t>Refinancing alternatives</t>
        </is>
      </c>
      <c r="D37" s="27" t="inlineStr">
        <is>
          <t>Term loan B plus swap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Credit spread or fixed rate</t>
        </is>
      </c>
      <c r="H37" s="46" t="n">
        <v>0.07454999999999999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TRY-00654</t>
        </is>
      </c>
      <c r="B38" s="27" t="inlineStr">
        <is>
          <t>Refinancing, hedge, and covenant economics</t>
        </is>
      </c>
      <c r="C38" s="27" t="inlineStr">
        <is>
          <t>Refinancing decision policy</t>
        </is>
      </c>
      <c r="D38" s="27" t="inlineStr">
        <is>
          <t>Alder Ridge</t>
        </is>
      </c>
      <c r="E38" s="27" t="inlineStr">
        <is>
          <t>FY27</t>
        </is>
      </c>
      <c r="F38" s="27" t="inlineStr">
        <is>
          <t>Management stretch</t>
        </is>
      </c>
      <c r="G38" s="27" t="inlineStr">
        <is>
          <t>Unamortized existing fees</t>
        </is>
      </c>
      <c r="H38" s="46" t="n">
        <v>74.16</v>
      </c>
      <c r="I38" s="27" t="inlineStr"/>
      <c r="J38" s="27" t="inlineStr">
        <is>
          <t>USD thousands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TRY-00655</t>
        </is>
      </c>
      <c r="B39" s="27" t="inlineStr">
        <is>
          <t>Refinancing, hedge, and covenant economics</t>
        </is>
      </c>
      <c r="C39" s="27" t="inlineStr">
        <is>
          <t>Refinancing decision policy</t>
        </is>
      </c>
      <c r="D39" s="27" t="inlineStr">
        <is>
          <t>Alder Ridge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Discount rate</t>
        </is>
      </c>
      <c r="H39" s="46" t="n">
        <v>0.08840000000000001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TRY-00656</t>
        </is>
      </c>
      <c r="B40" s="27" t="inlineStr">
        <is>
          <t>Refinancing, hedge, and covenant economics</t>
        </is>
      </c>
      <c r="C40" s="27" t="inlineStr">
        <is>
          <t>Refinancing alternatives</t>
        </is>
      </c>
      <c r="D40" s="27" t="inlineStr">
        <is>
          <t>Term loan A</t>
        </is>
      </c>
      <c r="E40" s="27" t="inlineStr">
        <is>
          <t>2026-07-31</t>
        </is>
      </c>
      <c r="F40" s="27" t="inlineStr">
        <is>
          <t>Management stretch</t>
        </is>
      </c>
      <c r="G40" s="27" t="inlineStr">
        <is>
          <t>Opening principal</t>
        </is>
      </c>
      <c r="H40" s="46" t="n">
        <v>7140000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TRY-00657</t>
        </is>
      </c>
      <c r="B41" s="27" t="inlineStr">
        <is>
          <t>Refinancing, hedge, and covenant economics</t>
        </is>
      </c>
      <c r="C41" s="27" t="inlineStr">
        <is>
          <t>Refinancing alternatives</t>
        </is>
      </c>
      <c r="D41" s="27" t="inlineStr">
        <is>
          <t>Term loan B plus swap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SOFR floor</t>
        </is>
      </c>
      <c r="H41" s="46" t="n">
        <v>0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TRY-00658</t>
        </is>
      </c>
      <c r="B42" s="27" t="inlineStr">
        <is>
          <t>Refinancing, hedge, and covenant economics</t>
        </is>
      </c>
      <c r="C42" s="27" t="inlineStr">
        <is>
          <t>Refinancing decision policy</t>
        </is>
      </c>
      <c r="D42" s="27" t="inlineStr">
        <is>
          <t>Alder Ridge</t>
        </is>
      </c>
      <c r="E42" s="27" t="inlineStr">
        <is>
          <t>FY27</t>
        </is>
      </c>
      <c r="F42" s="27" t="inlineStr">
        <is>
          <t>Management stretch</t>
        </is>
      </c>
      <c r="G42" s="27" t="inlineStr">
        <is>
          <t>Existing prepayment penalty</t>
        </is>
      </c>
      <c r="H42" s="46" t="n">
        <v>0.0156</v>
      </c>
      <c r="I42" s="27" t="inlineStr"/>
      <c r="J42" s="27" t="inlineStr">
        <is>
          <t>decimal ratio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TRY-00659</t>
        </is>
      </c>
      <c r="B43" s="27" t="inlineStr">
        <is>
          <t>Refinancing, hedge, and covenant economics</t>
        </is>
      </c>
      <c r="C43" s="27" t="inlineStr">
        <is>
          <t>Refinancing decision policy</t>
        </is>
      </c>
      <c r="D43" s="27" t="inlineStr">
        <is>
          <t>Alder Ridge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Tax rate</t>
        </is>
      </c>
      <c r="H43" s="46" t="n">
        <v>0.273</v>
      </c>
      <c r="I43" s="27" t="inlineStr"/>
      <c r="J43" s="27" t="inlineStr">
        <is>
          <t>decimal ratio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TRY-00660</t>
        </is>
      </c>
      <c r="B44" s="27" t="inlineStr">
        <is>
          <t>Refinancing, hedge, and covenant economics</t>
        </is>
      </c>
      <c r="C44" s="27" t="inlineStr">
        <is>
          <t>Refinancing alternatives</t>
        </is>
      </c>
      <c r="D44" s="27" t="inlineStr">
        <is>
          <t>Keep existing</t>
        </is>
      </c>
      <c r="E44" s="27" t="inlineStr">
        <is>
          <t>2026-07-31</t>
        </is>
      </c>
      <c r="F44" s="27" t="inlineStr">
        <is>
          <t>Management stretch</t>
        </is>
      </c>
      <c r="G44" s="27" t="inlineStr">
        <is>
          <t>Term years</t>
        </is>
      </c>
      <c r="H44" s="46" t="n">
        <v>4.12</v>
      </c>
      <c r="I44" s="27" t="inlineStr"/>
      <c r="J44" s="27" t="inlineStr">
        <is>
          <t>years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TRY-00661</t>
        </is>
      </c>
      <c r="B45" s="27" t="inlineStr">
        <is>
          <t>Refinancing, hedge, and covenant economics</t>
        </is>
      </c>
      <c r="C45" s="27" t="inlineStr">
        <is>
          <t>Refinancing alternatives</t>
        </is>
      </c>
      <c r="D45" s="27" t="inlineStr">
        <is>
          <t>Term loan B plus swap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Opening principal</t>
        </is>
      </c>
      <c r="H45" s="46" t="n">
        <v>7072000</v>
      </c>
      <c r="I45" s="27" t="inlineStr"/>
      <c r="J45" s="27" t="inlineStr">
        <is>
          <t>USD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TRY-00662</t>
        </is>
      </c>
      <c r="B46" s="27" t="inlineStr">
        <is>
          <t>Refinancing, hedge, and covenant economics</t>
        </is>
      </c>
      <c r="C46" s="27" t="inlineStr">
        <is>
          <t>Rate cases</t>
        </is>
      </c>
      <c r="D46" s="27" t="inlineStr">
        <is>
          <t>SOFR</t>
        </is>
      </c>
      <c r="E46" s="27" t="inlineStr">
        <is>
          <t>Downside</t>
        </is>
      </c>
      <c r="F46" s="27" t="inlineStr">
        <is>
          <t>Management stretch</t>
        </is>
      </c>
      <c r="G46" s="27" t="inlineStr">
        <is>
          <t>Average forward rate</t>
        </is>
      </c>
      <c r="H46" s="46" t="n">
        <v>0.066675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TRY-00663</t>
        </is>
      </c>
      <c r="B47" s="27" t="inlineStr">
        <is>
          <t>Refinancing, hedge, and covenant economics</t>
        </is>
      </c>
      <c r="C47" s="27" t="inlineStr">
        <is>
          <t>Refinancing decision policy</t>
        </is>
      </c>
      <c r="D47" s="27" t="inlineStr">
        <is>
          <t>Alder Ridge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Annual principal amortization percent</t>
        </is>
      </c>
      <c r="H47" s="46" t="n">
        <v>0.103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TRY-00664</t>
        </is>
      </c>
      <c r="B48" s="27" t="inlineStr">
        <is>
          <t>Refinancing, hedge, and covenant economics</t>
        </is>
      </c>
      <c r="C48" s="27" t="inlineStr">
        <is>
          <t>Refinancing alternatives</t>
        </is>
      </c>
      <c r="D48" s="27" t="inlineStr">
        <is>
          <t>Keep existing</t>
        </is>
      </c>
      <c r="E48" s="27" t="inlineStr">
        <is>
          <t>2026-07-31</t>
        </is>
      </c>
      <c r="F48" s="27" t="inlineStr">
        <is>
          <t>Management stretch</t>
        </is>
      </c>
      <c r="G48" s="27" t="inlineStr">
        <is>
          <t>Other closing costs</t>
        </is>
      </c>
      <c r="H48" s="46" t="n">
        <v>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TRY-00678</t>
        </is>
      </c>
      <c r="B49" s="27" t="inlineStr">
        <is>
          <t>Refinancing, hedge, and covenant economics</t>
        </is>
      </c>
      <c r="C49" s="27" t="inlineStr">
        <is>
          <t>Approved SOFR term curve</t>
        </is>
      </c>
      <c r="D49" s="27" t="inlineStr">
        <is>
          <t>SOFR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Base forward rate</t>
        </is>
      </c>
      <c r="H49" s="46" t="n">
        <v>0.04738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TRY-00679</t>
        </is>
      </c>
      <c r="B50" s="27" t="inlineStr">
        <is>
          <t>Refinancing, hedge, and covenant economics</t>
        </is>
      </c>
      <c r="C50" s="27" t="inlineStr">
        <is>
          <t>Approved SOFR term curve</t>
        </is>
      </c>
      <c r="D50" s="27" t="inlineStr">
        <is>
          <t>SOFR</t>
        </is>
      </c>
      <c r="E50" s="27" t="inlineStr">
        <is>
          <t>Year 4</t>
        </is>
      </c>
      <c r="F50" s="27" t="inlineStr">
        <is>
          <t>Management stretch</t>
        </is>
      </c>
      <c r="G50" s="27" t="inlineStr">
        <is>
          <t>Downside forward rate</t>
        </is>
      </c>
      <c r="H50" s="46" t="n">
        <v>0.05356</v>
      </c>
      <c r="I50" s="27" t="inlineStr"/>
      <c r="J50" s="27" t="inlineStr">
        <is>
          <t>decimal ratio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TRY-00680</t>
        </is>
      </c>
      <c r="B51" s="27" t="inlineStr">
        <is>
          <t>Refinancing, hedge, and covenant economics</t>
        </is>
      </c>
      <c r="C51" s="27" t="inlineStr">
        <is>
          <t>Approved SOFR term curve</t>
        </is>
      </c>
      <c r="D51" s="27" t="inlineStr">
        <is>
          <t>SOFR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Downside forward rate</t>
        </is>
      </c>
      <c r="H51" s="46" t="n">
        <v>0.066675</v>
      </c>
      <c r="I51" s="27" t="inlineStr"/>
      <c r="J51" s="27" t="inlineStr">
        <is>
          <t>decimal ratio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TRY-00681</t>
        </is>
      </c>
      <c r="B52" s="27" t="inlineStr">
        <is>
          <t>Refinancing, hedge, and covenant economics</t>
        </is>
      </c>
      <c r="C52" s="27" t="inlineStr">
        <is>
          <t>Approved SOFR term curve</t>
        </is>
      </c>
      <c r="D52" s="27" t="inlineStr">
        <is>
          <t>SOFR</t>
        </is>
      </c>
      <c r="E52" s="27" t="inlineStr">
        <is>
          <t>Year 5</t>
        </is>
      </c>
      <c r="F52" s="27" t="inlineStr">
        <is>
          <t>Management stretch</t>
        </is>
      </c>
      <c r="G52" s="27" t="inlineStr">
        <is>
          <t>Base forward rate</t>
        </is>
      </c>
      <c r="H52" s="46" t="n">
        <v>0.03914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TRY-00682</t>
        </is>
      </c>
      <c r="B53" s="27" t="inlineStr">
        <is>
          <t>Refinancing, hedge, and covenant economics</t>
        </is>
      </c>
      <c r="C53" s="27" t="inlineStr">
        <is>
          <t>Approved SOFR term curve</t>
        </is>
      </c>
      <c r="D53" s="27" t="inlineStr">
        <is>
          <t>SOFR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Base forward rate</t>
        </is>
      </c>
      <c r="H53" s="46" t="n">
        <v>0.04524</v>
      </c>
      <c r="I53" s="27" t="inlineStr"/>
      <c r="J53" s="27" t="inlineStr">
        <is>
          <t>decimal ratio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TRY-00683</t>
        </is>
      </c>
      <c r="B54" s="27" t="inlineStr">
        <is>
          <t>Refinancing, hedge, and covenant economics</t>
        </is>
      </c>
      <c r="C54" s="27" t="inlineStr">
        <is>
          <t>Approved SOFR term curve</t>
        </is>
      </c>
      <c r="D54" s="27" t="inlineStr">
        <is>
          <t>SOFR</t>
        </is>
      </c>
      <c r="E54" s="27" t="inlineStr">
        <is>
          <t>Year 5</t>
        </is>
      </c>
      <c r="F54" s="27" t="inlineStr">
        <is>
          <t>Management stretch</t>
        </is>
      </c>
      <c r="G54" s="27" t="inlineStr">
        <is>
          <t>Downside forward rate</t>
        </is>
      </c>
      <c r="H54" s="46" t="n">
        <v>0.05145</v>
      </c>
      <c r="I54" s="27" t="inlineStr"/>
      <c r="J54" s="27" t="inlineStr">
        <is>
          <t>decimal ratio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TRY-00713</t>
        </is>
      </c>
      <c r="B55" s="27" t="inlineStr">
        <is>
          <t>Layered FX hedge plan</t>
        </is>
      </c>
      <c r="C55" s="27" t="inlineStr">
        <is>
          <t>Committed FX exposures</t>
        </is>
      </c>
      <c r="D55" s="27" t="inlineStr">
        <is>
          <t>EUR equipment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Foreign currency payable</t>
        </is>
      </c>
      <c r="H55" s="46" t="n">
        <v>3296000</v>
      </c>
      <c r="I55" s="27" t="inlineStr"/>
      <c r="J55" s="27" t="inlineStr">
        <is>
          <t>foreign currency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TRY-00714</t>
        </is>
      </c>
      <c r="B56" s="27" t="inlineStr">
        <is>
          <t>Layered FX hedge plan</t>
        </is>
      </c>
      <c r="C56" s="27" t="inlineStr">
        <is>
          <t>Committed FX exposures</t>
        </is>
      </c>
      <c r="D56" s="27" t="inlineStr">
        <is>
          <t>CAD components</t>
        </is>
      </c>
      <c r="E56" s="27" t="inlineStr">
        <is>
          <t>FY27</t>
        </is>
      </c>
      <c r="F56" s="27" t="inlineStr">
        <is>
          <t>Management stretch</t>
        </is>
      </c>
      <c r="G56" s="27" t="inlineStr">
        <is>
          <t>Downside USD rate</t>
        </is>
      </c>
      <c r="H56" s="46" t="n">
        <v>0.7228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TRY-00715</t>
        </is>
      </c>
      <c r="B57" s="27" t="inlineStr">
        <is>
          <t>Layered FX hedge plan</t>
        </is>
      </c>
      <c r="C57" s="27" t="inlineStr">
        <is>
          <t>Approved layered hedge plan</t>
        </is>
      </c>
      <c r="D57" s="27" t="inlineStr">
        <is>
          <t>EUR equipment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Option premium</t>
        </is>
      </c>
      <c r="H57" s="46" t="n">
        <v>39.9</v>
      </c>
      <c r="I57" s="27" t="inlineStr"/>
      <c r="J57" s="27" t="inlineStr">
        <is>
          <t>USD thousands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TRY-00716</t>
        </is>
      </c>
      <c r="B58" s="27" t="inlineStr">
        <is>
          <t>Layered FX hedge plan</t>
        </is>
      </c>
      <c r="C58" s="27" t="inlineStr">
        <is>
          <t>Approved layered hedge plan</t>
        </is>
      </c>
      <c r="D58" s="27" t="inlineStr">
        <is>
          <t>GBP software</t>
        </is>
      </c>
      <c r="E58" s="27" t="inlineStr">
        <is>
          <t>FY27</t>
        </is>
      </c>
      <c r="F58" s="27" t="inlineStr">
        <is>
          <t>Management stretch</t>
        </is>
      </c>
      <c r="G58" s="27" t="inlineStr">
        <is>
          <t>Option hedge percent</t>
        </is>
      </c>
      <c r="H58" s="46" t="n">
        <v>0.2575</v>
      </c>
      <c r="I58" s="27" t="inlineStr"/>
      <c r="J58" s="27" t="inlineStr">
        <is>
          <t>decimal ratio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TRY-00717</t>
        </is>
      </c>
      <c r="B59" s="27" t="inlineStr">
        <is>
          <t>Layered FX hedge plan</t>
        </is>
      </c>
      <c r="C59" s="27" t="inlineStr">
        <is>
          <t>Committed FX exposures</t>
        </is>
      </c>
      <c r="D59" s="27" t="inlineStr">
        <is>
          <t>EUR equipment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Forward USD rate</t>
        </is>
      </c>
      <c r="H59" s="46" t="n">
        <v>1.1804</v>
      </c>
      <c r="I59" s="27" t="inlineStr"/>
      <c r="J59" s="27" t="inlineStr">
        <is>
          <t>USD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TRY-00718</t>
        </is>
      </c>
      <c r="B60" s="27" t="inlineStr">
        <is>
          <t>Layered FX hedge plan</t>
        </is>
      </c>
      <c r="C60" s="27" t="inlineStr">
        <is>
          <t>Committed FX exposures</t>
        </is>
      </c>
      <c r="D60" s="27" t="inlineStr">
        <is>
          <t>GBP software</t>
        </is>
      </c>
      <c r="E60" s="27" t="inlineStr">
        <is>
          <t>FY27</t>
        </is>
      </c>
      <c r="F60" s="27" t="inlineStr">
        <is>
          <t>Management stretch</t>
        </is>
      </c>
      <c r="G60" s="27" t="inlineStr">
        <is>
          <t>Budget USD rate</t>
        </is>
      </c>
      <c r="H60" s="46" t="n">
        <v>1.33875</v>
      </c>
      <c r="I60" s="27" t="inlineStr"/>
      <c r="J60" s="27" t="inlineStr">
        <is>
          <t>USD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TRY-00719</t>
        </is>
      </c>
      <c r="B61" s="27" t="inlineStr">
        <is>
          <t>Layered FX hedge plan</t>
        </is>
      </c>
      <c r="C61" s="27" t="inlineStr">
        <is>
          <t>Approved layered hedge plan</t>
        </is>
      </c>
      <c r="D61" s="27" t="inlineStr">
        <is>
          <t>CAD components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Forward hedge percent</t>
        </is>
      </c>
      <c r="H61" s="46" t="n">
        <v>0.4635</v>
      </c>
      <c r="I61" s="27" t="inlineStr"/>
      <c r="J61" s="27" t="inlineStr">
        <is>
          <t>decimal ratio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TRY-00720</t>
        </is>
      </c>
      <c r="B62" s="27" t="inlineStr">
        <is>
          <t>Layered FX hedge plan</t>
        </is>
      </c>
      <c r="C62" s="27" t="inlineStr">
        <is>
          <t>Approved layered hedge plan</t>
        </is>
      </c>
      <c r="D62" s="27" t="inlineStr">
        <is>
          <t>GBP software</t>
        </is>
      </c>
      <c r="E62" s="27" t="inlineStr">
        <is>
          <t>FY27</t>
        </is>
      </c>
      <c r="F62" s="27" t="inlineStr">
        <is>
          <t>Management stretch</t>
        </is>
      </c>
      <c r="G62" s="27" t="inlineStr">
        <is>
          <t>Option strike</t>
        </is>
      </c>
      <c r="H62" s="46" t="n">
        <v>1.3156</v>
      </c>
      <c r="I62" s="27" t="inlineStr"/>
      <c r="J62" s="27" t="inlineStr">
        <is>
          <t>USD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TRY-00721</t>
        </is>
      </c>
      <c r="B63" s="27" t="inlineStr">
        <is>
          <t>Layered FX hedge plan</t>
        </is>
      </c>
      <c r="C63" s="27" t="inlineStr">
        <is>
          <t>Committed FX exposures</t>
        </is>
      </c>
      <c r="D63" s="27" t="inlineStr">
        <is>
          <t>CAD components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Foreign currency payable</t>
        </is>
      </c>
      <c r="H63" s="46" t="n">
        <v>2572500</v>
      </c>
      <c r="I63" s="27" t="inlineStr"/>
      <c r="J63" s="27" t="inlineStr">
        <is>
          <t>foreign currency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TRY-00722</t>
        </is>
      </c>
      <c r="B64" s="27" t="inlineStr">
        <is>
          <t>Layered FX hedge plan</t>
        </is>
      </c>
      <c r="C64" s="27" t="inlineStr">
        <is>
          <t>Committed FX exposures</t>
        </is>
      </c>
      <c r="D64" s="27" t="inlineStr">
        <is>
          <t>GBP software</t>
        </is>
      </c>
      <c r="E64" s="27" t="inlineStr">
        <is>
          <t>FY27</t>
        </is>
      </c>
      <c r="F64" s="27" t="inlineStr">
        <is>
          <t>Management stretch</t>
        </is>
      </c>
      <c r="G64" s="27" t="inlineStr">
        <is>
          <t>Downside USD rate</t>
        </is>
      </c>
      <c r="H64" s="46" t="n">
        <v>1.24115</v>
      </c>
      <c r="I64" s="27" t="inlineStr"/>
      <c r="J64" s="27" t="inlineStr">
        <is>
          <t>USD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TRY-00723</t>
        </is>
      </c>
      <c r="B65" s="27" t="inlineStr">
        <is>
          <t>Layered FX hedge plan</t>
        </is>
      </c>
      <c r="C65" s="27" t="inlineStr">
        <is>
          <t>Approved layered hedge plan</t>
        </is>
      </c>
      <c r="D65" s="27" t="inlineStr">
        <is>
          <t>CAD components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Option premium</t>
        </is>
      </c>
      <c r="H65" s="46" t="n">
        <v>24.96</v>
      </c>
      <c r="I65" s="27" t="inlineStr"/>
      <c r="J65" s="27" t="inlineStr">
        <is>
          <t>USD thousands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TRY-00724</t>
        </is>
      </c>
      <c r="B66" s="27" t="inlineStr">
        <is>
          <t>Layered FX hedge plan</t>
        </is>
      </c>
      <c r="C66" s="27" t="inlineStr">
        <is>
          <t>FX risk policy</t>
        </is>
      </c>
      <c r="D66" s="27" t="inlineStr">
        <is>
          <t>Alder Ridge</t>
        </is>
      </c>
      <c r="E66" s="27" t="inlineStr">
        <is>
          <t>FY27</t>
        </is>
      </c>
      <c r="F66" s="27" t="inlineStr">
        <is>
          <t>Management stretch</t>
        </is>
      </c>
      <c r="G66" s="27" t="inlineStr">
        <is>
          <t>Budget variance alert</t>
        </is>
      </c>
      <c r="H66" s="46" t="n">
        <v>183750</v>
      </c>
      <c r="I66" s="27" t="inlineStr"/>
      <c r="J66" s="27" t="inlineStr">
        <is>
          <t>USD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TRY-00732</t>
        </is>
      </c>
      <c r="B67" s="27" t="inlineStr">
        <is>
          <t>Layered FX hedge plan</t>
        </is>
      </c>
      <c r="C67" s="27" t="inlineStr">
        <is>
          <t>Approved natural FX offsets</t>
        </is>
      </c>
      <c r="D67" s="27" t="inlineStr">
        <is>
          <t>EUR equipment</t>
        </is>
      </c>
      <c r="E67" s="27" t="inlineStr">
        <is>
          <t>2026-05 working copy</t>
        </is>
      </c>
      <c r="F67" s="27" t="inlineStr">
        <is>
          <t>Approved case</t>
        </is>
      </c>
      <c r="G67" s="27" t="inlineStr">
        <is>
          <t>Same-currency operating receipt</t>
        </is>
      </c>
      <c r="H67" s="46" t="n">
        <v>494400</v>
      </c>
      <c r="I67" s="27" t="inlineStr"/>
      <c r="J67" s="27" t="inlineStr">
        <is>
          <t>foreign currency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TRY-00733</t>
        </is>
      </c>
      <c r="B68" s="27" t="inlineStr">
        <is>
          <t>Layered FX hedge plan</t>
        </is>
      </c>
      <c r="C68" s="27" t="inlineStr">
        <is>
          <t>FX risk policy</t>
        </is>
      </c>
      <c r="D68" s="27" t="inlineStr">
        <is>
          <t>Alder Ridge</t>
        </is>
      </c>
      <c r="E68" s="27" t="inlineStr">
        <is>
          <t>FY27</t>
        </is>
      </c>
      <c r="F68" s="27" t="inlineStr">
        <is>
          <t>Management stretch</t>
        </is>
      </c>
      <c r="G68" s="27" t="inlineStr">
        <is>
          <t>Maximum Bank A hedge notional at budget USD</t>
        </is>
      </c>
      <c r="H68" s="46" t="n">
        <v>3380000</v>
      </c>
      <c r="I68" s="27" t="inlineStr"/>
      <c r="J68" s="27" t="inlineStr">
        <is>
          <t>USD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TRY-00734</t>
        </is>
      </c>
      <c r="B69" s="27" t="inlineStr">
        <is>
          <t>Layered FX hedge plan</t>
        </is>
      </c>
      <c r="C69" s="27" t="inlineStr">
        <is>
          <t>Approved natural FX offsets</t>
        </is>
      </c>
      <c r="D69" s="27" t="inlineStr">
        <is>
          <t>GBP software</t>
        </is>
      </c>
      <c r="E69" s="27" t="inlineStr">
        <is>
          <t>2026-05 working copy</t>
        </is>
      </c>
      <c r="F69" s="27" t="inlineStr">
        <is>
          <t>Approved case</t>
        </is>
      </c>
      <c r="G69" s="27" t="inlineStr">
        <is>
          <t>Same-currency operating receipt</t>
        </is>
      </c>
      <c r="H69" s="46" t="n">
        <v>99750</v>
      </c>
      <c r="I69" s="27" t="inlineStr"/>
      <c r="J69" s="27" t="inlineStr">
        <is>
          <t>foreign currency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TRY-00735</t>
        </is>
      </c>
      <c r="B70" s="27" t="inlineStr">
        <is>
          <t>Layered FX hedge plan</t>
        </is>
      </c>
      <c r="C70" s="27" t="inlineStr">
        <is>
          <t>Approved natural FX offsets</t>
        </is>
      </c>
      <c r="D70" s="27" t="inlineStr">
        <is>
          <t>CAD components</t>
        </is>
      </c>
      <c r="E70" s="27" t="inlineStr">
        <is>
          <t>FY27</t>
        </is>
      </c>
      <c r="F70" s="27" t="inlineStr">
        <is>
          <t>Management stretch</t>
        </is>
      </c>
      <c r="G70" s="27" t="inlineStr">
        <is>
          <t>Same-currency operating receipt</t>
        </is>
      </c>
      <c r="H70" s="46" t="n">
        <v>731300</v>
      </c>
      <c r="I70" s="27" t="inlineStr"/>
      <c r="J70" s="27" t="inlineStr">
        <is>
          <t>foreign currency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TRY-00736</t>
        </is>
      </c>
      <c r="B71" s="27" t="inlineStr">
        <is>
          <t>Layered FX hedge plan</t>
        </is>
      </c>
      <c r="C71" s="27" t="inlineStr">
        <is>
          <t>Approved natural FX offsets</t>
        </is>
      </c>
      <c r="D71" s="27" t="inlineStr">
        <is>
          <t>EUR equipment</t>
        </is>
      </c>
      <c r="E71" s="27" t="inlineStr">
        <is>
          <t>2026-05 working copy</t>
        </is>
      </c>
      <c r="F71" s="27" t="inlineStr">
        <is>
          <t>Approved case</t>
        </is>
      </c>
      <c r="G71" s="27" t="inlineStr">
        <is>
          <t>Same-currency operating receipt</t>
        </is>
      </c>
      <c r="H71" s="46" t="n">
        <v>499200</v>
      </c>
      <c r="I71" s="27" t="inlineStr"/>
      <c r="J71" s="27" t="inlineStr">
        <is>
          <t>foreign currency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TRY-00737</t>
        </is>
      </c>
      <c r="B72" s="27" t="inlineStr">
        <is>
          <t>Layered FX hedge plan</t>
        </is>
      </c>
      <c r="C72" s="27" t="inlineStr">
        <is>
          <t>FX risk policy</t>
        </is>
      </c>
      <c r="D72" s="27" t="inlineStr">
        <is>
          <t>Alder Ridge</t>
        </is>
      </c>
      <c r="E72" s="27" t="inlineStr">
        <is>
          <t>FY27</t>
        </is>
      </c>
      <c r="F72" s="27" t="inlineStr">
        <is>
          <t>Management stretch</t>
        </is>
      </c>
      <c r="G72" s="27" t="inlineStr">
        <is>
          <t>Maximum Bank A hedge notional at budget USD</t>
        </is>
      </c>
      <c r="H72" s="46" t="n">
        <v>3412500</v>
      </c>
      <c r="I72" s="27" t="inlineStr"/>
      <c r="J72" s="27" t="inlineStr">
        <is>
          <t>USD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</sheetData>
  <autoFilter ref="A4:M72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Bank Economics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TRY-00261</t>
        </is>
      </c>
      <c r="B5" s="27" t="inlineStr">
        <is>
          <t>Bank RFP economics and relationship recommendation</t>
        </is>
      </c>
      <c r="C5" s="27" t="inlineStr">
        <is>
          <t>Bank proposals</t>
        </is>
      </c>
      <c r="D5" s="27" t="inlineStr">
        <is>
          <t>Bank A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Annual treasury service fees</t>
        </is>
      </c>
      <c r="H5" s="46" t="n">
        <v>84460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TRY-00262</t>
        </is>
      </c>
      <c r="B6" s="27" t="inlineStr">
        <is>
          <t>Bank RFP economics and relationship recommendation</t>
        </is>
      </c>
      <c r="C6" s="27" t="inlineStr">
        <is>
          <t>Bank proposals</t>
        </is>
      </c>
      <c r="D6" s="27" t="inlineStr">
        <is>
          <t>Bank A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Positive pay capability</t>
        </is>
      </c>
      <c r="H6" s="46" t="n">
        <v>1.04</v>
      </c>
      <c r="I6" s="27" t="inlineStr"/>
      <c r="J6" s="27" t="inlineStr">
        <is>
          <t>boolean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TRY-00263</t>
        </is>
      </c>
      <c r="B7" s="27" t="inlineStr">
        <is>
          <t>Bank RFP economics and relationship recommendation</t>
        </is>
      </c>
      <c r="C7" s="27" t="inlineStr">
        <is>
          <t>Bank proposals</t>
        </is>
      </c>
      <c r="D7" s="27" t="inlineStr">
        <is>
          <t>Bank B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Lockbox capability</t>
        </is>
      </c>
      <c r="H7" s="46" t="n">
        <v>1.05</v>
      </c>
      <c r="I7" s="27" t="inlineStr"/>
      <c r="J7" s="27" t="inlineStr">
        <is>
          <t>boolean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TRY-00264</t>
        </is>
      </c>
      <c r="B8" s="27" t="inlineStr">
        <is>
          <t>Bank RFP economics and relationship recommendation</t>
        </is>
      </c>
      <c r="C8" s="27" t="inlineStr">
        <is>
          <t>Bank proposals</t>
        </is>
      </c>
      <c r="D8" s="27" t="inlineStr">
        <is>
          <t>Bank C</t>
        </is>
      </c>
      <c r="E8" s="27" t="inlineStr">
        <is>
          <t>FY27</t>
        </is>
      </c>
      <c r="F8" s="27" t="inlineStr">
        <is>
          <t>Management stretch</t>
        </is>
      </c>
      <c r="G8" s="27" t="inlineStr">
        <is>
          <t>Implementation cost</t>
        </is>
      </c>
      <c r="H8" s="46" t="n">
        <v>144.2</v>
      </c>
      <c r="I8" s="27" t="inlineStr"/>
      <c r="J8" s="27" t="inlineStr">
        <is>
          <t>USD thousands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TRY-00265</t>
        </is>
      </c>
      <c r="B9" s="27" t="inlineStr">
        <is>
          <t>Bank RFP economics and relationship recommendation</t>
        </is>
      </c>
      <c r="C9" s="27" t="inlineStr">
        <is>
          <t>Bank proposals</t>
        </is>
      </c>
      <c r="D9" s="27" t="inlineStr">
        <is>
          <t>Bank A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Annual treasury service fees</t>
        </is>
      </c>
      <c r="H9" s="46" t="n">
        <v>85280</v>
      </c>
      <c r="I9" s="27" t="inlineStr"/>
      <c r="J9" s="27" t="inlineStr">
        <is>
          <t>USD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TRY-00266</t>
        </is>
      </c>
      <c r="B10" s="27" t="inlineStr">
        <is>
          <t>Bank RFP economics and relationship recommendation</t>
        </is>
      </c>
      <c r="C10" s="27" t="inlineStr">
        <is>
          <t>Bank proposals</t>
        </is>
      </c>
      <c r="D10" s="27" t="inlineStr">
        <is>
          <t>Bank A</t>
        </is>
      </c>
      <c r="E10" s="27" t="inlineStr">
        <is>
          <t>FY27</t>
        </is>
      </c>
      <c r="F10" s="27" t="inlineStr">
        <is>
          <t>Management stretch</t>
        </is>
      </c>
      <c r="G10" s="27" t="inlineStr">
        <is>
          <t>Positive pay capability</t>
        </is>
      </c>
      <c r="H10" s="46" t="n">
        <v>1.05</v>
      </c>
      <c r="I10" s="27" t="inlineStr"/>
      <c r="J10" s="27" t="inlineStr">
        <is>
          <t>boolean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TRY-00267</t>
        </is>
      </c>
      <c r="B11" s="27" t="inlineStr">
        <is>
          <t>Bank RFP economics and relationship recommendation</t>
        </is>
      </c>
      <c r="C11" s="27" t="inlineStr">
        <is>
          <t>Bank proposals</t>
        </is>
      </c>
      <c r="D11" s="27" t="inlineStr">
        <is>
          <t>Bank B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Lockbox capability</t>
        </is>
      </c>
      <c r="H11" s="46" t="n">
        <v>1.03</v>
      </c>
      <c r="I11" s="27" t="inlineStr"/>
      <c r="J11" s="27" t="inlineStr">
        <is>
          <t>boolean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TRY-00268</t>
        </is>
      </c>
      <c r="B12" s="27" t="inlineStr">
        <is>
          <t>Bank RFP economics and relationship recommendation</t>
        </is>
      </c>
      <c r="C12" s="27" t="inlineStr">
        <is>
          <t>Bank proposals</t>
        </is>
      </c>
      <c r="D12" s="27" t="inlineStr">
        <is>
          <t>Bank C</t>
        </is>
      </c>
      <c r="E12" s="27" t="inlineStr">
        <is>
          <t>FY27</t>
        </is>
      </c>
      <c r="F12" s="27" t="inlineStr">
        <is>
          <t>Management stretch</t>
        </is>
      </c>
      <c r="G12" s="27" t="inlineStr">
        <is>
          <t>Implementation cost</t>
        </is>
      </c>
      <c r="H12" s="46" t="n">
        <v>145.6</v>
      </c>
      <c r="I12" s="27" t="inlineStr"/>
      <c r="J12" s="27" t="inlineStr">
        <is>
          <t>USD thousands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TRY-00269</t>
        </is>
      </c>
      <c r="B13" s="27" t="inlineStr">
        <is>
          <t>Bank RFP economics and relationship recommendation</t>
        </is>
      </c>
      <c r="C13" s="27" t="inlineStr">
        <is>
          <t>Bank proposals</t>
        </is>
      </c>
      <c r="D13" s="27" t="inlineStr">
        <is>
          <t>Bank A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Annual treasury service fees</t>
        </is>
      </c>
      <c r="H13" s="46" t="n">
        <v>86100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TRY-00270</t>
        </is>
      </c>
      <c r="B14" s="27" t="inlineStr">
        <is>
          <t>Bank RFP economics and relationship recommendation</t>
        </is>
      </c>
      <c r="C14" s="27" t="inlineStr">
        <is>
          <t>Bank proposals</t>
        </is>
      </c>
      <c r="D14" s="27" t="inlineStr">
        <is>
          <t>Bank A</t>
        </is>
      </c>
      <c r="E14" s="27" t="inlineStr">
        <is>
          <t>FY27</t>
        </is>
      </c>
      <c r="F14" s="27" t="inlineStr">
        <is>
          <t>Management stretch</t>
        </is>
      </c>
      <c r="G14" s="27" t="inlineStr">
        <is>
          <t>Positive pay capability</t>
        </is>
      </c>
      <c r="H14" s="46" t="n">
        <v>1.03</v>
      </c>
      <c r="I14" s="27" t="inlineStr"/>
      <c r="J14" s="27" t="inlineStr">
        <is>
          <t>boolean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TRY-00485</t>
        </is>
      </c>
      <c r="B15" s="27" t="inlineStr">
        <is>
          <t>Bank relationship profitability scorecard</t>
        </is>
      </c>
      <c r="C15" s="27" t="inlineStr">
        <is>
          <t>Bank relationship economics</t>
        </is>
      </c>
      <c r="D15" s="27" t="inlineStr">
        <is>
          <t>Bank A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Average deposits</t>
        </is>
      </c>
      <c r="H15" s="46" t="n">
        <v>5253</v>
      </c>
      <c r="I15" s="27" t="inlineStr"/>
      <c r="J15" s="27" t="inlineStr">
        <is>
          <t>USD thousands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TRY-00486</t>
        </is>
      </c>
      <c r="B16" s="27" t="inlineStr">
        <is>
          <t>Bank relationship profitability scorecard</t>
        </is>
      </c>
      <c r="C16" s="27" t="inlineStr">
        <is>
          <t>Bank relationship economics</t>
        </is>
      </c>
      <c r="D16" s="27" t="inlineStr">
        <is>
          <t>Bank B</t>
        </is>
      </c>
      <c r="E16" s="27" t="inlineStr">
        <is>
          <t>FY27</t>
        </is>
      </c>
      <c r="F16" s="27" t="inlineStr">
        <is>
          <t>Management stretch</t>
        </is>
      </c>
      <c r="G16" s="27" t="inlineStr">
        <is>
          <t>Credit economics</t>
        </is>
      </c>
      <c r="H16" s="46" t="n">
        <v>353600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TRY-00487</t>
        </is>
      </c>
      <c r="B17" s="27" t="inlineStr">
        <is>
          <t>Bank relationship profitability scorecard</t>
        </is>
      </c>
      <c r="C17" s="27" t="inlineStr">
        <is>
          <t>Bank relationship economics</t>
        </is>
      </c>
      <c r="D17" s="27" t="inlineStr">
        <is>
          <t>Bank C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Relationship risk cost</t>
        </is>
      </c>
      <c r="H17" s="46" t="n">
        <v>36750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TRY-00488</t>
        </is>
      </c>
      <c r="B18" s="27" t="inlineStr">
        <is>
          <t>Bank relationship profitability scorecard</t>
        </is>
      </c>
      <c r="C18" s="27" t="inlineStr">
        <is>
          <t>Bank relationship economics</t>
        </is>
      </c>
      <c r="D18" s="27" t="inlineStr">
        <is>
          <t>Bank A</t>
        </is>
      </c>
      <c r="E18" s="27" t="inlineStr">
        <is>
          <t>FY27</t>
        </is>
      </c>
      <c r="F18" s="27" t="inlineStr">
        <is>
          <t>Management stretch</t>
        </is>
      </c>
      <c r="G18" s="27" t="inlineStr">
        <is>
          <t>Credit economics</t>
        </is>
      </c>
      <c r="H18" s="46" t="n">
        <v>293550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TRY-00489</t>
        </is>
      </c>
      <c r="B19" s="27" t="inlineStr">
        <is>
          <t>Bank relationship profitability scorecard</t>
        </is>
      </c>
      <c r="C19" s="27" t="inlineStr">
        <is>
          <t>Bank relationship economics</t>
        </is>
      </c>
      <c r="D19" s="27" t="inlineStr">
        <is>
          <t>Bank B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Relationship risk cost</t>
        </is>
      </c>
      <c r="H19" s="46" t="n">
        <v>124.8</v>
      </c>
      <c r="I19" s="27" t="inlineStr"/>
      <c r="J19" s="27" t="inlineStr">
        <is>
          <t>USD thousands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TRY-00490</t>
        </is>
      </c>
      <c r="B20" s="27" t="inlineStr">
        <is>
          <t>Bank relationship profitability scorecard</t>
        </is>
      </c>
      <c r="C20" s="27" t="inlineStr">
        <is>
          <t>Treasury concentration policy</t>
        </is>
      </c>
      <c r="D20" s="27" t="inlineStr">
        <is>
          <t>Portfolio</t>
        </is>
      </c>
      <c r="E20" s="27" t="inlineStr">
        <is>
          <t>FY27</t>
        </is>
      </c>
      <c r="F20" s="27" t="inlineStr">
        <is>
          <t>Management stretch</t>
        </is>
      </c>
      <c r="G20" s="27" t="inlineStr">
        <is>
          <t>Maximum credit concentration</t>
        </is>
      </c>
      <c r="H20" s="46" t="n">
        <v>0.525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TRY-00491</t>
        </is>
      </c>
      <c r="B21" s="27" t="inlineStr">
        <is>
          <t>Bank relationship profitability scorecard</t>
        </is>
      </c>
      <c r="C21" s="27" t="inlineStr">
        <is>
          <t>Bank relationship economics</t>
        </is>
      </c>
      <c r="D21" s="27" t="inlineStr">
        <is>
          <t>Bank A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Relationship risk cost</t>
        </is>
      </c>
      <c r="H21" s="46" t="n">
        <v>97850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TRY-00492</t>
        </is>
      </c>
      <c r="B22" s="27" t="inlineStr">
        <is>
          <t>Bank relationship profitability scorecard</t>
        </is>
      </c>
      <c r="C22" s="27" t="inlineStr">
        <is>
          <t>Bank relationship economics</t>
        </is>
      </c>
      <c r="D22" s="27" t="inlineStr">
        <is>
          <t>Bank C</t>
        </is>
      </c>
      <c r="E22" s="27" t="inlineStr">
        <is>
          <t>FY27</t>
        </is>
      </c>
      <c r="F22" s="27" t="inlineStr">
        <is>
          <t>Management stretch</t>
        </is>
      </c>
      <c r="G22" s="27" t="inlineStr">
        <is>
          <t>Committed credit</t>
        </is>
      </c>
      <c r="H22" s="46" t="n">
        <v>3432000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</sheetData>
  <autoFilter ref="A4:M22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treasury, banking, and credit outlook | Credit Outlook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TRY-048X10</t>
        </is>
      </c>
      <c r="B5" s="27" t="inlineStr">
        <is>
          <t>FY27 covenant outlook</t>
        </is>
      </c>
      <c r="C5" s="27" t="inlineStr">
        <is>
          <t>Opening Balances</t>
        </is>
      </c>
      <c r="D5" s="27" t="inlineStr">
        <is>
          <t>Consolidated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Opening tangible net worth</t>
        </is>
      </c>
      <c r="H5" s="46" t="n">
        <v>3502</v>
      </c>
      <c r="I5" s="27" t="inlineStr"/>
      <c r="J5" s="27" t="inlineStr">
        <is>
          <t>USD thousands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TRY-048X11</t>
        </is>
      </c>
      <c r="B6" s="27" t="inlineStr">
        <is>
          <t>FY27 covenant outlook</t>
        </is>
      </c>
      <c r="C6" s="27" t="inlineStr">
        <is>
          <t>Forecast Inputs</t>
        </is>
      </c>
      <c r="D6" s="27" t="inlineStr">
        <is>
          <t>Consolidated</t>
        </is>
      </c>
      <c r="E6" s="27" t="inlineStr">
        <is>
          <t>2026-Q3</t>
        </is>
      </c>
      <c r="F6" s="27" t="inlineStr">
        <is>
          <t>Management stretch</t>
        </is>
      </c>
      <c r="G6" s="27" t="inlineStr">
        <is>
          <t>Scheduled debt repayment</t>
        </is>
      </c>
      <c r="H6" s="46" t="n">
        <v>676000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TRY-048X12</t>
        </is>
      </c>
      <c r="B7" s="27" t="inlineStr">
        <is>
          <t>FY27 covenant outlook</t>
        </is>
      </c>
      <c r="C7" s="27" t="inlineStr">
        <is>
          <t>Forecast Inputs</t>
        </is>
      </c>
      <c r="D7" s="27" t="inlineStr">
        <is>
          <t>Consolidated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Distributions</t>
        </is>
      </c>
      <c r="H7" s="46" t="n">
        <v>105000</v>
      </c>
      <c r="I7" s="27" t="inlineStr"/>
      <c r="J7" s="27" t="inlineStr">
        <is>
          <t>USD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TRY-048X13</t>
        </is>
      </c>
      <c r="B8" s="27" t="inlineStr">
        <is>
          <t>FY27 covenant outlook</t>
        </is>
      </c>
      <c r="C8" s="27" t="inlineStr">
        <is>
          <t>Forecast Inputs</t>
        </is>
      </c>
      <c r="D8" s="27" t="inlineStr">
        <is>
          <t>Consolidated</t>
        </is>
      </c>
      <c r="E8" s="27" t="inlineStr">
        <is>
          <t>2027-Q1</t>
        </is>
      </c>
      <c r="F8" s="27" t="inlineStr">
        <is>
          <t>Management stretch</t>
        </is>
      </c>
      <c r="G8" s="27" t="inlineStr">
        <is>
          <t>Cash taxes</t>
        </is>
      </c>
      <c r="H8" s="46" t="n">
        <v>344020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TRY-048X14</t>
        </is>
      </c>
      <c r="B9" s="27" t="inlineStr">
        <is>
          <t>FY27 covenant outlook</t>
        </is>
      </c>
      <c r="C9" s="27" t="inlineStr">
        <is>
          <t>Forecast Inputs</t>
        </is>
      </c>
      <c r="D9" s="27" t="inlineStr">
        <is>
          <t>Consolidated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Unfunded capital expenditures</t>
        </is>
      </c>
      <c r="H9" s="46" t="n">
        <v>904.8</v>
      </c>
      <c r="I9" s="27" t="inlineStr"/>
      <c r="J9" s="27" t="inlineStr">
        <is>
          <t>USD thousands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TRY-048X15</t>
        </is>
      </c>
      <c r="B10" s="27" t="inlineStr">
        <is>
          <t>FY27 covenant outlook</t>
        </is>
      </c>
      <c r="C10" s="27" t="inlineStr">
        <is>
          <t>Forecast Inputs</t>
        </is>
      </c>
      <c r="D10" s="27" t="inlineStr">
        <is>
          <t>Consolidated</t>
        </is>
      </c>
      <c r="E10" s="27" t="inlineStr">
        <is>
          <t>2027-Q3</t>
        </is>
      </c>
      <c r="F10" s="27" t="inlineStr">
        <is>
          <t>Management stretch</t>
        </is>
      </c>
      <c r="G10" s="27" t="inlineStr">
        <is>
          <t>Cash interest</t>
        </is>
      </c>
      <c r="H10" s="46" t="n">
        <v>569100</v>
      </c>
      <c r="I10" s="27" t="inlineStr"/>
      <c r="J10" s="27" t="inlineStr">
        <is>
          <t>USD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TRY-048X16</t>
        </is>
      </c>
      <c r="B11" s="27" t="inlineStr">
        <is>
          <t>FY27 covenant outlook</t>
        </is>
      </c>
      <c r="C11" s="27" t="inlineStr">
        <is>
          <t>Forecast Inputs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Quarterly covenant EBITDA</t>
        </is>
      </c>
      <c r="H11" s="46" t="n">
        <v>2451400</v>
      </c>
      <c r="I11" s="27" t="inlineStr"/>
      <c r="J11" s="27" t="inlineStr">
        <is>
          <t>USD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TRY-048X17</t>
        </is>
      </c>
      <c r="B12" s="27" t="inlineStr">
        <is>
          <t>FY27 covenant outlook</t>
        </is>
      </c>
      <c r="C12" s="27" t="inlineStr">
        <is>
          <t>Forecast Inputs</t>
        </is>
      </c>
      <c r="D12" s="27" t="inlineStr">
        <is>
          <t>Consolidated</t>
        </is>
      </c>
      <c r="E12" s="27" t="inlineStr">
        <is>
          <t>2027-Q4</t>
        </is>
      </c>
      <c r="F12" s="27" t="inlineStr">
        <is>
          <t>Management stretch</t>
        </is>
      </c>
      <c r="G12" s="27" t="inlineStr">
        <is>
          <t>Operating cash generation before interest, taxes, capex, distributions, and debt service</t>
        </is>
      </c>
      <c r="H12" s="46" t="n">
        <v>1227200</v>
      </c>
      <c r="I12" s="27" t="inlineStr"/>
      <c r="J12" s="27" t="inlineStr">
        <is>
          <t>USD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TRY-048X18</t>
        </is>
      </c>
      <c r="B13" s="27" t="inlineStr">
        <is>
          <t>FY27 covenant outlook</t>
        </is>
      </c>
      <c r="C13" s="27" t="inlineStr">
        <is>
          <t>Forecast Inputs</t>
        </is>
      </c>
      <c r="D13" s="27" t="inlineStr">
        <is>
          <t>Consolidated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Quarterly net income</t>
        </is>
      </c>
      <c r="H13" s="46" t="n">
        <v>-210</v>
      </c>
      <c r="I13" s="27" t="inlineStr"/>
      <c r="J13" s="27" t="inlineStr">
        <is>
          <t>USD thousands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TRY-048X19</t>
        </is>
      </c>
      <c r="B14" s="27" t="inlineStr">
        <is>
          <t>FY27 covenant outlook</t>
        </is>
      </c>
      <c r="C14" s="27" t="inlineStr">
        <is>
          <t>Forecast Inputs</t>
        </is>
      </c>
      <c r="D14" s="27" t="inlineStr">
        <is>
          <t>Consolidated</t>
        </is>
      </c>
      <c r="E14" s="27" t="inlineStr">
        <is>
          <t>2028-Q2</t>
        </is>
      </c>
      <c r="F14" s="27" t="inlineStr">
        <is>
          <t>Management stretch</t>
        </is>
      </c>
      <c r="G14" s="27" t="inlineStr">
        <is>
          <t>Scheduled debt repayment</t>
        </is>
      </c>
      <c r="H14" s="46" t="n">
        <v>669500</v>
      </c>
      <c r="I14" s="27" t="inlineStr"/>
      <c r="J14" s="27" t="inlineStr">
        <is>
          <t>USD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TRY-048X20</t>
        </is>
      </c>
      <c r="B15" s="27" t="inlineStr">
        <is>
          <t>FY27 covenant outlook</t>
        </is>
      </c>
      <c r="C15" s="27" t="inlineStr">
        <is>
          <t>Covenant policy</t>
        </is>
      </c>
      <c r="D15" s="27" t="inlineStr">
        <is>
          <t>Credit agreement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Downside net-income conversion tax rate</t>
        </is>
      </c>
      <c r="H15" s="46" t="n">
        <v>0.2704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TRY-048X21</t>
        </is>
      </c>
      <c r="B16" s="27" t="inlineStr">
        <is>
          <t>FY27 covenant outlook</t>
        </is>
      </c>
      <c r="C16" s="27" t="inlineStr">
        <is>
          <t>Covenant Downside</t>
        </is>
      </c>
      <c r="D16" s="27" t="inlineStr">
        <is>
          <t>Consolidated</t>
        </is>
      </c>
      <c r="E16" s="27" t="inlineStr">
        <is>
          <t>2026-Q4</t>
        </is>
      </c>
      <c r="F16" s="27" t="inlineStr">
        <is>
          <t>Management stretch</t>
        </is>
      </c>
      <c r="G16" s="27" t="inlineStr">
        <is>
          <t>Unfunded capex increment</t>
        </is>
      </c>
      <c r="H16" s="46" t="n">
        <v>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TRY-00458</t>
        </is>
      </c>
      <c r="B17" s="27" t="inlineStr">
        <is>
          <t>Credit metrics and incremental debt capacity</t>
        </is>
      </c>
      <c r="C17" s="27" t="inlineStr">
        <is>
          <t>Credit population</t>
        </is>
      </c>
      <c r="D17" s="27" t="inlineStr">
        <is>
          <t>Committed acquisition facility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Pro forma funded draw</t>
        </is>
      </c>
      <c r="H17" s="46" t="n">
        <v>24720</v>
      </c>
      <c r="I17" s="27" t="inlineStr"/>
      <c r="J17" s="27" t="inlineStr">
        <is>
          <t>USD thousands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TRY-00459</t>
        </is>
      </c>
      <c r="B18" s="27" t="inlineStr">
        <is>
          <t>Credit metrics and incremental debt capacity</t>
        </is>
      </c>
      <c r="C18" s="27" t="inlineStr">
        <is>
          <t>Credit policy</t>
        </is>
      </c>
      <c r="D18" s="27" t="inlineStr">
        <is>
          <t>Alder Ridge</t>
        </is>
      </c>
      <c r="E18" s="27" t="inlineStr">
        <is>
          <t>LTM 2026-06-30</t>
        </is>
      </c>
      <c r="F18" s="27" t="inlineStr">
        <is>
          <t>Management stretch</t>
        </is>
      </c>
      <c r="G18" s="27" t="inlineStr">
        <is>
          <t>Tangible net worth</t>
        </is>
      </c>
      <c r="H18" s="46" t="n">
        <v>24024000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TRY-00460</t>
        </is>
      </c>
      <c r="B19" s="27" t="inlineStr">
        <is>
          <t>Credit metrics and incremental debt capacity</t>
        </is>
      </c>
      <c r="C19" s="27" t="inlineStr">
        <is>
          <t>Credit population</t>
        </is>
      </c>
      <c r="D19" s="27" t="inlineStr">
        <is>
          <t>Committed acquisition facility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Pro forma funded draw</t>
        </is>
      </c>
      <c r="H19" s="46" t="n">
        <v>25200000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TRY-00461</t>
        </is>
      </c>
      <c r="B20" s="27" t="inlineStr">
        <is>
          <t>Credit metrics and incremental debt capacity</t>
        </is>
      </c>
      <c r="C20" s="27" t="inlineStr">
        <is>
          <t>Credit policy</t>
        </is>
      </c>
      <c r="D20" s="27" t="inlineStr">
        <is>
          <t>Alder Ridge</t>
        </is>
      </c>
      <c r="E20" s="27" t="inlineStr">
        <is>
          <t>LTM 2026-06-30</t>
        </is>
      </c>
      <c r="F20" s="27" t="inlineStr">
        <is>
          <t>Management stretch</t>
        </is>
      </c>
      <c r="G20" s="27" t="inlineStr">
        <is>
          <t>Tangible net worth</t>
        </is>
      </c>
      <c r="H20" s="46" t="n">
        <v>23793000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TRY-00462</t>
        </is>
      </c>
      <c r="B21" s="27" t="inlineStr">
        <is>
          <t>Credit metrics and incremental debt capacity</t>
        </is>
      </c>
      <c r="C21" s="27" t="inlineStr">
        <is>
          <t>Credit population</t>
        </is>
      </c>
      <c r="D21" s="27" t="inlineStr">
        <is>
          <t>Committed acquisition facility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Pro forma funded draw</t>
        </is>
      </c>
      <c r="H21" s="46" t="n">
        <v>24960</v>
      </c>
      <c r="I21" s="27" t="inlineStr"/>
      <c r="J21" s="27" t="inlineStr">
        <is>
          <t>USD thousands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TRY-00463</t>
        </is>
      </c>
      <c r="B22" s="27" t="inlineStr">
        <is>
          <t>Credit metrics and incremental debt capacity</t>
        </is>
      </c>
      <c r="C22" s="27" t="inlineStr">
        <is>
          <t>Credit policy</t>
        </is>
      </c>
      <c r="D22" s="27" t="inlineStr">
        <is>
          <t>Alder Ridge</t>
        </is>
      </c>
      <c r="E22" s="27" t="inlineStr">
        <is>
          <t>LTM 2026-06-30</t>
        </is>
      </c>
      <c r="F22" s="27" t="inlineStr">
        <is>
          <t>Management stretch</t>
        </is>
      </c>
      <c r="G22" s="27" t="inlineStr">
        <is>
          <t>Tangible net worth</t>
        </is>
      </c>
      <c r="H22" s="46" t="n">
        <v>24255000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TRY-00464</t>
        </is>
      </c>
      <c r="B23" s="27" t="inlineStr">
        <is>
          <t>Credit metrics and incremental debt capacity</t>
        </is>
      </c>
      <c r="C23" s="27" t="inlineStr">
        <is>
          <t>Credit population</t>
        </is>
      </c>
      <c r="D23" s="27" t="inlineStr">
        <is>
          <t>Committed acquisition facility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Pro forma funded draw</t>
        </is>
      </c>
      <c r="H23" s="46" t="n">
        <v>24720000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TRY-00465</t>
        </is>
      </c>
      <c r="B24" s="27" t="inlineStr">
        <is>
          <t>Credit metrics and incremental debt capacity</t>
        </is>
      </c>
      <c r="C24" s="27" t="inlineStr">
        <is>
          <t>Credit policy</t>
        </is>
      </c>
      <c r="D24" s="27" t="inlineStr">
        <is>
          <t>Alder Ridge</t>
        </is>
      </c>
      <c r="E24" s="27" t="inlineStr">
        <is>
          <t>LTM 2026-06-30</t>
        </is>
      </c>
      <c r="F24" s="27" t="inlineStr">
        <is>
          <t>Management stretch</t>
        </is>
      </c>
      <c r="G24" s="27" t="inlineStr">
        <is>
          <t>Tangible net worth</t>
        </is>
      </c>
      <c r="H24" s="46" t="n">
        <v>24024000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TRY-00763</t>
        </is>
      </c>
      <c r="B25" s="27" t="inlineStr">
        <is>
          <t>ABL borrowing base and covenant cure</t>
        </is>
      </c>
      <c r="C25" s="27" t="inlineStr">
        <is>
          <t>ABL borrowing base</t>
        </is>
      </c>
      <c r="D25" s="27" t="inlineStr">
        <is>
          <t>Eligible accounts receivable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Gross eligible collateral</t>
        </is>
      </c>
      <c r="H25" s="46" t="n">
        <v>12205500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TRY-00764</t>
        </is>
      </c>
      <c r="B26" s="27" t="inlineStr">
        <is>
          <t>ABL borrowing base and covenant cure</t>
        </is>
      </c>
      <c r="C26" s="27" t="inlineStr">
        <is>
          <t>ABL borrowing base</t>
        </is>
      </c>
      <c r="D26" s="27" t="inlineStr">
        <is>
          <t>Eligible equipment</t>
        </is>
      </c>
      <c r="E26" s="27" t="inlineStr">
        <is>
          <t>2026-06-30</t>
        </is>
      </c>
      <c r="F26" s="27" t="inlineStr">
        <is>
          <t>Management stretch</t>
        </is>
      </c>
      <c r="G26" s="27" t="inlineStr">
        <is>
          <t>Advance rate</t>
        </is>
      </c>
      <c r="H26" s="46" t="n">
        <v>0.364</v>
      </c>
      <c r="I26" s="27" t="inlineStr"/>
      <c r="J26" s="27" t="inlineStr">
        <is>
          <t>decimal ratio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TRY-00765</t>
        </is>
      </c>
      <c r="B27" s="27" t="inlineStr">
        <is>
          <t>ABL borrowing base and covenant cure</t>
        </is>
      </c>
      <c r="C27" s="27" t="inlineStr">
        <is>
          <t>ABL covenant inputs</t>
        </is>
      </c>
      <c r="D27" s="27" t="inlineStr">
        <is>
          <t>Alder Ridge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Existing letters of credit</t>
        </is>
      </c>
      <c r="H27" s="46" t="n">
        <v>892.5</v>
      </c>
      <c r="I27" s="27" t="inlineStr"/>
      <c r="J27" s="27" t="inlineStr">
        <is>
          <t>USD thousands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TRY-00766</t>
        </is>
      </c>
      <c r="B28" s="27" t="inlineStr">
        <is>
          <t>ABL borrowing base and covenant cure</t>
        </is>
      </c>
      <c r="C28" s="27" t="inlineStr">
        <is>
          <t>ABL covenant inputs</t>
        </is>
      </c>
      <c r="D28" s="27" t="inlineStr">
        <is>
          <t>Alder Ridge</t>
        </is>
      </c>
      <c r="E28" s="27" t="inlineStr">
        <is>
          <t>2026-06-30</t>
        </is>
      </c>
      <c r="F28" s="27" t="inlineStr">
        <is>
          <t>Management stretch</t>
        </is>
      </c>
      <c r="G28" s="27" t="inlineStr">
        <is>
          <t>Scheduled principal</t>
        </is>
      </c>
      <c r="H28" s="46" t="n">
        <v>844600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TRY-00767</t>
        </is>
      </c>
      <c r="B29" s="27" t="inlineStr">
        <is>
          <t>ABL borrowing base and covenant cure</t>
        </is>
      </c>
      <c r="C29" s="27" t="inlineStr">
        <is>
          <t>ABL borrowing base</t>
        </is>
      </c>
      <c r="D29" s="27" t="inlineStr">
        <is>
          <t>Eligible inventory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Gross eligible collateral</t>
        </is>
      </c>
      <c r="H29" s="46" t="n">
        <v>3744000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TRY-00768</t>
        </is>
      </c>
      <c r="B30" s="27" t="inlineStr">
        <is>
          <t>ABL borrowing base and covenant cure</t>
        </is>
      </c>
      <c r="C30" s="27" t="inlineStr">
        <is>
          <t>ABL eligibility exclusions</t>
        </is>
      </c>
      <c r="D30" s="27" t="inlineStr">
        <is>
          <t>Cross-aged customers</t>
        </is>
      </c>
      <c r="E30" s="27" t="inlineStr">
        <is>
          <t>2026-06-30</t>
        </is>
      </c>
      <c r="F30" s="27" t="inlineStr">
        <is>
          <t>Management stretch</t>
        </is>
      </c>
      <c r="G30" s="27" t="inlineStr">
        <is>
          <t>Excluded amount</t>
        </is>
      </c>
      <c r="H30" s="46" t="n">
        <v>567000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TRY-00769</t>
        </is>
      </c>
      <c r="B31" s="27" t="inlineStr">
        <is>
          <t>ABL borrowing base and covenant cure</t>
        </is>
      </c>
      <c r="C31" s="27" t="inlineStr">
        <is>
          <t>ABL covenant inputs</t>
        </is>
      </c>
      <c r="D31" s="27" t="inlineStr">
        <is>
          <t>Alder Ridge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Minimum excess availability</t>
        </is>
      </c>
      <c r="H31" s="46" t="n">
        <v>1545</v>
      </c>
      <c r="I31" s="27" t="inlineStr"/>
      <c r="J31" s="27" t="inlineStr">
        <is>
          <t>USD thousands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TRY-00770</t>
        </is>
      </c>
      <c r="B32" s="27" t="inlineStr">
        <is>
          <t>ABL borrowing base and covenant cure</t>
        </is>
      </c>
      <c r="C32" s="27" t="inlineStr">
        <is>
          <t>ABL covenant inputs</t>
        </is>
      </c>
      <c r="D32" s="27" t="inlineStr">
        <is>
          <t>Alder Ridge</t>
        </is>
      </c>
      <c r="E32" s="27" t="inlineStr">
        <is>
          <t>2026-06-30</t>
        </is>
      </c>
      <c r="F32" s="27" t="inlineStr">
        <is>
          <t>Management stretch</t>
        </is>
      </c>
      <c r="G32" s="27" t="inlineStr">
        <is>
          <t>Approved equity cure</t>
        </is>
      </c>
      <c r="H32" s="46" t="n">
        <v>650000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TRY-00771</t>
        </is>
      </c>
      <c r="B33" s="27" t="inlineStr">
        <is>
          <t>ABL borrowing base and covenant cure</t>
        </is>
      </c>
      <c r="C33" s="27" t="inlineStr">
        <is>
          <t>ABL borrowing base</t>
        </is>
      </c>
      <c r="D33" s="27" t="inlineStr">
        <is>
          <t>Eligible equipment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Gross eligible collateral</t>
        </is>
      </c>
      <c r="H33" s="46" t="n">
        <v>5460000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TRY-00772</t>
        </is>
      </c>
      <c r="B34" s="27" t="inlineStr">
        <is>
          <t>ABL borrowing base and covenant cure</t>
        </is>
      </c>
      <c r="C34" s="27" t="inlineStr">
        <is>
          <t>ABL covenant inputs</t>
        </is>
      </c>
      <c r="D34" s="27" t="inlineStr">
        <is>
          <t>Alder Ridge</t>
        </is>
      </c>
      <c r="E34" s="27" t="inlineStr">
        <is>
          <t>2026-06-30</t>
        </is>
      </c>
      <c r="F34" s="27" t="inlineStr">
        <is>
          <t>Management stretch</t>
        </is>
      </c>
      <c r="G34" s="27" t="inlineStr">
        <is>
          <t>Facility commitment</t>
        </is>
      </c>
      <c r="H34" s="46" t="n">
        <v>12360000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TRY-00773</t>
        </is>
      </c>
      <c r="B35" s="27" t="inlineStr">
        <is>
          <t>ABL borrowing base and covenant cure</t>
        </is>
      </c>
      <c r="C35" s="27" t="inlineStr">
        <is>
          <t>ABL covenant inputs</t>
        </is>
      </c>
      <c r="D35" s="27" t="inlineStr">
        <is>
          <t>Alder Ridge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Cash interest</t>
        </is>
      </c>
      <c r="H35" s="46" t="n">
        <v>686.4</v>
      </c>
      <c r="I35" s="27" t="inlineStr"/>
      <c r="J35" s="27" t="inlineStr">
        <is>
          <t>USD thousands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TRY-00774</t>
        </is>
      </c>
      <c r="B36" s="27" t="inlineStr">
        <is>
          <t>ABL borrowing base and covenant cure</t>
        </is>
      </c>
      <c r="C36" s="27" t="inlineStr">
        <is>
          <t>ABL borrowing base</t>
        </is>
      </c>
      <c r="D36" s="27" t="inlineStr">
        <is>
          <t>Eligible accounts receivable</t>
        </is>
      </c>
      <c r="E36" s="27" t="inlineStr">
        <is>
          <t>2026-06-30</t>
        </is>
      </c>
      <c r="F36" s="27" t="inlineStr">
        <is>
          <t>Management stretch</t>
        </is>
      </c>
      <c r="G36" s="27" t="inlineStr">
        <is>
          <t>Specific reserve</t>
        </is>
      </c>
      <c r="H36" s="46" t="n">
        <v>1491000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TRY-00775</t>
        </is>
      </c>
      <c r="B37" s="27" t="inlineStr">
        <is>
          <t>ABL borrowing base and covenant cure</t>
        </is>
      </c>
      <c r="C37" s="27" t="inlineStr">
        <is>
          <t>ABL eligibility exclusions</t>
        </is>
      </c>
      <c r="D37" s="27" t="inlineStr">
        <is>
          <t>AR over 90 days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Excluded amount</t>
        </is>
      </c>
      <c r="H37" s="46" t="n">
        <v>782800</v>
      </c>
      <c r="I37" s="27" t="inlineStr"/>
      <c r="J37" s="27" t="inlineStr">
        <is>
          <t>USD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TRY-00776</t>
        </is>
      </c>
      <c r="B38" s="27" t="inlineStr">
        <is>
          <t>ABL borrowing base and covenant cure</t>
        </is>
      </c>
      <c r="C38" s="27" t="inlineStr">
        <is>
          <t>ABL covenant inputs</t>
        </is>
      </c>
      <c r="D38" s="27" t="inlineStr">
        <is>
          <t>Alder Ridge</t>
        </is>
      </c>
      <c r="E38" s="27" t="inlineStr">
        <is>
          <t>2026-06-30</t>
        </is>
      </c>
      <c r="F38" s="27" t="inlineStr">
        <is>
          <t>Management stretch</t>
        </is>
      </c>
      <c r="G38" s="27" t="inlineStr">
        <is>
          <t>Availability block</t>
        </is>
      </c>
      <c r="H38" s="46" t="n">
        <v>780000</v>
      </c>
      <c r="I38" s="27" t="inlineStr"/>
      <c r="J38" s="27" t="inlineStr">
        <is>
          <t>USD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TRY-00809</t>
        </is>
      </c>
      <c r="B39" s="27" t="inlineStr">
        <is>
          <t>ABL borrowing base and covenant cure</t>
        </is>
      </c>
      <c r="C39" s="27" t="inlineStr">
        <is>
          <t>Detailed AR collateral control</t>
        </is>
      </c>
      <c r="D39" s="27" t="inlineStr">
        <is>
          <t>Cedar Medical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Gross receivable</t>
        </is>
      </c>
      <c r="H39" s="46" t="n">
        <v>2472000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TRY-00810</t>
        </is>
      </c>
      <c r="B40" s="27" t="inlineStr">
        <is>
          <t>ABL borrowing base and covenant cure</t>
        </is>
      </c>
      <c r="C40" s="27" t="inlineStr">
        <is>
          <t>Detailed AR collateral control</t>
        </is>
      </c>
      <c r="D40" s="27" t="inlineStr">
        <is>
          <t>Helix Data Center</t>
        </is>
      </c>
      <c r="E40" s="27" t="inlineStr">
        <is>
          <t>2026-06-30</t>
        </is>
      </c>
      <c r="F40" s="27" t="inlineStr">
        <is>
          <t>Management stretch</t>
        </is>
      </c>
      <c r="G40" s="27" t="inlineStr">
        <is>
          <t>Related-party exclusion</t>
        </is>
      </c>
      <c r="H40" s="46" t="n">
        <v>0</v>
      </c>
      <c r="I40" s="27" t="inlineStr"/>
      <c r="J40" s="27" t="inlineStr">
        <is>
          <t>USD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TRY-00811</t>
        </is>
      </c>
      <c r="B41" s="27" t="inlineStr">
        <is>
          <t>ABL borrowing base and covenant cure</t>
        </is>
      </c>
      <c r="C41" s="27" t="inlineStr">
        <is>
          <t>Detailed AR collateral control</t>
        </is>
      </c>
      <c r="D41" s="27" t="inlineStr">
        <is>
          <t>Juniper Offices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Cross-aged exclusion</t>
        </is>
      </c>
      <c r="H41" s="46" t="n">
        <v>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TRY-00812</t>
        </is>
      </c>
      <c r="B42" s="27" t="inlineStr">
        <is>
          <t>ABL borrowing base and covenant cure</t>
        </is>
      </c>
      <c r="C42" s="27" t="inlineStr">
        <is>
          <t>Detailed AR collateral control</t>
        </is>
      </c>
      <c r="D42" s="27" t="inlineStr">
        <is>
          <t>Other and affiliate</t>
        </is>
      </c>
      <c r="E42" s="27" t="inlineStr">
        <is>
          <t>2026-06-30</t>
        </is>
      </c>
      <c r="F42" s="27" t="inlineStr">
        <is>
          <t>Management stretch</t>
        </is>
      </c>
      <c r="G42" s="27" t="inlineStr">
        <is>
          <t>Over 90 days</t>
        </is>
      </c>
      <c r="H42" s="46" t="n">
        <v>0</v>
      </c>
      <c r="I42" s="27" t="inlineStr"/>
      <c r="J42" s="27" t="inlineStr">
        <is>
          <t>USD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TRY-00813</t>
        </is>
      </c>
      <c r="B43" s="27" t="inlineStr">
        <is>
          <t>ABL borrowing base and covenant cure</t>
        </is>
      </c>
      <c r="C43" s="27" t="inlineStr">
        <is>
          <t>Detailed inventory collateral control</t>
        </is>
      </c>
      <c r="D43" s="27" t="inlineStr">
        <is>
          <t>Finished goods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Gross inventory</t>
        </is>
      </c>
      <c r="H43" s="46" t="n">
        <v>1144000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TRY-00814</t>
        </is>
      </c>
      <c r="B44" s="27" t="inlineStr">
        <is>
          <t>ABL borrowing base and covenant cure</t>
        </is>
      </c>
      <c r="C44" s="27" t="inlineStr">
        <is>
          <t>Detailed AR collateral control</t>
        </is>
      </c>
      <c r="D44" s="27" t="inlineStr">
        <is>
          <t>Helix Data Center</t>
        </is>
      </c>
      <c r="E44" s="27" t="inlineStr">
        <is>
          <t>2026-06-30</t>
        </is>
      </c>
      <c r="F44" s="27" t="inlineStr">
        <is>
          <t>Management stretch</t>
        </is>
      </c>
      <c r="G44" s="27" t="inlineStr">
        <is>
          <t>Gross receivable</t>
        </is>
      </c>
      <c r="H44" s="46" t="n">
        <v>3255000</v>
      </c>
      <c r="I44" s="27" t="inlineStr"/>
      <c r="J44" s="27" t="inlineStr">
        <is>
          <t>USD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</sheetData>
  <autoFilter ref="A4:M44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treasury, banking, and credit outlook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Cash and Liquidity</t>
        </is>
      </c>
      <c r="B5" s="40" t="n">
        <v>78</v>
      </c>
      <c r="C5" s="40">
        <f>COUNTA('Cash and Liquidity'!$A$5:$A$82)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Debt and Hedges</t>
        </is>
      </c>
      <c r="B6" s="41" t="n">
        <v>68</v>
      </c>
      <c r="C6" s="41">
        <f>COUNTA('Debt and Hedges'!$A$5:$A$72)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1" t="inlineStr">
        <is>
          <t>Bank Economics</t>
        </is>
      </c>
      <c r="B7" s="41" t="n">
        <v>18</v>
      </c>
      <c r="C7" s="41">
        <f>COUNTA('Bank Economics'!$A$5:$A$22)</f>
        <v/>
      </c>
      <c r="D7" s="41">
        <f>C7-B7</f>
        <v/>
      </c>
      <c r="E7" s="44">
        <f>IF(D7=0,"OK","CHECK")</f>
        <v/>
      </c>
      <c r="F7" s="41" t="inlineStr">
        <is>
          <t>PRIOR REVIEW COPY • NOT CURRENT</t>
        </is>
      </c>
    </row>
    <row r="8">
      <c r="A8" s="42" t="inlineStr">
        <is>
          <t>Credit Outlook</t>
        </is>
      </c>
      <c r="B8" s="42" t="n">
        <v>40</v>
      </c>
      <c r="C8" s="42">
        <f>COUNTA('Credit Outlook'!$A$5:$A$44)</f>
        <v/>
      </c>
      <c r="D8" s="42">
        <f>C8-B8</f>
        <v/>
      </c>
      <c r="E8" s="45">
        <f>IF(D8=0,"OK","CHECK")</f>
        <v/>
      </c>
      <c r="F8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2026-08-05T21:35:01Z</dcterms:created>
  <dcterms:modified xmlns:dcterms="http://purl.org/dc/terms/" xmlns:xsi="http://www.w3.org/2001/XMLSchema-instance" xsi:type="dcterms:W3CDTF">2026-08-05T21:35:01Z</dcterms:modified>
</cp:coreProperties>
</file>