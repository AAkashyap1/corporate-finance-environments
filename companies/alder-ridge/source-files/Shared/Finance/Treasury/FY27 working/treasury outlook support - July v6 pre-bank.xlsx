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2d5bbe110b9415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a2d8a64b3f1a4569"/>
    <x:sheet xmlns:r="http://schemas.openxmlformats.org/officeDocument/2006/relationships" name="Cash and Liquidity" sheetId="2" r:id="R43eb9cb0bd474f0d"/>
    <x:sheet xmlns:r="http://schemas.openxmlformats.org/officeDocument/2006/relationships" name="Debt and Hedges" sheetId="3" r:id="R7bfc1cedf02f4f61"/>
    <x:sheet xmlns:r="http://schemas.openxmlformats.org/officeDocument/2006/relationships" name="Bank Economics" sheetId="4" r:id="Ra83b75abda8446f0"/>
    <x:sheet xmlns:r="http://schemas.openxmlformats.org/officeDocument/2006/relationships" name="Credit Outlook" sheetId="5" r:id="R6c73ad7ede564aef"/>
    <x:sheet xmlns:r="http://schemas.openxmlformats.org/officeDocument/2006/relationships" name="Data Checks" sheetId="6" r:id="Rc468ac95279d484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.0000;[Red](#,##0.0000);-"/>
    <x:numFmt numFmtId="201" formatCode="yyyy-mm-dd"/>
  </x:numFmts>
  <x:fonts count="9">
    <x:font>
      <x:sz val="11"/>
      <x:name val="Carlito"/>
    </x:font>
    <x:font>
      <x:b/>
      <x:sz val="10"/>
      <x:color rgb="FF252321"/>
      <x:name val="Aptos"/>
    </x:font>
    <x:font>
      <x:sz val="10"/>
      <x:color rgb="FF8B3A3A"/>
      <x:name val="Aptos"/>
    </x:font>
    <x:font>
      <x:sz val="10"/>
      <x:color rgb="FF252321"/>
      <x:name val="Aptos"/>
    </x:font>
    <x:font>
      <x:b/>
      <x:sz val="15"/>
      <x:color rgb="FFFFFFFF"/>
      <x:name val="Aptos"/>
    </x:font>
    <x:font>
      <x:i/>
      <x:sz val="9"/>
      <x:color rgb="FF252321"/>
      <x:name val="Aptos"/>
    </x:font>
    <x:font>
      <x:b/>
      <x:sz val="9"/>
      <x:color rgb="FFFFFFFF"/>
      <x:name val="Aptos"/>
    </x:font>
    <x:font>
      <x:sz val="8"/>
      <x:color rgb="FF252321"/>
      <x:name val="Aptos"/>
    </x:font>
    <x:font>
      <x:sz val="9"/>
      <x:color rgb="FF252321"/>
      <x:name val="Aptos"/>
    </x:font>
  </x:fonts>
  <x:fills count="7">
    <x:fill>
      <x:patternFill patternType="none"/>
    </x:fill>
    <x:fill>
      <x:patternFill patternType="gray125"/>
    </x:fill>
    <x:fill>
      <x:patternFill patternType="solid">
        <x:fgColor rgb="FFE4ECE7"/>
      </x:patternFill>
    </x:fill>
    <x:fill>
      <x:patternFill patternType="solid">
        <x:fgColor rgb="FFF3E6D5"/>
      </x:patternFill>
    </x:fill>
    <x:fill>
      <x:patternFill patternType="solid">
        <x:fgColor rgb="FF8B5E3C"/>
      </x:patternFill>
    </x:fill>
    <x:fill>
      <x:patternFill patternType="solid">
        <x:fgColor rgb="FF5A7669"/>
      </x:patternFill>
    </x:fill>
    <x:fill>
      <x:patternFill patternType="solid">
        <x:fgColor rgb="FFFFF8E1"/>
      </x:patternFill>
    </x:fill>
  </x:fills>
  <x:borders count="10">
    <x:border/>
    <x:border>
      <x:left style="thin">
        <x:color rgb="FF2A4337"/>
      </x:left>
      <x:top style="thin">
        <x:color rgb="FF2A4337"/>
      </x:top>
      <x:bottom style="thin">
        <x:color rgb="FF2A4337"/>
      </x:bottom>
    </x:border>
    <x:border>
      <x:top style="thin">
        <x:color rgb="FF2A4337"/>
      </x:top>
      <x:bottom style="thin">
        <x:color rgb="FF2A4337"/>
      </x:bottom>
    </x:border>
    <x:border>
      <x:right style="thin">
        <x:color rgb="FF2A4337"/>
      </x:right>
      <x:top style="thin">
        <x:color rgb="FF2A4337"/>
      </x:top>
      <x:bottom style="thin">
        <x:color rgb="FF2A4337"/>
      </x:bottom>
    </x:border>
    <x:border>
      <x:bottom style="hair">
        <x:color rgb="FFD8D0C6"/>
      </x:bottom>
    </x:border>
    <x:border>
      <x:top style="hair">
        <x:color rgb="FFD8D0C6"/>
      </x:top>
      <x:bottom style="hair">
        <x:color rgb="FFD8D0C6"/>
      </x:bottom>
    </x:border>
    <x:border>
      <x:top style="hair">
        <x:color rgb="FFD8D0C6"/>
      </x:top>
    </x:border>
    <x:border>
      <x:bottom style="thin">
        <x:color rgb="FFD8D0C6"/>
      </x:bottom>
    </x:border>
    <x:border>
      <x:top style="thin">
        <x:color rgb="FFD8D0C6"/>
      </x:top>
      <x:bottom style="thin">
        <x:color rgb="FFD8D0C6"/>
      </x:bottom>
    </x:border>
    <x:border>
      <x:top style="thin">
        <x:color rgb="FFD8D0C6"/>
      </x:top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1" xfId="0" applyNumberFormat="1" applyFont="1" applyFill="1" applyBorder="1"/>
    <x:xf numFmtId="0" fontId="6" fillId="5" borderId="2" xfId="0" applyNumberFormat="1" applyFont="1" applyFill="1" applyBorder="1"/>
    <x:xf numFmtId="0" fontId="6" fillId="5" borderId="3" xfId="0" applyNumberFormat="1" applyFont="1" applyFill="1" applyBorder="1"/>
    <x:xf numFmtId="0" fontId="6" fillId="5" borderId="1" xfId="0" applyNumberFormat="1" applyFont="1" applyFill="1" applyBorder="1" applyAlignment="1">
      <x:alignment wrapText="1"/>
    </x:xf>
    <x:xf numFmtId="0" fontId="6" fillId="5" borderId="2" xfId="0" applyNumberFormat="1" applyFont="1" applyFill="1" applyBorder="1" applyAlignment="1">
      <x:alignment wrapText="1"/>
    </x:xf>
    <x:xf numFmtId="0" fontId="6" fillId="5" borderId="3" xfId="0" applyNumberFormat="1" applyFont="1" applyFill="1" applyBorder="1" applyAlignment="1">
      <x:alignment wrapText="1"/>
    </x:xf>
    <x:xf numFmtId="0" fontId="6" fillId="5" borderId="1" xfId="0" applyNumberFormat="1" applyFont="1" applyFill="1" applyBorder="1" applyAlignment="1">
      <x:alignment vertical="center" wrapText="1"/>
    </x:xf>
    <x:xf numFmtId="0" fontId="6" fillId="5" borderId="2" xfId="0" applyNumberFormat="1" applyFont="1" applyFill="1" applyBorder="1" applyAlignment="1">
      <x:alignment vertical="center" wrapText="1"/>
    </x:xf>
    <x:xf numFmtId="0" fontId="6" fillId="5" borderId="3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/>
    <x:xf numFmtId="0" fontId="7" fillId="0" borderId="4" xfId="0" applyNumberFormat="1" applyFont="1" applyFill="1" applyBorder="1"/>
    <x:xf numFmtId="0" fontId="7" fillId="0" borderId="5" xfId="0" applyNumberFormat="1" applyFont="1" applyFill="1" applyBorder="1"/>
    <x:xf numFmtId="0" fontId="7" fillId="0" borderId="6" xfId="0" applyNumberFormat="1" applyFont="1" applyFill="1" applyBorder="1"/>
    <x:xf numFmtId="0" fontId="7" fillId="0" borderId="4" xfId="0" applyNumberFormat="1" applyFont="1" applyFill="1" applyBorder="1" applyAlignment="1">
      <x:alignment vertical="center"/>
    </x:xf>
    <x:xf numFmtId="0" fontId="7" fillId="0" borderId="5" xfId="0" applyNumberFormat="1" applyFont="1" applyFill="1" applyBorder="1" applyAlignment="1">
      <x:alignment vertical="center"/>
    </x:xf>
    <x:xf numFmtId="0" fontId="7" fillId="0" borderId="6" xfId="0" applyNumberFormat="1" applyFont="1" applyFill="1" applyBorder="1" applyAlignment="1">
      <x:alignment vertical="center"/>
    </x:xf>
    <x:xf numFmtId="200" fontId="7" fillId="0" borderId="4" xfId="0" applyNumberFormat="1" applyFont="1" applyFill="1" applyBorder="1" applyAlignment="1">
      <x:alignment vertical="center"/>
    </x:xf>
    <x:xf numFmtId="200" fontId="7" fillId="0" borderId="5" xfId="0" applyNumberFormat="1" applyFont="1" applyFill="1" applyBorder="1" applyAlignment="1">
      <x:alignment vertical="center"/>
    </x:xf>
    <x:xf numFmtId="200" fontId="7" fillId="0" borderId="6" xfId="0" applyNumberFormat="1" applyFont="1" applyFill="1" applyBorder="1" applyAlignment="1">
      <x:alignment vertical="center"/>
    </x:xf>
    <x:xf numFmtId="201" fontId="7" fillId="0" borderId="4" xfId="0" applyNumberFormat="1" applyFont="1" applyFill="1" applyBorder="1" applyAlignment="1">
      <x:alignment vertical="center"/>
    </x:xf>
    <x:xf numFmtId="201" fontId="7" fillId="0" borderId="5" xfId="0" applyNumberFormat="1" applyFont="1" applyFill="1" applyBorder="1" applyAlignment="1">
      <x:alignment vertical="center"/>
    </x:xf>
    <x:xf numFmtId="201" fontId="7" fillId="0" borderId="6" xfId="0" applyNumberFormat="1" applyFont="1" applyFill="1" applyBorder="1" applyAlignment="1">
      <x:alignment vertical="center"/>
    </x:xf>
    <x:xf numFmtId="0" fontId="7" fillId="6" borderId="4" xfId="0" applyNumberFormat="1" applyFont="1" applyFill="1" applyBorder="1" applyAlignment="1">
      <x:alignment vertical="center"/>
    </x:xf>
    <x:xf numFmtId="0" fontId="7" fillId="6" borderId="5" xfId="0" applyNumberFormat="1" applyFont="1" applyFill="1" applyBorder="1" applyAlignment="1">
      <x:alignment vertical="center"/>
    </x:xf>
    <x:xf numFmtId="0" fontId="7" fillId="6" borderId="6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/>
    <x:xf numFmtId="0" fontId="8" fillId="0" borderId="7" xfId="0" applyNumberFormat="1" applyFont="1" applyFill="1" applyBorder="1"/>
    <x:xf numFmtId="0" fontId="8" fillId="0" borderId="8" xfId="0" applyNumberFormat="1" applyFont="1" applyFill="1" applyBorder="1"/>
    <x:xf numFmtId="0" fontId="8" fillId="0" borderId="9" xfId="0" applyNumberFormat="1" applyFont="1" applyFill="1" applyBorder="1"/>
    <x:xf numFmtId="0" fontId="8" fillId="3" borderId="7" xfId="0" applyNumberFormat="1" applyFont="1" applyFill="1" applyBorder="1"/>
    <x:xf numFmtId="0" fontId="8" fillId="3" borderId="8" xfId="0" applyNumberFormat="1" applyFont="1" applyFill="1" applyBorder="1"/>
    <x:xf numFmtId="0" fontId="8" fillId="3" borderId="9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dca1082dc7f4dd6" /><Relationship Type="http://schemas.openxmlformats.org/officeDocument/2006/relationships/theme" Target="/xl/theme/theme1.xml" Id="Rba8dcc7dd1e34c5d" /><Relationship Type="http://schemas.openxmlformats.org/officeDocument/2006/relationships/sharedStrings" Target="/xl/sharedStrings.xml" Id="R5eaa409d87ae4bee" /><Relationship Type="http://schemas.openxmlformats.org/officeDocument/2006/relationships/worksheet" Target="/xl/worksheets/sheet1.xml" Id="Ra2d8a64b3f1a4569" /><Relationship Type="http://schemas.openxmlformats.org/officeDocument/2006/relationships/worksheet" Target="/xl/worksheets/sheet2.xml" Id="R43eb9cb0bd474f0d" /><Relationship Type="http://schemas.openxmlformats.org/officeDocument/2006/relationships/worksheet" Target="/xl/worksheets/sheet3.xml" Id="R7bfc1cedf02f4f61" /><Relationship Type="http://schemas.openxmlformats.org/officeDocument/2006/relationships/worksheet" Target="/xl/worksheets/sheet4.xml" Id="Ra83b75abda8446f0" /><Relationship Type="http://schemas.openxmlformats.org/officeDocument/2006/relationships/worksheet" Target="/xl/worksheets/sheet5.xml" Id="R6c73ad7ede564aef" /><Relationship Type="http://schemas.openxmlformats.org/officeDocument/2006/relationships/worksheet" Target="/xl/worksheets/sheet6.xml" Id="Rc468ac95279d4843" /><Relationship Type="http://schemas.microsoft.com/office/2017/10/relationships/person" Target="/xl/persons/person.xml" Id="R4e1a66c508e04eff" /></Relationships>
</file>

<file path=xl/persons/person.xml><?xml version="1.0" encoding="utf-8"?>
<xltc:personList xmlns:xltc="http://schemas.microsoft.com/office/spreadsheetml/2018/threadedcomments">
  <xltc:person displayName="Alder Ridge Finance" id="{1B9771AE-2BF9-4349-99AA-84185A620C55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72" hidden="0" customWidth="1"/>
  </x:cols>
  <x:sheetData>
    <x:row r="1" ht="25" customHeight="1">
      <x:c r="A1" s="6"/>
    </x:row>
    <x:row r="2" ht="25" customHeight="1"/>
    <x:row r="4">
      <x:c r="A4" s="2" t="str">
        <x:v>Company</x:v>
      </x:c>
      <x:c r="B4" s="5" t="str">
        <x:v>Alder Ridge Mechanical</x:v>
      </x:c>
    </x:row>
    <x:row r="5">
      <x:c r="A5" s="2" t="str">
        <x:v>Reporting cutoff</x:v>
      </x:c>
      <x:c r="B5" s="5" t="str">
        <x:v>2026-06-30</x:v>
      </x:c>
    </x:row>
    <x:row r="6">
      <x:c r="A6" s="2" t="str">
        <x:v>Review date</x:v>
      </x:c>
      <x:c r="B6" s="5" t="str">
        <x:v>2026-07-05</x:v>
      </x:c>
    </x:row>
    <x:row r="7">
      <x:c r="A7" s="2" t="str">
        <x:v>Version</x:v>
      </x:c>
      <x:c r="B7" s="5" t="str">
        <x:v>Prior working version</x:v>
      </x:c>
    </x:row>
    <x:row r="8">
      <x:c r="A8" s="2" t="str">
        <x:v>Workbook status</x:v>
      </x:c>
      <x:c r="B8" s="5" t="str">
        <x:v>PRIOR REVIEW COPY • NOT CURRENT</x:v>
      </x:c>
    </x:row>
    <x:row r="9">
      <x:c r="A9" s="2" t="str">
        <x:v>Purpose</x:v>
      </x:c>
      <x:c r="B9" s="5" t="str">
        <x:v>Management assumptions and supporting schedules used across the finance review</x:v>
      </x:c>
    </x:row>
    <x:row r="10">
      <x:c r="A10" s="2" t="str">
        <x:v>Authority</x:v>
      </x:c>
      <x:c r="B10" s="5" t="str">
        <x:v>Change history only; resolve current decisions from controller-reviewed sources and correspondence</x:v>
      </x:c>
    </x:row>
    <x:row r="12" ht="42" customHeight="1">
      <x:c r="B12" s="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34" hidden="0" customWidth="1"/>
    <x:col min="3" max="3" width="27" hidden="0" customWidth="1"/>
    <x:col min="4" max="4" width="24" hidden="0" customWidth="1"/>
    <x:col min="5" max="5" width="18" hidden="0" customWidth="1"/>
    <x:col min="6" max="6" width="18" hidden="0" customWidth="1"/>
    <x:col min="7" max="7" width="34" hidden="0" customWidth="1"/>
    <x:col min="8" max="8" width="16" hidden="0" customWidth="1"/>
    <x:col min="9" max="9" width="27" hidden="0" customWidth="1"/>
    <x:col min="10" max="10" width="15" hidden="0" customWidth="1"/>
    <x:col min="11" max="11" width="34" hidden="0" customWidth="1"/>
    <x:col min="12" max="12" width="14" hidden="0" customWidth="1"/>
    <x:col min="13" max="13" width="42" hidden="0" customWidth="1"/>
  </x:cols>
  <x:sheetData>
    <x:row r="1" ht="25" customHeight="1">
      <x:c r="A1" s="9" t="str">
        <x:v>treasury, banking, and credit outlook | Cash and Liquidity</x:v>
      </x:c>
      <x:c r="B1" s="9"/>
      <x:c r="C1" s="9"/>
      <x:c r="D1" s="9"/>
      <x:c r="E1" s="9"/>
      <x:c r="F1" s="9"/>
      <x:c r="G1" s="9"/>
      <x:c r="H1" s="9"/>
      <x:c r="I1" s="9"/>
      <x:c r="J1" s="9"/>
      <x:c r="K1" s="9"/>
      <x:c r="L1" s="9"/>
      <x:c r="M1" s="9"/>
    </x:row>
    <x:row r="2" ht="25" customHeight="1">
      <x:c r="A2" s="11" t="str">
        <x:v>PRIOR REVIEW COPY - retained for change history; not controller tied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</x:row>
    <x:row r="4" ht="30" customHeight="1">
      <x:c r="A4" s="20" t="str">
        <x:v>Source Ref</x:v>
      </x:c>
      <x:c r="B4" s="21" t="str">
        <x:v>Workstream</x:v>
      </x:c>
      <x:c r="C4" s="21" t="str">
        <x:v>Schedule</x:v>
      </x:c>
      <x:c r="D4" s="21" t="str">
        <x:v>Entity Or Item</x:v>
      </x:c>
      <x:c r="E4" s="21" t="str">
        <x:v>Period Or As Of</x:v>
      </x:c>
      <x:c r="F4" s="21" t="str">
        <x:v>Case</x:v>
      </x:c>
      <x:c r="G4" s="21" t="str">
        <x:v>Metric Or Driver</x:v>
      </x:c>
      <x:c r="H4" s="21" t="str">
        <x:v>Numeric Value</x:v>
      </x:c>
      <x:c r="I4" s="21" t="str">
        <x:v>Text Or Decision</x:v>
      </x:c>
      <x:c r="J4" s="21" t="str">
        <x:v>Units</x:v>
      </x:c>
      <x:c r="K4" s="21" t="str">
        <x:v>Source Or Owner</x:v>
      </x:c>
      <x:c r="L4" s="21" t="str">
        <x:v>Source Date</x:v>
      </x:c>
      <x:c r="M4" s="22" t="str">
        <x:v>System Tie</x:v>
      </x:c>
    </x:row>
    <x:row r="5">
      <x:c r="A5" s="36" t="str">
        <x:v>TRY-00070</x:v>
      </x:c>
      <x:c r="B5" s="27" t="str">
        <x:v>Complete the 30-day daily cash-position model</x:v>
      </x:c>
      <x:c r="C5" s="27" t="str">
        <x:v>Bank Balances</x:v>
      </x:c>
      <x:c r="D5" s="27" t="str">
        <x:v>Operating Bank</x:v>
      </x:c>
      <x:c r="E5" s="27" t="str">
        <x:v>2026-05 working copy</x:v>
      </x:c>
      <x:c r="F5" s="27" t="str">
        <x:v>Approved case</x:v>
      </x:c>
      <x:c r="G5" s="27" t="str">
        <x:v>Minimum operating balance</x:v>
      </x:c>
      <x:c r="H5" s="30" t="n">
        <x:v>875500</x:v>
      </x:c>
      <x:c r="I5" s="27" t="str"/>
      <x:c r="J5" s="27" t="str">
        <x:v>USD</x:v>
      </x:c>
      <x:c r="K5" s="27" t="str">
        <x:v>Earlier management working export</x:v>
      </x:c>
      <x:c r="L5" s="33" t="str">
        <x:v>2026-06-24</x:v>
      </x:c>
      <x:c r="M5" s="27" t="str"/>
    </x:row>
    <x:row r="6">
      <x:c r="A6" s="37" t="str">
        <x:v>TRY-00071</x:v>
      </x:c>
      <x:c r="B6" s="28" t="str">
        <x:v>Complete the 30-day daily cash-position model</x:v>
      </x:c>
      <x:c r="C6" s="28" t="str">
        <x:v>Expected Receipts</x:v>
      </x:c>
      <x:c r="D6" s="28" t="str">
        <x:v>Concentration account</x:v>
      </x:c>
      <x:c r="E6" s="28" t="str">
        <x:v>2026-07-03</x:v>
      </x:c>
      <x:c r="F6" s="28" t="str">
        <x:v>Management stretch</x:v>
      </x:c>
      <x:c r="G6" s="28" t="str">
        <x:v>Settling receipts</x:v>
      </x:c>
      <x:c r="H6" s="31" t="n">
        <x:v>0</x:v>
      </x:c>
      <x:c r="I6" s="28" t="str"/>
      <x:c r="J6" s="28" t="str">
        <x:v>USD</x:v>
      </x:c>
      <x:c r="K6" s="28" t="str">
        <x:v>Earlier management working export</x:v>
      </x:c>
      <x:c r="L6" s="34" t="str">
        <x:v>2026-06-24</x:v>
      </x:c>
      <x:c r="M6" s="28" t="str"/>
    </x:row>
    <x:row r="7">
      <x:c r="A7" s="37" t="str">
        <x:v>TRY-00072</x:v>
      </x:c>
      <x:c r="B7" s="28" t="str">
        <x:v>Complete the 30-day daily cash-position model</x:v>
      </x:c>
      <x:c r="C7" s="28" t="str">
        <x:v>Expected Disbursements</x:v>
      </x:c>
      <x:c r="D7" s="28" t="str">
        <x:v>Consolidated</x:v>
      </x:c>
      <x:c r="E7" s="28" t="str">
        <x:v>2026-05 working copy</x:v>
      </x:c>
      <x:c r="F7" s="28" t="str">
        <x:v>Approved case</x:v>
      </x:c>
      <x:c r="G7" s="28" t="str">
        <x:v>Settling disbursements</x:v>
      </x:c>
      <x:c r="H7" s="31" t="n">
        <x:v>0</x:v>
      </x:c>
      <x:c r="I7" s="28" t="str"/>
      <x:c r="J7" s="28" t="str">
        <x:v>USD</x:v>
      </x:c>
      <x:c r="K7" s="28" t="str">
        <x:v>Earlier management working export</x:v>
      </x:c>
      <x:c r="L7" s="34" t="str">
        <x:v>2026-06-24</x:v>
      </x:c>
      <x:c r="M7" s="28" t="str"/>
    </x:row>
    <x:row r="8">
      <x:c r="A8" s="37" t="str">
        <x:v>TRY-00073</x:v>
      </x:c>
      <x:c r="B8" s="28" t="str">
        <x:v>Complete the 30-day daily cash-position model</x:v>
      </x:c>
      <x:c r="C8" s="28" t="str">
        <x:v>Expected Receipts</x:v>
      </x:c>
      <x:c r="D8" s="28" t="str">
        <x:v>Concentration account</x:v>
      </x:c>
      <x:c r="E8" s="28" t="str">
        <x:v>2026-07-10</x:v>
      </x:c>
      <x:c r="F8" s="28" t="str">
        <x:v>Management stretch</x:v>
      </x:c>
      <x:c r="G8" s="28" t="str">
        <x:v>Settling receipts</x:v>
      </x:c>
      <x:c r="H8" s="31" t="n">
        <x:v>432600</x:v>
      </x:c>
      <x:c r="I8" s="28" t="str"/>
      <x:c r="J8" s="28" t="str">
        <x:v>USD</x:v>
      </x:c>
      <x:c r="K8" s="28" t="str">
        <x:v>Earlier management working export</x:v>
      </x:c>
      <x:c r="L8" s="34" t="str">
        <x:v>2026-06-24</x:v>
      </x:c>
      <x:c r="M8" s="28" t="str"/>
    </x:row>
    <x:row r="9">
      <x:c r="A9" s="37" t="str">
        <x:v>TRY-00074</x:v>
      </x:c>
      <x:c r="B9" s="28" t="str">
        <x:v>Complete the 30-day daily cash-position model</x:v>
      </x:c>
      <x:c r="C9" s="28" t="str">
        <x:v>Expected Disbursements</x:v>
      </x:c>
      <x:c r="D9" s="28" t="str">
        <x:v>Consolidated</x:v>
      </x:c>
      <x:c r="E9" s="28" t="str">
        <x:v>2026-05 working copy</x:v>
      </x:c>
      <x:c r="F9" s="28" t="str">
        <x:v>Approved case</x:v>
      </x:c>
      <x:c r="G9" s="28" t="str">
        <x:v>Settling disbursements</x:v>
      </x:c>
      <x:c r="H9" s="31" t="n">
        <x:v>0</x:v>
      </x:c>
      <x:c r="I9" s="28" t="str"/>
      <x:c r="J9" s="28" t="str">
        <x:v>USD</x:v>
      </x:c>
      <x:c r="K9" s="28" t="str">
        <x:v>Earlier management working export</x:v>
      </x:c>
      <x:c r="L9" s="34" t="str">
        <x:v>2026-06-24</x:v>
      </x:c>
      <x:c r="M9" s="28" t="str"/>
    </x:row>
    <x:row r="10">
      <x:c r="A10" s="37" t="str">
        <x:v>TRY-00075</x:v>
      </x:c>
      <x:c r="B10" s="28" t="str">
        <x:v>Complete the 30-day daily cash-position model</x:v>
      </x:c>
      <x:c r="C10" s="28" t="str">
        <x:v>Expected Receipts</x:v>
      </x:c>
      <x:c r="D10" s="28" t="str">
        <x:v>Concentration account</x:v>
      </x:c>
      <x:c r="E10" s="28" t="str">
        <x:v>2026-07-17</x:v>
      </x:c>
      <x:c r="F10" s="28" t="str">
        <x:v>Management stretch</x:v>
      </x:c>
      <x:c r="G10" s="28" t="str">
        <x:v>Settling receipts</x:v>
      </x:c>
      <x:c r="H10" s="31" t="n">
        <x:v>0</x:v>
      </x:c>
      <x:c r="I10" s="28" t="str"/>
      <x:c r="J10" s="28" t="str">
        <x:v>USD</x:v>
      </x:c>
      <x:c r="K10" s="28" t="str">
        <x:v>Earlier management working export</x:v>
      </x:c>
      <x:c r="L10" s="34" t="str">
        <x:v>2026-06-24</x:v>
      </x:c>
      <x:c r="M10" s="28" t="str"/>
    </x:row>
    <x:row r="11">
      <x:c r="A11" s="37" t="str">
        <x:v>TRY-00076</x:v>
      </x:c>
      <x:c r="B11" s="28" t="str">
        <x:v>Complete the 30-day daily cash-position model</x:v>
      </x:c>
      <x:c r="C11" s="28" t="str">
        <x:v>Expected Disbursements</x:v>
      </x:c>
      <x:c r="D11" s="28" t="str">
        <x:v>Consolidated</x:v>
      </x:c>
      <x:c r="E11" s="28" t="str">
        <x:v>2026-05 working copy</x:v>
      </x:c>
      <x:c r="F11" s="28" t="str">
        <x:v>Approved case</x:v>
      </x:c>
      <x:c r="G11" s="28" t="str">
        <x:v>Settling disbursements</x:v>
      </x:c>
      <x:c r="H11" s="31" t="n">
        <x:v>0</x:v>
      </x:c>
      <x:c r="I11" s="28" t="str"/>
      <x:c r="J11" s="28" t="str">
        <x:v>USD</x:v>
      </x:c>
      <x:c r="K11" s="28" t="str">
        <x:v>Earlier management working export</x:v>
      </x:c>
      <x:c r="L11" s="34" t="str">
        <x:v>2026-06-24</x:v>
      </x:c>
      <x:c r="M11" s="28" t="str"/>
    </x:row>
    <x:row r="12">
      <x:c r="A12" s="37" t="str">
        <x:v>TRY-00077</x:v>
      </x:c>
      <x:c r="B12" s="28" t="str">
        <x:v>Complete the 30-day daily cash-position model</x:v>
      </x:c>
      <x:c r="C12" s="28" t="str">
        <x:v>Expected Receipts</x:v>
      </x:c>
      <x:c r="D12" s="28" t="str">
        <x:v>Concentration account</x:v>
      </x:c>
      <x:c r="E12" s="28" t="str">
        <x:v>2026-07-24</x:v>
      </x:c>
      <x:c r="F12" s="28" t="str">
        <x:v>Management stretch</x:v>
      </x:c>
      <x:c r="G12" s="28" t="str">
        <x:v>Settling receipts</x:v>
      </x:c>
      <x:c r="H12" s="31" t="n">
        <x:v>540800</x:v>
      </x:c>
      <x:c r="I12" s="28" t="str"/>
      <x:c r="J12" s="28" t="str">
        <x:v>USD</x:v>
      </x:c>
      <x:c r="K12" s="28" t="str">
        <x:v>Earlier management working export</x:v>
      </x:c>
      <x:c r="L12" s="34" t="str">
        <x:v>2026-06-24</x:v>
      </x:c>
      <x:c r="M12" s="28" t="str"/>
    </x:row>
    <x:row r="13">
      <x:c r="A13" s="37" t="str">
        <x:v>TRY-00078</x:v>
      </x:c>
      <x:c r="B13" s="28" t="str">
        <x:v>Complete the 30-day daily cash-position model</x:v>
      </x:c>
      <x:c r="C13" s="28" t="str">
        <x:v>Expected Disbursements</x:v>
      </x:c>
      <x:c r="D13" s="28" t="str">
        <x:v>Consolidated</x:v>
      </x:c>
      <x:c r="E13" s="28" t="str">
        <x:v>2026-05 working copy</x:v>
      </x:c>
      <x:c r="F13" s="28" t="str">
        <x:v>Approved case</x:v>
      </x:c>
      <x:c r="G13" s="28" t="str">
        <x:v>Settling disbursements</x:v>
      </x:c>
      <x:c r="H13" s="31" t="n">
        <x:v>0</x:v>
      </x:c>
      <x:c r="I13" s="28" t="str"/>
      <x:c r="J13" s="28" t="str">
        <x:v>USD</x:v>
      </x:c>
      <x:c r="K13" s="28" t="str">
        <x:v>Earlier management working export</x:v>
      </x:c>
      <x:c r="L13" s="34" t="str">
        <x:v>2026-06-24</x:v>
      </x:c>
      <x:c r="M13" s="28" t="str"/>
    </x:row>
    <x:row r="14">
      <x:c r="A14" s="37" t="str">
        <x:v>TRY-00079</x:v>
      </x:c>
      <x:c r="B14" s="28" t="str">
        <x:v>Complete the 30-day daily cash-position model</x:v>
      </x:c>
      <x:c r="C14" s="28" t="str">
        <x:v>Treasury policy</x:v>
      </x:c>
      <x:c r="D14" s="28" t="str">
        <x:v>Consolidated</x:v>
      </x:c>
      <x:c r="E14" s="28" t="str">
        <x:v>July 2026</x:v>
      </x:c>
      <x:c r="F14" s="28" t="str">
        <x:v>Management stretch</x:v>
      </x:c>
      <x:c r="G14" s="28" t="str">
        <x:v>Consolidated minimum available cash</x:v>
      </x:c>
      <x:c r="H14" s="31" t="n">
        <x:v>2317500</x:v>
      </x:c>
      <x:c r="I14" s="28" t="str"/>
      <x:c r="J14" s="28" t="str">
        <x:v>USD</x:v>
      </x:c>
      <x:c r="K14" s="28" t="str">
        <x:v>Earlier management working export</x:v>
      </x:c>
      <x:c r="L14" s="34" t="str">
        <x:v>2026-06-24</x:v>
      </x:c>
      <x:c r="M14" s="28" t="str"/>
    </x:row>
    <x:row r="15">
      <x:c r="A15" s="37" t="str">
        <x:v>TRY-00080</x:v>
      </x:c>
      <x:c r="B15" s="28" t="str">
        <x:v>Complete the 30-day daily cash-position model</x:v>
      </x:c>
      <x:c r="C15" s="28" t="str">
        <x:v>Expected Disbursements</x:v>
      </x:c>
      <x:c r="D15" s="28" t="str">
        <x:v>Consolidated</x:v>
      </x:c>
      <x:c r="E15" s="28" t="str">
        <x:v>2026-05 working copy</x:v>
      </x:c>
      <x:c r="F15" s="28" t="str">
        <x:v>Approved case</x:v>
      </x:c>
      <x:c r="G15" s="28" t="str">
        <x:v>Settling disbursements</x:v>
      </x:c>
      <x:c r="H15" s="31" t="n">
        <x:v>478.4</x:v>
      </x:c>
      <x:c r="I15" s="28" t="str"/>
      <x:c r="J15" s="28" t="str">
        <x:v>USD thousands</x:v>
      </x:c>
      <x:c r="K15" s="28" t="str">
        <x:v>Earlier management working export</x:v>
      </x:c>
      <x:c r="L15" s="34" t="str">
        <x:v>2026-06-24</x:v>
      </x:c>
      <x:c r="M15" s="28" t="str"/>
    </x:row>
    <x:row r="16">
      <x:c r="A16" s="37" t="str">
        <x:v>TRY-00081</x:v>
      </x:c>
      <x:c r="B16" s="28" t="str">
        <x:v>Complete the 30-day daily cash-position model</x:v>
      </x:c>
      <x:c r="C16" s="28" t="str">
        <x:v>Expected Receipts</x:v>
      </x:c>
      <x:c r="D16" s="28" t="str">
        <x:v>Concentration account</x:v>
      </x:c>
      <x:c r="E16" s="28" t="str">
        <x:v>2026-07-05</x:v>
      </x:c>
      <x:c r="F16" s="28" t="str">
        <x:v>Management stretch</x:v>
      </x:c>
      <x:c r="G16" s="28" t="str">
        <x:v>Settling receipts</x:v>
      </x:c>
      <x:c r="H16" s="31" t="n">
        <x:v>0</x:v>
      </x:c>
      <x:c r="I16" s="28" t="str"/>
      <x:c r="J16" s="28" t="str">
        <x:v>USD</x:v>
      </x:c>
      <x:c r="K16" s="28" t="str">
        <x:v>Earlier management working export</x:v>
      </x:c>
      <x:c r="L16" s="34" t="str">
        <x:v>2026-06-24</x:v>
      </x:c>
      <x:c r="M16" s="28" t="str"/>
    </x:row>
    <x:row r="17">
      <x:c r="A17" s="37" t="str">
        <x:v>TRY-00082</x:v>
      </x:c>
      <x:c r="B17" s="28" t="str">
        <x:v>Complete the 30-day daily cash-position model</x:v>
      </x:c>
      <x:c r="C17" s="28" t="str">
        <x:v>Expected Disbursements</x:v>
      </x:c>
      <x:c r="D17" s="28" t="str">
        <x:v>Consolidated</x:v>
      </x:c>
      <x:c r="E17" s="28" t="str">
        <x:v>2026-05 working copy</x:v>
      </x:c>
      <x:c r="F17" s="28" t="str">
        <x:v>Approved case</x:v>
      </x:c>
      <x:c r="G17" s="28" t="str">
        <x:v>Settling disbursements</x:v>
      </x:c>
      <x:c r="H17" s="31" t="n">
        <x:v>803400</x:v>
      </x:c>
      <x:c r="I17" s="28" t="str"/>
      <x:c r="J17" s="28" t="str">
        <x:v>USD</x:v>
      </x:c>
      <x:c r="K17" s="28" t="str">
        <x:v>Earlier management working export</x:v>
      </x:c>
      <x:c r="L17" s="34" t="str">
        <x:v>2026-06-24</x:v>
      </x:c>
      <x:c r="M17" s="28" t="str"/>
    </x:row>
    <x:row r="18">
      <x:c r="A18" s="37" t="str">
        <x:v>TRY-00083</x:v>
      </x:c>
      <x:c r="B18" s="28" t="str">
        <x:v>Complete the 30-day daily cash-position model</x:v>
      </x:c>
      <x:c r="C18" s="28" t="str">
        <x:v>Expected Receipts</x:v>
      </x:c>
      <x:c r="D18" s="28" t="str">
        <x:v>Concentration account</x:v>
      </x:c>
      <x:c r="E18" s="28" t="str">
        <x:v>2026-07-12</x:v>
      </x:c>
      <x:c r="F18" s="28" t="str">
        <x:v>Management stretch</x:v>
      </x:c>
      <x:c r="G18" s="28" t="str">
        <x:v>Settling receipts</x:v>
      </x:c>
      <x:c r="H18" s="31" t="n">
        <x:v>0</x:v>
      </x:c>
      <x:c r="I18" s="28" t="str"/>
      <x:c r="J18" s="28" t="str">
        <x:v>USD</x:v>
      </x:c>
      <x:c r="K18" s="28" t="str">
        <x:v>Earlier management working export</x:v>
      </x:c>
      <x:c r="L18" s="34" t="str">
        <x:v>2026-06-24</x:v>
      </x:c>
      <x:c r="M18" s="28" t="str"/>
    </x:row>
    <x:row r="19">
      <x:c r="A19" s="37" t="str">
        <x:v>TRY-00160</x:v>
      </x:c>
      <x:c r="B19" s="28" t="str">
        <x:v>Seasonal liquidity and revolver headroom</x:v>
      </x:c>
      <x:c r="C19" s="28" t="str">
        <x:v>Monthly liquidity forecast</x:v>
      </x:c>
      <x:c r="D19" s="28" t="str">
        <x:v>Consolidated</x:v>
      </x:c>
      <x:c r="E19" s="28" t="str">
        <x:v>2026-05 working copy</x:v>
      </x:c>
      <x:c r="F19" s="28" t="str">
        <x:v>Approved case</x:v>
      </x:c>
      <x:c r="G19" s="28" t="str">
        <x:v>Customer receipts</x:v>
      </x:c>
      <x:c r="H19" s="31" t="n">
        <x:v>7004000</x:v>
      </x:c>
      <x:c r="I19" s="28" t="str"/>
      <x:c r="J19" s="28" t="str">
        <x:v>USD</x:v>
      </x:c>
      <x:c r="K19" s="28" t="str">
        <x:v>Earlier management working export</x:v>
      </x:c>
      <x:c r="L19" s="34" t="str">
        <x:v>2026-06-24</x:v>
      </x:c>
      <x:c r="M19" s="28" t="str"/>
    </x:row>
    <x:row r="20">
      <x:c r="A20" s="37" t="str">
        <x:v>TRY-00161</x:v>
      </x:c>
      <x:c r="B20" s="28" t="str">
        <x:v>Seasonal liquidity and revolver headroom</x:v>
      </x:c>
      <x:c r="C20" s="28" t="str">
        <x:v>Monthly liquidity forecast</x:v>
      </x:c>
      <x:c r="D20" s="28" t="str">
        <x:v>Consolidated</x:v>
      </x:c>
      <x:c r="E20" s="28" t="str">
        <x:v>2026-08</x:v>
      </x:c>
      <x:c r="F20" s="28" t="str">
        <x:v>Management stretch</x:v>
      </x:c>
      <x:c r="G20" s="28" t="str">
        <x:v>Operating disbursements</x:v>
      </x:c>
      <x:c r="H20" s="31" t="n">
        <x:v>5720000</x:v>
      </x:c>
      <x:c r="I20" s="28" t="str"/>
      <x:c r="J20" s="28" t="str">
        <x:v>USD</x:v>
      </x:c>
      <x:c r="K20" s="28" t="str">
        <x:v>Earlier management working export</x:v>
      </x:c>
      <x:c r="L20" s="34" t="str">
        <x:v>2026-06-24</x:v>
      </x:c>
      <x:c r="M20" s="28" t="str"/>
    </x:row>
    <x:row r="21">
      <x:c r="A21" s="37" t="str">
        <x:v>TRY-00162</x:v>
      </x:c>
      <x:c r="B21" s="28" t="str">
        <x:v>Seasonal liquidity and revolver headroom</x:v>
      </x:c>
      <x:c r="C21" s="28" t="str">
        <x:v>Monthly liquidity forecast</x:v>
      </x:c>
      <x:c r="D21" s="28" t="str">
        <x:v>Consolidated</x:v>
      </x:c>
      <x:c r="E21" s="28" t="str">
        <x:v>2026-05 working copy</x:v>
      </x:c>
      <x:c r="F21" s="28" t="str">
        <x:v>Approved case</x:v>
      </x:c>
      <x:c r="G21" s="28" t="str">
        <x:v>Cash taxes</x:v>
      </x:c>
      <x:c r="H21" s="31" t="n">
        <x:v>504000</x:v>
      </x:c>
      <x:c r="I21" s="28" t="str"/>
      <x:c r="J21" s="28" t="str">
        <x:v>USD</x:v>
      </x:c>
      <x:c r="K21" s="28" t="str">
        <x:v>Earlier management working export</x:v>
      </x:c>
      <x:c r="L21" s="34" t="str">
        <x:v>2026-06-24</x:v>
      </x:c>
      <x:c r="M21" s="28" t="str"/>
    </x:row>
    <x:row r="22">
      <x:c r="A22" s="37" t="str">
        <x:v>TRY-00163</x:v>
      </x:c>
      <x:c r="B22" s="28" t="str">
        <x:v>Seasonal liquidity and revolver headroom</x:v>
      </x:c>
      <x:c r="C22" s="28" t="str">
        <x:v>Monthly liquidity forecast</x:v>
      </x:c>
      <x:c r="D22" s="28" t="str">
        <x:v>Consolidated</x:v>
      </x:c>
      <x:c r="E22" s="28" t="str">
        <x:v>2026-10</x:v>
      </x:c>
      <x:c r="F22" s="28" t="str">
        <x:v>Management stretch</x:v>
      </x:c>
      <x:c r="G22" s="28" t="str">
        <x:v>Capital expenditures</x:v>
      </x:c>
      <x:c r="H22" s="31" t="n">
        <x:v>185.4</x:v>
      </x:c>
      <x:c r="I22" s="28" t="str"/>
      <x:c r="J22" s="28" t="str">
        <x:v>USD thousands</x:v>
      </x:c>
      <x:c r="K22" s="28" t="str">
        <x:v>Earlier management working export</x:v>
      </x:c>
      <x:c r="L22" s="34" t="str">
        <x:v>2026-06-24</x:v>
      </x:c>
      <x:c r="M22" s="28" t="str"/>
    </x:row>
    <x:row r="23">
      <x:c r="A23" s="37" t="str">
        <x:v>TRY-00164</x:v>
      </x:c>
      <x:c r="B23" s="28" t="str">
        <x:v>Seasonal liquidity and revolver headroom</x:v>
      </x:c>
      <x:c r="C23" s="28" t="str">
        <x:v>Monthly liquidity forecast</x:v>
      </x:c>
      <x:c r="D23" s="28" t="str">
        <x:v>Consolidated</x:v>
      </x:c>
      <x:c r="E23" s="28" t="str">
        <x:v>2026-05 working copy</x:v>
      </x:c>
      <x:c r="F23" s="28" t="str">
        <x:v>Approved case</x:v>
      </x:c>
      <x:c r="G23" s="28" t="str">
        <x:v>Scheduled debt service</x:v>
      </x:c>
      <x:c r="H23" s="31" t="n">
        <x:v>135200</x:v>
      </x:c>
      <x:c r="I23" s="28" t="str"/>
      <x:c r="J23" s="28" t="str">
        <x:v>USD</x:v>
      </x:c>
      <x:c r="K23" s="28" t="str">
        <x:v>Earlier management working export</x:v>
      </x:c>
      <x:c r="L23" s="34" t="str">
        <x:v>2026-06-24</x:v>
      </x:c>
      <x:c r="M23" s="28" t="str"/>
    </x:row>
    <x:row r="24">
      <x:c r="A24" s="37" t="str">
        <x:v>TRY-00165</x:v>
      </x:c>
      <x:c r="B24" s="28" t="str">
        <x:v>Seasonal liquidity and revolver headroom</x:v>
      </x:c>
      <x:c r="C24" s="28" t="str">
        <x:v>Borrowing base</x:v>
      </x:c>
      <x:c r="D24" s="28" t="str">
        <x:v>Revolver</x:v>
      </x:c>
      <x:c r="E24" s="28" t="str">
        <x:v>2026-12</x:v>
      </x:c>
      <x:c r="F24" s="28" t="str">
        <x:v>Management stretch</x:v>
      </x:c>
      <x:c r="G24" s="28" t="str">
        <x:v>Eligible borrowing base</x:v>
      </x:c>
      <x:c r="H24" s="31" t="n">
        <x:v>12600000</x:v>
      </x:c>
      <x:c r="I24" s="28" t="str"/>
      <x:c r="J24" s="28" t="str">
        <x:v>USD</x:v>
      </x:c>
      <x:c r="K24" s="28" t="str">
        <x:v>Earlier management working export</x:v>
      </x:c>
      <x:c r="L24" s="34" t="str">
        <x:v>2026-06-24</x:v>
      </x:c>
      <x:c r="M24" s="28" t="str"/>
    </x:row>
    <x:row r="25">
      <x:c r="A25" s="37" t="str">
        <x:v>TRY-00166</x:v>
      </x:c>
      <x:c r="B25" s="28" t="str">
        <x:v>Seasonal liquidity and revolver headroom</x:v>
      </x:c>
      <x:c r="C25" s="28" t="str">
        <x:v>Monthly liquidity forecast</x:v>
      </x:c>
      <x:c r="D25" s="28" t="str">
        <x:v>Consolidated</x:v>
      </x:c>
      <x:c r="E25" s="28" t="str">
        <x:v>2026-05 working copy</x:v>
      </x:c>
      <x:c r="F25" s="28" t="str">
        <x:v>Approved case</x:v>
      </x:c>
      <x:c r="G25" s="28" t="str">
        <x:v>Customer receipts</x:v>
      </x:c>
      <x:c r="H25" s="31" t="n">
        <x:v>4532000</x:v>
      </x:c>
      <x:c r="I25" s="28" t="str"/>
      <x:c r="J25" s="28" t="str">
        <x:v>USD</x:v>
      </x:c>
      <x:c r="K25" s="28" t="str">
        <x:v>Earlier management working export</x:v>
      </x:c>
      <x:c r="L25" s="34" t="str">
        <x:v>2026-06-24</x:v>
      </x:c>
      <x:c r="M25" s="28" t="str"/>
    </x:row>
    <x:row r="26">
      <x:c r="A26" s="37" t="str">
        <x:v>TRY-00167</x:v>
      </x:c>
      <x:c r="B26" s="28" t="str">
        <x:v>Seasonal liquidity and revolver headroom</x:v>
      </x:c>
      <x:c r="C26" s="28" t="str">
        <x:v>Monthly liquidity forecast</x:v>
      </x:c>
      <x:c r="D26" s="28" t="str">
        <x:v>Consolidated</x:v>
      </x:c>
      <x:c r="E26" s="28" t="str">
        <x:v>2027-03</x:v>
      </x:c>
      <x:c r="F26" s="28" t="str">
        <x:v>Management stretch</x:v>
      </x:c>
      <x:c r="G26" s="28" t="str">
        <x:v>Operating disbursements</x:v>
      </x:c>
      <x:c r="H26" s="31" t="n">
        <x:v>6240</x:v>
      </x:c>
      <x:c r="I26" s="28" t="str"/>
      <x:c r="J26" s="28" t="str">
        <x:v>USD thousands</x:v>
      </x:c>
      <x:c r="K26" s="28" t="str">
        <x:v>Earlier management working export</x:v>
      </x:c>
      <x:c r="L26" s="34" t="str">
        <x:v>2026-06-24</x:v>
      </x:c>
      <x:c r="M26" s="28" t="str"/>
    </x:row>
    <x:row r="27">
      <x:c r="A27" s="37" t="str">
        <x:v>TRY-00168</x:v>
      </x:c>
      <x:c r="B27" s="28" t="str">
        <x:v>Seasonal liquidity and revolver headroom</x:v>
      </x:c>
      <x:c r="C27" s="28" t="str">
        <x:v>Monthly liquidity forecast</x:v>
      </x:c>
      <x:c r="D27" s="28" t="str">
        <x:v>Consolidated</x:v>
      </x:c>
      <x:c r="E27" s="28" t="str">
        <x:v>2026-05 working copy</x:v>
      </x:c>
      <x:c r="F27" s="28" t="str">
        <x:v>Approved case</x:v>
      </x:c>
      <x:c r="G27" s="28" t="str">
        <x:v>Cash taxes</x:v>
      </x:c>
      <x:c r="H27" s="31" t="n">
        <x:v>0</x:v>
      </x:c>
      <x:c r="I27" s="28" t="str"/>
      <x:c r="J27" s="28" t="str">
        <x:v>USD</x:v>
      </x:c>
      <x:c r="K27" s="28" t="str">
        <x:v>Earlier management working export</x:v>
      </x:c>
      <x:c r="L27" s="34" t="str">
        <x:v>2026-06-24</x:v>
      </x:c>
      <x:c r="M27" s="28" t="str"/>
    </x:row>
    <x:row r="28">
      <x:c r="A28" s="37" t="str">
        <x:v>TRY-00169</x:v>
      </x:c>
      <x:c r="B28" s="28" t="str">
        <x:v>Seasonal liquidity and revolver headroom</x:v>
      </x:c>
      <x:c r="C28" s="28" t="str">
        <x:v>Monthly liquidity forecast</x:v>
      </x:c>
      <x:c r="D28" s="28" t="str">
        <x:v>Consolidated</x:v>
      </x:c>
      <x:c r="E28" s="28" t="str">
        <x:v>2027-05</x:v>
      </x:c>
      <x:c r="F28" s="28" t="str">
        <x:v>Management stretch</x:v>
      </x:c>
      <x:c r="G28" s="28" t="str">
        <x:v>Capital expenditures</x:v>
      </x:c>
      <x:c r="H28" s="31" t="n">
        <x:v>185400</x:v>
      </x:c>
      <x:c r="I28" s="28" t="str"/>
      <x:c r="J28" s="28" t="str">
        <x:v>USD</x:v>
      </x:c>
      <x:c r="K28" s="28" t="str">
        <x:v>Earlier management working export</x:v>
      </x:c>
      <x:c r="L28" s="34" t="str">
        <x:v>2026-06-24</x:v>
      </x:c>
      <x:c r="M28" s="28" t="str"/>
    </x:row>
    <x:row r="29">
      <x:c r="A29" s="37" t="str">
        <x:v>TRY-00170</x:v>
      </x:c>
      <x:c r="B29" s="28" t="str">
        <x:v>Seasonal liquidity and revolver headroom</x:v>
      </x:c>
      <x:c r="C29" s="28" t="str">
        <x:v>Monthly liquidity forecast</x:v>
      </x:c>
      <x:c r="D29" s="28" t="str">
        <x:v>Consolidated</x:v>
      </x:c>
      <x:c r="E29" s="28" t="str">
        <x:v>2026-05 working copy</x:v>
      </x:c>
      <x:c r="F29" s="28" t="str">
        <x:v>Approved case</x:v>
      </x:c>
      <x:c r="G29" s="28" t="str">
        <x:v>Scheduled debt service</x:v>
      </x:c>
      <x:c r="H29" s="31" t="n">
        <x:v>135200</x:v>
      </x:c>
      <x:c r="I29" s="28" t="str"/>
      <x:c r="J29" s="28" t="str">
        <x:v>USD</x:v>
      </x:c>
      <x:c r="K29" s="28" t="str">
        <x:v>Earlier management working export</x:v>
      </x:c>
      <x:c r="L29" s="34" t="str">
        <x:v>2026-06-24</x:v>
      </x:c>
      <x:c r="M29" s="28" t="str"/>
    </x:row>
    <x:row r="30">
      <x:c r="A30" s="37" t="str">
        <x:v>TRY-00171</x:v>
      </x:c>
      <x:c r="B30" s="28" t="str">
        <x:v>Seasonal liquidity and revolver headroom</x:v>
      </x:c>
      <x:c r="C30" s="28" t="str">
        <x:v>Monthly liquidity forecast</x:v>
      </x:c>
      <x:c r="D30" s="28" t="str">
        <x:v>Consolidated</x:v>
      </x:c>
      <x:c r="E30" s="28" t="str">
        <x:v>2026-07</x:v>
      </x:c>
      <x:c r="F30" s="28" t="str">
        <x:v>Management stretch</x:v>
      </x:c>
      <x:c r="G30" s="28" t="str">
        <x:v>Cash taxes</x:v>
      </x:c>
      <x:c r="H30" s="31" t="n">
        <x:v>0</x:v>
      </x:c>
      <x:c r="I30" s="28" t="str"/>
      <x:c r="J30" s="28" t="str">
        <x:v>USD</x:v>
      </x:c>
      <x:c r="K30" s="28" t="str">
        <x:v>Earlier management working export</x:v>
      </x:c>
      <x:c r="L30" s="34" t="str">
        <x:v>2026-06-24</x:v>
      </x:c>
      <x:c r="M30" s="28" t="str"/>
    </x:row>
    <x:row r="31">
      <x:c r="A31" s="37" t="str">
        <x:v>TRY-00335</x:v>
      </x:c>
      <x:c r="B31" s="28" t="str">
        <x:v>Short-term liquidity investment allocation</x:v>
      </x:c>
      <x:c r="C31" s="28" t="str">
        <x:v>Available cash</x:v>
      </x:c>
      <x:c r="D31" s="28" t="str">
        <x:v>Executed asset-sale proceeds</x:v>
      </x:c>
      <x:c r="E31" s="28" t="str">
        <x:v>2026-05 working copy</x:v>
      </x:c>
      <x:c r="F31" s="28" t="str">
        <x:v>Approved case</x:v>
      </x:c>
      <x:c r="G31" s="28" t="str">
        <x:v>Settling proceeds</x:v>
      </x:c>
      <x:c r="H31" s="31" t="n">
        <x:v>12154000</x:v>
      </x:c>
      <x:c r="I31" s="28" t="str"/>
      <x:c r="J31" s="28" t="str">
        <x:v>USD</x:v>
      </x:c>
      <x:c r="K31" s="28" t="str">
        <x:v>Earlier management working export</x:v>
      </x:c>
      <x:c r="L31" s="34" t="str">
        <x:v>2026-06-24</x:v>
      </x:c>
      <x:c r="M31" s="28" t="str"/>
    </x:row>
    <x:row r="32">
      <x:c r="A32" s="37" t="str">
        <x:v>TRY-00336</x:v>
      </x:c>
      <x:c r="B32" s="28" t="str">
        <x:v>Short-term liquidity investment allocation</x:v>
      </x:c>
      <x:c r="C32" s="28" t="str">
        <x:v>Approved investment menu</x:v>
      </x:c>
      <x:c r="D32" s="28" t="str">
        <x:v>Operating money market</x:v>
      </x:c>
      <x:c r="E32" s="28" t="str">
        <x:v>2026-07-05</x:v>
      </x:c>
      <x:c r="F32" s="28" t="str">
        <x:v>Management stretch</x:v>
      </x:c>
      <x:c r="G32" s="28" t="str">
        <x:v>Same-day liquidity factor</x:v>
      </x:c>
      <x:c r="H32" s="31" t="n">
        <x:v>1.04</x:v>
      </x:c>
      <x:c r="I32" s="28" t="str"/>
      <x:c r="J32" s="28" t="str">
        <x:v>decimal ratio</x:v>
      </x:c>
      <x:c r="K32" s="28" t="str">
        <x:v>Earlier management working export</x:v>
      </x:c>
      <x:c r="L32" s="34" t="str">
        <x:v>2026-06-24</x:v>
      </x:c>
      <x:c r="M32" s="28" t="str"/>
    </x:row>
    <x:row r="33">
      <x:c r="A33" s="37" t="str">
        <x:v>TRY-00337</x:v>
      </x:c>
      <x:c r="B33" s="28" t="str">
        <x:v>Short-term liquidity investment allocation</x:v>
      </x:c>
      <x:c r="C33" s="28" t="str">
        <x:v>Approved investment menu</x:v>
      </x:c>
      <x:c r="D33" s="28" t="str">
        <x:v>Government fund</x:v>
      </x:c>
      <x:c r="E33" s="28" t="str">
        <x:v>2026-05 working copy</x:v>
      </x:c>
      <x:c r="F33" s="28" t="str">
        <x:v>Approved case</x:v>
      </x:c>
      <x:c r="G33" s="28" t="str">
        <x:v>Approved capacity</x:v>
      </x:c>
      <x:c r="H33" s="31" t="n">
        <x:v>6300000</x:v>
      </x:c>
      <x:c r="I33" s="28" t="str"/>
      <x:c r="J33" s="28" t="str">
        <x:v>USD</x:v>
      </x:c>
      <x:c r="K33" s="28" t="str">
        <x:v>Earlier management working export</x:v>
      </x:c>
      <x:c r="L33" s="34" t="str">
        <x:v>2026-06-24</x:v>
      </x:c>
      <x:c r="M33" s="28" t="str"/>
    </x:row>
    <x:row r="34">
      <x:c r="A34" s="37" t="str">
        <x:v>TRY-00338</x:v>
      </x:c>
      <x:c r="B34" s="28" t="str">
        <x:v>Short-term liquidity investment allocation</x:v>
      </x:c>
      <x:c r="C34" s="28" t="str">
        <x:v>Investment policy</x:v>
      </x:c>
      <x:c r="D34" s="28" t="str">
        <x:v>Portfolio</x:v>
      </x:c>
      <x:c r="E34" s="28" t="str">
        <x:v>2026-07-05</x:v>
      </x:c>
      <x:c r="F34" s="28" t="str">
        <x:v>Management stretch</x:v>
      </x:c>
      <x:c r="G34" s="28" t="str">
        <x:v>Minimum same-day liquidity percent</x:v>
      </x:c>
      <x:c r="H34" s="31" t="n">
        <x:v>0.4326</x:v>
      </x:c>
      <x:c r="I34" s="28" t="str"/>
      <x:c r="J34" s="28" t="str">
        <x:v>decimal ratio</x:v>
      </x:c>
      <x:c r="K34" s="28" t="str">
        <x:v>Earlier management working export</x:v>
      </x:c>
      <x:c r="L34" s="34" t="str">
        <x:v>2026-06-24</x:v>
      </x:c>
      <x:c r="M34" s="28" t="str"/>
    </x:row>
    <x:row r="35">
      <x:c r="A35" s="37" t="str">
        <x:v>TRY-00339</x:v>
      </x:c>
      <x:c r="B35" s="28" t="str">
        <x:v>Short-term liquidity investment allocation</x:v>
      </x:c>
      <x:c r="C35" s="28" t="str">
        <x:v>Approved investment menu</x:v>
      </x:c>
      <x:c r="D35" s="28" t="str">
        <x:v>Operating money market</x:v>
      </x:c>
      <x:c r="E35" s="28" t="str">
        <x:v>2026-05 working copy</x:v>
      </x:c>
      <x:c r="F35" s="28" t="str">
        <x:v>Approved case</x:v>
      </x:c>
      <x:c r="G35" s="28" t="str">
        <x:v>Weighted-average maturity days</x:v>
      </x:c>
      <x:c r="H35" s="31" t="n">
        <x:v>1.04</x:v>
      </x:c>
      <x:c r="I35" s="28" t="str"/>
      <x:c r="J35" s="28" t="str">
        <x:v>days</x:v>
      </x:c>
      <x:c r="K35" s="28" t="str">
        <x:v>Earlier management working export</x:v>
      </x:c>
      <x:c r="L35" s="34" t="str">
        <x:v>2026-06-24</x:v>
      </x:c>
      <x:c r="M35" s="28" t="str"/>
    </x:row>
    <x:row r="36">
      <x:c r="A36" s="37" t="str">
        <x:v>TRY-00340</x:v>
      </x:c>
      <x:c r="B36" s="28" t="str">
        <x:v>Short-term liquidity investment allocation</x:v>
      </x:c>
      <x:c r="C36" s="28" t="str">
        <x:v>Approved investment menu</x:v>
      </x:c>
      <x:c r="D36" s="28" t="str">
        <x:v>Government fund</x:v>
      </x:c>
      <x:c r="E36" s="28" t="str">
        <x:v>2026-07-05</x:v>
      </x:c>
      <x:c r="F36" s="28" t="str">
        <x:v>Management stretch</x:v>
      </x:c>
      <x:c r="G36" s="28" t="str">
        <x:v>Annual yield</x:v>
      </x:c>
      <x:c r="H36" s="31" t="n">
        <x:v>0.0462</x:v>
      </x:c>
      <x:c r="I36" s="28" t="str"/>
      <x:c r="J36" s="28" t="str">
        <x:v>decimal ratio</x:v>
      </x:c>
      <x:c r="K36" s="28" t="str">
        <x:v>Earlier management working export</x:v>
      </x:c>
      <x:c r="L36" s="34" t="str">
        <x:v>2026-06-24</x:v>
      </x:c>
      <x:c r="M36" s="28" t="str"/>
    </x:row>
    <x:row r="37">
      <x:c r="A37" s="37" t="str">
        <x:v>TRY-00341</x:v>
      </x:c>
      <x:c r="B37" s="28" t="str">
        <x:v>Short-term liquidity investment allocation</x:v>
      </x:c>
      <x:c r="C37" s="28" t="str">
        <x:v>Approved investment menu</x:v>
      </x:c>
      <x:c r="D37" s="28" t="str">
        <x:v>Insured sweep</x:v>
      </x:c>
      <x:c r="E37" s="28" t="str">
        <x:v>2026-05 working copy</x:v>
      </x:c>
      <x:c r="F37" s="28" t="str">
        <x:v>Approved case</x:v>
      </x:c>
      <x:c r="G37" s="28" t="str">
        <x:v>Same-day liquidity factor</x:v>
      </x:c>
      <x:c r="H37" s="31" t="n">
        <x:v>1.03</x:v>
      </x:c>
      <x:c r="I37" s="28" t="str"/>
      <x:c r="J37" s="28" t="str">
        <x:v>decimal ratio</x:v>
      </x:c>
      <x:c r="K37" s="28" t="str">
        <x:v>Earlier management working export</x:v>
      </x:c>
      <x:c r="L37" s="34" t="str">
        <x:v>2026-06-24</x:v>
      </x:c>
      <x:c r="M37" s="28" t="str"/>
    </x:row>
    <x:row r="38">
      <x:c r="A38" s="37" t="str">
        <x:v>TRY-00342</x:v>
      </x:c>
      <x:c r="B38" s="28" t="str">
        <x:v>Short-term liquidity investment allocation</x:v>
      </x:c>
      <x:c r="C38" s="28" t="str">
        <x:v>Liquidity floors</x:v>
      </x:c>
      <x:c r="D38" s="28" t="str">
        <x:v>Payroll</x:v>
      </x:c>
      <x:c r="E38" s="28" t="str">
        <x:v>2026-07-05</x:v>
      </x:c>
      <x:c r="F38" s="28" t="str">
        <x:v>Management stretch</x:v>
      </x:c>
      <x:c r="G38" s="28" t="str">
        <x:v>Payroll cash floor</x:v>
      </x:c>
      <x:c r="H38" s="31" t="n">
        <x:v>988</x:v>
      </x:c>
      <x:c r="I38" s="28" t="str"/>
      <x:c r="J38" s="28" t="str">
        <x:v>USD thousands</x:v>
      </x:c>
      <x:c r="K38" s="28" t="str">
        <x:v>Earlier management working export</x:v>
      </x:c>
      <x:c r="L38" s="34" t="str">
        <x:v>2026-06-24</x:v>
      </x:c>
      <x:c r="M38" s="28" t="str"/>
    </x:row>
    <x:row r="39">
      <x:c r="A39" s="37" t="str">
        <x:v>TRY-00343</x:v>
      </x:c>
      <x:c r="B39" s="28" t="str">
        <x:v>Short-term liquidity investment allocation</x:v>
      </x:c>
      <x:c r="C39" s="28" t="str">
        <x:v>Approved investment menu</x:v>
      </x:c>
      <x:c r="D39" s="28" t="str">
        <x:v>Treasury bill</x:v>
      </x:c>
      <x:c r="E39" s="28" t="str">
        <x:v>2026-05 working copy</x:v>
      </x:c>
      <x:c r="F39" s="28" t="str">
        <x:v>Approved case</x:v>
      </x:c>
      <x:c r="G39" s="28" t="str">
        <x:v>Approved capacity</x:v>
      </x:c>
      <x:c r="H39" s="31" t="n">
        <x:v>7350000</x:v>
      </x:c>
      <x:c r="I39" s="28" t="str"/>
      <x:c r="J39" s="28" t="str">
        <x:v>USD</x:v>
      </x:c>
      <x:c r="K39" s="28" t="str">
        <x:v>Earlier management working export</x:v>
      </x:c>
      <x:c r="L39" s="34" t="str">
        <x:v>2026-06-24</x:v>
      </x:c>
      <x:c r="M39" s="28" t="str"/>
    </x:row>
    <x:row r="40">
      <x:c r="A40" s="37" t="str">
        <x:v>TRY-00344</x:v>
      </x:c>
      <x:c r="B40" s="28" t="str">
        <x:v>Short-term liquidity investment allocation</x:v>
      </x:c>
      <x:c r="C40" s="28" t="str">
        <x:v>Approved investment menu</x:v>
      </x:c>
      <x:c r="D40" s="28" t="str">
        <x:v>Insured sweep</x:v>
      </x:c>
      <x:c r="E40" s="28" t="str">
        <x:v>2026-07-05</x:v>
      </x:c>
      <x:c r="F40" s="28" t="str">
        <x:v>Management stretch</x:v>
      </x:c>
      <x:c r="G40" s="28" t="str">
        <x:v>Weighted-average maturity days</x:v>
      </x:c>
      <x:c r="H40" s="31" t="n">
        <x:v>2.06</x:v>
      </x:c>
      <x:c r="I40" s="28" t="str"/>
      <x:c r="J40" s="28" t="str">
        <x:v>days</x:v>
      </x:c>
      <x:c r="K40" s="28" t="str">
        <x:v>Earlier management working export</x:v>
      </x:c>
      <x:c r="L40" s="34" t="str">
        <x:v>2026-06-24</x:v>
      </x:c>
      <x:c r="M40" s="28" t="str"/>
    </x:row>
    <x:row r="41">
      <x:c r="A41" s="37" t="str">
        <x:v>TRY-00552</x:v>
      </x:c>
      <x:c r="B41" s="28" t="str">
        <x:v>Create the dynamic 13-week cash and revolver model</x:v>
      </x:c>
      <x:c r="C41" s="28" t="str">
        <x:v>13-week direct cash forecast</x:v>
      </x:c>
      <x:c r="D41" s="28" t="str">
        <x:v>Alder Ridge</x:v>
      </x:c>
      <x:c r="E41" s="28" t="str">
        <x:v>2026-05 working copy</x:v>
      </x:c>
      <x:c r="F41" s="28" t="str">
        <x:v>Approved case</x:v>
      </x:c>
      <x:c r="G41" s="28" t="str">
        <x:v>Customer receipts</x:v>
      </x:c>
      <x:c r="H41" s="31" t="n">
        <x:v>2245.4</x:v>
      </x:c>
      <x:c r="I41" s="28" t="str"/>
      <x:c r="J41" s="28" t="str">
        <x:v>USD thousands</x:v>
      </x:c>
      <x:c r="K41" s="28" t="str">
        <x:v>Earlier management working export</x:v>
      </x:c>
      <x:c r="L41" s="34" t="str">
        <x:v>2026-06-24</x:v>
      </x:c>
      <x:c r="M41" s="28" t="str"/>
    </x:row>
    <x:row r="42">
      <x:c r="A42" s="37" t="str">
        <x:v>TRY-00553</x:v>
      </x:c>
      <x:c r="B42" s="28" t="str">
        <x:v>Create the dynamic 13-week cash and revolver model</x:v>
      </x:c>
      <x:c r="C42" s="28" t="str">
        <x:v>13-week direct cash forecast</x:v>
      </x:c>
      <x:c r="D42" s="28" t="str">
        <x:v>Alder Ridge</x:v>
      </x:c>
      <x:c r="E42" s="28" t="str">
        <x:v>2026-07-17</x:v>
      </x:c>
      <x:c r="F42" s="28" t="str">
        <x:v>Management stretch</x:v>
      </x:c>
      <x:c r="G42" s="28" t="str">
        <x:v>Taxes and capex</x:v>
      </x:c>
      <x:c r="H42" s="31" t="n">
        <x:v>0</x:v>
      </x:c>
      <x:c r="I42" s="28" t="str"/>
      <x:c r="J42" s="28" t="str">
        <x:v>USD</x:v>
      </x:c>
      <x:c r="K42" s="28" t="str">
        <x:v>Earlier management working export</x:v>
      </x:c>
      <x:c r="L42" s="34" t="str">
        <x:v>2026-06-24</x:v>
      </x:c>
      <x:c r="M42" s="28" t="str"/>
    </x:row>
    <x:row r="43">
      <x:c r="A43" s="37" t="str">
        <x:v>TRY-00554</x:v>
      </x:c>
      <x:c r="B43" s="28" t="str">
        <x:v>Create the dynamic 13-week cash and revolver model</x:v>
      </x:c>
      <x:c r="C43" s="28" t="str">
        <x:v>13-week direct cash forecast</x:v>
      </x:c>
      <x:c r="D43" s="28" t="str">
        <x:v>Alder Ridge</x:v>
      </x:c>
      <x:c r="E43" s="28" t="str">
        <x:v>2026-05 working copy</x:v>
      </x:c>
      <x:c r="F43" s="28" t="str">
        <x:v>Approved case</x:v>
      </x:c>
      <x:c r="G43" s="28" t="str">
        <x:v>Payroll</x:v>
      </x:c>
      <x:c r="H43" s="31" t="n">
        <x:v>0</x:v>
      </x:c>
      <x:c r="I43" s="28" t="str"/>
      <x:c r="J43" s="28" t="str">
        <x:v>USD</x:v>
      </x:c>
      <x:c r="K43" s="28" t="str">
        <x:v>Earlier management working export</x:v>
      </x:c>
      <x:c r="L43" s="34" t="str">
        <x:v>2026-06-24</x:v>
      </x:c>
      <x:c r="M43" s="28" t="str"/>
    </x:row>
    <x:row r="44">
      <x:c r="A44" s="37" t="str">
        <x:v>TRY-00555</x:v>
      </x:c>
      <x:c r="B44" s="28" t="str">
        <x:v>Create the dynamic 13-week cash and revolver model</x:v>
      </x:c>
      <x:c r="C44" s="28" t="str">
        <x:v>13-week direct cash forecast</x:v>
      </x:c>
      <x:c r="D44" s="28" t="str">
        <x:v>Alder Ridge</x:v>
      </x:c>
      <x:c r="E44" s="28" t="str">
        <x:v>2026-08-14</x:v>
      </x:c>
      <x:c r="F44" s="28" t="str">
        <x:v>Management stretch</x:v>
      </x:c>
      <x:c r="G44" s="28" t="str">
        <x:v>Operating disbursements</x:v>
      </x:c>
      <x:c r="H44" s="31" t="n">
        <x:v>2193900</x:v>
      </x:c>
      <x:c r="I44" s="28" t="str"/>
      <x:c r="J44" s="28" t="str">
        <x:v>USD</x:v>
      </x:c>
      <x:c r="K44" s="28" t="str">
        <x:v>Earlier management working export</x:v>
      </x:c>
      <x:c r="L44" s="34" t="str">
        <x:v>2026-06-24</x:v>
      </x:c>
      <x:c r="M44" s="28" t="str"/>
    </x:row>
    <x:row r="45">
      <x:c r="A45" s="37" t="str">
        <x:v>TRY-00556</x:v>
      </x:c>
      <x:c r="B45" s="28" t="str">
        <x:v>Create the dynamic 13-week cash and revolver model</x:v>
      </x:c>
      <x:c r="C45" s="28" t="str">
        <x:v>13-week direct cash forecast</x:v>
      </x:c>
      <x:c r="D45" s="28" t="str">
        <x:v>Alder Ridge</x:v>
      </x:c>
      <x:c r="E45" s="28" t="str">
        <x:v>2026-05 working copy</x:v>
      </x:c>
      <x:c r="F45" s="28" t="str">
        <x:v>Approved case</x:v>
      </x:c>
      <x:c r="G45" s="28" t="str">
        <x:v>Customer receipts</x:v>
      </x:c>
      <x:c r="H45" s="31" t="n">
        <x:v>3577.6</x:v>
      </x:c>
      <x:c r="I45" s="28" t="str"/>
      <x:c r="J45" s="28" t="str">
        <x:v>USD thousands</x:v>
      </x:c>
      <x:c r="K45" s="28" t="str">
        <x:v>Earlier management working export</x:v>
      </x:c>
      <x:c r="L45" s="34" t="str">
        <x:v>2026-06-24</x:v>
      </x:c>
      <x:c r="M45" s="28" t="str"/>
    </x:row>
    <x:row r="46">
      <x:c r="A46" s="37" t="str">
        <x:v>TRY-00557</x:v>
      </x:c>
      <x:c r="B46" s="28" t="str">
        <x:v>Create the dynamic 13-week cash and revolver model</x:v>
      </x:c>
      <x:c r="C46" s="28" t="str">
        <x:v>13-week direct cash forecast</x:v>
      </x:c>
      <x:c r="D46" s="28" t="str">
        <x:v>Alder Ridge</x:v>
      </x:c>
      <x:c r="E46" s="28" t="str">
        <x:v>2026-09-04</x:v>
      </x:c>
      <x:c r="F46" s="28" t="str">
        <x:v>Management stretch</x:v>
      </x:c>
      <x:c r="G46" s="28" t="str">
        <x:v>Taxes and capex</x:v>
      </x:c>
      <x:c r="H46" s="31" t="n">
        <x:v>0</x:v>
      </x:c>
      <x:c r="I46" s="28" t="str"/>
      <x:c r="J46" s="28" t="str">
        <x:v>USD</x:v>
      </x:c>
      <x:c r="K46" s="28" t="str">
        <x:v>Earlier management working export</x:v>
      </x:c>
      <x:c r="L46" s="34" t="str">
        <x:v>2026-06-24</x:v>
      </x:c>
      <x:c r="M46" s="28" t="str"/>
    </x:row>
    <x:row r="47">
      <x:c r="A47" s="37" t="str">
        <x:v>TRY-00558</x:v>
      </x:c>
      <x:c r="B47" s="28" t="str">
        <x:v>Create the dynamic 13-week cash and revolver model</x:v>
      </x:c>
      <x:c r="C47" s="28" t="str">
        <x:v>13-week direct cash forecast</x:v>
      </x:c>
      <x:c r="D47" s="28" t="str">
        <x:v>Alder Ridge</x:v>
      </x:c>
      <x:c r="E47" s="28" t="str">
        <x:v>2026-05 working copy</x:v>
      </x:c>
      <x:c r="F47" s="28" t="str">
        <x:v>Approved case</x:v>
      </x:c>
      <x:c r="G47" s="28" t="str">
        <x:v>Payroll</x:v>
      </x:c>
      <x:c r="H47" s="31" t="n">
        <x:v>968200</x:v>
      </x:c>
      <x:c r="I47" s="28" t="str"/>
      <x:c r="J47" s="28" t="str">
        <x:v>USD</x:v>
      </x:c>
      <x:c r="K47" s="28" t="str">
        <x:v>Earlier management working export</x:v>
      </x:c>
      <x:c r="L47" s="34" t="str">
        <x:v>2026-06-24</x:v>
      </x:c>
      <x:c r="M47" s="28" t="str"/>
    </x:row>
    <x:row r="48">
      <x:c r="A48" s="37" t="str">
        <x:v>TRY-00559</x:v>
      </x:c>
      <x:c r="B48" s="28" t="str">
        <x:v>Create the dynamic 13-week cash and revolver model</x:v>
      </x:c>
      <x:c r="C48" s="28" t="str">
        <x:v>13-week direct cash forecast</x:v>
      </x:c>
      <x:c r="D48" s="28" t="str">
        <x:v>Alder Ridge</x:v>
      </x:c>
      <x:c r="E48" s="28" t="str">
        <x:v>2026-10-02</x:v>
      </x:c>
      <x:c r="F48" s="28" t="str">
        <x:v>Management stretch</x:v>
      </x:c>
      <x:c r="G48" s="28" t="str">
        <x:v>Operating disbursements</x:v>
      </x:c>
      <x:c r="H48" s="31" t="n">
        <x:v>2589600</x:v>
      </x:c>
      <x:c r="I48" s="28" t="str"/>
      <x:c r="J48" s="28" t="str">
        <x:v>USD</x:v>
      </x:c>
      <x:c r="K48" s="28" t="str">
        <x:v>Earlier management working export</x:v>
      </x:c>
      <x:c r="L48" s="34" t="str">
        <x:v>2026-06-24</x:v>
      </x:c>
      <x:c r="M48" s="28" t="str"/>
    </x:row>
    <x:row r="49">
      <x:c r="A49" s="37" t="str">
        <x:v>TRY-00560</x:v>
      </x:c>
      <x:c r="B49" s="28" t="str">
        <x:v>Create the dynamic 13-week cash and revolver model</x:v>
      </x:c>
      <x:c r="C49" s="28" t="str">
        <x:v>Weekly funding policy</x:v>
      </x:c>
      <x:c r="D49" s="28" t="str">
        <x:v>Alder Ridge</x:v>
      </x:c>
      <x:c r="E49" s="28" t="str">
        <x:v>2026-05 working copy</x:v>
      </x:c>
      <x:c r="F49" s="28" t="str">
        <x:v>Approved case</x:v>
      </x:c>
      <x:c r="G49" s="28" t="str">
        <x:v>Unused commitment fee</x:v>
      </x:c>
      <x:c r="H49" s="31" t="n">
        <x:v>0.00315</x:v>
      </x:c>
      <x:c r="I49" s="28" t="str"/>
      <x:c r="J49" s="28" t="str">
        <x:v>decimal ratio</x:v>
      </x:c>
      <x:c r="K49" s="28" t="str">
        <x:v>Earlier management working export</x:v>
      </x:c>
      <x:c r="L49" s="34" t="str">
        <x:v>2026-06-24</x:v>
      </x:c>
      <x:c r="M49" s="28" t="str"/>
    </x:row>
    <x:row r="50">
      <x:c r="A50" s="37" t="str">
        <x:v>TRY-00561</x:v>
      </x:c>
      <x:c r="B50" s="28" t="str">
        <x:v>Create the dynamic 13-week cash and revolver model</x:v>
      </x:c>
      <x:c r="C50" s="28" t="str">
        <x:v>13-week direct cash forecast</x:v>
      </x:c>
      <x:c r="D50" s="28" t="str">
        <x:v>Alder Ridge</x:v>
      </x:c>
      <x:c r="E50" s="28" t="str">
        <x:v>2026-07-17</x:v>
      </x:c>
      <x:c r="F50" s="28" t="str">
        <x:v>Management stretch</x:v>
      </x:c>
      <x:c r="G50" s="28" t="str">
        <x:v>Operating disbursements</x:v>
      </x:c>
      <x:c r="H50" s="31" t="n">
        <x:v>2255700</x:v>
      </x:c>
      <x:c r="I50" s="28" t="str"/>
      <x:c r="J50" s="28" t="str">
        <x:v>USD</x:v>
      </x:c>
      <x:c r="K50" s="28" t="str">
        <x:v>Earlier management working export</x:v>
      </x:c>
      <x:c r="L50" s="34" t="str">
        <x:v>2026-06-24</x:v>
      </x:c>
      <x:c r="M50" s="28" t="str"/>
    </x:row>
    <x:row r="51">
      <x:c r="A51" s="37" t="str">
        <x:v>TRY-00562</x:v>
      </x:c>
      <x:c r="B51" s="28" t="str">
        <x:v>Create the dynamic 13-week cash and revolver model</x:v>
      </x:c>
      <x:c r="C51" s="28" t="str">
        <x:v>13-week direct cash forecast</x:v>
      </x:c>
      <x:c r="D51" s="28" t="str">
        <x:v>Alder Ridge</x:v>
      </x:c>
      <x:c r="E51" s="28" t="str">
        <x:v>2026-05 working copy</x:v>
      </x:c>
      <x:c r="F51" s="28" t="str">
        <x:v>Approved case</x:v>
      </x:c>
      <x:c r="G51" s="28" t="str">
        <x:v>Customer receipts</x:v>
      </x:c>
      <x:c r="H51" s="31" t="n">
        <x:v>3390400</x:v>
      </x:c>
      <x:c r="I51" s="28" t="str"/>
      <x:c r="J51" s="28" t="str">
        <x:v>USD</x:v>
      </x:c>
      <x:c r="K51" s="28" t="str">
        <x:v>Earlier management working export</x:v>
      </x:c>
      <x:c r="L51" s="34" t="str">
        <x:v>2026-06-24</x:v>
      </x:c>
      <x:c r="M51" s="28" t="str"/>
    </x:row>
    <x:row r="52">
      <x:c r="A52" s="37" t="str">
        <x:v>TRY-00563</x:v>
      </x:c>
      <x:c r="B52" s="28" t="str">
        <x:v>Create the dynamic 13-week cash and revolver model</x:v>
      </x:c>
      <x:c r="C52" s="28" t="str">
        <x:v>13-week direct cash forecast</x:v>
      </x:c>
      <x:c r="D52" s="28" t="str">
        <x:v>Alder Ridge</x:v>
      </x:c>
      <x:c r="E52" s="28" t="str">
        <x:v>2026-08-07</x:v>
      </x:c>
      <x:c r="F52" s="28" t="str">
        <x:v>Management stretch</x:v>
      </x:c>
      <x:c r="G52" s="28" t="str">
        <x:v>Taxes and capex</x:v>
      </x:c>
      <x:c r="H52" s="31" t="n">
        <x:v>0</x:v>
      </x:c>
      <x:c r="I52" s="28" t="str"/>
      <x:c r="J52" s="28" t="str">
        <x:v>USD</x:v>
      </x:c>
      <x:c r="K52" s="28" t="str">
        <x:v>Earlier management working export</x:v>
      </x:c>
      <x:c r="L52" s="34" t="str">
        <x:v>2026-06-24</x:v>
      </x:c>
      <x:c r="M52" s="28" t="str"/>
    </x:row>
    <x:row r="53">
      <x:c r="A53" s="37" t="str">
        <x:v>TRY-00564</x:v>
      </x:c>
      <x:c r="B53" s="28" t="str">
        <x:v>Create the dynamic 13-week cash and revolver model</x:v>
      </x:c>
      <x:c r="C53" s="28" t="str">
        <x:v>13-week direct cash forecast</x:v>
      </x:c>
      <x:c r="D53" s="28" t="str">
        <x:v>Alder Ridge</x:v>
      </x:c>
      <x:c r="E53" s="28" t="str">
        <x:v>2026-05 working copy</x:v>
      </x:c>
      <x:c r="F53" s="28" t="str">
        <x:v>Approved case</x:v>
      </x:c>
      <x:c r="G53" s="28" t="str">
        <x:v>Payroll</x:v>
      </x:c>
      <x:c r="H53" s="31" t="n">
        <x:v>968.2</x:v>
      </x:c>
      <x:c r="I53" s="28" t="str"/>
      <x:c r="J53" s="28" t="str">
        <x:v>USD thousands</x:v>
      </x:c>
      <x:c r="K53" s="28" t="str">
        <x:v>Earlier management working export</x:v>
      </x:c>
      <x:c r="L53" s="34" t="str">
        <x:v>2026-06-24</x:v>
      </x:c>
      <x:c r="M53" s="28" t="str"/>
    </x:row>
    <x:row r="54">
      <x:c r="A54" s="37" t="str">
        <x:v>TRY-00565</x:v>
      </x:c>
      <x:c r="B54" s="28" t="str">
        <x:v>Create the dynamic 13-week cash and revolver model</x:v>
      </x:c>
      <x:c r="C54" s="28" t="str">
        <x:v>13-week direct cash forecast</x:v>
      </x:c>
      <x:c r="D54" s="28" t="str">
        <x:v>Alder Ridge</x:v>
      </x:c>
      <x:c r="E54" s="28" t="str">
        <x:v>2026-09-04</x:v>
      </x:c>
      <x:c r="F54" s="28" t="str">
        <x:v>Management stretch</x:v>
      </x:c>
      <x:c r="G54" s="28" t="str">
        <x:v>Operating disbursements</x:v>
      </x:c>
      <x:c r="H54" s="31" t="n">
        <x:v>2610400</x:v>
      </x:c>
      <x:c r="I54" s="28" t="str"/>
      <x:c r="J54" s="28" t="str">
        <x:v>USD</x:v>
      </x:c>
      <x:c r="K54" s="28" t="str">
        <x:v>Earlier management working export</x:v>
      </x:c>
      <x:c r="L54" s="34" t="str">
        <x:v>2026-06-24</x:v>
      </x:c>
      <x:c r="M54" s="28" t="str"/>
    </x:row>
    <x:row r="55">
      <x:c r="A55" s="37" t="str">
        <x:v>TRY-00566</x:v>
      </x:c>
      <x:c r="B55" s="28" t="str">
        <x:v>Create the dynamic 13-week cash and revolver model</x:v>
      </x:c>
      <x:c r="C55" s="28" t="str">
        <x:v>13-week direct cash forecast</x:v>
      </x:c>
      <x:c r="D55" s="28" t="str">
        <x:v>Alder Ridge</x:v>
      </x:c>
      <x:c r="E55" s="28" t="str">
        <x:v>2026-05 working copy</x:v>
      </x:c>
      <x:c r="F55" s="28" t="str">
        <x:v>Approved case</x:v>
      </x:c>
      <x:c r="G55" s="28" t="str">
        <x:v>Customer receipts</x:v>
      </x:c>
      <x:c r="H55" s="31" t="n">
        <x:v>2152500</x:v>
      </x:c>
      <x:c r="I55" s="28" t="str"/>
      <x:c r="J55" s="28" t="str">
        <x:v>USD</x:v>
      </x:c>
      <x:c r="K55" s="28" t="str">
        <x:v>Earlier management working export</x:v>
      </x:c>
      <x:c r="L55" s="34" t="str">
        <x:v>2026-06-24</x:v>
      </x:c>
      <x:c r="M55" s="28" t="str"/>
    </x:row>
    <x:row r="56">
      <x:c r="A56" s="37" t="str">
        <x:v>TRY-00567</x:v>
      </x:c>
      <x:c r="B56" s="28" t="str">
        <x:v>Create the dynamic 13-week cash and revolver model</x:v>
      </x:c>
      <x:c r="C56" s="28" t="str">
        <x:v>13-week direct cash forecast</x:v>
      </x:c>
      <x:c r="D56" s="28" t="str">
        <x:v>Alder Ridge</x:v>
      </x:c>
      <x:c r="E56" s="28" t="str">
        <x:v>2026-09-25</x:v>
      </x:c>
      <x:c r="F56" s="28" t="str">
        <x:v>Management stretch</x:v>
      </x:c>
      <x:c r="G56" s="28" t="str">
        <x:v>Taxes and capex</x:v>
      </x:c>
      <x:c r="H56" s="31" t="n">
        <x:v>700400</x:v>
      </x:c>
      <x:c r="I56" s="28" t="str"/>
      <x:c r="J56" s="28" t="str">
        <x:v>USD</x:v>
      </x:c>
      <x:c r="K56" s="28" t="str">
        <x:v>Earlier management working export</x:v>
      </x:c>
      <x:c r="L56" s="34" t="str">
        <x:v>2026-06-24</x:v>
      </x:c>
      <x:c r="M56" s="28" t="str"/>
    </x:row>
    <x:row r="57">
      <x:c r="A57" s="37" t="str">
        <x:v>TRY-00611</x:v>
      </x:c>
      <x:c r="B57" s="28" t="str">
        <x:v>Create the dynamic 13-week cash and revolver model</x:v>
      </x:c>
      <x:c r="C57" s="28" t="str">
        <x:v>Weekly collection and collateral control</x:v>
      </x:c>
      <x:c r="D57" s="28" t="str">
        <x:v>Alder Ridge</x:v>
      </x:c>
      <x:c r="E57" s="28" t="str">
        <x:v>2026-05 working copy</x:v>
      </x:c>
      <x:c r="F57" s="28" t="str">
        <x:v>Approved case</x:v>
      </x:c>
      <x:c r="G57" s="28" t="str">
        <x:v>Receipt confidence</x:v>
      </x:c>
      <x:c r="H57" s="31" t="n">
        <x:v>0.9888</x:v>
      </x:c>
      <x:c r="I57" s="28" t="str"/>
      <x:c r="J57" s="28" t="str">
        <x:v>decimal ratio</x:v>
      </x:c>
      <x:c r="K57" s="28" t="str">
        <x:v>Earlier management working export</x:v>
      </x:c>
      <x:c r="L57" s="34" t="str">
        <x:v>2026-06-24</x:v>
      </x:c>
      <x:c r="M57" s="28" t="str"/>
    </x:row>
    <x:row r="58">
      <x:c r="A58" s="37" t="str">
        <x:v>TRY-00612</x:v>
      </x:c>
      <x:c r="B58" s="28" t="str">
        <x:v>Create the dynamic 13-week cash and revolver model</x:v>
      </x:c>
      <x:c r="C58" s="28" t="str">
        <x:v>Weekly collection and collateral control</x:v>
      </x:c>
      <x:c r="D58" s="28" t="str">
        <x:v>Alder Ridge</x:v>
      </x:c>
      <x:c r="E58" s="28" t="str">
        <x:v>2026-07-24</x:v>
      </x:c>
      <x:c r="F58" s="28" t="str">
        <x:v>Management stretch</x:v>
      </x:c>
      <x:c r="G58" s="28" t="str">
        <x:v>Eligible AR</x:v>
      </x:c>
      <x:c r="H58" s="31" t="n">
        <x:v>9568000</x:v>
      </x:c>
      <x:c r="I58" s="28" t="str"/>
      <x:c r="J58" s="28" t="str">
        <x:v>USD</x:v>
      </x:c>
      <x:c r="K58" s="28" t="str">
        <x:v>Earlier management working export</x:v>
      </x:c>
      <x:c r="L58" s="34" t="str">
        <x:v>2026-06-24</x:v>
      </x:c>
      <x:c r="M58" s="28" t="str"/>
    </x:row>
    <x:row r="59">
      <x:c r="A59" s="37" t="str">
        <x:v>TRY-00613</x:v>
      </x:c>
      <x:c r="B59" s="28" t="str">
        <x:v>Create the dynamic 13-week cash and revolver model</x:v>
      </x:c>
      <x:c r="C59" s="28" t="str">
        <x:v>Weekly collection and collateral control</x:v>
      </x:c>
      <x:c r="D59" s="28" t="str">
        <x:v>Alder Ridge</x:v>
      </x:c>
      <x:c r="E59" s="28" t="str">
        <x:v>2026-05 working copy</x:v>
      </x:c>
      <x:c r="F59" s="28" t="str">
        <x:v>Approved case</x:v>
      </x:c>
      <x:c r="G59" s="28" t="str">
        <x:v>Eligible inventory</x:v>
      </x:c>
      <x:c r="H59" s="31" t="n">
        <x:v>3612000</x:v>
      </x:c>
      <x:c r="I59" s="28" t="str"/>
      <x:c r="J59" s="28" t="str">
        <x:v>USD</x:v>
      </x:c>
      <x:c r="K59" s="28" t="str">
        <x:v>Earlier management working export</x:v>
      </x:c>
      <x:c r="L59" s="34" t="str">
        <x:v>2026-06-24</x:v>
      </x:c>
      <x:c r="M59" s="28" t="str"/>
    </x:row>
    <x:row r="60">
      <x:c r="A60" s="37" t="str">
        <x:v>TRY-00614</x:v>
      </x:c>
      <x:c r="B60" s="28" t="str">
        <x:v>Create the dynamic 13-week cash and revolver model</x:v>
      </x:c>
      <x:c r="C60" s="28" t="str">
        <x:v>Weekly collection and collateral control</x:v>
      </x:c>
      <x:c r="D60" s="28" t="str">
        <x:v>Alder Ridge</x:v>
      </x:c>
      <x:c r="E60" s="28" t="str">
        <x:v>2026-08-28</x:v>
      </x:c>
      <x:c r="F60" s="28" t="str">
        <x:v>Management stretch</x:v>
      </x:c>
      <x:c r="G60" s="28" t="str">
        <x:v>Receipt confidence</x:v>
      </x:c>
      <x:c r="H60" s="31" t="n">
        <x:v>1.0094</x:v>
      </x:c>
      <x:c r="I60" s="28" t="str"/>
      <x:c r="J60" s="28" t="str">
        <x:v>decimal ratio</x:v>
      </x:c>
      <x:c r="K60" s="28" t="str">
        <x:v>Earlier management working export</x:v>
      </x:c>
      <x:c r="L60" s="34" t="str">
        <x:v>2026-06-24</x:v>
      </x:c>
      <x:c r="M60" s="28" t="str"/>
    </x:row>
    <x:row r="61">
      <x:c r="A61" s="37" t="str">
        <x:v>TRY-00615</x:v>
      </x:c>
      <x:c r="B61" s="28" t="str">
        <x:v>Create the dynamic 13-week cash and revolver model</x:v>
      </x:c>
      <x:c r="C61" s="28" t="str">
        <x:v>Weekly collection and collateral control</x:v>
      </x:c>
      <x:c r="D61" s="28" t="str">
        <x:v>Alder Ridge</x:v>
      </x:c>
      <x:c r="E61" s="28" t="str">
        <x:v>2026-05 working copy</x:v>
      </x:c>
      <x:c r="F61" s="28" t="str">
        <x:v>Approved case</x:v>
      </x:c>
      <x:c r="G61" s="28" t="str">
        <x:v>Eligible AR</x:v>
      </x:c>
      <x:c r="H61" s="31" t="n">
        <x:v>9672</x:v>
      </x:c>
      <x:c r="I61" s="28" t="str"/>
      <x:c r="J61" s="28" t="str">
        <x:v>USD thousands</x:v>
      </x:c>
      <x:c r="K61" s="28" t="str">
        <x:v>Earlier management working export</x:v>
      </x:c>
      <x:c r="L61" s="34" t="str">
        <x:v>2026-06-24</x:v>
      </x:c>
      <x:c r="M61" s="28" t="str"/>
    </x:row>
    <x:row r="62">
      <x:c r="A62" s="37" t="str">
        <x:v>TRY-00616</x:v>
      </x:c>
      <x:c r="B62" s="28" t="str">
        <x:v>Create the dynamic 13-week cash and revolver model</x:v>
      </x:c>
      <x:c r="C62" s="28" t="str">
        <x:v>Weekly collection and collateral control</x:v>
      </x:c>
      <x:c r="D62" s="28" t="str">
        <x:v>Alder Ridge</x:v>
      </x:c>
      <x:c r="E62" s="28" t="str">
        <x:v>2026-09-25</x:v>
      </x:c>
      <x:c r="F62" s="28" t="str">
        <x:v>Management stretch</x:v>
      </x:c>
      <x:c r="G62" s="28" t="str">
        <x:v>Eligible inventory</x:v>
      </x:c>
      <x:c r="H62" s="31" t="n">
        <x:v>3444000</x:v>
      </x:c>
      <x:c r="I62" s="28" t="str"/>
      <x:c r="J62" s="28" t="str">
        <x:v>USD</x:v>
      </x:c>
      <x:c r="K62" s="28" t="str">
        <x:v>Earlier management working export</x:v>
      </x:c>
      <x:c r="L62" s="34" t="str">
        <x:v>2026-06-24</x:v>
      </x:c>
      <x:c r="M62" s="28" t="str"/>
    </x:row>
    <x:row r="63">
      <x:c r="A63" s="37" t="str">
        <x:v>TRY-00617</x:v>
      </x:c>
      <x:c r="B63" s="28" t="str">
        <x:v>Create the dynamic 13-week cash and revolver model</x:v>
      </x:c>
      <x:c r="C63" s="28" t="str">
        <x:v>Weekly borrowing base policy</x:v>
      </x:c>
      <x:c r="D63" s="28" t="str">
        <x:v>Alder Ridge</x:v>
      </x:c>
      <x:c r="E63" s="28" t="str">
        <x:v>2026-05 working copy</x:v>
      </x:c>
      <x:c r="F63" s="28" t="str">
        <x:v>Approved case</x:v>
      </x:c>
      <x:c r="G63" s="28" t="str">
        <x:v>Availability block</x:v>
      </x:c>
      <x:c r="H63" s="31" t="n">
        <x:v>746750</x:v>
      </x:c>
      <x:c r="I63" s="28" t="str"/>
      <x:c r="J63" s="28" t="str">
        <x:v>USD</x:v>
      </x:c>
      <x:c r="K63" s="28" t="str">
        <x:v>Earlier management working export</x:v>
      </x:c>
      <x:c r="L63" s="34" t="str">
        <x:v>2026-06-24</x:v>
      </x:c>
      <x:c r="M63" s="28" t="str"/>
    </x:row>
    <x:row r="64">
      <x:c r="A64" s="37" t="str">
        <x:v>TRY-00618</x:v>
      </x:c>
      <x:c r="B64" s="28" t="str">
        <x:v>Create the dynamic 13-week cash and revolver model</x:v>
      </x:c>
      <x:c r="C64" s="28" t="str">
        <x:v>Weekly collection and collateral control</x:v>
      </x:c>
      <x:c r="D64" s="28" t="str">
        <x:v>Alder Ridge</x:v>
      </x:c>
      <x:c r="E64" s="28" t="str">
        <x:v>2026-07-24</x:v>
      </x:c>
      <x:c r="F64" s="28" t="str">
        <x:v>Management stretch</x:v>
      </x:c>
      <x:c r="G64" s="28" t="str">
        <x:v>Receipt confidence</x:v>
      </x:c>
      <x:c r="H64" s="31" t="n">
        <x:v>0.9152</x:v>
      </x:c>
      <x:c r="I64" s="28" t="str"/>
      <x:c r="J64" s="28" t="str">
        <x:v>decimal ratio</x:v>
      </x:c>
      <x:c r="K64" s="28" t="str">
        <x:v>Earlier management working export</x:v>
      </x:c>
      <x:c r="L64" s="34" t="str">
        <x:v>2026-06-24</x:v>
      </x:c>
      <x:c r="M64" s="28" t="str"/>
    </x:row>
    <x:row r="65">
      <x:c r="A65" s="37" t="str">
        <x:v>TRY-00853</x:v>
      </x:c>
      <x:c r="B65" s="28" t="str">
        <x:v>Cash-investment liquidity ladder</x:v>
      </x:c>
      <x:c r="C65" s="28" t="str">
        <x:v>Permitted cash investments</x:v>
      </x:c>
      <x:c r="D65" s="28" t="str">
        <x:v>Operating deposit</x:v>
      </x:c>
      <x:c r="E65" s="28" t="str">
        <x:v>2026-05 working copy</x:v>
      </x:c>
      <x:c r="F65" s="28" t="str">
        <x:v>Approved case</x:v>
      </x:c>
      <x:c r="G65" s="28" t="str">
        <x:v>Maximum allocation</x:v>
      </x:c>
      <x:c r="H65" s="31" t="n">
        <x:v>1287500</x:v>
      </x:c>
      <x:c r="I65" s="28" t="str"/>
      <x:c r="J65" s="28" t="str">
        <x:v>USD</x:v>
      </x:c>
      <x:c r="K65" s="28" t="str">
        <x:v>Earlier management working export</x:v>
      </x:c>
      <x:c r="L65" s="34" t="str">
        <x:v>2026-06-24</x:v>
      </x:c>
      <x:c r="M65" s="28" t="str"/>
    </x:row>
    <x:row r="66">
      <x:c r="A66" s="37" t="str">
        <x:v>TRY-00854</x:v>
      </x:c>
      <x:c r="B66" s="28" t="str">
        <x:v>Cash-investment liquidity ladder</x:v>
      </x:c>
      <x:c r="C66" s="28" t="str">
        <x:v>Permitted cash investments</x:v>
      </x:c>
      <x:c r="D66" s="28" t="str">
        <x:v>Government MMF</x:v>
      </x:c>
      <x:c r="E66" s="28" t="str">
        <x:v>2026-07-06</x:v>
      </x:c>
      <x:c r="F66" s="28" t="str">
        <x:v>Management stretch</x:v>
      </x:c>
      <x:c r="G66" s="28" t="str">
        <x:v>Maturity days</x:v>
      </x:c>
      <x:c r="H66" s="31" t="n">
        <x:v>0</x:v>
      </x:c>
      <x:c r="I66" s="28" t="str"/>
      <x:c r="J66" s="28" t="str">
        <x:v>days</x:v>
      </x:c>
      <x:c r="K66" s="28" t="str">
        <x:v>Earlier management working export</x:v>
      </x:c>
      <x:c r="L66" s="34" t="str">
        <x:v>2026-06-24</x:v>
      </x:c>
      <x:c r="M66" s="28" t="str"/>
    </x:row>
    <x:row r="67">
      <x:c r="A67" s="37" t="str">
        <x:v>TRY-00855</x:v>
      </x:c>
      <x:c r="B67" s="28" t="str">
        <x:v>Cash-investment liquidity ladder</x:v>
      </x:c>
      <x:c r="C67" s="28" t="str">
        <x:v>Permitted cash investments</x:v>
      </x:c>
      <x:c r="D67" s="28" t="str">
        <x:v>4-week T-bill</x:v>
      </x:c>
      <x:c r="E67" s="28" t="str">
        <x:v>2026-05 working copy</x:v>
      </x:c>
      <x:c r="F67" s="28" t="str">
        <x:v>Approved case</x:v>
      </x:c>
      <x:c r="G67" s="28" t="str">
        <x:v>Same-day value factor</x:v>
      </x:c>
      <x:c r="H67" s="31" t="n">
        <x:v>1.0479</x:v>
      </x:c>
      <x:c r="I67" s="28" t="str"/>
      <x:c r="J67" s="28" t="str">
        <x:v>decimal ratio</x:v>
      </x:c>
      <x:c r="K67" s="28" t="str">
        <x:v>Earlier management working export</x:v>
      </x:c>
      <x:c r="L67" s="34" t="str">
        <x:v>2026-06-24</x:v>
      </x:c>
      <x:c r="M67" s="28" t="str"/>
    </x:row>
    <x:row r="68">
      <x:c r="A68" s="37" t="str">
        <x:v>TRY-00856</x:v>
      </x:c>
      <x:c r="B68" s="28" t="str">
        <x:v>Cash-investment liquidity ladder</x:v>
      </x:c>
      <x:c r="C68" s="28" t="str">
        <x:v>Permitted cash investments</x:v>
      </x:c>
      <x:c r="D68" s="28" t="str">
        <x:v>13-week T-bill</x:v>
      </x:c>
      <x:c r="E68" s="28" t="str">
        <x:v>2026-07-06</x:v>
      </x:c>
      <x:c r="F68" s="28" t="str">
        <x:v>Management stretch</x:v>
      </x:c>
      <x:c r="G68" s="28" t="str">
        <x:v>Annual yield</x:v>
      </x:c>
      <x:c r="H68" s="31" t="n">
        <x:v>0.053559999999999997</x:v>
      </x:c>
      <x:c r="I68" s="28" t="str"/>
      <x:c r="J68" s="28" t="str">
        <x:v>decimal ratio</x:v>
      </x:c>
      <x:c r="K68" s="28" t="str">
        <x:v>Earlier management working export</x:v>
      </x:c>
      <x:c r="L68" s="34" t="str">
        <x:v>2026-06-24</x:v>
      </x:c>
      <x:c r="M68" s="28" t="str"/>
    </x:row>
    <x:row r="69">
      <x:c r="A69" s="37" t="str">
        <x:v>TRY-00857</x:v>
      </x:c>
      <x:c r="B69" s="28" t="str">
        <x:v>Cash-investment liquidity ladder</x:v>
      </x:c>
      <x:c r="C69" s="28" t="str">
        <x:v>Permitted cash investments</x:v>
      </x:c>
      <x:c r="D69" s="28" t="str">
        <x:v>AAA commercial paper</x:v>
      </x:c>
      <x:c r="E69" s="28" t="str">
        <x:v>2026-05 working copy</x:v>
      </x:c>
      <x:c r="F69" s="28" t="str">
        <x:v>Approved case</x:v>
      </x:c>
      <x:c r="G69" s="28" t="str">
        <x:v>Settlement days</x:v>
      </x:c>
      <x:c r="H69" s="31" t="n">
        <x:v>3.12</x:v>
      </x:c>
      <x:c r="I69" s="28" t="str"/>
      <x:c r="J69" s="28" t="str">
        <x:v>days</x:v>
      </x:c>
      <x:c r="K69" s="28" t="str">
        <x:v>Earlier management working export</x:v>
      </x:c>
      <x:c r="L69" s="34" t="str">
        <x:v>2026-06-24</x:v>
      </x:c>
      <x:c r="M69" s="28" t="str"/>
    </x:row>
    <x:row r="70">
      <x:c r="A70" s="37" t="str">
        <x:v>TRY-00858</x:v>
      </x:c>
      <x:c r="B70" s="28" t="str">
        <x:v>Cash-investment liquidity ladder</x:v>
      </x:c>
      <x:c r="C70" s="28" t="str">
        <x:v>Investment policy</x:v>
      </x:c>
      <x:c r="D70" s="28" t="str">
        <x:v>Alder Ridge</x:v>
      </x:c>
      <x:c r="E70" s="28" t="str">
        <x:v>2026-07-06</x:v>
      </x:c>
      <x:c r="F70" s="28" t="str">
        <x:v>Management stretch</x:v>
      </x:c>
      <x:c r="G70" s="28" t="str">
        <x:v>Minimum same-day liquidity</x:v>
      </x:c>
      <x:c r="H70" s="31" t="n">
        <x:v>2625</x:v>
      </x:c>
      <x:c r="I70" s="28" t="str"/>
      <x:c r="J70" s="28" t="str">
        <x:v>USD thousands</x:v>
      </x:c>
      <x:c r="K70" s="28" t="str">
        <x:v>Earlier management working export</x:v>
      </x:c>
      <x:c r="L70" s="34" t="str">
        <x:v>2026-06-24</x:v>
      </x:c>
      <x:c r="M70" s="28" t="str"/>
    </x:row>
    <x:row r="71">
      <x:c r="A71" s="37" t="str">
        <x:v>TRY-00859</x:v>
      </x:c>
      <x:c r="B71" s="28" t="str">
        <x:v>Cash-investment liquidity ladder</x:v>
      </x:c>
      <x:c r="C71" s="28" t="str">
        <x:v>Permitted cash investments</x:v>
      </x:c>
      <x:c r="D71" s="28" t="str">
        <x:v>Operating deposit</x:v>
      </x:c>
      <x:c r="E71" s="28" t="str">
        <x:v>2026-05 working copy</x:v>
      </x:c>
      <x:c r="F71" s="28" t="str">
        <x:v>Approved case</x:v>
      </x:c>
      <x:c r="G71" s="28" t="str">
        <x:v>Same-day value factor</x:v>
      </x:c>
      <x:c r="H71" s="31" t="n">
        <x:v>1.03</x:v>
      </x:c>
      <x:c r="I71" s="28" t="str"/>
      <x:c r="J71" s="28" t="str">
        <x:v>decimal ratio</x:v>
      </x:c>
      <x:c r="K71" s="28" t="str">
        <x:v>Earlier management working export</x:v>
      </x:c>
      <x:c r="L71" s="34" t="str">
        <x:v>2026-06-24</x:v>
      </x:c>
      <x:c r="M71" s="28" t="str"/>
    </x:row>
    <x:row r="72">
      <x:c r="A72" s="37" t="str">
        <x:v>TRY-00860</x:v>
      </x:c>
      <x:c r="B72" s="28" t="str">
        <x:v>Cash-investment liquidity ladder</x:v>
      </x:c>
      <x:c r="C72" s="28" t="str">
        <x:v>Permitted cash investments</x:v>
      </x:c>
      <x:c r="D72" s="28" t="str">
        <x:v>4-week T-bill</x:v>
      </x:c>
      <x:c r="E72" s="28" t="str">
        <x:v>2026-07-06</x:v>
      </x:c>
      <x:c r="F72" s="28" t="str">
        <x:v>Management stretch</x:v>
      </x:c>
      <x:c r="G72" s="28" t="str">
        <x:v>Annual yield</x:v>
      </x:c>
      <x:c r="H72" s="31" t="n">
        <x:v>0.052520000000000004</x:v>
      </x:c>
      <x:c r="I72" s="28" t="str"/>
      <x:c r="J72" s="28" t="str">
        <x:v>decimal ratio</x:v>
      </x:c>
      <x:c r="K72" s="28" t="str">
        <x:v>Earlier management working export</x:v>
      </x:c>
      <x:c r="L72" s="34" t="str">
        <x:v>2026-06-24</x:v>
      </x:c>
      <x:c r="M72" s="28" t="str"/>
    </x:row>
    <x:row r="73">
      <x:c r="A73" s="37" t="str">
        <x:v>TRY-00861</x:v>
      </x:c>
      <x:c r="B73" s="28" t="str">
        <x:v>Cash-investment liquidity ladder</x:v>
      </x:c>
      <x:c r="C73" s="28" t="str">
        <x:v>Permitted cash investments</x:v>
      </x:c>
      <x:c r="D73" s="28" t="str">
        <x:v>8-week T-bill</x:v>
      </x:c>
      <x:c r="E73" s="28" t="str">
        <x:v>2026-05 working copy</x:v>
      </x:c>
      <x:c r="F73" s="28" t="str">
        <x:v>Approved case</x:v>
      </x:c>
      <x:c r="G73" s="28" t="str">
        <x:v>Settlement days</x:v>
      </x:c>
      <x:c r="H73" s="31" t="n">
        <x:v>1.05</x:v>
      </x:c>
      <x:c r="I73" s="28" t="str"/>
      <x:c r="J73" s="28" t="str">
        <x:v>days</x:v>
      </x:c>
      <x:c r="K73" s="28" t="str">
        <x:v>Earlier management working export</x:v>
      </x:c>
      <x:c r="L73" s="34" t="str">
        <x:v>2026-06-24</x:v>
      </x:c>
      <x:c r="M73" s="28" t="str"/>
    </x:row>
    <x:row r="74">
      <x:c r="A74" s="37" t="str">
        <x:v>TRY-00862</x:v>
      </x:c>
      <x:c r="B74" s="28" t="str">
        <x:v>Cash-investment liquidity ladder</x:v>
      </x:c>
      <x:c r="C74" s="28" t="str">
        <x:v>Permitted cash investments</x:v>
      </x:c>
      <x:c r="D74" s="28" t="str">
        <x:v>AAA commercial paper</x:v>
      </x:c>
      <x:c r="E74" s="28" t="str">
        <x:v>2026-07-06</x:v>
      </x:c>
      <x:c r="F74" s="28" t="str">
        <x:v>Management stretch</x:v>
      </x:c>
      <x:c r="G74" s="28" t="str">
        <x:v>Maximum allocation</x:v>
      </x:c>
      <x:c r="H74" s="31" t="n">
        <x:v>1236</x:v>
      </x:c>
      <x:c r="I74" s="28" t="str"/>
      <x:c r="J74" s="28" t="str">
        <x:v>USD thousands</x:v>
      </x:c>
      <x:c r="K74" s="28" t="str">
        <x:v>Earlier management working export</x:v>
      </x:c>
      <x:c r="L74" s="34" t="str">
        <x:v>2026-06-24</x:v>
      </x:c>
      <x:c r="M74" s="28" t="str"/>
    </x:row>
    <x:row r="75">
      <x:c r="A75" s="37" t="str">
        <x:v>TRY-00863</x:v>
      </x:c>
      <x:c r="B75" s="28" t="str">
        <x:v>Cash-investment liquidity ladder</x:v>
      </x:c>
      <x:c r="C75" s="28" t="str">
        <x:v>Liquidity requirement tranches</x:v>
      </x:c>
      <x:c r="D75" s="28" t="str">
        <x:v>Alder Ridge</x:v>
      </x:c>
      <x:c r="E75" s="28" t="str">
        <x:v>2026-05 working copy</x:v>
      </x:c>
      <x:c r="F75" s="28" t="str">
        <x:v>Approved case</x:v>
      </x:c>
      <x:c r="G75" s="28" t="str">
        <x:v>Incremental cash need</x:v>
      </x:c>
      <x:c r="H75" s="31" t="n">
        <x:v>1976000</x:v>
      </x:c>
      <x:c r="I75" s="28" t="str"/>
      <x:c r="J75" s="28" t="str">
        <x:v>USD</x:v>
      </x:c>
      <x:c r="K75" s="28" t="str">
        <x:v>Earlier management working export</x:v>
      </x:c>
      <x:c r="L75" s="34" t="str">
        <x:v>2026-06-24</x:v>
      </x:c>
      <x:c r="M75" s="28" t="str"/>
    </x:row>
    <x:row r="76">
      <x:c r="A76" s="37" t="str">
        <x:v>TRY-00864</x:v>
      </x:c>
      <x:c r="B76" s="28" t="str">
        <x:v>Cash-investment liquidity ladder</x:v>
      </x:c>
      <x:c r="C76" s="28" t="str">
        <x:v>Permitted cash investments</x:v>
      </x:c>
      <x:c r="D76" s="28" t="str">
        <x:v>Operating deposit</x:v>
      </x:c>
      <x:c r="E76" s="28" t="str">
        <x:v>2026-07-06</x:v>
      </x:c>
      <x:c r="F76" s="28" t="str">
        <x:v>Management stretch</x:v>
      </x:c>
      <x:c r="G76" s="28" t="str">
        <x:v>Annual yield</x:v>
      </x:c>
      <x:c r="H76" s="31" t="n">
        <x:v>0.043050000000000005</x:v>
      </x:c>
      <x:c r="I76" s="28" t="str"/>
      <x:c r="J76" s="28" t="str">
        <x:v>decimal ratio</x:v>
      </x:c>
      <x:c r="K76" s="28" t="str">
        <x:v>Earlier management working export</x:v>
      </x:c>
      <x:c r="L76" s="34" t="str">
        <x:v>2026-06-24</x:v>
      </x:c>
      <x:c r="M76" s="28" t="str"/>
    </x:row>
    <x:row r="77">
      <x:c r="A77" s="37" t="str">
        <x:v>TRY-00886</x:v>
      </x:c>
      <x:c r="B77" s="28" t="str">
        <x:v>Cash-investment liquidity ladder</x:v>
      </x:c>
      <x:c r="C77" s="28" t="str">
        <x:v>Investment stress control</x:v>
      </x:c>
      <x:c r="D77" s="28" t="str">
        <x:v>Operating deposit</x:v>
      </x:c>
      <x:c r="E77" s="28" t="str">
        <x:v>2026-05 working copy</x:v>
      </x:c>
      <x:c r="F77" s="28" t="str">
        <x:v>Approved case</x:v>
      </x:c>
      <x:c r="G77" s="28" t="str">
        <x:v>Effective maturity days</x:v>
      </x:c>
      <x:c r="H77" s="31" t="n">
        <x:v>0</x:v>
      </x:c>
      <x:c r="I77" s="28" t="str"/>
      <x:c r="J77" s="28" t="str">
        <x:v>days</x:v>
      </x:c>
      <x:c r="K77" s="28" t="str">
        <x:v>Earlier management working export</x:v>
      </x:c>
      <x:c r="L77" s="34" t="str">
        <x:v>2026-06-24</x:v>
      </x:c>
      <x:c r="M77" s="28" t="str"/>
    </x:row>
    <x:row r="78">
      <x:c r="A78" s="37" t="str">
        <x:v>TRY-00887</x:v>
      </x:c>
      <x:c r="B78" s="28" t="str">
        <x:v>Cash-investment liquidity ladder</x:v>
      </x:c>
      <x:c r="C78" s="28" t="str">
        <x:v>Investment stress control</x:v>
      </x:c>
      <x:c r="D78" s="28" t="str">
        <x:v>8-week T-bill</x:v>
      </x:c>
      <x:c r="E78" s="28" t="str">
        <x:v>Day 35</x:v>
      </x:c>
      <x:c r="F78" s="28" t="str">
        <x:v>Management stretch</x:v>
      </x:c>
      <x:c r="G78" s="28" t="str">
        <x:v>Stress value factor</x:v>
      </x:c>
      <x:c r="H78" s="31" t="n">
        <x:v>1.03168</x:v>
      </x:c>
      <x:c r="I78" s="28" t="str"/>
      <x:c r="J78" s="28" t="str">
        <x:v>decimal ratio</x:v>
      </x:c>
      <x:c r="K78" s="28" t="str">
        <x:v>Earlier management working export</x:v>
      </x:c>
      <x:c r="L78" s="34" t="str">
        <x:v>2026-06-24</x:v>
      </x:c>
      <x:c r="M78" s="28" t="str"/>
    </x:row>
    <x:row r="79">
      <x:c r="A79" s="37" t="str">
        <x:v>TRY-00888</x:v>
      </x:c>
      <x:c r="B79" s="28" t="str">
        <x:v>Cash-investment liquidity ladder</x:v>
      </x:c>
      <x:c r="C79" s="28" t="str">
        <x:v>Investment policy</x:v>
      </x:c>
      <x:c r="D79" s="28" t="str">
        <x:v>Alder Ridge</x:v>
      </x:c>
      <x:c r="E79" s="28" t="str">
        <x:v>2026-05 working copy</x:v>
      </x:c>
      <x:c r="F79" s="28" t="str">
        <x:v>Approved case</x:v>
      </x:c>
      <x:c r="G79" s="28" t="str">
        <x:v>Minimum stressed day-35 liquidity</x:v>
      </x:c>
      <x:c r="H79" s="31" t="n">
        <x:v>5302.5</x:v>
      </x:c>
      <x:c r="I79" s="28" t="str"/>
      <x:c r="J79" s="28" t="str">
        <x:v>USD thousands</x:v>
      </x:c>
      <x:c r="K79" s="28" t="str">
        <x:v>Earlier management working export</x:v>
      </x:c>
      <x:c r="L79" s="34" t="str">
        <x:v>2026-06-24</x:v>
      </x:c>
      <x:c r="M79" s="28" t="str"/>
    </x:row>
    <x:row r="80">
      <x:c r="A80" s="37" t="str">
        <x:v>TRY-00889</x:v>
      </x:c>
      <x:c r="B80" s="28" t="str">
        <x:v>Cash-investment liquidity ladder</x:v>
      </x:c>
      <x:c r="C80" s="28" t="str">
        <x:v>Investment stress control</x:v>
      </x:c>
      <x:c r="D80" s="28" t="str">
        <x:v>8-week T-bill</x:v>
      </x:c>
      <x:c r="E80" s="28" t="str">
        <x:v>Day 35</x:v>
      </x:c>
      <x:c r="F80" s="28" t="str">
        <x:v>Management stretch</x:v>
      </x:c>
      <x:c r="G80" s="28" t="str">
        <x:v>Effective maturity days</x:v>
      </x:c>
      <x:c r="H80" s="31" t="n">
        <x:v>57.68</x:v>
      </x:c>
      <x:c r="I80" s="28" t="str"/>
      <x:c r="J80" s="28" t="str">
        <x:v>days</x:v>
      </x:c>
      <x:c r="K80" s="28" t="str">
        <x:v>Earlier management working export</x:v>
      </x:c>
      <x:c r="L80" s="34" t="str">
        <x:v>2026-06-24</x:v>
      </x:c>
      <x:c r="M80" s="28" t="str"/>
    </x:row>
    <x:row r="81">
      <x:c r="A81" s="37" t="str">
        <x:v>TRY-00890</x:v>
      </x:c>
      <x:c r="B81" s="28" t="str">
        <x:v>Cash-investment liquidity ladder</x:v>
      </x:c>
      <x:c r="C81" s="28" t="str">
        <x:v>Investment policy</x:v>
      </x:c>
      <x:c r="D81" s="28" t="str">
        <x:v>Alder Ridge</x:v>
      </x:c>
      <x:c r="E81" s="28" t="str">
        <x:v>2026-05 working copy</x:v>
      </x:c>
      <x:c r="F81" s="28" t="str">
        <x:v>Approved case</x:v>
      </x:c>
      <x:c r="G81" s="28" t="str">
        <x:v>Maximum government issuer concentration</x:v>
      </x:c>
      <x:c r="H81" s="31" t="n">
        <x:v>0.8112</x:v>
      </x:c>
      <x:c r="I81" s="28" t="str"/>
      <x:c r="J81" s="28" t="str">
        <x:v>decimal ratio</x:v>
      </x:c>
      <x:c r="K81" s="28" t="str">
        <x:v>Earlier management working export</x:v>
      </x:c>
      <x:c r="L81" s="34" t="str">
        <x:v>2026-06-24</x:v>
      </x:c>
      <x:c r="M81" s="28" t="str"/>
    </x:row>
    <x:row r="82">
      <x:c r="A82" s="38" t="str">
        <x:v>TRY-00891</x:v>
      </x:c>
      <x:c r="B82" s="29" t="str">
        <x:v>Cash-investment liquidity ladder</x:v>
      </x:c>
      <x:c r="C82" s="29" t="str">
        <x:v>Investment stress control</x:v>
      </x:c>
      <x:c r="D82" s="29" t="str">
        <x:v>4-week T-bill</x:v>
      </x:c>
      <x:c r="E82" s="29" t="str">
        <x:v>Day 35</x:v>
      </x:c>
      <x:c r="F82" s="29" t="str">
        <x:v>Management stretch</x:v>
      </x:c>
      <x:c r="G82" s="29" t="str">
        <x:v>Stress value factor</x:v>
      </x:c>
      <x:c r="H82" s="32" t="n">
        <x:v>1.04685</x:v>
      </x:c>
      <x:c r="I82" s="29" t="str"/>
      <x:c r="J82" s="29" t="str">
        <x:v>decimal ratio</x:v>
      </x:c>
      <x:c r="K82" s="29" t="str">
        <x:v>Earlier management working export</x:v>
      </x:c>
      <x:c r="L82" s="35" t="str">
        <x:v>2026-06-24</x:v>
      </x:c>
      <x:c r="M82" s="29" t="str"/>
    </x:row>
  </x:sheetData>
  <x:mergeCells>
    <x:mergeCell ref="A1:M1"/>
    <x:mergeCell ref="A2:M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34" hidden="0" customWidth="1"/>
    <x:col min="3" max="3" width="27" hidden="0" customWidth="1"/>
    <x:col min="4" max="4" width="24" hidden="0" customWidth="1"/>
    <x:col min="5" max="5" width="18" hidden="0" customWidth="1"/>
    <x:col min="6" max="6" width="18" hidden="0" customWidth="1"/>
    <x:col min="7" max="7" width="34" hidden="0" customWidth="1"/>
    <x:col min="8" max="8" width="16" hidden="0" customWidth="1"/>
    <x:col min="9" max="9" width="27" hidden="0" customWidth="1"/>
    <x:col min="10" max="10" width="15" hidden="0" customWidth="1"/>
    <x:col min="11" max="11" width="34" hidden="0" customWidth="1"/>
    <x:col min="12" max="12" width="14" hidden="0" customWidth="1"/>
    <x:col min="13" max="13" width="42" hidden="0" customWidth="1"/>
  </x:cols>
  <x:sheetData>
    <x:row r="1" ht="25" customHeight="1">
      <x:c r="A1" s="9" t="str">
        <x:v>treasury, banking, and credit outlook | Debt and Hedges</x:v>
      </x:c>
      <x:c r="B1" s="9"/>
      <x:c r="C1" s="9"/>
      <x:c r="D1" s="9"/>
      <x:c r="E1" s="9"/>
      <x:c r="F1" s="9"/>
      <x:c r="G1" s="9"/>
      <x:c r="H1" s="9"/>
      <x:c r="I1" s="9"/>
      <x:c r="J1" s="9"/>
      <x:c r="K1" s="9"/>
      <x:c r="L1" s="9"/>
      <x:c r="M1" s="9"/>
    </x:row>
    <x:row r="2" ht="25" customHeight="1">
      <x:c r="A2" s="11" t="str">
        <x:v>PRIOR REVIEW COPY - retained for change history; not controller tied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</x:row>
    <x:row r="4" ht="30" customHeight="1">
      <x:c r="A4" s="20" t="str">
        <x:v>Source Ref</x:v>
      </x:c>
      <x:c r="B4" s="21" t="str">
        <x:v>Workstream</x:v>
      </x:c>
      <x:c r="C4" s="21" t="str">
        <x:v>Schedule</x:v>
      </x:c>
      <x:c r="D4" s="21" t="str">
        <x:v>Entity Or Item</x:v>
      </x:c>
      <x:c r="E4" s="21" t="str">
        <x:v>Period Or As Of</x:v>
      </x:c>
      <x:c r="F4" s="21" t="str">
        <x:v>Case</x:v>
      </x:c>
      <x:c r="G4" s="21" t="str">
        <x:v>Metric Or Driver</x:v>
      </x:c>
      <x:c r="H4" s="21" t="str">
        <x:v>Numeric Value</x:v>
      </x:c>
      <x:c r="I4" s="21" t="str">
        <x:v>Text Or Decision</x:v>
      </x:c>
      <x:c r="J4" s="21" t="str">
        <x:v>Units</x:v>
      </x:c>
      <x:c r="K4" s="21" t="str">
        <x:v>Source Or Owner</x:v>
      </x:c>
      <x:c r="L4" s="21" t="str">
        <x:v>Source Date</x:v>
      </x:c>
      <x:c r="M4" s="22" t="str">
        <x:v>System Tie</x:v>
      </x:c>
    </x:row>
    <x:row r="5">
      <x:c r="A5" s="36" t="str">
        <x:v>TRY-00191</x:v>
      </x:c>
      <x:c r="B5" s="27" t="str">
        <x:v>Term-loan refinancing NPV decision</x:v>
      </x:c>
      <x:c r="C5" s="27" t="str">
        <x:v>Existing notes</x:v>
      </x:c>
      <x:c r="D5" s="27" t="str">
        <x:v>Consolidated</x:v>
      </x:c>
      <x:c r="E5" s="27" t="str">
        <x:v>2026-05 working copy</x:v>
      </x:c>
      <x:c r="F5" s="27" t="str">
        <x:v>Approved case</x:v>
      </x:c>
      <x:c r="G5" s="27" t="str">
        <x:v>Outstanding principal</x:v>
      </x:c>
      <x:c r="H5" s="30" t="n">
        <x:v>6695</x:v>
      </x:c>
      <x:c r="I5" s="27" t="str"/>
      <x:c r="J5" s="27" t="str">
        <x:v>USD thousands</x:v>
      </x:c>
      <x:c r="K5" s="27" t="str">
        <x:v>Earlier management working export</x:v>
      </x:c>
      <x:c r="L5" s="33" t="str">
        <x:v>2026-06-24</x:v>
      </x:c>
      <x:c r="M5" s="27" t="str"/>
    </x:row>
    <x:row r="6">
      <x:c r="A6" s="37" t="str">
        <x:v>TRY-00192</x:v>
      </x:c>
      <x:c r="B6" s="28" t="str">
        <x:v>Term-loan refinancing NPV decision</x:v>
      </x:c>
      <x:c r="C6" s="28" t="str">
        <x:v>Refinancing proposals</x:v>
      </x:c>
      <x:c r="D6" s="28" t="str">
        <x:v>Proposal A</x:v>
      </x:c>
      <x:c r="E6" s="28" t="str">
        <x:v>2026-07-01</x:v>
      </x:c>
      <x:c r="F6" s="28" t="str">
        <x:v>Management stretch</x:v>
      </x:c>
      <x:c r="G6" s="28" t="str">
        <x:v>Amortization months</x:v>
      </x:c>
      <x:c r="H6" s="31" t="n">
        <x:v>49.92</x:v>
      </x:c>
      <x:c r="I6" s="28" t="str"/>
      <x:c r="J6" s="28" t="str">
        <x:v>count</x:v>
      </x:c>
      <x:c r="K6" s="28" t="str">
        <x:v>Earlier management working export</x:v>
      </x:c>
      <x:c r="L6" s="34" t="str">
        <x:v>2026-06-24</x:v>
      </x:c>
      <x:c r="M6" s="28" t="str"/>
    </x:row>
    <x:row r="7">
      <x:c r="A7" s="37" t="str">
        <x:v>TRY-00193</x:v>
      </x:c>
      <x:c r="B7" s="28" t="str">
        <x:v>Term-loan refinancing NPV decision</x:v>
      </x:c>
      <x:c r="C7" s="28" t="str">
        <x:v>Refinancing proposals</x:v>
      </x:c>
      <x:c r="D7" s="28" t="str">
        <x:v>Proposal B</x:v>
      </x:c>
      <x:c r="E7" s="28" t="str">
        <x:v>2026-05 working copy</x:v>
      </x:c>
      <x:c r="F7" s="28" t="str">
        <x:v>Approved case</x:v>
      </x:c>
      <x:c r="G7" s="28" t="str">
        <x:v>Existing-note prepayment penalty rate</x:v>
      </x:c>
      <x:c r="H7" s="31" t="n">
        <x:v>0.01575</x:v>
      </x:c>
      <x:c r="I7" s="28" t="str"/>
      <x:c r="J7" s="28" t="str">
        <x:v>decimal ratio</x:v>
      </x:c>
      <x:c r="K7" s="28" t="str">
        <x:v>Earlier management working export</x:v>
      </x:c>
      <x:c r="L7" s="34" t="str">
        <x:v>2026-06-24</x:v>
      </x:c>
      <x:c r="M7" s="28" t="str"/>
    </x:row>
    <x:row r="8">
      <x:c r="A8" s="37" t="str">
        <x:v>TRY-00194</x:v>
      </x:c>
      <x:c r="B8" s="28" t="str">
        <x:v>Term-loan refinancing NPV decision</x:v>
      </x:c>
      <x:c r="C8" s="28" t="str">
        <x:v>Refinancing proposals</x:v>
      </x:c>
      <x:c r="D8" s="28" t="str">
        <x:v>Keep existing</x:v>
      </x:c>
      <x:c r="E8" s="28" t="str">
        <x:v>2026-07-01</x:v>
      </x:c>
      <x:c r="F8" s="28" t="str">
        <x:v>Management stretch</x:v>
      </x:c>
      <x:c r="G8" s="28" t="str">
        <x:v>Upfront fee</x:v>
      </x:c>
      <x:c r="H8" s="31" t="n">
        <x:v>0</x:v>
      </x:c>
      <x:c r="I8" s="28" t="str"/>
      <x:c r="J8" s="28" t="str">
        <x:v>USD</x:v>
      </x:c>
      <x:c r="K8" s="28" t="str">
        <x:v>Earlier management working export</x:v>
      </x:c>
      <x:c r="L8" s="34" t="str">
        <x:v>2026-06-24</x:v>
      </x:c>
      <x:c r="M8" s="28" t="str"/>
    </x:row>
    <x:row r="9">
      <x:c r="A9" s="37" t="str">
        <x:v>TRY-00195</x:v>
      </x:c>
      <x:c r="B9" s="28" t="str">
        <x:v>Term-loan refinancing NPV decision</x:v>
      </x:c>
      <x:c r="C9" s="28" t="str">
        <x:v>Refinancing proposals</x:v>
      </x:c>
      <x:c r="D9" s="28" t="str">
        <x:v>Proposal A</x:v>
      </x:c>
      <x:c r="E9" s="28" t="str">
        <x:v>2026-05 working copy</x:v>
      </x:c>
      <x:c r="F9" s="28" t="str">
        <x:v>Approved case</x:v>
      </x:c>
      <x:c r="G9" s="28" t="str">
        <x:v>Maturity balloon percent</x:v>
      </x:c>
      <x:c r="H9" s="31" t="n">
        <x:v>0</x:v>
      </x:c>
      <x:c r="I9" s="28" t="str"/>
      <x:c r="J9" s="28" t="str">
        <x:v>decimal ratio</x:v>
      </x:c>
      <x:c r="K9" s="28" t="str">
        <x:v>Earlier management working export</x:v>
      </x:c>
      <x:c r="L9" s="34" t="str">
        <x:v>2026-06-24</x:v>
      </x:c>
      <x:c r="M9" s="28" t="str"/>
    </x:row>
    <x:row r="10">
      <x:c r="A10" s="37" t="str">
        <x:v>TRY-00196</x:v>
      </x:c>
      <x:c r="B10" s="28" t="str">
        <x:v>Term-loan refinancing NPV decision</x:v>
      </x:c>
      <x:c r="C10" s="28" t="str">
        <x:v>Treasury policy</x:v>
      </x:c>
      <x:c r="D10" s="28" t="str">
        <x:v>Existing notes</x:v>
      </x:c>
      <x:c r="E10" s="28" t="str">
        <x:v>2026-07-01</x:v>
      </x:c>
      <x:c r="F10" s="28" t="str">
        <x:v>Management stretch</x:v>
      </x:c>
      <x:c r="G10" s="28" t="str">
        <x:v>Unamortized fee write-off</x:v>
      </x:c>
      <x:c r="H10" s="31" t="n">
        <x:v>23625</x:v>
      </x:c>
      <x:c r="I10" s="28" t="str"/>
      <x:c r="J10" s="28" t="str">
        <x:v>USD</x:v>
      </x:c>
      <x:c r="K10" s="28" t="str">
        <x:v>Earlier management working export</x:v>
      </x:c>
      <x:c r="L10" s="34" t="str">
        <x:v>2026-06-24</x:v>
      </x:c>
      <x:c r="M10" s="28" t="str"/>
    </x:row>
    <x:row r="11">
      <x:c r="A11" s="37" t="str">
        <x:v>TRY-00197</x:v>
      </x:c>
      <x:c r="B11" s="28" t="str">
        <x:v>Term-loan refinancing NPV decision</x:v>
      </x:c>
      <x:c r="C11" s="28" t="str">
        <x:v>Refinancing proposals</x:v>
      </x:c>
      <x:c r="D11" s="28" t="str">
        <x:v>Proposal A</x:v>
      </x:c>
      <x:c r="E11" s="28" t="str">
        <x:v>2026-05 working copy</x:v>
      </x:c>
      <x:c r="F11" s="28" t="str">
        <x:v>Approved case</x:v>
      </x:c>
      <x:c r="G11" s="28" t="str">
        <x:v>Annual interest rate</x:v>
      </x:c>
      <x:c r="H11" s="31" t="n">
        <x:v>0.06283</x:v>
      </x:c>
      <x:c r="I11" s="28" t="str"/>
      <x:c r="J11" s="28" t="str">
        <x:v>decimal ratio</x:v>
      </x:c>
      <x:c r="K11" s="28" t="str">
        <x:v>Earlier management working export</x:v>
      </x:c>
      <x:c r="L11" s="34" t="str">
        <x:v>2026-06-24</x:v>
      </x:c>
      <x:c r="M11" s="28" t="str"/>
    </x:row>
    <x:row r="12">
      <x:c r="A12" s="37" t="str">
        <x:v>TRY-00198</x:v>
      </x:c>
      <x:c r="B12" s="28" t="str">
        <x:v>Term-loan refinancing NPV decision</x:v>
      </x:c>
      <x:c r="C12" s="28" t="str">
        <x:v>Refinancing proposals</x:v>
      </x:c>
      <x:c r="D12" s="28" t="str">
        <x:v>Proposal B</x:v>
      </x:c>
      <x:c r="E12" s="28" t="str">
        <x:v>2026-07-01</x:v>
      </x:c>
      <x:c r="F12" s="28" t="str">
        <x:v>Management stretch</x:v>
      </x:c>
      <x:c r="G12" s="28" t="str">
        <x:v>Upfront fee</x:v>
      </x:c>
      <x:c r="H12" s="31" t="n">
        <x:v>70720</x:v>
      </x:c>
      <x:c r="I12" s="28" t="str"/>
      <x:c r="J12" s="28" t="str">
        <x:v>USD</x:v>
      </x:c>
      <x:c r="K12" s="28" t="str">
        <x:v>Earlier management working export</x:v>
      </x:c>
      <x:c r="L12" s="34" t="str">
        <x:v>2026-06-24</x:v>
      </x:c>
      <x:c r="M12" s="28" t="str"/>
    </x:row>
    <x:row r="13">
      <x:c r="A13" s="37" t="str">
        <x:v>TRY-00199</x:v>
      </x:c>
      <x:c r="B13" s="28" t="str">
        <x:v>Term-loan refinancing NPV decision</x:v>
      </x:c>
      <x:c r="C13" s="28" t="str">
        <x:v>Refinancing proposals</x:v>
      </x:c>
      <x:c r="D13" s="28" t="str">
        <x:v>Keep existing</x:v>
      </x:c>
      <x:c r="E13" s="28" t="str">
        <x:v>2026-05 working copy</x:v>
      </x:c>
      <x:c r="F13" s="28" t="str">
        <x:v>Approved case</x:v>
      </x:c>
      <x:c r="G13" s="28" t="str">
        <x:v>Amortization months</x:v>
      </x:c>
      <x:c r="H13" s="31" t="n">
        <x:v>31.5</x:v>
      </x:c>
      <x:c r="I13" s="28" t="str"/>
      <x:c r="J13" s="28" t="str">
        <x:v>count</x:v>
      </x:c>
      <x:c r="K13" s="28" t="str">
        <x:v>Earlier management working export</x:v>
      </x:c>
      <x:c r="L13" s="34" t="str">
        <x:v>2026-06-24</x:v>
      </x:c>
      <x:c r="M13" s="28" t="str"/>
    </x:row>
    <x:row r="14">
      <x:c r="A14" s="37" t="str">
        <x:v>TRY-00200</x:v>
      </x:c>
      <x:c r="B14" s="28" t="str">
        <x:v>Term-loan refinancing NPV decision</x:v>
      </x:c>
      <x:c r="C14" s="28" t="str">
        <x:v>Refinancing proposals</x:v>
      </x:c>
      <x:c r="D14" s="28" t="str">
        <x:v>Proposal A</x:v>
      </x:c>
      <x:c r="E14" s="28" t="str">
        <x:v>2026-07-01</x:v>
      </x:c>
      <x:c r="F14" s="28" t="str">
        <x:v>Management stretch</x:v>
      </x:c>
      <x:c r="G14" s="28" t="str">
        <x:v>Existing-note prepayment penalty rate</x:v>
      </x:c>
      <x:c r="H14" s="31" t="n">
        <x:v>0.01545</x:v>
      </x:c>
      <x:c r="I14" s="28" t="str"/>
      <x:c r="J14" s="28" t="str">
        <x:v>decimal ratio</x:v>
      </x:c>
      <x:c r="K14" s="28" t="str">
        <x:v>Earlier management working export</x:v>
      </x:c>
      <x:c r="L14" s="34" t="str">
        <x:v>2026-06-24</x:v>
      </x:c>
      <x:c r="M14" s="28" t="str"/>
    </x:row>
    <x:row r="15">
      <x:c r="A15" s="37" t="str">
        <x:v>TRY-00223</x:v>
      </x:c>
      <x:c r="B15" s="28" t="str">
        <x:v>Interest-rate hedge strategy</x:v>
      </x:c>
      <x:c r="C15" s="28" t="str">
        <x:v>SOFR scenarios</x:v>
      </x:c>
      <x:c r="D15" s="28" t="str">
        <x:v>Base</x:v>
      </x:c>
      <x:c r="E15" s="28" t="str">
        <x:v>2026-05 working copy</x:v>
      </x:c>
      <x:c r="F15" s="28" t="str">
        <x:v>Approved case</x:v>
      </x:c>
      <x:c r="G15" s="28" t="str">
        <x:v>Probability</x:v>
      </x:c>
      <x:c r="H15" s="31" t="n">
        <x:v>0.515</x:v>
      </x:c>
      <x:c r="I15" s="28" t="str"/>
      <x:c r="J15" s="28" t="str">
        <x:v>decimal ratio</x:v>
      </x:c>
      <x:c r="K15" s="28" t="str">
        <x:v>Earlier management working export</x:v>
      </x:c>
      <x:c r="L15" s="34" t="str">
        <x:v>2026-06-24</x:v>
      </x:c>
      <x:c r="M15" s="28" t="str"/>
    </x:row>
    <x:row r="16">
      <x:c r="A16" s="37" t="str">
        <x:v>TRY-00224</x:v>
      </x:c>
      <x:c r="B16" s="28" t="str">
        <x:v>Interest-rate hedge strategy</x:v>
      </x:c>
      <x:c r="C16" s="28" t="str">
        <x:v>SOFR scenarios</x:v>
      </x:c>
      <x:c r="D16" s="28" t="str">
        <x:v>Downside</x:v>
      </x:c>
      <x:c r="E16" s="28" t="str">
        <x:v>Year 3</x:v>
      </x:c>
      <x:c r="F16" s="28" t="str">
        <x:v>Management stretch</x:v>
      </x:c>
      <x:c r="G16" s="28" t="str">
        <x:v>Average SOFR</x:v>
      </x:c>
      <x:c r="H16" s="31" t="n">
        <x:v>0.060320000000000006</x:v>
      </x:c>
      <x:c r="I16" s="28" t="str"/>
      <x:c r="J16" s="28" t="str">
        <x:v>decimal ratio</x:v>
      </x:c>
      <x:c r="K16" s="28" t="str">
        <x:v>Earlier management working export</x:v>
      </x:c>
      <x:c r="L16" s="34" t="str">
        <x:v>2026-06-24</x:v>
      </x:c>
      <x:c r="M16" s="28" t="str"/>
    </x:row>
    <x:row r="17">
      <x:c r="A17" s="37" t="str">
        <x:v>TRY-00225</x:v>
      </x:c>
      <x:c r="B17" s="28" t="str">
        <x:v>Interest-rate hedge strategy</x:v>
      </x:c>
      <x:c r="C17" s="28" t="str">
        <x:v>Hedge terms</x:v>
      </x:c>
      <x:c r="D17" s="28" t="str">
        <x:v>Policy</x:v>
      </x:c>
      <x:c r="E17" s="28" t="str">
        <x:v>2026-05 working copy</x:v>
      </x:c>
      <x:c r="F17" s="28" t="str">
        <x:v>Approved case</x:v>
      </x:c>
      <x:c r="G17" s="28" t="str">
        <x:v>Cap premium</x:v>
      </x:c>
      <x:c r="H17" s="31" t="n">
        <x:v>65100</x:v>
      </x:c>
      <x:c r="I17" s="28" t="str"/>
      <x:c r="J17" s="28" t="str">
        <x:v>USD</x:v>
      </x:c>
      <x:c r="K17" s="28" t="str">
        <x:v>Earlier management working export</x:v>
      </x:c>
      <x:c r="L17" s="34" t="str">
        <x:v>2026-06-24</x:v>
      </x:c>
      <x:c r="M17" s="28" t="str"/>
    </x:row>
    <x:row r="18">
      <x:c r="A18" s="37" t="str">
        <x:v>TRY-00226</x:v>
      </x:c>
      <x:c r="B18" s="28" t="str">
        <x:v>Interest-rate hedge strategy</x:v>
      </x:c>
      <x:c r="C18" s="28" t="str">
        <x:v>SOFR scenarios</x:v>
      </x:c>
      <x:c r="D18" s="28" t="str">
        <x:v>Base</x:v>
      </x:c>
      <x:c r="E18" s="28" t="str">
        <x:v>Year 3</x:v>
      </x:c>
      <x:c r="F18" s="28" t="str">
        <x:v>Management stretch</x:v>
      </x:c>
      <x:c r="G18" s="28" t="str">
        <x:v>Average SOFR</x:v>
      </x:c>
      <x:c r="H18" s="31" t="n">
        <x:v>0.03914</x:v>
      </x:c>
      <x:c r="I18" s="28" t="str"/>
      <x:c r="J18" s="28" t="str">
        <x:v>decimal ratio</x:v>
      </x:c>
      <x:c r="K18" s="28" t="str">
        <x:v>Earlier management working export</x:v>
      </x:c>
      <x:c r="L18" s="34" t="str">
        <x:v>2026-06-24</x:v>
      </x:c>
      <x:c r="M18" s="28" t="str"/>
    </x:row>
    <x:row r="19">
      <x:c r="A19" s="37" t="str">
        <x:v>TRY-00227</x:v>
      </x:c>
      <x:c r="B19" s="28" t="str">
        <x:v>Interest-rate hedge strategy</x:v>
      </x:c>
      <x:c r="C19" s="28" t="str">
        <x:v>SOFR scenarios</x:v>
      </x:c>
      <x:c r="D19" s="28" t="str">
        <x:v>Falling</x:v>
      </x:c>
      <x:c r="E19" s="28" t="str">
        <x:v>2026-05 working copy</x:v>
      </x:c>
      <x:c r="F19" s="28" t="str">
        <x:v>Approved case</x:v>
      </x:c>
      <x:c r="G19" s="28" t="str">
        <x:v>Average SOFR</x:v>
      </x:c>
      <x:c r="H19" s="31" t="n">
        <x:v>0.02912</x:v>
      </x:c>
      <x:c r="I19" s="28" t="str"/>
      <x:c r="J19" s="28" t="str">
        <x:v>decimal ratio</x:v>
      </x:c>
      <x:c r="K19" s="28" t="str">
        <x:v>Earlier management working export</x:v>
      </x:c>
      <x:c r="L19" s="34" t="str">
        <x:v>2026-06-24</x:v>
      </x:c>
      <x:c r="M19" s="28" t="str"/>
    </x:row>
    <x:row r="20">
      <x:c r="A20" s="37" t="str">
        <x:v>TRY-00228</x:v>
      </x:c>
      <x:c r="B20" s="28" t="str">
        <x:v>Interest-rate hedge strategy</x:v>
      </x:c>
      <x:c r="C20" s="28" t="str">
        <x:v>Hedge terms</x:v>
      </x:c>
      <x:c r="D20" s="28" t="str">
        <x:v>Policy</x:v>
      </x:c>
      <x:c r="E20" s="28" t="str">
        <x:v>Three-year horizon</x:v>
      </x:c>
      <x:c r="F20" s="28" t="str">
        <x:v>Management stretch</x:v>
      </x:c>
      <x:c r="G20" s="28" t="str">
        <x:v>Downside annual interest ceiling</x:v>
      </x:c>
      <x:c r="H20" s="31" t="n">
        <x:v>152.25</x:v>
      </x:c>
      <x:c r="I20" s="28" t="str"/>
      <x:c r="J20" s="28" t="str">
        <x:v>USD thousands</x:v>
      </x:c>
      <x:c r="K20" s="28" t="str">
        <x:v>Earlier management working export</x:v>
      </x:c>
      <x:c r="L20" s="34" t="str">
        <x:v>2026-06-24</x:v>
      </x:c>
      <x:c r="M20" s="28" t="str"/>
    </x:row>
    <x:row r="21">
      <x:c r="A21" s="37" t="str">
        <x:v>TRY-00229</x:v>
      </x:c>
      <x:c r="B21" s="28" t="str">
        <x:v>Interest-rate hedge strategy</x:v>
      </x:c>
      <x:c r="C21" s="28" t="str">
        <x:v>SOFR scenarios</x:v>
      </x:c>
      <x:c r="D21" s="28" t="str">
        <x:v>Downside</x:v>
      </x:c>
      <x:c r="E21" s="28" t="str">
        <x:v>2026-05 working copy</x:v>
      </x:c>
      <x:c r="F21" s="28" t="str">
        <x:v>Approved case</x:v>
      </x:c>
      <x:c r="G21" s="28" t="str">
        <x:v>Average SOFR</x:v>
      </x:c>
      <x:c r="H21" s="31" t="n">
        <x:v>0.06386</x:v>
      </x:c>
      <x:c r="I21" s="28" t="str"/>
      <x:c r="J21" s="28" t="str">
        <x:v>decimal ratio</x:v>
      </x:c>
      <x:c r="K21" s="28" t="str">
        <x:v>Earlier management working export</x:v>
      </x:c>
      <x:c r="L21" s="34" t="str">
        <x:v>2026-06-24</x:v>
      </x:c>
      <x:c r="M21" s="28" t="str"/>
    </x:row>
    <x:row r="22">
      <x:c r="A22" s="37" t="str">
        <x:v>TRY-00230</x:v>
      </x:c>
      <x:c r="B22" s="28" t="str">
        <x:v>Interest-rate hedge strategy</x:v>
      </x:c>
      <x:c r="C22" s="28" t="str">
        <x:v>Hedge terms</x:v>
      </x:c>
      <x:c r="D22" s="28" t="str">
        <x:v>Policy</x:v>
      </x:c>
      <x:c r="E22" s="28" t="str">
        <x:v>Three-year horizon</x:v>
      </x:c>
      <x:c r="F22" s="28" t="str">
        <x:v>Management stretch</x:v>
      </x:c>
      <x:c r="G22" s="28" t="str">
        <x:v>Cap strike</x:v>
      </x:c>
      <x:c r="H22" s="31" t="n">
        <x:v>0.0468</x:v>
      </x:c>
      <x:c r="I22" s="28" t="str"/>
      <x:c r="J22" s="28" t="str">
        <x:v>decimal ratio</x:v>
      </x:c>
      <x:c r="K22" s="28" t="str">
        <x:v>Earlier management working export</x:v>
      </x:c>
      <x:c r="L22" s="34" t="str">
        <x:v>2026-06-24</x:v>
      </x:c>
      <x:c r="M22" s="28" t="str"/>
    </x:row>
    <x:row r="23">
      <x:c r="A23" s="37" t="str">
        <x:v>TRY-00231</x:v>
      </x:c>
      <x:c r="B23" s="28" t="str">
        <x:v>Interest-rate hedge strategy</x:v>
      </x:c>
      <x:c r="C23" s="28" t="str">
        <x:v>SOFR scenarios</x:v>
      </x:c>
      <x:c r="D23" s="28" t="str">
        <x:v>Base</x:v>
      </x:c>
      <x:c r="E23" s="28" t="str">
        <x:v>2026-05 working copy</x:v>
      </x:c>
      <x:c r="F23" s="28" t="str">
        <x:v>Approved case</x:v>
      </x:c>
      <x:c r="G23" s="28" t="str">
        <x:v>Average SOFR</x:v>
      </x:c>
      <x:c r="H23" s="31" t="n">
        <x:v>0.042</x:v>
      </x:c>
      <x:c r="I23" s="28" t="str"/>
      <x:c r="J23" s="28" t="str">
        <x:v>decimal ratio</x:v>
      </x:c>
      <x:c r="K23" s="28" t="str">
        <x:v>Earlier management working export</x:v>
      </x:c>
      <x:c r="L23" s="34" t="str">
        <x:v>2026-06-24</x:v>
      </x:c>
      <x:c r="M23" s="28" t="str"/>
    </x:row>
    <x:row r="24">
      <x:c r="A24" s="37" t="str">
        <x:v>TRY-00232</x:v>
      </x:c>
      <x:c r="B24" s="28" t="str">
        <x:v>Interest-rate hedge strategy</x:v>
      </x:c>
      <x:c r="C24" s="28" t="str">
        <x:v>SOFR scenarios</x:v>
      </x:c>
      <x:c r="D24" s="28" t="str">
        <x:v>Falling</x:v>
      </x:c>
      <x:c r="E24" s="28" t="str">
        <x:v>Year 1</x:v>
      </x:c>
      <x:c r="F24" s="28" t="str">
        <x:v>Management stretch</x:v>
      </x:c>
      <x:c r="G24" s="28" t="str">
        <x:v>Average SOFR</x:v>
      </x:c>
      <x:c r="H24" s="31" t="n">
        <x:v>0.036050000000000006</x:v>
      </x:c>
      <x:c r="I24" s="28" t="str"/>
      <x:c r="J24" s="28" t="str">
        <x:v>decimal ratio</x:v>
      </x:c>
      <x:c r="K24" s="28" t="str">
        <x:v>Earlier management working export</x:v>
      </x:c>
      <x:c r="L24" s="34" t="str">
        <x:v>2026-06-24</x:v>
      </x:c>
      <x:c r="M24" s="28" t="str"/>
    </x:row>
    <x:row r="25">
      <x:c r="A25" s="37" t="str">
        <x:v>TRY-00297</x:v>
      </x:c>
      <x:c r="B25" s="28" t="str">
        <x:v>Foreign-currency equipment hedge</x:v>
      </x:c>
      <x:c r="C25" s="28" t="str">
        <x:v>Equipment payment schedule</x:v>
      </x:c>
      <x:c r="D25" s="28" t="str">
        <x:v>CAD-PO-417</x:v>
      </x:c>
      <x:c r="E25" s="28" t="str">
        <x:v>2026-05 working copy</x:v>
      </x:c>
      <x:c r="F25" s="28" t="str">
        <x:v>Approved case</x:v>
      </x:c>
      <x:c r="G25" s="28" t="str">
        <x:v>Contract amount</x:v>
      </x:c>
      <x:c r="H25" s="31" t="n">
        <x:v>1493500</x:v>
      </x:c>
      <x:c r="I25" s="28" t="str"/>
      <x:c r="J25" s="28" t="str">
        <x:v>CAD</x:v>
      </x:c>
      <x:c r="K25" s="28" t="str">
        <x:v>Earlier management working export</x:v>
      </x:c>
      <x:c r="L25" s="34" t="str">
        <x:v>2026-06-24</x:v>
      </x:c>
      <x:c r="M25" s="28" t="str"/>
    </x:row>
    <x:row r="26">
      <x:c r="A26" s="37" t="str">
        <x:v>TRY-00298</x:v>
      </x:c>
      <x:c r="B26" s="28" t="str">
        <x:v>Foreign-currency equipment hedge</x:v>
      </x:c>
      <x:c r="C26" s="28" t="str">
        <x:v>Equipment payment schedule</x:v>
      </x:c>
      <x:c r="D26" s="28" t="str">
        <x:v>CAD-PO-433</x:v>
      </x:c>
      <x:c r="E26" s="28" t="str">
        <x:v>2026-12</x:v>
      </x:c>
      <x:c r="F26" s="28" t="str">
        <x:v>Management stretch</x:v>
      </x:c>
      <x:c r="G26" s="28" t="str">
        <x:v>Execution probability</x:v>
      </x:c>
      <x:c r="H26" s="31" t="n">
        <x:v>1.04</x:v>
      </x:c>
      <x:c r="I26" s="28" t="str"/>
      <x:c r="J26" s="28" t="str">
        <x:v>decimal ratio</x:v>
      </x:c>
      <x:c r="K26" s="28" t="str">
        <x:v>Earlier management working export</x:v>
      </x:c>
      <x:c r="L26" s="34" t="str">
        <x:v>2026-06-24</x:v>
      </x:c>
      <x:c r="M26" s="28" t="str"/>
    </x:row>
    <x:row r="27">
      <x:c r="A27" s="37" t="str">
        <x:v>TRY-00299</x:v>
      </x:c>
      <x:c r="B27" s="28" t="str">
        <x:v>Foreign-currency equipment hedge</x:v>
      </x:c>
      <x:c r="C27" s="28" t="str">
        <x:v>Existing hedge register</x:v>
      </x:c>
      <x:c r="D27" s="28" t="str">
        <x:v>FWD-121</x:v>
      </x:c>
      <x:c r="E27" s="28" t="str">
        <x:v>2026-05 working copy</x:v>
      </x:c>
      <x:c r="F27" s="28" t="str">
        <x:v>Approved case</x:v>
      </x:c>
      <x:c r="G27" s="28" t="str">
        <x:v>Hedged notional</x:v>
      </x:c>
      <x:c r="H27" s="31" t="n">
        <x:v>735000</x:v>
      </x:c>
      <x:c r="I27" s="28" t="str"/>
      <x:c r="J27" s="28" t="str">
        <x:v>CAD</x:v>
      </x:c>
      <x:c r="K27" s="28" t="str">
        <x:v>Earlier management working export</x:v>
      </x:c>
      <x:c r="L27" s="34" t="str">
        <x:v>2026-06-24</x:v>
      </x:c>
      <x:c r="M27" s="28" t="str"/>
    </x:row>
    <x:row r="28">
      <x:c r="A28" s="37" t="str">
        <x:v>TRY-00300</x:v>
      </x:c>
      <x:c r="B28" s="28" t="str">
        <x:v>Foreign-currency equipment hedge</x:v>
      </x:c>
      <x:c r="C28" s="28" t="str">
        <x:v>Hedge policy</x:v>
      </x:c>
      <x:c r="D28" s="28" t="str">
        <x:v>Optional exposure</x:v>
      </x:c>
      <x:c r="E28" s="28" t="str">
        <x:v>2026-07-04</x:v>
      </x:c>
      <x:c r="F28" s="28" t="str">
        <x:v>Management stretch</x:v>
      </x:c>
      <x:c r="G28" s="28" t="str">
        <x:v>Maximum hedge percent</x:v>
      </x:c>
      <x:c r="H28" s="31" t="n">
        <x:v>0</x:v>
      </x:c>
      <x:c r="I28" s="28" t="str"/>
      <x:c r="J28" s="28" t="str">
        <x:v>decimal ratio</x:v>
      </x:c>
      <x:c r="K28" s="28" t="str">
        <x:v>Earlier management working export</x:v>
      </x:c>
      <x:c r="L28" s="34" t="str">
        <x:v>2026-06-24</x:v>
      </x:c>
      <x:c r="M28" s="28" t="str"/>
    </x:row>
    <x:row r="29">
      <x:c r="A29" s="37" t="str">
        <x:v>TRY-00301</x:v>
      </x:c>
      <x:c r="B29" s="28" t="str">
        <x:v>Foreign-currency equipment hedge</x:v>
      </x:c>
      <x:c r="C29" s="28" t="str">
        <x:v>Equipment payment schedule</x:v>
      </x:c>
      <x:c r="D29" s="28" t="str">
        <x:v>CAD-PO-433</x:v>
      </x:c>
      <x:c r="E29" s="28" t="str">
        <x:v>2026-05 working copy</x:v>
      </x:c>
      <x:c r="F29" s="28" t="str">
        <x:v>Approved case</x:v>
      </x:c>
      <x:c r="G29" s="28" t="str">
        <x:v>Contract amount</x:v>
      </x:c>
      <x:c r="H29" s="31" t="n">
        <x:v>1788800</x:v>
      </x:c>
      <x:c r="I29" s="28" t="str"/>
      <x:c r="J29" s="28" t="str">
        <x:v>CAD</x:v>
      </x:c>
      <x:c r="K29" s="28" t="str">
        <x:v>Earlier management working export</x:v>
      </x:c>
      <x:c r="L29" s="34" t="str">
        <x:v>2026-06-24</x:v>
      </x:c>
      <x:c r="M29" s="28" t="str"/>
    </x:row>
    <x:row r="30">
      <x:c r="A30" s="37" t="str">
        <x:v>TRY-00302</x:v>
      </x:c>
      <x:c r="B30" s="28" t="str">
        <x:v>Foreign-currency equipment hedge</x:v>
      </x:c>
      <x:c r="C30" s="28" t="str">
        <x:v>Existing hedge register</x:v>
      </x:c>
      <x:c r="D30" s="28" t="str">
        <x:v>FWD-118</x:v>
      </x:c>
      <x:c r="E30" s="28" t="str">
        <x:v>2026-08</x:v>
      </x:c>
      <x:c r="F30" s="28" t="str">
        <x:v>Management stretch</x:v>
      </x:c>
      <x:c r="G30" s="28" t="str">
        <x:v>Contract USD per CAD</x:v>
      </x:c>
      <x:c r="H30" s="31" t="n">
        <x:v>0.7602</x:v>
      </x:c>
      <x:c r="I30" s="28" t="str"/>
      <x:c r="J30" s="28" t="str">
        <x:v>USD</x:v>
      </x:c>
      <x:c r="K30" s="28" t="str">
        <x:v>Earlier management working export</x:v>
      </x:c>
      <x:c r="L30" s="34" t="str">
        <x:v>2026-06-24</x:v>
      </x:c>
      <x:c r="M30" s="28" t="str"/>
    </x:row>
    <x:row r="31">
      <x:c r="A31" s="37" t="str">
        <x:v>TRY-00303</x:v>
      </x:c>
      <x:c r="B31" s="28" t="str">
        <x:v>Foreign-currency equipment hedge</x:v>
      </x:c>
      <x:c r="C31" s="28" t="str">
        <x:v>Hedge policy</x:v>
      </x:c>
      <x:c r="D31" s="28" t="str">
        <x:v>Committed exposure</x:v>
      </x:c>
      <x:c r="E31" s="28" t="str">
        <x:v>2026-05 working copy</x:v>
      </x:c>
      <x:c r="F31" s="28" t="str">
        <x:v>Approved case</x:v>
      </x:c>
      <x:c r="G31" s="28" t="str">
        <x:v>Required hedge percent</x:v>
      </x:c>
      <x:c r="H31" s="31" t="n">
        <x:v>1.03</x:v>
      </x:c>
      <x:c r="I31" s="28" t="str"/>
      <x:c r="J31" s="28" t="str">
        <x:v>decimal ratio</x:v>
      </x:c>
      <x:c r="K31" s="28" t="str">
        <x:v>Earlier management working export</x:v>
      </x:c>
      <x:c r="L31" s="34" t="str">
        <x:v>2026-06-24</x:v>
      </x:c>
      <x:c r="M31" s="28" t="str"/>
    </x:row>
    <x:row r="32">
      <x:c r="A32" s="37" t="str">
        <x:v>TRY-00304</x:v>
      </x:c>
      <x:c r="B32" s="28" t="str">
        <x:v>Foreign-currency equipment hedge</x:v>
      </x:c>
      <x:c r="C32" s="28" t="str">
        <x:v>Equipment payment schedule</x:v>
      </x:c>
      <x:c r="D32" s="28" t="str">
        <x:v>CAD-PO-428</x:v>
      </x:c>
      <x:c r="E32" s="28" t="str">
        <x:v>2026-10</x:v>
      </x:c>
      <x:c r="F32" s="28" t="str">
        <x:v>Management stretch</x:v>
      </x:c>
      <x:c r="G32" s="28" t="str">
        <x:v>Forward USD per CAD</x:v>
      </x:c>
      <x:c r="H32" s="31" t="n">
        <x:v>0.7711600000000001</x:v>
      </x:c>
      <x:c r="I32" s="28" t="str"/>
      <x:c r="J32" s="28" t="str">
        <x:v>USD</x:v>
      </x:c>
      <x:c r="K32" s="28" t="str">
        <x:v>Earlier management working export</x:v>
      </x:c>
      <x:c r="L32" s="34" t="str">
        <x:v>2026-06-24</x:v>
      </x:c>
      <x:c r="M32" s="28" t="str"/>
    </x:row>
    <x:row r="33">
      <x:c r="A33" s="37" t="str">
        <x:v>TRY-00305</x:v>
      </x:c>
      <x:c r="B33" s="28" t="str">
        <x:v>Foreign-currency equipment hedge</x:v>
      </x:c>
      <x:c r="C33" s="28" t="str">
        <x:v>Existing hedge register</x:v>
      </x:c>
      <x:c r="D33" s="28" t="str">
        <x:v>FWD-118</x:v>
      </x:c>
      <x:c r="E33" s="28" t="str">
        <x:v>2026-05 working copy</x:v>
      </x:c>
      <x:c r="F33" s="28" t="str">
        <x:v>Approved case</x:v>
      </x:c>
      <x:c r="G33" s="28" t="str">
        <x:v>Hedged notional</x:v>
      </x:c>
      <x:c r="H33" s="31" t="n">
        <x:v>840000</x:v>
      </x:c>
      <x:c r="I33" s="28" t="str"/>
      <x:c r="J33" s="28" t="str">
        <x:v>CAD</x:v>
      </x:c>
      <x:c r="K33" s="28" t="str">
        <x:v>Earlier management working export</x:v>
      </x:c>
      <x:c r="L33" s="34" t="str">
        <x:v>2026-06-24</x:v>
      </x:c>
      <x:c r="M33" s="28" t="str"/>
    </x:row>
    <x:row r="34">
      <x:c r="A34" s="37" t="str">
        <x:v>TRY-00306</x:v>
      </x:c>
      <x:c r="B34" s="28" t="str">
        <x:v>Foreign-currency equipment hedge</x:v>
      </x:c>
      <x:c r="C34" s="28" t="str">
        <x:v>Downside FX scenario</x:v>
      </x:c>
      <x:c r="D34" s="28" t="str">
        <x:v>CAD downside</x:v>
      </x:c>
      <x:c r="E34" s="28" t="str">
        <x:v>2027-02</x:v>
      </x:c>
      <x:c r="F34" s="28" t="str">
        <x:v>Management stretch</x:v>
      </x:c>
      <x:c r="G34" s="28" t="str">
        <x:v>USD per CAD spot</x:v>
      </x:c>
      <x:c r="H34" s="31" t="n">
        <x:v>0.82606</x:v>
      </x:c>
      <x:c r="I34" s="28" t="str"/>
      <x:c r="J34" s="28" t="str">
        <x:v>USD</x:v>
      </x:c>
      <x:c r="K34" s="28" t="str">
        <x:v>Earlier management working export</x:v>
      </x:c>
      <x:c r="L34" s="34" t="str">
        <x:v>2026-06-24</x:v>
      </x:c>
      <x:c r="M34" s="28" t="str"/>
    </x:row>
    <x:row r="35">
      <x:c r="A35" s="37" t="str">
        <x:v>TRY-00651</x:v>
      </x:c>
      <x:c r="B35" s="28" t="str">
        <x:v>Refinancing, hedge, and covenant economics</x:v>
      </x:c>
      <x:c r="C35" s="28" t="str">
        <x:v>Refinancing alternatives</x:v>
      </x:c>
      <x:c r="D35" s="28" t="str">
        <x:v>Keep existing</x:v>
      </x:c>
      <x:c r="E35" s="28" t="str">
        <x:v>2026-05 working copy</x:v>
      </x:c>
      <x:c r="F35" s="28" t="str">
        <x:v>Approved case</x:v>
      </x:c>
      <x:c r="G35" s="28" t="str">
        <x:v>Opening principal</x:v>
      </x:c>
      <x:c r="H35" s="31" t="n">
        <x:v>7004000</x:v>
      </x:c>
      <x:c r="I35" s="28" t="str"/>
      <x:c r="J35" s="28" t="str">
        <x:v>USD</x:v>
      </x:c>
      <x:c r="K35" s="28" t="str">
        <x:v>Earlier management working export</x:v>
      </x:c>
      <x:c r="L35" s="34" t="str">
        <x:v>2026-06-24</x:v>
      </x:c>
      <x:c r="M35" s="28" t="str"/>
    </x:row>
    <x:row r="36">
      <x:c r="A36" s="37" t="str">
        <x:v>TRY-00652</x:v>
      </x:c>
      <x:c r="B36" s="28" t="str">
        <x:v>Refinancing, hedge, and covenant economics</x:v>
      </x:c>
      <x:c r="C36" s="28" t="str">
        <x:v>Refinancing alternatives</x:v>
      </x:c>
      <x:c r="D36" s="28" t="str">
        <x:v>Term loan A</x:v>
      </x:c>
      <x:c r="E36" s="28" t="str">
        <x:v>2026-07-31</x:v>
      </x:c>
      <x:c r="F36" s="28" t="str">
        <x:v>Management stretch</x:v>
      </x:c>
      <x:c r="G36" s="28" t="str">
        <x:v>SOFR floor</x:v>
      </x:c>
      <x:c r="H36" s="31" t="n">
        <x:v>0.052000000000000005</x:v>
      </x:c>
      <x:c r="I36" s="28" t="str"/>
      <x:c r="J36" s="28" t="str">
        <x:v>decimal ratio</x:v>
      </x:c>
      <x:c r="K36" s="28" t="str">
        <x:v>Earlier management working export</x:v>
      </x:c>
      <x:c r="L36" s="34" t="str">
        <x:v>2026-06-24</x:v>
      </x:c>
      <x:c r="M36" s="28" t="str"/>
    </x:row>
    <x:row r="37">
      <x:c r="A37" s="37" t="str">
        <x:v>TRY-00653</x:v>
      </x:c>
      <x:c r="B37" s="28" t="str">
        <x:v>Refinancing, hedge, and covenant economics</x:v>
      </x:c>
      <x:c r="C37" s="28" t="str">
        <x:v>Refinancing alternatives</x:v>
      </x:c>
      <x:c r="D37" s="28" t="str">
        <x:v>Term loan B plus swap</x:v>
      </x:c>
      <x:c r="E37" s="28" t="str">
        <x:v>2026-05 working copy</x:v>
      </x:c>
      <x:c r="F37" s="28" t="str">
        <x:v>Approved case</x:v>
      </x:c>
      <x:c r="G37" s="28" t="str">
        <x:v>Credit spread or fixed rate</x:v>
      </x:c>
      <x:c r="H37" s="31" t="n">
        <x:v>0.07454999999999999</x:v>
      </x:c>
      <x:c r="I37" s="28" t="str"/>
      <x:c r="J37" s="28" t="str">
        <x:v>decimal ratio</x:v>
      </x:c>
      <x:c r="K37" s="28" t="str">
        <x:v>Earlier management working export</x:v>
      </x:c>
      <x:c r="L37" s="34" t="str">
        <x:v>2026-06-24</x:v>
      </x:c>
      <x:c r="M37" s="28" t="str"/>
    </x:row>
    <x:row r="38">
      <x:c r="A38" s="37" t="str">
        <x:v>TRY-00654</x:v>
      </x:c>
      <x:c r="B38" s="28" t="str">
        <x:v>Refinancing, hedge, and covenant economics</x:v>
      </x:c>
      <x:c r="C38" s="28" t="str">
        <x:v>Refinancing decision policy</x:v>
      </x:c>
      <x:c r="D38" s="28" t="str">
        <x:v>Alder Ridge</x:v>
      </x:c>
      <x:c r="E38" s="28" t="str">
        <x:v>FY27</x:v>
      </x:c>
      <x:c r="F38" s="28" t="str">
        <x:v>Management stretch</x:v>
      </x:c>
      <x:c r="G38" s="28" t="str">
        <x:v>Unamortized existing fees</x:v>
      </x:c>
      <x:c r="H38" s="31" t="n">
        <x:v>74.16</x:v>
      </x:c>
      <x:c r="I38" s="28" t="str"/>
      <x:c r="J38" s="28" t="str">
        <x:v>USD thousands</x:v>
      </x:c>
      <x:c r="K38" s="28" t="str">
        <x:v>Earlier management working export</x:v>
      </x:c>
      <x:c r="L38" s="34" t="str">
        <x:v>2026-06-24</x:v>
      </x:c>
      <x:c r="M38" s="28" t="str"/>
    </x:row>
    <x:row r="39">
      <x:c r="A39" s="37" t="str">
        <x:v>TRY-00655</x:v>
      </x:c>
      <x:c r="B39" s="28" t="str">
        <x:v>Refinancing, hedge, and covenant economics</x:v>
      </x:c>
      <x:c r="C39" s="28" t="str">
        <x:v>Refinancing decision policy</x:v>
      </x:c>
      <x:c r="D39" s="28" t="str">
        <x:v>Alder Ridge</x:v>
      </x:c>
      <x:c r="E39" s="28" t="str">
        <x:v>2026-05 working copy</x:v>
      </x:c>
      <x:c r="F39" s="28" t="str">
        <x:v>Approved case</x:v>
      </x:c>
      <x:c r="G39" s="28" t="str">
        <x:v>Discount rate</x:v>
      </x:c>
      <x:c r="H39" s="31" t="n">
        <x:v>0.0884</x:v>
      </x:c>
      <x:c r="I39" s="28" t="str"/>
      <x:c r="J39" s="28" t="str">
        <x:v>decimal ratio</x:v>
      </x:c>
      <x:c r="K39" s="28" t="str">
        <x:v>Earlier management working export</x:v>
      </x:c>
      <x:c r="L39" s="34" t="str">
        <x:v>2026-06-24</x:v>
      </x:c>
      <x:c r="M39" s="28" t="str"/>
    </x:row>
    <x:row r="40">
      <x:c r="A40" s="37" t="str">
        <x:v>TRY-00656</x:v>
      </x:c>
      <x:c r="B40" s="28" t="str">
        <x:v>Refinancing, hedge, and covenant economics</x:v>
      </x:c>
      <x:c r="C40" s="28" t="str">
        <x:v>Refinancing alternatives</x:v>
      </x:c>
      <x:c r="D40" s="28" t="str">
        <x:v>Term loan A</x:v>
      </x:c>
      <x:c r="E40" s="28" t="str">
        <x:v>2026-07-31</x:v>
      </x:c>
      <x:c r="F40" s="28" t="str">
        <x:v>Management stretch</x:v>
      </x:c>
      <x:c r="G40" s="28" t="str">
        <x:v>Opening principal</x:v>
      </x:c>
      <x:c r="H40" s="31" t="n">
        <x:v>7140000</x:v>
      </x:c>
      <x:c r="I40" s="28" t="str"/>
      <x:c r="J40" s="28" t="str">
        <x:v>USD</x:v>
      </x:c>
      <x:c r="K40" s="28" t="str">
        <x:v>Earlier management working export</x:v>
      </x:c>
      <x:c r="L40" s="34" t="str">
        <x:v>2026-06-24</x:v>
      </x:c>
      <x:c r="M40" s="28" t="str"/>
    </x:row>
    <x:row r="41">
      <x:c r="A41" s="37" t="str">
        <x:v>TRY-00657</x:v>
      </x:c>
      <x:c r="B41" s="28" t="str">
        <x:v>Refinancing, hedge, and covenant economics</x:v>
      </x:c>
      <x:c r="C41" s="28" t="str">
        <x:v>Refinancing alternatives</x:v>
      </x:c>
      <x:c r="D41" s="28" t="str">
        <x:v>Term loan B plus swap</x:v>
      </x:c>
      <x:c r="E41" s="28" t="str">
        <x:v>2026-05 working copy</x:v>
      </x:c>
      <x:c r="F41" s="28" t="str">
        <x:v>Approved case</x:v>
      </x:c>
      <x:c r="G41" s="28" t="str">
        <x:v>SOFR floor</x:v>
      </x:c>
      <x:c r="H41" s="31" t="n">
        <x:v>0</x:v>
      </x:c>
      <x:c r="I41" s="28" t="str"/>
      <x:c r="J41" s="28" t="str">
        <x:v>decimal ratio</x:v>
      </x:c>
      <x:c r="K41" s="28" t="str">
        <x:v>Earlier management working export</x:v>
      </x:c>
      <x:c r="L41" s="34" t="str">
        <x:v>2026-06-24</x:v>
      </x:c>
      <x:c r="M41" s="28" t="str"/>
    </x:row>
    <x:row r="42">
      <x:c r="A42" s="37" t="str">
        <x:v>TRY-00658</x:v>
      </x:c>
      <x:c r="B42" s="28" t="str">
        <x:v>Refinancing, hedge, and covenant economics</x:v>
      </x:c>
      <x:c r="C42" s="28" t="str">
        <x:v>Refinancing decision policy</x:v>
      </x:c>
      <x:c r="D42" s="28" t="str">
        <x:v>Alder Ridge</x:v>
      </x:c>
      <x:c r="E42" s="28" t="str">
        <x:v>FY27</x:v>
      </x:c>
      <x:c r="F42" s="28" t="str">
        <x:v>Management stretch</x:v>
      </x:c>
      <x:c r="G42" s="28" t="str">
        <x:v>Existing prepayment penalty</x:v>
      </x:c>
      <x:c r="H42" s="31" t="n">
        <x:v>0.0156</x:v>
      </x:c>
      <x:c r="I42" s="28" t="str"/>
      <x:c r="J42" s="28" t="str">
        <x:v>decimal ratio</x:v>
      </x:c>
      <x:c r="K42" s="28" t="str">
        <x:v>Earlier management working export</x:v>
      </x:c>
      <x:c r="L42" s="34" t="str">
        <x:v>2026-06-24</x:v>
      </x:c>
      <x:c r="M42" s="28" t="str"/>
    </x:row>
    <x:row r="43">
      <x:c r="A43" s="37" t="str">
        <x:v>TRY-00659</x:v>
      </x:c>
      <x:c r="B43" s="28" t="str">
        <x:v>Refinancing, hedge, and covenant economics</x:v>
      </x:c>
      <x:c r="C43" s="28" t="str">
        <x:v>Refinancing decision policy</x:v>
      </x:c>
      <x:c r="D43" s="28" t="str">
        <x:v>Alder Ridge</x:v>
      </x:c>
      <x:c r="E43" s="28" t="str">
        <x:v>2026-05 working copy</x:v>
      </x:c>
      <x:c r="F43" s="28" t="str">
        <x:v>Approved case</x:v>
      </x:c>
      <x:c r="G43" s="28" t="str">
        <x:v>Tax rate</x:v>
      </x:c>
      <x:c r="H43" s="31" t="n">
        <x:v>0.273</x:v>
      </x:c>
      <x:c r="I43" s="28" t="str"/>
      <x:c r="J43" s="28" t="str">
        <x:v>decimal ratio</x:v>
      </x:c>
      <x:c r="K43" s="28" t="str">
        <x:v>Earlier management working export</x:v>
      </x:c>
      <x:c r="L43" s="34" t="str">
        <x:v>2026-06-24</x:v>
      </x:c>
      <x:c r="M43" s="28" t="str"/>
    </x:row>
    <x:row r="44">
      <x:c r="A44" s="37" t="str">
        <x:v>TRY-00660</x:v>
      </x:c>
      <x:c r="B44" s="28" t="str">
        <x:v>Refinancing, hedge, and covenant economics</x:v>
      </x:c>
      <x:c r="C44" s="28" t="str">
        <x:v>Refinancing alternatives</x:v>
      </x:c>
      <x:c r="D44" s="28" t="str">
        <x:v>Keep existing</x:v>
      </x:c>
      <x:c r="E44" s="28" t="str">
        <x:v>2026-07-31</x:v>
      </x:c>
      <x:c r="F44" s="28" t="str">
        <x:v>Management stretch</x:v>
      </x:c>
      <x:c r="G44" s="28" t="str">
        <x:v>Term years</x:v>
      </x:c>
      <x:c r="H44" s="31" t="n">
        <x:v>4.12</x:v>
      </x:c>
      <x:c r="I44" s="28" t="str"/>
      <x:c r="J44" s="28" t="str">
        <x:v>years</x:v>
      </x:c>
      <x:c r="K44" s="28" t="str">
        <x:v>Earlier management working export</x:v>
      </x:c>
      <x:c r="L44" s="34" t="str">
        <x:v>2026-06-24</x:v>
      </x:c>
      <x:c r="M44" s="28" t="str"/>
    </x:row>
    <x:row r="45">
      <x:c r="A45" s="37" t="str">
        <x:v>TRY-00661</x:v>
      </x:c>
      <x:c r="B45" s="28" t="str">
        <x:v>Refinancing, hedge, and covenant economics</x:v>
      </x:c>
      <x:c r="C45" s="28" t="str">
        <x:v>Refinancing alternatives</x:v>
      </x:c>
      <x:c r="D45" s="28" t="str">
        <x:v>Term loan B plus swap</x:v>
      </x:c>
      <x:c r="E45" s="28" t="str">
        <x:v>2026-05 working copy</x:v>
      </x:c>
      <x:c r="F45" s="28" t="str">
        <x:v>Approved case</x:v>
      </x:c>
      <x:c r="G45" s="28" t="str">
        <x:v>Opening principal</x:v>
      </x:c>
      <x:c r="H45" s="31" t="n">
        <x:v>7072000</x:v>
      </x:c>
      <x:c r="I45" s="28" t="str"/>
      <x:c r="J45" s="28" t="str">
        <x:v>USD</x:v>
      </x:c>
      <x:c r="K45" s="28" t="str">
        <x:v>Earlier management working export</x:v>
      </x:c>
      <x:c r="L45" s="34" t="str">
        <x:v>2026-06-24</x:v>
      </x:c>
      <x:c r="M45" s="28" t="str"/>
    </x:row>
    <x:row r="46">
      <x:c r="A46" s="37" t="str">
        <x:v>TRY-00662</x:v>
      </x:c>
      <x:c r="B46" s="28" t="str">
        <x:v>Refinancing, hedge, and covenant economics</x:v>
      </x:c>
      <x:c r="C46" s="28" t="str">
        <x:v>Rate cases</x:v>
      </x:c>
      <x:c r="D46" s="28" t="str">
        <x:v>SOFR</x:v>
      </x:c>
      <x:c r="E46" s="28" t="str">
        <x:v>Downside</x:v>
      </x:c>
      <x:c r="F46" s="28" t="str">
        <x:v>Management stretch</x:v>
      </x:c>
      <x:c r="G46" s="28" t="str">
        <x:v>Average forward rate</x:v>
      </x:c>
      <x:c r="H46" s="31" t="n">
        <x:v>0.066675</x:v>
      </x:c>
      <x:c r="I46" s="28" t="str"/>
      <x:c r="J46" s="28" t="str">
        <x:v>decimal ratio</x:v>
      </x:c>
      <x:c r="K46" s="28" t="str">
        <x:v>Earlier management working export</x:v>
      </x:c>
      <x:c r="L46" s="34" t="str">
        <x:v>2026-06-24</x:v>
      </x:c>
      <x:c r="M46" s="28" t="str"/>
    </x:row>
    <x:row r="47">
      <x:c r="A47" s="37" t="str">
        <x:v>TRY-00663</x:v>
      </x:c>
      <x:c r="B47" s="28" t="str">
        <x:v>Refinancing, hedge, and covenant economics</x:v>
      </x:c>
      <x:c r="C47" s="28" t="str">
        <x:v>Refinancing decision policy</x:v>
      </x:c>
      <x:c r="D47" s="28" t="str">
        <x:v>Alder Ridge</x:v>
      </x:c>
      <x:c r="E47" s="28" t="str">
        <x:v>2026-05 working copy</x:v>
      </x:c>
      <x:c r="F47" s="28" t="str">
        <x:v>Approved case</x:v>
      </x:c>
      <x:c r="G47" s="28" t="str">
        <x:v>Annual principal amortization percent</x:v>
      </x:c>
      <x:c r="H47" s="31" t="n">
        <x:v>0.10300000000000001</x:v>
      </x:c>
      <x:c r="I47" s="28" t="str"/>
      <x:c r="J47" s="28" t="str">
        <x:v>decimal ratio</x:v>
      </x:c>
      <x:c r="K47" s="28" t="str">
        <x:v>Earlier management working export</x:v>
      </x:c>
      <x:c r="L47" s="34" t="str">
        <x:v>2026-06-24</x:v>
      </x:c>
      <x:c r="M47" s="28" t="str"/>
    </x:row>
    <x:row r="48">
      <x:c r="A48" s="37" t="str">
        <x:v>TRY-00664</x:v>
      </x:c>
      <x:c r="B48" s="28" t="str">
        <x:v>Refinancing, hedge, and covenant economics</x:v>
      </x:c>
      <x:c r="C48" s="28" t="str">
        <x:v>Refinancing alternatives</x:v>
      </x:c>
      <x:c r="D48" s="28" t="str">
        <x:v>Keep existing</x:v>
      </x:c>
      <x:c r="E48" s="28" t="str">
        <x:v>2026-07-31</x:v>
      </x:c>
      <x:c r="F48" s="28" t="str">
        <x:v>Management stretch</x:v>
      </x:c>
      <x:c r="G48" s="28" t="str">
        <x:v>Other closing costs</x:v>
      </x:c>
      <x:c r="H48" s="31" t="n">
        <x:v>0</x:v>
      </x:c>
      <x:c r="I48" s="28" t="str"/>
      <x:c r="J48" s="28" t="str">
        <x:v>USD</x:v>
      </x:c>
      <x:c r="K48" s="28" t="str">
        <x:v>Earlier management working export</x:v>
      </x:c>
      <x:c r="L48" s="34" t="str">
        <x:v>2026-06-24</x:v>
      </x:c>
      <x:c r="M48" s="28" t="str"/>
    </x:row>
    <x:row r="49">
      <x:c r="A49" s="37" t="str">
        <x:v>TRY-00678</x:v>
      </x:c>
      <x:c r="B49" s="28" t="str">
        <x:v>Refinancing, hedge, and covenant economics</x:v>
      </x:c>
      <x:c r="C49" s="28" t="str">
        <x:v>Approved SOFR term curve</x:v>
      </x:c>
      <x:c r="D49" s="28" t="str">
        <x:v>SOFR</x:v>
      </x:c>
      <x:c r="E49" s="28" t="str">
        <x:v>2026-05 working copy</x:v>
      </x:c>
      <x:c r="F49" s="28" t="str">
        <x:v>Approved case</x:v>
      </x:c>
      <x:c r="G49" s="28" t="str">
        <x:v>Base forward rate</x:v>
      </x:c>
      <x:c r="H49" s="31" t="n">
        <x:v>0.04738</x:v>
      </x:c>
      <x:c r="I49" s="28" t="str"/>
      <x:c r="J49" s="28" t="str">
        <x:v>decimal ratio</x:v>
      </x:c>
      <x:c r="K49" s="28" t="str">
        <x:v>Earlier management working export</x:v>
      </x:c>
      <x:c r="L49" s="34" t="str">
        <x:v>2026-06-24</x:v>
      </x:c>
      <x:c r="M49" s="28" t="str"/>
    </x:row>
    <x:row r="50">
      <x:c r="A50" s="37" t="str">
        <x:v>TRY-00679</x:v>
      </x:c>
      <x:c r="B50" s="28" t="str">
        <x:v>Refinancing, hedge, and covenant economics</x:v>
      </x:c>
      <x:c r="C50" s="28" t="str">
        <x:v>Approved SOFR term curve</x:v>
      </x:c>
      <x:c r="D50" s="28" t="str">
        <x:v>SOFR</x:v>
      </x:c>
      <x:c r="E50" s="28" t="str">
        <x:v>Year 4</x:v>
      </x:c>
      <x:c r="F50" s="28" t="str">
        <x:v>Management stretch</x:v>
      </x:c>
      <x:c r="G50" s="28" t="str">
        <x:v>Downside forward rate</x:v>
      </x:c>
      <x:c r="H50" s="31" t="n">
        <x:v>0.053559999999999997</x:v>
      </x:c>
      <x:c r="I50" s="28" t="str"/>
      <x:c r="J50" s="28" t="str">
        <x:v>decimal ratio</x:v>
      </x:c>
      <x:c r="K50" s="28" t="str">
        <x:v>Earlier management working export</x:v>
      </x:c>
      <x:c r="L50" s="34" t="str">
        <x:v>2026-06-24</x:v>
      </x:c>
      <x:c r="M50" s="28" t="str"/>
    </x:row>
    <x:row r="51">
      <x:c r="A51" s="37" t="str">
        <x:v>TRY-00680</x:v>
      </x:c>
      <x:c r="B51" s="28" t="str">
        <x:v>Refinancing, hedge, and covenant economics</x:v>
      </x:c>
      <x:c r="C51" s="28" t="str">
        <x:v>Approved SOFR term curve</x:v>
      </x:c>
      <x:c r="D51" s="28" t="str">
        <x:v>SOFR</x:v>
      </x:c>
      <x:c r="E51" s="28" t="str">
        <x:v>2026-05 working copy</x:v>
      </x:c>
      <x:c r="F51" s="28" t="str">
        <x:v>Approved case</x:v>
      </x:c>
      <x:c r="G51" s="28" t="str">
        <x:v>Downside forward rate</x:v>
      </x:c>
      <x:c r="H51" s="31" t="n">
        <x:v>0.066675</x:v>
      </x:c>
      <x:c r="I51" s="28" t="str"/>
      <x:c r="J51" s="28" t="str">
        <x:v>decimal ratio</x:v>
      </x:c>
      <x:c r="K51" s="28" t="str">
        <x:v>Earlier management working export</x:v>
      </x:c>
      <x:c r="L51" s="34" t="str">
        <x:v>2026-06-24</x:v>
      </x:c>
      <x:c r="M51" s="28" t="str"/>
    </x:row>
    <x:row r="52">
      <x:c r="A52" s="37" t="str">
        <x:v>TRY-00681</x:v>
      </x:c>
      <x:c r="B52" s="28" t="str">
        <x:v>Refinancing, hedge, and covenant economics</x:v>
      </x:c>
      <x:c r="C52" s="28" t="str">
        <x:v>Approved SOFR term curve</x:v>
      </x:c>
      <x:c r="D52" s="28" t="str">
        <x:v>SOFR</x:v>
      </x:c>
      <x:c r="E52" s="28" t="str">
        <x:v>Year 5</x:v>
      </x:c>
      <x:c r="F52" s="28" t="str">
        <x:v>Management stretch</x:v>
      </x:c>
      <x:c r="G52" s="28" t="str">
        <x:v>Base forward rate</x:v>
      </x:c>
      <x:c r="H52" s="31" t="n">
        <x:v>0.03914</x:v>
      </x:c>
      <x:c r="I52" s="28" t="str"/>
      <x:c r="J52" s="28" t="str">
        <x:v>decimal ratio</x:v>
      </x:c>
      <x:c r="K52" s="28" t="str">
        <x:v>Earlier management working export</x:v>
      </x:c>
      <x:c r="L52" s="34" t="str">
        <x:v>2026-06-24</x:v>
      </x:c>
      <x:c r="M52" s="28" t="str"/>
    </x:row>
    <x:row r="53">
      <x:c r="A53" s="37" t="str">
        <x:v>TRY-00682</x:v>
      </x:c>
      <x:c r="B53" s="28" t="str">
        <x:v>Refinancing, hedge, and covenant economics</x:v>
      </x:c>
      <x:c r="C53" s="28" t="str">
        <x:v>Approved SOFR term curve</x:v>
      </x:c>
      <x:c r="D53" s="28" t="str">
        <x:v>SOFR</x:v>
      </x:c>
      <x:c r="E53" s="28" t="str">
        <x:v>2026-05 working copy</x:v>
      </x:c>
      <x:c r="F53" s="28" t="str">
        <x:v>Approved case</x:v>
      </x:c>
      <x:c r="G53" s="28" t="str">
        <x:v>Base forward rate</x:v>
      </x:c>
      <x:c r="H53" s="31" t="n">
        <x:v>0.045239999999999995</x:v>
      </x:c>
      <x:c r="I53" s="28" t="str"/>
      <x:c r="J53" s="28" t="str">
        <x:v>decimal ratio</x:v>
      </x:c>
      <x:c r="K53" s="28" t="str">
        <x:v>Earlier management working export</x:v>
      </x:c>
      <x:c r="L53" s="34" t="str">
        <x:v>2026-06-24</x:v>
      </x:c>
      <x:c r="M53" s="28" t="str"/>
    </x:row>
    <x:row r="54">
      <x:c r="A54" s="37" t="str">
        <x:v>TRY-00683</x:v>
      </x:c>
      <x:c r="B54" s="28" t="str">
        <x:v>Refinancing, hedge, and covenant economics</x:v>
      </x:c>
      <x:c r="C54" s="28" t="str">
        <x:v>Approved SOFR term curve</x:v>
      </x:c>
      <x:c r="D54" s="28" t="str">
        <x:v>SOFR</x:v>
      </x:c>
      <x:c r="E54" s="28" t="str">
        <x:v>Year 5</x:v>
      </x:c>
      <x:c r="F54" s="28" t="str">
        <x:v>Management stretch</x:v>
      </x:c>
      <x:c r="G54" s="28" t="str">
        <x:v>Downside forward rate</x:v>
      </x:c>
      <x:c r="H54" s="31" t="n">
        <x:v>0.05145</x:v>
      </x:c>
      <x:c r="I54" s="28" t="str"/>
      <x:c r="J54" s="28" t="str">
        <x:v>decimal ratio</x:v>
      </x:c>
      <x:c r="K54" s="28" t="str">
        <x:v>Earlier management working export</x:v>
      </x:c>
      <x:c r="L54" s="34" t="str">
        <x:v>2026-06-24</x:v>
      </x:c>
      <x:c r="M54" s="28" t="str"/>
    </x:row>
    <x:row r="55">
      <x:c r="A55" s="37" t="str">
        <x:v>TRY-00713</x:v>
      </x:c>
      <x:c r="B55" s="28" t="str">
        <x:v>Layered FX hedge plan</x:v>
      </x:c>
      <x:c r="C55" s="28" t="str">
        <x:v>Committed FX exposures</x:v>
      </x:c>
      <x:c r="D55" s="28" t="str">
        <x:v>EUR equipment</x:v>
      </x:c>
      <x:c r="E55" s="28" t="str">
        <x:v>2026-05 working copy</x:v>
      </x:c>
      <x:c r="F55" s="28" t="str">
        <x:v>Approved case</x:v>
      </x:c>
      <x:c r="G55" s="28" t="str">
        <x:v>Foreign currency payable</x:v>
      </x:c>
      <x:c r="H55" s="31" t="n">
        <x:v>3296000</x:v>
      </x:c>
      <x:c r="I55" s="28" t="str"/>
      <x:c r="J55" s="28" t="str">
        <x:v>foreign currency</x:v>
      </x:c>
      <x:c r="K55" s="28" t="str">
        <x:v>Earlier management working export</x:v>
      </x:c>
      <x:c r="L55" s="34" t="str">
        <x:v>2026-06-24</x:v>
      </x:c>
      <x:c r="M55" s="28" t="str"/>
    </x:row>
    <x:row r="56">
      <x:c r="A56" s="37" t="str">
        <x:v>TRY-00714</x:v>
      </x:c>
      <x:c r="B56" s="28" t="str">
        <x:v>Layered FX hedge plan</x:v>
      </x:c>
      <x:c r="C56" s="28" t="str">
        <x:v>Committed FX exposures</x:v>
      </x:c>
      <x:c r="D56" s="28" t="str">
        <x:v>CAD components</x:v>
      </x:c>
      <x:c r="E56" s="28" t="str">
        <x:v>FY27</x:v>
      </x:c>
      <x:c r="F56" s="28" t="str">
        <x:v>Management stretch</x:v>
      </x:c>
      <x:c r="G56" s="28" t="str">
        <x:v>Downside USD rate</x:v>
      </x:c>
      <x:c r="H56" s="31" t="n">
        <x:v>0.7228</x:v>
      </x:c>
      <x:c r="I56" s="28" t="str"/>
      <x:c r="J56" s="28" t="str">
        <x:v>USD</x:v>
      </x:c>
      <x:c r="K56" s="28" t="str">
        <x:v>Earlier management working export</x:v>
      </x:c>
      <x:c r="L56" s="34" t="str">
        <x:v>2026-06-24</x:v>
      </x:c>
      <x:c r="M56" s="28" t="str"/>
    </x:row>
    <x:row r="57">
      <x:c r="A57" s="37" t="str">
        <x:v>TRY-00715</x:v>
      </x:c>
      <x:c r="B57" s="28" t="str">
        <x:v>Layered FX hedge plan</x:v>
      </x:c>
      <x:c r="C57" s="28" t="str">
        <x:v>Approved layered hedge plan</x:v>
      </x:c>
      <x:c r="D57" s="28" t="str">
        <x:v>EUR equipment</x:v>
      </x:c>
      <x:c r="E57" s="28" t="str">
        <x:v>2026-05 working copy</x:v>
      </x:c>
      <x:c r="F57" s="28" t="str">
        <x:v>Approved case</x:v>
      </x:c>
      <x:c r="G57" s="28" t="str">
        <x:v>Option premium</x:v>
      </x:c>
      <x:c r="H57" s="31" t="n">
        <x:v>39.9</x:v>
      </x:c>
      <x:c r="I57" s="28" t="str"/>
      <x:c r="J57" s="28" t="str">
        <x:v>USD thousands</x:v>
      </x:c>
      <x:c r="K57" s="28" t="str">
        <x:v>Earlier management working export</x:v>
      </x:c>
      <x:c r="L57" s="34" t="str">
        <x:v>2026-06-24</x:v>
      </x:c>
      <x:c r="M57" s="28" t="str"/>
    </x:row>
    <x:row r="58">
      <x:c r="A58" s="37" t="str">
        <x:v>TRY-00716</x:v>
      </x:c>
      <x:c r="B58" s="28" t="str">
        <x:v>Layered FX hedge plan</x:v>
      </x:c>
      <x:c r="C58" s="28" t="str">
        <x:v>Approved layered hedge plan</x:v>
      </x:c>
      <x:c r="D58" s="28" t="str">
        <x:v>GBP software</x:v>
      </x:c>
      <x:c r="E58" s="28" t="str">
        <x:v>FY27</x:v>
      </x:c>
      <x:c r="F58" s="28" t="str">
        <x:v>Management stretch</x:v>
      </x:c>
      <x:c r="G58" s="28" t="str">
        <x:v>Option hedge percent</x:v>
      </x:c>
      <x:c r="H58" s="31" t="n">
        <x:v>0.2575</x:v>
      </x:c>
      <x:c r="I58" s="28" t="str"/>
      <x:c r="J58" s="28" t="str">
        <x:v>decimal ratio</x:v>
      </x:c>
      <x:c r="K58" s="28" t="str">
        <x:v>Earlier management working export</x:v>
      </x:c>
      <x:c r="L58" s="34" t="str">
        <x:v>2026-06-24</x:v>
      </x:c>
      <x:c r="M58" s="28" t="str"/>
    </x:row>
    <x:row r="59">
      <x:c r="A59" s="37" t="str">
        <x:v>TRY-00717</x:v>
      </x:c>
      <x:c r="B59" s="28" t="str">
        <x:v>Layered FX hedge plan</x:v>
      </x:c>
      <x:c r="C59" s="28" t="str">
        <x:v>Committed FX exposures</x:v>
      </x:c>
      <x:c r="D59" s="28" t="str">
        <x:v>EUR equipment</x:v>
      </x:c>
      <x:c r="E59" s="28" t="str">
        <x:v>2026-05 working copy</x:v>
      </x:c>
      <x:c r="F59" s="28" t="str">
        <x:v>Approved case</x:v>
      </x:c>
      <x:c r="G59" s="28" t="str">
        <x:v>Forward USD rate</x:v>
      </x:c>
      <x:c r="H59" s="31" t="n">
        <x:v>1.1804000000000001</x:v>
      </x:c>
      <x:c r="I59" s="28" t="str"/>
      <x:c r="J59" s="28" t="str">
        <x:v>USD</x:v>
      </x:c>
      <x:c r="K59" s="28" t="str">
        <x:v>Earlier management working export</x:v>
      </x:c>
      <x:c r="L59" s="34" t="str">
        <x:v>2026-06-24</x:v>
      </x:c>
      <x:c r="M59" s="28" t="str"/>
    </x:row>
    <x:row r="60">
      <x:c r="A60" s="37" t="str">
        <x:v>TRY-00718</x:v>
      </x:c>
      <x:c r="B60" s="28" t="str">
        <x:v>Layered FX hedge plan</x:v>
      </x:c>
      <x:c r="C60" s="28" t="str">
        <x:v>Committed FX exposures</x:v>
      </x:c>
      <x:c r="D60" s="28" t="str">
        <x:v>GBP software</x:v>
      </x:c>
      <x:c r="E60" s="28" t="str">
        <x:v>FY27</x:v>
      </x:c>
      <x:c r="F60" s="28" t="str">
        <x:v>Management stretch</x:v>
      </x:c>
      <x:c r="G60" s="28" t="str">
        <x:v>Budget USD rate</x:v>
      </x:c>
      <x:c r="H60" s="31" t="n">
        <x:v>1.3387499999999999</x:v>
      </x:c>
      <x:c r="I60" s="28" t="str"/>
      <x:c r="J60" s="28" t="str">
        <x:v>USD</x:v>
      </x:c>
      <x:c r="K60" s="28" t="str">
        <x:v>Earlier management working export</x:v>
      </x:c>
      <x:c r="L60" s="34" t="str">
        <x:v>2026-06-24</x:v>
      </x:c>
      <x:c r="M60" s="28" t="str"/>
    </x:row>
    <x:row r="61">
      <x:c r="A61" s="37" t="str">
        <x:v>TRY-00719</x:v>
      </x:c>
      <x:c r="B61" s="28" t="str">
        <x:v>Layered FX hedge plan</x:v>
      </x:c>
      <x:c r="C61" s="28" t="str">
        <x:v>Approved layered hedge plan</x:v>
      </x:c>
      <x:c r="D61" s="28" t="str">
        <x:v>CAD components</x:v>
      </x:c>
      <x:c r="E61" s="28" t="str">
        <x:v>2026-05 working copy</x:v>
      </x:c>
      <x:c r="F61" s="28" t="str">
        <x:v>Approved case</x:v>
      </x:c>
      <x:c r="G61" s="28" t="str">
        <x:v>Forward hedge percent</x:v>
      </x:c>
      <x:c r="H61" s="31" t="n">
        <x:v>0.4635</x:v>
      </x:c>
      <x:c r="I61" s="28" t="str"/>
      <x:c r="J61" s="28" t="str">
        <x:v>decimal ratio</x:v>
      </x:c>
      <x:c r="K61" s="28" t="str">
        <x:v>Earlier management working export</x:v>
      </x:c>
      <x:c r="L61" s="34" t="str">
        <x:v>2026-06-24</x:v>
      </x:c>
      <x:c r="M61" s="28" t="str"/>
    </x:row>
    <x:row r="62">
      <x:c r="A62" s="37" t="str">
        <x:v>TRY-00720</x:v>
      </x:c>
      <x:c r="B62" s="28" t="str">
        <x:v>Layered FX hedge plan</x:v>
      </x:c>
      <x:c r="C62" s="28" t="str">
        <x:v>Approved layered hedge plan</x:v>
      </x:c>
      <x:c r="D62" s="28" t="str">
        <x:v>GBP software</x:v>
      </x:c>
      <x:c r="E62" s="28" t="str">
        <x:v>FY27</x:v>
      </x:c>
      <x:c r="F62" s="28" t="str">
        <x:v>Management stretch</x:v>
      </x:c>
      <x:c r="G62" s="28" t="str">
        <x:v>Option strike</x:v>
      </x:c>
      <x:c r="H62" s="31" t="n">
        <x:v>1.3155999999999999</x:v>
      </x:c>
      <x:c r="I62" s="28" t="str"/>
      <x:c r="J62" s="28" t="str">
        <x:v>USD</x:v>
      </x:c>
      <x:c r="K62" s="28" t="str">
        <x:v>Earlier management working export</x:v>
      </x:c>
      <x:c r="L62" s="34" t="str">
        <x:v>2026-06-24</x:v>
      </x:c>
      <x:c r="M62" s="28" t="str"/>
    </x:row>
    <x:row r="63">
      <x:c r="A63" s="37" t="str">
        <x:v>TRY-00721</x:v>
      </x:c>
      <x:c r="B63" s="28" t="str">
        <x:v>Layered FX hedge plan</x:v>
      </x:c>
      <x:c r="C63" s="28" t="str">
        <x:v>Committed FX exposures</x:v>
      </x:c>
      <x:c r="D63" s="28" t="str">
        <x:v>CAD components</x:v>
      </x:c>
      <x:c r="E63" s="28" t="str">
        <x:v>2026-05 working copy</x:v>
      </x:c>
      <x:c r="F63" s="28" t="str">
        <x:v>Approved case</x:v>
      </x:c>
      <x:c r="G63" s="28" t="str">
        <x:v>Foreign currency payable</x:v>
      </x:c>
      <x:c r="H63" s="31" t="n">
        <x:v>2572500</x:v>
      </x:c>
      <x:c r="I63" s="28" t="str"/>
      <x:c r="J63" s="28" t="str">
        <x:v>foreign currency</x:v>
      </x:c>
      <x:c r="K63" s="28" t="str">
        <x:v>Earlier management working export</x:v>
      </x:c>
      <x:c r="L63" s="34" t="str">
        <x:v>2026-06-24</x:v>
      </x:c>
      <x:c r="M63" s="28" t="str"/>
    </x:row>
    <x:row r="64">
      <x:c r="A64" s="37" t="str">
        <x:v>TRY-00722</x:v>
      </x:c>
      <x:c r="B64" s="28" t="str">
        <x:v>Layered FX hedge plan</x:v>
      </x:c>
      <x:c r="C64" s="28" t="str">
        <x:v>Committed FX exposures</x:v>
      </x:c>
      <x:c r="D64" s="28" t="str">
        <x:v>GBP software</x:v>
      </x:c>
      <x:c r="E64" s="28" t="str">
        <x:v>FY27</x:v>
      </x:c>
      <x:c r="F64" s="28" t="str">
        <x:v>Management stretch</x:v>
      </x:c>
      <x:c r="G64" s="28" t="str">
        <x:v>Downside USD rate</x:v>
      </x:c>
      <x:c r="H64" s="31" t="n">
        <x:v>1.2411500000000002</x:v>
      </x:c>
      <x:c r="I64" s="28" t="str"/>
      <x:c r="J64" s="28" t="str">
        <x:v>USD</x:v>
      </x:c>
      <x:c r="K64" s="28" t="str">
        <x:v>Earlier management working export</x:v>
      </x:c>
      <x:c r="L64" s="34" t="str">
        <x:v>2026-06-24</x:v>
      </x:c>
      <x:c r="M64" s="28" t="str"/>
    </x:row>
    <x:row r="65">
      <x:c r="A65" s="37" t="str">
        <x:v>TRY-00723</x:v>
      </x:c>
      <x:c r="B65" s="28" t="str">
        <x:v>Layered FX hedge plan</x:v>
      </x:c>
      <x:c r="C65" s="28" t="str">
        <x:v>Approved layered hedge plan</x:v>
      </x:c>
      <x:c r="D65" s="28" t="str">
        <x:v>CAD components</x:v>
      </x:c>
      <x:c r="E65" s="28" t="str">
        <x:v>2026-05 working copy</x:v>
      </x:c>
      <x:c r="F65" s="28" t="str">
        <x:v>Approved case</x:v>
      </x:c>
      <x:c r="G65" s="28" t="str">
        <x:v>Option premium</x:v>
      </x:c>
      <x:c r="H65" s="31" t="n">
        <x:v>24.96</x:v>
      </x:c>
      <x:c r="I65" s="28" t="str"/>
      <x:c r="J65" s="28" t="str">
        <x:v>USD thousands</x:v>
      </x:c>
      <x:c r="K65" s="28" t="str">
        <x:v>Earlier management working export</x:v>
      </x:c>
      <x:c r="L65" s="34" t="str">
        <x:v>2026-06-24</x:v>
      </x:c>
      <x:c r="M65" s="28" t="str"/>
    </x:row>
    <x:row r="66">
      <x:c r="A66" s="37" t="str">
        <x:v>TRY-00724</x:v>
      </x:c>
      <x:c r="B66" s="28" t="str">
        <x:v>Layered FX hedge plan</x:v>
      </x:c>
      <x:c r="C66" s="28" t="str">
        <x:v>FX risk policy</x:v>
      </x:c>
      <x:c r="D66" s="28" t="str">
        <x:v>Alder Ridge</x:v>
      </x:c>
      <x:c r="E66" s="28" t="str">
        <x:v>FY27</x:v>
      </x:c>
      <x:c r="F66" s="28" t="str">
        <x:v>Management stretch</x:v>
      </x:c>
      <x:c r="G66" s="28" t="str">
        <x:v>Budget variance alert</x:v>
      </x:c>
      <x:c r="H66" s="31" t="n">
        <x:v>183750</x:v>
      </x:c>
      <x:c r="I66" s="28" t="str"/>
      <x:c r="J66" s="28" t="str">
        <x:v>USD</x:v>
      </x:c>
      <x:c r="K66" s="28" t="str">
        <x:v>Earlier management working export</x:v>
      </x:c>
      <x:c r="L66" s="34" t="str">
        <x:v>2026-06-24</x:v>
      </x:c>
      <x:c r="M66" s="28" t="str"/>
    </x:row>
    <x:row r="67">
      <x:c r="A67" s="37" t="str">
        <x:v>TRY-00732</x:v>
      </x:c>
      <x:c r="B67" s="28" t="str">
        <x:v>Layered FX hedge plan</x:v>
      </x:c>
      <x:c r="C67" s="28" t="str">
        <x:v>Approved natural FX offsets</x:v>
      </x:c>
      <x:c r="D67" s="28" t="str">
        <x:v>EUR equipment</x:v>
      </x:c>
      <x:c r="E67" s="28" t="str">
        <x:v>2026-05 working copy</x:v>
      </x:c>
      <x:c r="F67" s="28" t="str">
        <x:v>Approved case</x:v>
      </x:c>
      <x:c r="G67" s="28" t="str">
        <x:v>Same-currency operating receipt</x:v>
      </x:c>
      <x:c r="H67" s="31" t="n">
        <x:v>494400</x:v>
      </x:c>
      <x:c r="I67" s="28" t="str"/>
      <x:c r="J67" s="28" t="str">
        <x:v>foreign currency</x:v>
      </x:c>
      <x:c r="K67" s="28" t="str">
        <x:v>Earlier management working export</x:v>
      </x:c>
      <x:c r="L67" s="34" t="str">
        <x:v>2026-06-24</x:v>
      </x:c>
      <x:c r="M67" s="28" t="str"/>
    </x:row>
    <x:row r="68">
      <x:c r="A68" s="37" t="str">
        <x:v>TRY-00733</x:v>
      </x:c>
      <x:c r="B68" s="28" t="str">
        <x:v>Layered FX hedge plan</x:v>
      </x:c>
      <x:c r="C68" s="28" t="str">
        <x:v>FX risk policy</x:v>
      </x:c>
      <x:c r="D68" s="28" t="str">
        <x:v>Alder Ridge</x:v>
      </x:c>
      <x:c r="E68" s="28" t="str">
        <x:v>FY27</x:v>
      </x:c>
      <x:c r="F68" s="28" t="str">
        <x:v>Management stretch</x:v>
      </x:c>
      <x:c r="G68" s="28" t="str">
        <x:v>Maximum Bank A hedge notional at budget USD</x:v>
      </x:c>
      <x:c r="H68" s="31" t="n">
        <x:v>3380000</x:v>
      </x:c>
      <x:c r="I68" s="28" t="str"/>
      <x:c r="J68" s="28" t="str">
        <x:v>USD</x:v>
      </x:c>
      <x:c r="K68" s="28" t="str">
        <x:v>Earlier management working export</x:v>
      </x:c>
      <x:c r="L68" s="34" t="str">
        <x:v>2026-06-24</x:v>
      </x:c>
      <x:c r="M68" s="28" t="str"/>
    </x:row>
    <x:row r="69">
      <x:c r="A69" s="37" t="str">
        <x:v>TRY-00734</x:v>
      </x:c>
      <x:c r="B69" s="28" t="str">
        <x:v>Layered FX hedge plan</x:v>
      </x:c>
      <x:c r="C69" s="28" t="str">
        <x:v>Approved natural FX offsets</x:v>
      </x:c>
      <x:c r="D69" s="28" t="str">
        <x:v>GBP software</x:v>
      </x:c>
      <x:c r="E69" s="28" t="str">
        <x:v>2026-05 working copy</x:v>
      </x:c>
      <x:c r="F69" s="28" t="str">
        <x:v>Approved case</x:v>
      </x:c>
      <x:c r="G69" s="28" t="str">
        <x:v>Same-currency operating receipt</x:v>
      </x:c>
      <x:c r="H69" s="31" t="n">
        <x:v>99750</x:v>
      </x:c>
      <x:c r="I69" s="28" t="str"/>
      <x:c r="J69" s="28" t="str">
        <x:v>foreign currency</x:v>
      </x:c>
      <x:c r="K69" s="28" t="str">
        <x:v>Earlier management working export</x:v>
      </x:c>
      <x:c r="L69" s="34" t="str">
        <x:v>2026-06-24</x:v>
      </x:c>
      <x:c r="M69" s="28" t="str"/>
    </x:row>
    <x:row r="70">
      <x:c r="A70" s="37" t="str">
        <x:v>TRY-00735</x:v>
      </x:c>
      <x:c r="B70" s="28" t="str">
        <x:v>Layered FX hedge plan</x:v>
      </x:c>
      <x:c r="C70" s="28" t="str">
        <x:v>Approved natural FX offsets</x:v>
      </x:c>
      <x:c r="D70" s="28" t="str">
        <x:v>CAD components</x:v>
      </x:c>
      <x:c r="E70" s="28" t="str">
        <x:v>FY27</x:v>
      </x:c>
      <x:c r="F70" s="28" t="str">
        <x:v>Management stretch</x:v>
      </x:c>
      <x:c r="G70" s="28" t="str">
        <x:v>Same-currency operating receipt</x:v>
      </x:c>
      <x:c r="H70" s="31" t="n">
        <x:v>731300</x:v>
      </x:c>
      <x:c r="I70" s="28" t="str"/>
      <x:c r="J70" s="28" t="str">
        <x:v>foreign currency</x:v>
      </x:c>
      <x:c r="K70" s="28" t="str">
        <x:v>Earlier management working export</x:v>
      </x:c>
      <x:c r="L70" s="34" t="str">
        <x:v>2026-06-24</x:v>
      </x:c>
      <x:c r="M70" s="28" t="str"/>
    </x:row>
    <x:row r="71">
      <x:c r="A71" s="37" t="str">
        <x:v>TRY-00736</x:v>
      </x:c>
      <x:c r="B71" s="28" t="str">
        <x:v>Layered FX hedge plan</x:v>
      </x:c>
      <x:c r="C71" s="28" t="str">
        <x:v>Approved natural FX offsets</x:v>
      </x:c>
      <x:c r="D71" s="28" t="str">
        <x:v>EUR equipment</x:v>
      </x:c>
      <x:c r="E71" s="28" t="str">
        <x:v>2026-05 working copy</x:v>
      </x:c>
      <x:c r="F71" s="28" t="str">
        <x:v>Approved case</x:v>
      </x:c>
      <x:c r="G71" s="28" t="str">
        <x:v>Same-currency operating receipt</x:v>
      </x:c>
      <x:c r="H71" s="31" t="n">
        <x:v>499200</x:v>
      </x:c>
      <x:c r="I71" s="28" t="str"/>
      <x:c r="J71" s="28" t="str">
        <x:v>foreign currency</x:v>
      </x:c>
      <x:c r="K71" s="28" t="str">
        <x:v>Earlier management working export</x:v>
      </x:c>
      <x:c r="L71" s="34" t="str">
        <x:v>2026-06-24</x:v>
      </x:c>
      <x:c r="M71" s="28" t="str"/>
    </x:row>
    <x:row r="72">
      <x:c r="A72" s="38" t="str">
        <x:v>TRY-00737</x:v>
      </x:c>
      <x:c r="B72" s="29" t="str">
        <x:v>Layered FX hedge plan</x:v>
      </x:c>
      <x:c r="C72" s="29" t="str">
        <x:v>FX risk policy</x:v>
      </x:c>
      <x:c r="D72" s="29" t="str">
        <x:v>Alder Ridge</x:v>
      </x:c>
      <x:c r="E72" s="29" t="str">
        <x:v>FY27</x:v>
      </x:c>
      <x:c r="F72" s="29" t="str">
        <x:v>Management stretch</x:v>
      </x:c>
      <x:c r="G72" s="29" t="str">
        <x:v>Maximum Bank A hedge notional at budget USD</x:v>
      </x:c>
      <x:c r="H72" s="32" t="n">
        <x:v>3412500</x:v>
      </x:c>
      <x:c r="I72" s="29" t="str"/>
      <x:c r="J72" s="29" t="str">
        <x:v>USD</x:v>
      </x:c>
      <x:c r="K72" s="29" t="str">
        <x:v>Earlier management working export</x:v>
      </x:c>
      <x:c r="L72" s="35" t="str">
        <x:v>2026-06-24</x:v>
      </x:c>
      <x:c r="M72" s="29" t="str"/>
    </x:row>
  </x:sheetData>
  <x:mergeCells>
    <x:mergeCell ref="A1:M1"/>
    <x:mergeCell ref="A2:M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34" hidden="0" customWidth="1"/>
    <x:col min="3" max="3" width="27" hidden="0" customWidth="1"/>
    <x:col min="4" max="4" width="24" hidden="0" customWidth="1"/>
    <x:col min="5" max="5" width="18" hidden="0" customWidth="1"/>
    <x:col min="6" max="6" width="18" hidden="0" customWidth="1"/>
    <x:col min="7" max="7" width="34" hidden="0" customWidth="1"/>
    <x:col min="8" max="8" width="16" hidden="0" customWidth="1"/>
    <x:col min="9" max="9" width="27" hidden="0" customWidth="1"/>
    <x:col min="10" max="10" width="15" hidden="0" customWidth="1"/>
    <x:col min="11" max="11" width="34" hidden="0" customWidth="1"/>
    <x:col min="12" max="12" width="14" hidden="0" customWidth="1"/>
    <x:col min="13" max="13" width="42" hidden="0" customWidth="1"/>
  </x:cols>
  <x:sheetData>
    <x:row r="1" ht="25" customHeight="1">
      <x:c r="A1" s="9" t="str">
        <x:v>treasury, banking, and credit outlook | Bank Economics</x:v>
      </x:c>
      <x:c r="B1" s="9"/>
      <x:c r="C1" s="9"/>
      <x:c r="D1" s="9"/>
      <x:c r="E1" s="9"/>
      <x:c r="F1" s="9"/>
      <x:c r="G1" s="9"/>
      <x:c r="H1" s="9"/>
      <x:c r="I1" s="9"/>
      <x:c r="J1" s="9"/>
      <x:c r="K1" s="9"/>
      <x:c r="L1" s="9"/>
      <x:c r="M1" s="9"/>
    </x:row>
    <x:row r="2" ht="25" customHeight="1">
      <x:c r="A2" s="11" t="str">
        <x:v>PRIOR REVIEW COPY - retained for change history; not controller tied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</x:row>
    <x:row r="4" ht="30" customHeight="1">
      <x:c r="A4" s="20" t="str">
        <x:v>Source Ref</x:v>
      </x:c>
      <x:c r="B4" s="21" t="str">
        <x:v>Workstream</x:v>
      </x:c>
      <x:c r="C4" s="21" t="str">
        <x:v>Schedule</x:v>
      </x:c>
      <x:c r="D4" s="21" t="str">
        <x:v>Entity Or Item</x:v>
      </x:c>
      <x:c r="E4" s="21" t="str">
        <x:v>Period Or As Of</x:v>
      </x:c>
      <x:c r="F4" s="21" t="str">
        <x:v>Case</x:v>
      </x:c>
      <x:c r="G4" s="21" t="str">
        <x:v>Metric Or Driver</x:v>
      </x:c>
      <x:c r="H4" s="21" t="str">
        <x:v>Numeric Value</x:v>
      </x:c>
      <x:c r="I4" s="21" t="str">
        <x:v>Text Or Decision</x:v>
      </x:c>
      <x:c r="J4" s="21" t="str">
        <x:v>Units</x:v>
      </x:c>
      <x:c r="K4" s="21" t="str">
        <x:v>Source Or Owner</x:v>
      </x:c>
      <x:c r="L4" s="21" t="str">
        <x:v>Source Date</x:v>
      </x:c>
      <x:c r="M4" s="22" t="str">
        <x:v>System Tie</x:v>
      </x:c>
    </x:row>
    <x:row r="5">
      <x:c r="A5" s="36" t="str">
        <x:v>TRY-00261</x:v>
      </x:c>
      <x:c r="B5" s="27" t="str">
        <x:v>Bank RFP economics and relationship recommendation</x:v>
      </x:c>
      <x:c r="C5" s="27" t="str">
        <x:v>Bank proposals</x:v>
      </x:c>
      <x:c r="D5" s="27" t="str">
        <x:v>Bank A</x:v>
      </x:c>
      <x:c r="E5" s="27" t="str">
        <x:v>2026-05 working copy</x:v>
      </x:c>
      <x:c r="F5" s="27" t="str">
        <x:v>Approved case</x:v>
      </x:c>
      <x:c r="G5" s="27" t="str">
        <x:v>Annual treasury service fees</x:v>
      </x:c>
      <x:c r="H5" s="30" t="n">
        <x:v>84460</x:v>
      </x:c>
      <x:c r="I5" s="27" t="str"/>
      <x:c r="J5" s="27" t="str">
        <x:v>USD</x:v>
      </x:c>
      <x:c r="K5" s="27" t="str">
        <x:v>Earlier management working export</x:v>
      </x:c>
      <x:c r="L5" s="33" t="str">
        <x:v>2026-06-24</x:v>
      </x:c>
      <x:c r="M5" s="27" t="str"/>
    </x:row>
    <x:row r="6">
      <x:c r="A6" s="37" t="str">
        <x:v>TRY-00262</x:v>
      </x:c>
      <x:c r="B6" s="28" t="str">
        <x:v>Bank RFP economics and relationship recommendation</x:v>
      </x:c>
      <x:c r="C6" s="28" t="str">
        <x:v>Bank proposals</x:v>
      </x:c>
      <x:c r="D6" s="28" t="str">
        <x:v>Bank A</x:v>
      </x:c>
      <x:c r="E6" s="28" t="str">
        <x:v>FY27</x:v>
      </x:c>
      <x:c r="F6" s="28" t="str">
        <x:v>Management stretch</x:v>
      </x:c>
      <x:c r="G6" s="28" t="str">
        <x:v>Positive pay capability</x:v>
      </x:c>
      <x:c r="H6" s="31" t="n">
        <x:v>1.04</x:v>
      </x:c>
      <x:c r="I6" s="28" t="str"/>
      <x:c r="J6" s="28" t="str">
        <x:v>boolean</x:v>
      </x:c>
      <x:c r="K6" s="28" t="str">
        <x:v>Earlier management working export</x:v>
      </x:c>
      <x:c r="L6" s="34" t="str">
        <x:v>2026-06-24</x:v>
      </x:c>
      <x:c r="M6" s="28" t="str"/>
    </x:row>
    <x:row r="7">
      <x:c r="A7" s="37" t="str">
        <x:v>TRY-00263</x:v>
      </x:c>
      <x:c r="B7" s="28" t="str">
        <x:v>Bank RFP economics and relationship recommendation</x:v>
      </x:c>
      <x:c r="C7" s="28" t="str">
        <x:v>Bank proposals</x:v>
      </x:c>
      <x:c r="D7" s="28" t="str">
        <x:v>Bank B</x:v>
      </x:c>
      <x:c r="E7" s="28" t="str">
        <x:v>2026-05 working copy</x:v>
      </x:c>
      <x:c r="F7" s="28" t="str">
        <x:v>Approved case</x:v>
      </x:c>
      <x:c r="G7" s="28" t="str">
        <x:v>Lockbox capability</x:v>
      </x:c>
      <x:c r="H7" s="31" t="n">
        <x:v>1.05</x:v>
      </x:c>
      <x:c r="I7" s="28" t="str"/>
      <x:c r="J7" s="28" t="str">
        <x:v>boolean</x:v>
      </x:c>
      <x:c r="K7" s="28" t="str">
        <x:v>Earlier management working export</x:v>
      </x:c>
      <x:c r="L7" s="34" t="str">
        <x:v>2026-06-24</x:v>
      </x:c>
      <x:c r="M7" s="28" t="str"/>
    </x:row>
    <x:row r="8">
      <x:c r="A8" s="37" t="str">
        <x:v>TRY-00264</x:v>
      </x:c>
      <x:c r="B8" s="28" t="str">
        <x:v>Bank RFP economics and relationship recommendation</x:v>
      </x:c>
      <x:c r="C8" s="28" t="str">
        <x:v>Bank proposals</x:v>
      </x:c>
      <x:c r="D8" s="28" t="str">
        <x:v>Bank C</x:v>
      </x:c>
      <x:c r="E8" s="28" t="str">
        <x:v>FY27</x:v>
      </x:c>
      <x:c r="F8" s="28" t="str">
        <x:v>Management stretch</x:v>
      </x:c>
      <x:c r="G8" s="28" t="str">
        <x:v>Implementation cost</x:v>
      </x:c>
      <x:c r="H8" s="31" t="n">
        <x:v>144.2</x:v>
      </x:c>
      <x:c r="I8" s="28" t="str"/>
      <x:c r="J8" s="28" t="str">
        <x:v>USD thousands</x:v>
      </x:c>
      <x:c r="K8" s="28" t="str">
        <x:v>Earlier management working export</x:v>
      </x:c>
      <x:c r="L8" s="34" t="str">
        <x:v>2026-06-24</x:v>
      </x:c>
      <x:c r="M8" s="28" t="str"/>
    </x:row>
    <x:row r="9">
      <x:c r="A9" s="37" t="str">
        <x:v>TRY-00265</x:v>
      </x:c>
      <x:c r="B9" s="28" t="str">
        <x:v>Bank RFP economics and relationship recommendation</x:v>
      </x:c>
      <x:c r="C9" s="28" t="str">
        <x:v>Bank proposals</x:v>
      </x:c>
      <x:c r="D9" s="28" t="str">
        <x:v>Bank A</x:v>
      </x:c>
      <x:c r="E9" s="28" t="str">
        <x:v>2026-05 working copy</x:v>
      </x:c>
      <x:c r="F9" s="28" t="str">
        <x:v>Approved case</x:v>
      </x:c>
      <x:c r="G9" s="28" t="str">
        <x:v>Annual treasury service fees</x:v>
      </x:c>
      <x:c r="H9" s="31" t="n">
        <x:v>85280</x:v>
      </x:c>
      <x:c r="I9" s="28" t="str"/>
      <x:c r="J9" s="28" t="str">
        <x:v>USD</x:v>
      </x:c>
      <x:c r="K9" s="28" t="str">
        <x:v>Earlier management working export</x:v>
      </x:c>
      <x:c r="L9" s="34" t="str">
        <x:v>2026-06-24</x:v>
      </x:c>
      <x:c r="M9" s="28" t="str"/>
    </x:row>
    <x:row r="10">
      <x:c r="A10" s="37" t="str">
        <x:v>TRY-00266</x:v>
      </x:c>
      <x:c r="B10" s="28" t="str">
        <x:v>Bank RFP economics and relationship recommendation</x:v>
      </x:c>
      <x:c r="C10" s="28" t="str">
        <x:v>Bank proposals</x:v>
      </x:c>
      <x:c r="D10" s="28" t="str">
        <x:v>Bank A</x:v>
      </x:c>
      <x:c r="E10" s="28" t="str">
        <x:v>FY27</x:v>
      </x:c>
      <x:c r="F10" s="28" t="str">
        <x:v>Management stretch</x:v>
      </x:c>
      <x:c r="G10" s="28" t="str">
        <x:v>Positive pay capability</x:v>
      </x:c>
      <x:c r="H10" s="31" t="n">
        <x:v>1.05</x:v>
      </x:c>
      <x:c r="I10" s="28" t="str"/>
      <x:c r="J10" s="28" t="str">
        <x:v>boolean</x:v>
      </x:c>
      <x:c r="K10" s="28" t="str">
        <x:v>Earlier management working export</x:v>
      </x:c>
      <x:c r="L10" s="34" t="str">
        <x:v>2026-06-24</x:v>
      </x:c>
      <x:c r="M10" s="28" t="str"/>
    </x:row>
    <x:row r="11">
      <x:c r="A11" s="37" t="str">
        <x:v>TRY-00267</x:v>
      </x:c>
      <x:c r="B11" s="28" t="str">
        <x:v>Bank RFP economics and relationship recommendation</x:v>
      </x:c>
      <x:c r="C11" s="28" t="str">
        <x:v>Bank proposals</x:v>
      </x:c>
      <x:c r="D11" s="28" t="str">
        <x:v>Bank B</x:v>
      </x:c>
      <x:c r="E11" s="28" t="str">
        <x:v>2026-05 working copy</x:v>
      </x:c>
      <x:c r="F11" s="28" t="str">
        <x:v>Approved case</x:v>
      </x:c>
      <x:c r="G11" s="28" t="str">
        <x:v>Lockbox capability</x:v>
      </x:c>
      <x:c r="H11" s="31" t="n">
        <x:v>1.03</x:v>
      </x:c>
      <x:c r="I11" s="28" t="str"/>
      <x:c r="J11" s="28" t="str">
        <x:v>boolean</x:v>
      </x:c>
      <x:c r="K11" s="28" t="str">
        <x:v>Earlier management working export</x:v>
      </x:c>
      <x:c r="L11" s="34" t="str">
        <x:v>2026-06-24</x:v>
      </x:c>
      <x:c r="M11" s="28" t="str"/>
    </x:row>
    <x:row r="12">
      <x:c r="A12" s="37" t="str">
        <x:v>TRY-00268</x:v>
      </x:c>
      <x:c r="B12" s="28" t="str">
        <x:v>Bank RFP economics and relationship recommendation</x:v>
      </x:c>
      <x:c r="C12" s="28" t="str">
        <x:v>Bank proposals</x:v>
      </x:c>
      <x:c r="D12" s="28" t="str">
        <x:v>Bank C</x:v>
      </x:c>
      <x:c r="E12" s="28" t="str">
        <x:v>FY27</x:v>
      </x:c>
      <x:c r="F12" s="28" t="str">
        <x:v>Management stretch</x:v>
      </x:c>
      <x:c r="G12" s="28" t="str">
        <x:v>Implementation cost</x:v>
      </x:c>
      <x:c r="H12" s="31" t="n">
        <x:v>145.6</x:v>
      </x:c>
      <x:c r="I12" s="28" t="str"/>
      <x:c r="J12" s="28" t="str">
        <x:v>USD thousands</x:v>
      </x:c>
      <x:c r="K12" s="28" t="str">
        <x:v>Earlier management working export</x:v>
      </x:c>
      <x:c r="L12" s="34" t="str">
        <x:v>2026-06-24</x:v>
      </x:c>
      <x:c r="M12" s="28" t="str"/>
    </x:row>
    <x:row r="13">
      <x:c r="A13" s="37" t="str">
        <x:v>TRY-00269</x:v>
      </x:c>
      <x:c r="B13" s="28" t="str">
        <x:v>Bank RFP economics and relationship recommendation</x:v>
      </x:c>
      <x:c r="C13" s="28" t="str">
        <x:v>Bank proposals</x:v>
      </x:c>
      <x:c r="D13" s="28" t="str">
        <x:v>Bank A</x:v>
      </x:c>
      <x:c r="E13" s="28" t="str">
        <x:v>2026-05 working copy</x:v>
      </x:c>
      <x:c r="F13" s="28" t="str">
        <x:v>Approved case</x:v>
      </x:c>
      <x:c r="G13" s="28" t="str">
        <x:v>Annual treasury service fees</x:v>
      </x:c>
      <x:c r="H13" s="31" t="n">
        <x:v>86100</x:v>
      </x:c>
      <x:c r="I13" s="28" t="str"/>
      <x:c r="J13" s="28" t="str">
        <x:v>USD</x:v>
      </x:c>
      <x:c r="K13" s="28" t="str">
        <x:v>Earlier management working export</x:v>
      </x:c>
      <x:c r="L13" s="34" t="str">
        <x:v>2026-06-24</x:v>
      </x:c>
      <x:c r="M13" s="28" t="str"/>
    </x:row>
    <x:row r="14">
      <x:c r="A14" s="37" t="str">
        <x:v>TRY-00270</x:v>
      </x:c>
      <x:c r="B14" s="28" t="str">
        <x:v>Bank RFP economics and relationship recommendation</x:v>
      </x:c>
      <x:c r="C14" s="28" t="str">
        <x:v>Bank proposals</x:v>
      </x:c>
      <x:c r="D14" s="28" t="str">
        <x:v>Bank A</x:v>
      </x:c>
      <x:c r="E14" s="28" t="str">
        <x:v>FY27</x:v>
      </x:c>
      <x:c r="F14" s="28" t="str">
        <x:v>Management stretch</x:v>
      </x:c>
      <x:c r="G14" s="28" t="str">
        <x:v>Positive pay capability</x:v>
      </x:c>
      <x:c r="H14" s="31" t="n">
        <x:v>1.03</x:v>
      </x:c>
      <x:c r="I14" s="28" t="str"/>
      <x:c r="J14" s="28" t="str">
        <x:v>boolean</x:v>
      </x:c>
      <x:c r="K14" s="28" t="str">
        <x:v>Earlier management working export</x:v>
      </x:c>
      <x:c r="L14" s="34" t="str">
        <x:v>2026-06-24</x:v>
      </x:c>
      <x:c r="M14" s="28" t="str"/>
    </x:row>
    <x:row r="15">
      <x:c r="A15" s="37" t="str">
        <x:v>TRY-00485</x:v>
      </x:c>
      <x:c r="B15" s="28" t="str">
        <x:v>Bank relationship profitability scorecard</x:v>
      </x:c>
      <x:c r="C15" s="28" t="str">
        <x:v>Bank relationship economics</x:v>
      </x:c>
      <x:c r="D15" s="28" t="str">
        <x:v>Bank A</x:v>
      </x:c>
      <x:c r="E15" s="28" t="str">
        <x:v>2026-05 working copy</x:v>
      </x:c>
      <x:c r="F15" s="28" t="str">
        <x:v>Approved case</x:v>
      </x:c>
      <x:c r="G15" s="28" t="str">
        <x:v>Average deposits</x:v>
      </x:c>
      <x:c r="H15" s="31" t="n">
        <x:v>5253</x:v>
      </x:c>
      <x:c r="I15" s="28" t="str"/>
      <x:c r="J15" s="28" t="str">
        <x:v>USD thousands</x:v>
      </x:c>
      <x:c r="K15" s="28" t="str">
        <x:v>Earlier management working export</x:v>
      </x:c>
      <x:c r="L15" s="34" t="str">
        <x:v>2026-06-24</x:v>
      </x:c>
      <x:c r="M15" s="28" t="str"/>
    </x:row>
    <x:row r="16">
      <x:c r="A16" s="37" t="str">
        <x:v>TRY-00486</x:v>
      </x:c>
      <x:c r="B16" s="28" t="str">
        <x:v>Bank relationship profitability scorecard</x:v>
      </x:c>
      <x:c r="C16" s="28" t="str">
        <x:v>Bank relationship economics</x:v>
      </x:c>
      <x:c r="D16" s="28" t="str">
        <x:v>Bank B</x:v>
      </x:c>
      <x:c r="E16" s="28" t="str">
        <x:v>FY27</x:v>
      </x:c>
      <x:c r="F16" s="28" t="str">
        <x:v>Management stretch</x:v>
      </x:c>
      <x:c r="G16" s="28" t="str">
        <x:v>Credit economics</x:v>
      </x:c>
      <x:c r="H16" s="31" t="n">
        <x:v>353600</x:v>
      </x:c>
      <x:c r="I16" s="28" t="str"/>
      <x:c r="J16" s="28" t="str">
        <x:v>USD</x:v>
      </x:c>
      <x:c r="K16" s="28" t="str">
        <x:v>Earlier management working export</x:v>
      </x:c>
      <x:c r="L16" s="34" t="str">
        <x:v>2026-06-24</x:v>
      </x:c>
      <x:c r="M16" s="28" t="str"/>
    </x:row>
    <x:row r="17">
      <x:c r="A17" s="37" t="str">
        <x:v>TRY-00487</x:v>
      </x:c>
      <x:c r="B17" s="28" t="str">
        <x:v>Bank relationship profitability scorecard</x:v>
      </x:c>
      <x:c r="C17" s="28" t="str">
        <x:v>Bank relationship economics</x:v>
      </x:c>
      <x:c r="D17" s="28" t="str">
        <x:v>Bank C</x:v>
      </x:c>
      <x:c r="E17" s="28" t="str">
        <x:v>2026-05 working copy</x:v>
      </x:c>
      <x:c r="F17" s="28" t="str">
        <x:v>Approved case</x:v>
      </x:c>
      <x:c r="G17" s="28" t="str">
        <x:v>Relationship risk cost</x:v>
      </x:c>
      <x:c r="H17" s="31" t="n">
        <x:v>36750</x:v>
      </x:c>
      <x:c r="I17" s="28" t="str"/>
      <x:c r="J17" s="28" t="str">
        <x:v>USD</x:v>
      </x:c>
      <x:c r="K17" s="28" t="str">
        <x:v>Earlier management working export</x:v>
      </x:c>
      <x:c r="L17" s="34" t="str">
        <x:v>2026-06-24</x:v>
      </x:c>
      <x:c r="M17" s="28" t="str"/>
    </x:row>
    <x:row r="18">
      <x:c r="A18" s="37" t="str">
        <x:v>TRY-00488</x:v>
      </x:c>
      <x:c r="B18" s="28" t="str">
        <x:v>Bank relationship profitability scorecard</x:v>
      </x:c>
      <x:c r="C18" s="28" t="str">
        <x:v>Bank relationship economics</x:v>
      </x:c>
      <x:c r="D18" s="28" t="str">
        <x:v>Bank A</x:v>
      </x:c>
      <x:c r="E18" s="28" t="str">
        <x:v>FY27</x:v>
      </x:c>
      <x:c r="F18" s="28" t="str">
        <x:v>Management stretch</x:v>
      </x:c>
      <x:c r="G18" s="28" t="str">
        <x:v>Credit economics</x:v>
      </x:c>
      <x:c r="H18" s="31" t="n">
        <x:v>293550</x:v>
      </x:c>
      <x:c r="I18" s="28" t="str"/>
      <x:c r="J18" s="28" t="str">
        <x:v>USD</x:v>
      </x:c>
      <x:c r="K18" s="28" t="str">
        <x:v>Earlier management working export</x:v>
      </x:c>
      <x:c r="L18" s="34" t="str">
        <x:v>2026-06-24</x:v>
      </x:c>
      <x:c r="M18" s="28" t="str"/>
    </x:row>
    <x:row r="19">
      <x:c r="A19" s="37" t="str">
        <x:v>TRY-00489</x:v>
      </x:c>
      <x:c r="B19" s="28" t="str">
        <x:v>Bank relationship profitability scorecard</x:v>
      </x:c>
      <x:c r="C19" s="28" t="str">
        <x:v>Bank relationship economics</x:v>
      </x:c>
      <x:c r="D19" s="28" t="str">
        <x:v>Bank B</x:v>
      </x:c>
      <x:c r="E19" s="28" t="str">
        <x:v>2026-05 working copy</x:v>
      </x:c>
      <x:c r="F19" s="28" t="str">
        <x:v>Approved case</x:v>
      </x:c>
      <x:c r="G19" s="28" t="str">
        <x:v>Relationship risk cost</x:v>
      </x:c>
      <x:c r="H19" s="31" t="n">
        <x:v>124.8</x:v>
      </x:c>
      <x:c r="I19" s="28" t="str"/>
      <x:c r="J19" s="28" t="str">
        <x:v>USD thousands</x:v>
      </x:c>
      <x:c r="K19" s="28" t="str">
        <x:v>Earlier management working export</x:v>
      </x:c>
      <x:c r="L19" s="34" t="str">
        <x:v>2026-06-24</x:v>
      </x:c>
      <x:c r="M19" s="28" t="str"/>
    </x:row>
    <x:row r="20">
      <x:c r="A20" s="37" t="str">
        <x:v>TRY-00490</x:v>
      </x:c>
      <x:c r="B20" s="28" t="str">
        <x:v>Bank relationship profitability scorecard</x:v>
      </x:c>
      <x:c r="C20" s="28" t="str">
        <x:v>Treasury concentration policy</x:v>
      </x:c>
      <x:c r="D20" s="28" t="str">
        <x:v>Portfolio</x:v>
      </x:c>
      <x:c r="E20" s="28" t="str">
        <x:v>FY27</x:v>
      </x:c>
      <x:c r="F20" s="28" t="str">
        <x:v>Management stretch</x:v>
      </x:c>
      <x:c r="G20" s="28" t="str">
        <x:v>Maximum credit concentration</x:v>
      </x:c>
      <x:c r="H20" s="31" t="n">
        <x:v>0.525</x:v>
      </x:c>
      <x:c r="I20" s="28" t="str"/>
      <x:c r="J20" s="28" t="str">
        <x:v>decimal ratio</x:v>
      </x:c>
      <x:c r="K20" s="28" t="str">
        <x:v>Earlier management working export</x:v>
      </x:c>
      <x:c r="L20" s="34" t="str">
        <x:v>2026-06-24</x:v>
      </x:c>
      <x:c r="M20" s="28" t="str"/>
    </x:row>
    <x:row r="21">
      <x:c r="A21" s="37" t="str">
        <x:v>TRY-00491</x:v>
      </x:c>
      <x:c r="B21" s="28" t="str">
        <x:v>Bank relationship profitability scorecard</x:v>
      </x:c>
      <x:c r="C21" s="28" t="str">
        <x:v>Bank relationship economics</x:v>
      </x:c>
      <x:c r="D21" s="28" t="str">
        <x:v>Bank A</x:v>
      </x:c>
      <x:c r="E21" s="28" t="str">
        <x:v>2026-05 working copy</x:v>
      </x:c>
      <x:c r="F21" s="28" t="str">
        <x:v>Approved case</x:v>
      </x:c>
      <x:c r="G21" s="28" t="str">
        <x:v>Relationship risk cost</x:v>
      </x:c>
      <x:c r="H21" s="31" t="n">
        <x:v>97850</x:v>
      </x:c>
      <x:c r="I21" s="28" t="str"/>
      <x:c r="J21" s="28" t="str">
        <x:v>USD</x:v>
      </x:c>
      <x:c r="K21" s="28" t="str">
        <x:v>Earlier management working export</x:v>
      </x:c>
      <x:c r="L21" s="34" t="str">
        <x:v>2026-06-24</x:v>
      </x:c>
      <x:c r="M21" s="28" t="str"/>
    </x:row>
    <x:row r="22">
      <x:c r="A22" s="38" t="str">
        <x:v>TRY-00492</x:v>
      </x:c>
      <x:c r="B22" s="29" t="str">
        <x:v>Bank relationship profitability scorecard</x:v>
      </x:c>
      <x:c r="C22" s="29" t="str">
        <x:v>Bank relationship economics</x:v>
      </x:c>
      <x:c r="D22" s="29" t="str">
        <x:v>Bank C</x:v>
      </x:c>
      <x:c r="E22" s="29" t="str">
        <x:v>FY27</x:v>
      </x:c>
      <x:c r="F22" s="29" t="str">
        <x:v>Management stretch</x:v>
      </x:c>
      <x:c r="G22" s="29" t="str">
        <x:v>Committed credit</x:v>
      </x:c>
      <x:c r="H22" s="32" t="n">
        <x:v>3432000</x:v>
      </x:c>
      <x:c r="I22" s="29" t="str"/>
      <x:c r="J22" s="29" t="str">
        <x:v>USD</x:v>
      </x:c>
      <x:c r="K22" s="29" t="str">
        <x:v>Earlier management working export</x:v>
      </x:c>
      <x:c r="L22" s="35" t="str">
        <x:v>2026-06-24</x:v>
      </x:c>
      <x:c r="M22" s="29" t="str"/>
    </x:row>
  </x:sheetData>
  <x:mergeCells>
    <x:mergeCell ref="A1:M1"/>
    <x:mergeCell ref="A2:M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34" hidden="0" customWidth="1"/>
    <x:col min="3" max="3" width="27" hidden="0" customWidth="1"/>
    <x:col min="4" max="4" width="24" hidden="0" customWidth="1"/>
    <x:col min="5" max="5" width="18" hidden="0" customWidth="1"/>
    <x:col min="6" max="6" width="18" hidden="0" customWidth="1"/>
    <x:col min="7" max="7" width="34" hidden="0" customWidth="1"/>
    <x:col min="8" max="8" width="16" hidden="0" customWidth="1"/>
    <x:col min="9" max="9" width="27" hidden="0" customWidth="1"/>
    <x:col min="10" max="10" width="15" hidden="0" customWidth="1"/>
    <x:col min="11" max="11" width="34" hidden="0" customWidth="1"/>
    <x:col min="12" max="12" width="14" hidden="0" customWidth="1"/>
    <x:col min="13" max="13" width="42" hidden="0" customWidth="1"/>
  </x:cols>
  <x:sheetData>
    <x:row r="1" ht="25" customHeight="1">
      <x:c r="A1" s="9" t="str">
        <x:v>treasury, banking, and credit outlook | Credit Outlook</x:v>
      </x:c>
      <x:c r="B1" s="9"/>
      <x:c r="C1" s="9"/>
      <x:c r="D1" s="9"/>
      <x:c r="E1" s="9"/>
      <x:c r="F1" s="9"/>
      <x:c r="G1" s="9"/>
      <x:c r="H1" s="9"/>
      <x:c r="I1" s="9"/>
      <x:c r="J1" s="9"/>
      <x:c r="K1" s="9"/>
      <x:c r="L1" s="9"/>
      <x:c r="M1" s="9"/>
    </x:row>
    <x:row r="2" ht="25" customHeight="1">
      <x:c r="A2" s="11" t="str">
        <x:v>PRIOR REVIEW COPY - retained for change history; not controller tied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</x:row>
    <x:row r="4" ht="30" customHeight="1">
      <x:c r="A4" s="20" t="str">
        <x:v>Source Ref</x:v>
      </x:c>
      <x:c r="B4" s="21" t="str">
        <x:v>Workstream</x:v>
      </x:c>
      <x:c r="C4" s="21" t="str">
        <x:v>Schedule</x:v>
      </x:c>
      <x:c r="D4" s="21" t="str">
        <x:v>Entity Or Item</x:v>
      </x:c>
      <x:c r="E4" s="21" t="str">
        <x:v>Period Or As Of</x:v>
      </x:c>
      <x:c r="F4" s="21" t="str">
        <x:v>Case</x:v>
      </x:c>
      <x:c r="G4" s="21" t="str">
        <x:v>Metric Or Driver</x:v>
      </x:c>
      <x:c r="H4" s="21" t="str">
        <x:v>Numeric Value</x:v>
      </x:c>
      <x:c r="I4" s="21" t="str">
        <x:v>Text Or Decision</x:v>
      </x:c>
      <x:c r="J4" s="21" t="str">
        <x:v>Units</x:v>
      </x:c>
      <x:c r="K4" s="21" t="str">
        <x:v>Source Or Owner</x:v>
      </x:c>
      <x:c r="L4" s="21" t="str">
        <x:v>Source Date</x:v>
      </x:c>
      <x:c r="M4" s="22" t="str">
        <x:v>System Tie</x:v>
      </x:c>
    </x:row>
    <x:row r="5">
      <x:c r="A5" s="36" t="str">
        <x:v>TRY-00431</x:v>
      </x:c>
      <x:c r="B5" s="27" t="str">
        <x:v>FY27 covenant outlook</x:v>
      </x:c>
      <x:c r="C5" s="27" t="str">
        <x:v>Debt Schedule</x:v>
      </x:c>
      <x:c r="D5" s="27" t="str">
        <x:v>Planned acquisition term loan</x:v>
      </x:c>
      <x:c r="E5" s="27" t="str">
        <x:v>2026-05 working copy</x:v>
      </x:c>
      <x:c r="F5" s="27" t="str">
        <x:v>Approved case</x:v>
      </x:c>
      <x:c r="G5" s="27" t="str">
        <x:v>Committed draw</x:v>
      </x:c>
      <x:c r="H5" s="30" t="n">
        <x:v>37080000</x:v>
      </x:c>
      <x:c r="I5" s="27" t="str"/>
      <x:c r="J5" s="27" t="str">
        <x:v>USD</x:v>
      </x:c>
      <x:c r="K5" s="27" t="str">
        <x:v>Earlier management working export</x:v>
      </x:c>
      <x:c r="L5" s="33" t="str">
        <x:v>2026-06-24</x:v>
      </x:c>
      <x:c r="M5" s="27" t="str"/>
    </x:row>
    <x:row r="6">
      <x:c r="A6" s="37" t="str">
        <x:v>TRY-00432</x:v>
      </x:c>
      <x:c r="B6" s="28" t="str">
        <x:v>FY27 covenant outlook</x:v>
      </x:c>
      <x:c r="C6" s="28" t="str">
        <x:v>Forecast Inputs</x:v>
      </x:c>
      <x:c r="D6" s="28" t="str">
        <x:v>Consolidated</x:v>
      </x:c>
      <x:c r="E6" s="28" t="str">
        <x:v>2026-Q4</x:v>
      </x:c>
      <x:c r="F6" s="28" t="str">
        <x:v>Management stretch</x:v>
      </x:c>
      <x:c r="G6" s="28" t="str">
        <x:v>Quarterly covenant EBITDA</x:v>
      </x:c>
      <x:c r="H6" s="31" t="n">
        <x:v>3203.2</x:v>
      </x:c>
      <x:c r="I6" s="28" t="str"/>
      <x:c r="J6" s="28" t="str">
        <x:v>USD thousands</x:v>
      </x:c>
      <x:c r="K6" s="28" t="str">
        <x:v>Earlier management working export</x:v>
      </x:c>
      <x:c r="L6" s="34" t="str">
        <x:v>2026-06-24</x:v>
      </x:c>
      <x:c r="M6" s="28" t="str"/>
    </x:row>
    <x:row r="7">
      <x:c r="A7" s="37" t="str">
        <x:v>TRY-00433</x:v>
      </x:c>
      <x:c r="B7" s="28" t="str">
        <x:v>FY27 covenant outlook</x:v>
      </x:c>
      <x:c r="C7" s="28" t="str">
        <x:v>Forecast Inputs</x:v>
      </x:c>
      <x:c r="D7" s="28" t="str">
        <x:v>Consolidated</x:v>
      </x:c>
      <x:c r="E7" s="28" t="str">
        <x:v>2026-05 working copy</x:v>
      </x:c>
      <x:c r="F7" s="28" t="str">
        <x:v>Approved case</x:v>
      </x:c>
      <x:c r="G7" s="28" t="str">
        <x:v>Cash interest</x:v>
      </x:c>
      <x:c r="H7" s="31" t="n">
        <x:v>531300</x:v>
      </x:c>
      <x:c r="I7" s="28" t="str"/>
      <x:c r="J7" s="28" t="str">
        <x:v>USD</x:v>
      </x:c>
      <x:c r="K7" s="28" t="str">
        <x:v>Earlier management working export</x:v>
      </x:c>
      <x:c r="L7" s="34" t="str">
        <x:v>2026-06-24</x:v>
      </x:c>
      <x:c r="M7" s="28" t="str"/>
    </x:row>
    <x:row r="8">
      <x:c r="A8" s="37" t="str">
        <x:v>TRY-00434</x:v>
      </x:c>
      <x:c r="B8" s="28" t="str">
        <x:v>FY27 covenant outlook</x:v>
      </x:c>
      <x:c r="C8" s="28" t="str">
        <x:v>Forecast Inputs</x:v>
      </x:c>
      <x:c r="D8" s="28" t="str">
        <x:v>Consolidated</x:v>
      </x:c>
      <x:c r="E8" s="28" t="str">
        <x:v>2027-Q2</x:v>
      </x:c>
      <x:c r="F8" s="28" t="str">
        <x:v>Management stretch</x:v>
      </x:c>
      <x:c r="G8" s="28" t="str">
        <x:v>Unfunded capital expenditures</x:v>
      </x:c>
      <x:c r="H8" s="31" t="n">
        <x:v>896100</x:v>
      </x:c>
      <x:c r="I8" s="28" t="str"/>
      <x:c r="J8" s="28" t="str">
        <x:v>USD</x:v>
      </x:c>
      <x:c r="K8" s="28" t="str">
        <x:v>Earlier management working export</x:v>
      </x:c>
      <x:c r="L8" s="34" t="str">
        <x:v>2026-06-24</x:v>
      </x:c>
      <x:c r="M8" s="28" t="str"/>
    </x:row>
    <x:row r="9">
      <x:c r="A9" s="37" t="str">
        <x:v>TRY-00435</x:v>
      </x:c>
      <x:c r="B9" s="28" t="str">
        <x:v>FY27 covenant outlook</x:v>
      </x:c>
      <x:c r="C9" s="28" t="str">
        <x:v>Forecast Inputs</x:v>
      </x:c>
      <x:c r="D9" s="28" t="str">
        <x:v>Consolidated</x:v>
      </x:c>
      <x:c r="E9" s="28" t="str">
        <x:v>2026-05 working copy</x:v>
      </x:c>
      <x:c r="F9" s="28" t="str">
        <x:v>Approved case</x:v>
      </x:c>
      <x:c r="G9" s="28" t="str">
        <x:v>Cash taxes</x:v>
      </x:c>
      <x:c r="H9" s="31" t="n">
        <x:v>372320</x:v>
      </x:c>
      <x:c r="I9" s="28" t="str"/>
      <x:c r="J9" s="28" t="str">
        <x:v>USD</x:v>
      </x:c>
      <x:c r="K9" s="28" t="str">
        <x:v>Earlier management working export</x:v>
      </x:c>
      <x:c r="L9" s="34" t="str">
        <x:v>2026-06-24</x:v>
      </x:c>
      <x:c r="M9" s="28" t="str"/>
    </x:row>
    <x:row r="10">
      <x:c r="A10" s="37" t="str">
        <x:v>TRY-00436</x:v>
      </x:c>
      <x:c r="B10" s="28" t="str">
        <x:v>FY27 covenant outlook</x:v>
      </x:c>
      <x:c r="C10" s="28" t="str">
        <x:v>Forecast Inputs</x:v>
      </x:c>
      <x:c r="D10" s="28" t="str">
        <x:v>Consolidated</x:v>
      </x:c>
      <x:c r="E10" s="28" t="str">
        <x:v>2027-Q4</x:v>
      </x:c>
      <x:c r="F10" s="28" t="str">
        <x:v>Management stretch</x:v>
      </x:c>
      <x:c r="G10" s="28" t="str">
        <x:v>Distributions</x:v>
      </x:c>
      <x:c r="H10" s="31" t="n">
        <x:v>105</x:v>
      </x:c>
      <x:c r="I10" s="28" t="str"/>
      <x:c r="J10" s="28" t="str">
        <x:v>USD thousands</x:v>
      </x:c>
      <x:c r="K10" s="28" t="str">
        <x:v>Earlier management working export</x:v>
      </x:c>
      <x:c r="L10" s="34" t="str">
        <x:v>2026-06-24</x:v>
      </x:c>
      <x:c r="M10" s="28" t="str"/>
    </x:row>
    <x:row r="11">
      <x:c r="A11" s="37" t="str">
        <x:v>TRY-00437</x:v>
      </x:c>
      <x:c r="B11" s="28" t="str">
        <x:v>FY27 covenant outlook</x:v>
      </x:c>
      <x:c r="C11" s="28" t="str">
        <x:v>Forecast Inputs</x:v>
      </x:c>
      <x:c r="D11" s="28" t="str">
        <x:v>Consolidated</x:v>
      </x:c>
      <x:c r="E11" s="28" t="str">
        <x:v>2026-05 working copy</x:v>
      </x:c>
      <x:c r="F11" s="28" t="str">
        <x:v>Approved case</x:v>
      </x:c>
      <x:c r="G11" s="28" t="str">
        <x:v>Scheduled debt repayment</x:v>
      </x:c>
      <x:c r="H11" s="31" t="n">
        <x:v>669500</x:v>
      </x:c>
      <x:c r="I11" s="28" t="str"/>
      <x:c r="J11" s="28" t="str">
        <x:v>USD</x:v>
      </x:c>
      <x:c r="K11" s="28" t="str">
        <x:v>Earlier management working export</x:v>
      </x:c>
      <x:c r="L11" s="34" t="str">
        <x:v>2026-06-24</x:v>
      </x:c>
      <x:c r="M11" s="28" t="str"/>
    </x:row>
    <x:row r="12">
      <x:c r="A12" s="37" t="str">
        <x:v>TRY-00438</x:v>
      </x:c>
      <x:c r="B12" s="28" t="str">
        <x:v>FY27 covenant outlook</x:v>
      </x:c>
      <x:c r="C12" s="28" t="str">
        <x:v>Covenant policy</x:v>
      </x:c>
      <x:c r="D12" s="28" t="str">
        <x:v>Credit agreement</x:v>
      </x:c>
      <x:c r="E12" s="28" t="str">
        <x:v>Forecast horizon</x:v>
      </x:c>
      <x:c r="F12" s="28" t="str">
        <x:v>Management stretch</x:v>
      </x:c>
      <x:c r="G12" s="28" t="str">
        <x:v>Maximum funded-debt leverage</x:v>
      </x:c>
      <x:c r="H12" s="31" t="n">
        <x:v>3.38</x:v>
      </x:c>
      <x:c r="I12" s="28" t="str"/>
      <x:c r="J12" s="28" t="str">
        <x:v>multiple</x:v>
      </x:c>
      <x:c r="K12" s="28" t="str">
        <x:v>Earlier management working export</x:v>
      </x:c>
      <x:c r="L12" s="34" t="str">
        <x:v>2026-06-24</x:v>
      </x:c>
      <x:c r="M12" s="28" t="str"/>
    </x:row>
    <x:row r="13">
      <x:c r="A13" s="37" t="str">
        <x:v>TRY-00439</x:v>
      </x:c>
      <x:c r="B13" s="28" t="str">
        <x:v>FY27 covenant outlook</x:v>
      </x:c>
      <x:c r="C13" s="28" t="str">
        <x:v>Covenant Downside</x:v>
      </x:c>
      <x:c r="D13" s="28" t="str">
        <x:v>Consolidated</x:v>
      </x:c>
      <x:c r="E13" s="28" t="str">
        <x:v>2026-05 working copy</x:v>
      </x:c>
      <x:c r="F13" s="28" t="str">
        <x:v>Downside</x:v>
      </x:c>
      <x:c r="G13" s="28" t="str">
        <x:v>Cash interest increment</x:v>
      </x:c>
      <x:c r="H13" s="31" t="n">
        <x:v>78750</x:v>
      </x:c>
      <x:c r="I13" s="28" t="str"/>
      <x:c r="J13" s="28" t="str">
        <x:v>USD</x:v>
      </x:c>
      <x:c r="K13" s="28" t="str">
        <x:v>Earlier management working export</x:v>
      </x:c>
      <x:c r="L13" s="34" t="str">
        <x:v>2026-06-24</x:v>
      </x:c>
      <x:c r="M13" s="28" t="str"/>
    </x:row>
    <x:row r="14">
      <x:c r="A14" s="37" t="str">
        <x:v>TRY-00440</x:v>
      </x:c>
      <x:c r="B14" s="28" t="str">
        <x:v>FY27 covenant outlook</x:v>
      </x:c>
      <x:c r="C14" s="28" t="str">
        <x:v>Covenant Downside</x:v>
      </x:c>
      <x:c r="D14" s="28" t="str">
        <x:v>Consolidated</x:v>
      </x:c>
      <x:c r="E14" s="28" t="str">
        <x:v>2027-Q3</x:v>
      </x:c>
      <x:c r="F14" s="28" t="str">
        <x:v>Management stretch</x:v>
      </x:c>
      <x:c r="G14" s="28" t="str">
        <x:v>Unfunded capex increment</x:v>
      </x:c>
      <x:c r="H14" s="31" t="n">
        <x:v>0</x:v>
      </x:c>
      <x:c r="I14" s="28" t="str"/>
      <x:c r="J14" s="28" t="str">
        <x:v>USD</x:v>
      </x:c>
      <x:c r="K14" s="28" t="str">
        <x:v>Earlier management working export</x:v>
      </x:c>
      <x:c r="L14" s="34" t="str">
        <x:v>2026-06-24</x:v>
      </x:c>
      <x:c r="M14" s="28" t="str"/>
    </x:row>
    <x:row r="15">
      <x:c r="A15" s="37" t="str">
        <x:v>TRY-00441</x:v>
      </x:c>
      <x:c r="B15" s="28" t="str">
        <x:v>FY27 covenant outlook</x:v>
      </x:c>
      <x:c r="C15" s="28" t="str">
        <x:v>Historical Covenant Inputs</x:v>
      </x:c>
      <x:c r="D15" s="28" t="str">
        <x:v>Consolidated</x:v>
      </x:c>
      <x:c r="E15" s="28" t="str">
        <x:v>2026-05 working copy</x:v>
      </x:c>
      <x:c r="F15" s="28" t="str">
        <x:v>Actual</x:v>
      </x:c>
      <x:c r="G15" s="28" t="str">
        <x:v>Quarterly covenant EBITDA</x:v>
      </x:c>
      <x:c r="H15" s="31" t="n">
        <x:v>2964000</x:v>
      </x:c>
      <x:c r="I15" s="28" t="str"/>
      <x:c r="J15" s="28" t="str">
        <x:v>USD</x:v>
      </x:c>
      <x:c r="K15" s="28" t="str">
        <x:v>Earlier management working export</x:v>
      </x:c>
      <x:c r="L15" s="34" t="str">
        <x:v>2026-06-24</x:v>
      </x:c>
      <x:c r="M15" s="28" t="str"/>
    </x:row>
    <x:row r="16">
      <x:c r="A16" s="37" t="str">
        <x:v>TRY-00442</x:v>
      </x:c>
      <x:c r="B16" s="28" t="str">
        <x:v>FY27 covenant outlook</x:v>
      </x:c>
      <x:c r="C16" s="28" t="str">
        <x:v>Historical Covenant Inputs</x:v>
      </x:c>
      <x:c r="D16" s="28" t="str">
        <x:v>Consolidated</x:v>
      </x:c>
      <x:c r="E16" s="28" t="str">
        <x:v>2026-Q1</x:v>
      </x:c>
      <x:c r="F16" s="28" t="str">
        <x:v>Management stretch</x:v>
      </x:c>
      <x:c r="G16" s="28" t="str">
        <x:v>Unfunded capital expenditures</x:v>
      </x:c>
      <x:c r="H16" s="31" t="n">
        <x:v>640500</x:v>
      </x:c>
      <x:c r="I16" s="28" t="str"/>
      <x:c r="J16" s="28" t="str">
        <x:v>USD</x:v>
      </x:c>
      <x:c r="K16" s="28" t="str">
        <x:v>Earlier management working export</x:v>
      </x:c>
      <x:c r="L16" s="34" t="str">
        <x:v>2026-06-24</x:v>
      </x:c>
      <x:c r="M16" s="28" t="str"/>
    </x:row>
    <x:row r="17">
      <x:c r="A17" s="37" t="str">
        <x:v>TRY-00458</x:v>
      </x:c>
      <x:c r="B17" s="28" t="str">
        <x:v>Credit metrics and incremental debt capacity</x:v>
      </x:c>
      <x:c r="C17" s="28" t="str">
        <x:v>Credit population</x:v>
      </x:c>
      <x:c r="D17" s="28" t="str">
        <x:v>Committed acquisition facility</x:v>
      </x:c>
      <x:c r="E17" s="28" t="str">
        <x:v>2026-05 working copy</x:v>
      </x:c>
      <x:c r="F17" s="28" t="str">
        <x:v>Approved case</x:v>
      </x:c>
      <x:c r="G17" s="28" t="str">
        <x:v>Pro forma funded draw</x:v>
      </x:c>
      <x:c r="H17" s="31" t="n">
        <x:v>24720</x:v>
      </x:c>
      <x:c r="I17" s="28" t="str"/>
      <x:c r="J17" s="28" t="str">
        <x:v>USD thousands</x:v>
      </x:c>
      <x:c r="K17" s="28" t="str">
        <x:v>Earlier management working export</x:v>
      </x:c>
      <x:c r="L17" s="34" t="str">
        <x:v>2026-06-24</x:v>
      </x:c>
      <x:c r="M17" s="28" t="str"/>
    </x:row>
    <x:row r="18">
      <x:c r="A18" s="37" t="str">
        <x:v>TRY-00459</x:v>
      </x:c>
      <x:c r="B18" s="28" t="str">
        <x:v>Credit metrics and incremental debt capacity</x:v>
      </x:c>
      <x:c r="C18" s="28" t="str">
        <x:v>Credit policy</x:v>
      </x:c>
      <x:c r="D18" s="28" t="str">
        <x:v>Alder Ridge</x:v>
      </x:c>
      <x:c r="E18" s="28" t="str">
        <x:v>LTM 2026-06-30</x:v>
      </x:c>
      <x:c r="F18" s="28" t="str">
        <x:v>Management stretch</x:v>
      </x:c>
      <x:c r="G18" s="28" t="str">
        <x:v>Tangible net worth</x:v>
      </x:c>
      <x:c r="H18" s="31" t="n">
        <x:v>24024000</x:v>
      </x:c>
      <x:c r="I18" s="28" t="str"/>
      <x:c r="J18" s="28" t="str">
        <x:v>USD</x:v>
      </x:c>
      <x:c r="K18" s="28" t="str">
        <x:v>Earlier management working export</x:v>
      </x:c>
      <x:c r="L18" s="34" t="str">
        <x:v>2026-06-24</x:v>
      </x:c>
      <x:c r="M18" s="28" t="str"/>
    </x:row>
    <x:row r="19">
      <x:c r="A19" s="37" t="str">
        <x:v>TRY-00460</x:v>
      </x:c>
      <x:c r="B19" s="28" t="str">
        <x:v>Credit metrics and incremental debt capacity</x:v>
      </x:c>
      <x:c r="C19" s="28" t="str">
        <x:v>Credit population</x:v>
      </x:c>
      <x:c r="D19" s="28" t="str">
        <x:v>Committed acquisition facility</x:v>
      </x:c>
      <x:c r="E19" s="28" t="str">
        <x:v>2026-05 working copy</x:v>
      </x:c>
      <x:c r="F19" s="28" t="str">
        <x:v>Approved case</x:v>
      </x:c>
      <x:c r="G19" s="28" t="str">
        <x:v>Pro forma funded draw</x:v>
      </x:c>
      <x:c r="H19" s="31" t="n">
        <x:v>25200000</x:v>
      </x:c>
      <x:c r="I19" s="28" t="str"/>
      <x:c r="J19" s="28" t="str">
        <x:v>USD</x:v>
      </x:c>
      <x:c r="K19" s="28" t="str">
        <x:v>Earlier management working export</x:v>
      </x:c>
      <x:c r="L19" s="34" t="str">
        <x:v>2026-06-24</x:v>
      </x:c>
      <x:c r="M19" s="28" t="str"/>
    </x:row>
    <x:row r="20">
      <x:c r="A20" s="37" t="str">
        <x:v>TRY-00461</x:v>
      </x:c>
      <x:c r="B20" s="28" t="str">
        <x:v>Credit metrics and incremental debt capacity</x:v>
      </x:c>
      <x:c r="C20" s="28" t="str">
        <x:v>Credit policy</x:v>
      </x:c>
      <x:c r="D20" s="28" t="str">
        <x:v>Alder Ridge</x:v>
      </x:c>
      <x:c r="E20" s="28" t="str">
        <x:v>LTM 2026-06-30</x:v>
      </x:c>
      <x:c r="F20" s="28" t="str">
        <x:v>Management stretch</x:v>
      </x:c>
      <x:c r="G20" s="28" t="str">
        <x:v>Tangible net worth</x:v>
      </x:c>
      <x:c r="H20" s="31" t="n">
        <x:v>23793000</x:v>
      </x:c>
      <x:c r="I20" s="28" t="str"/>
      <x:c r="J20" s="28" t="str">
        <x:v>USD</x:v>
      </x:c>
      <x:c r="K20" s="28" t="str">
        <x:v>Earlier management working export</x:v>
      </x:c>
      <x:c r="L20" s="34" t="str">
        <x:v>2026-06-24</x:v>
      </x:c>
      <x:c r="M20" s="28" t="str"/>
    </x:row>
    <x:row r="21">
      <x:c r="A21" s="37" t="str">
        <x:v>TRY-00462</x:v>
      </x:c>
      <x:c r="B21" s="28" t="str">
        <x:v>Credit metrics and incremental debt capacity</x:v>
      </x:c>
      <x:c r="C21" s="28" t="str">
        <x:v>Credit population</x:v>
      </x:c>
      <x:c r="D21" s="28" t="str">
        <x:v>Committed acquisition facility</x:v>
      </x:c>
      <x:c r="E21" s="28" t="str">
        <x:v>2026-05 working copy</x:v>
      </x:c>
      <x:c r="F21" s="28" t="str">
        <x:v>Approved case</x:v>
      </x:c>
      <x:c r="G21" s="28" t="str">
        <x:v>Pro forma funded draw</x:v>
      </x:c>
      <x:c r="H21" s="31" t="n">
        <x:v>24960</x:v>
      </x:c>
      <x:c r="I21" s="28" t="str"/>
      <x:c r="J21" s="28" t="str">
        <x:v>USD thousands</x:v>
      </x:c>
      <x:c r="K21" s="28" t="str">
        <x:v>Earlier management working export</x:v>
      </x:c>
      <x:c r="L21" s="34" t="str">
        <x:v>2026-06-24</x:v>
      </x:c>
      <x:c r="M21" s="28" t="str"/>
    </x:row>
    <x:row r="22">
      <x:c r="A22" s="37" t="str">
        <x:v>TRY-00463</x:v>
      </x:c>
      <x:c r="B22" s="28" t="str">
        <x:v>Credit metrics and incremental debt capacity</x:v>
      </x:c>
      <x:c r="C22" s="28" t="str">
        <x:v>Credit policy</x:v>
      </x:c>
      <x:c r="D22" s="28" t="str">
        <x:v>Alder Ridge</x:v>
      </x:c>
      <x:c r="E22" s="28" t="str">
        <x:v>LTM 2026-06-30</x:v>
      </x:c>
      <x:c r="F22" s="28" t="str">
        <x:v>Management stretch</x:v>
      </x:c>
      <x:c r="G22" s="28" t="str">
        <x:v>Tangible net worth</x:v>
      </x:c>
      <x:c r="H22" s="31" t="n">
        <x:v>24255000</x:v>
      </x:c>
      <x:c r="I22" s="28" t="str"/>
      <x:c r="J22" s="28" t="str">
        <x:v>USD</x:v>
      </x:c>
      <x:c r="K22" s="28" t="str">
        <x:v>Earlier management working export</x:v>
      </x:c>
      <x:c r="L22" s="34" t="str">
        <x:v>2026-06-24</x:v>
      </x:c>
      <x:c r="M22" s="28" t="str"/>
    </x:row>
    <x:row r="23">
      <x:c r="A23" s="37" t="str">
        <x:v>TRY-00464</x:v>
      </x:c>
      <x:c r="B23" s="28" t="str">
        <x:v>Credit metrics and incremental debt capacity</x:v>
      </x:c>
      <x:c r="C23" s="28" t="str">
        <x:v>Credit population</x:v>
      </x:c>
      <x:c r="D23" s="28" t="str">
        <x:v>Committed acquisition facility</x:v>
      </x:c>
      <x:c r="E23" s="28" t="str">
        <x:v>2026-05 working copy</x:v>
      </x:c>
      <x:c r="F23" s="28" t="str">
        <x:v>Approved case</x:v>
      </x:c>
      <x:c r="G23" s="28" t="str">
        <x:v>Pro forma funded draw</x:v>
      </x:c>
      <x:c r="H23" s="31" t="n">
        <x:v>24720000</x:v>
      </x:c>
      <x:c r="I23" s="28" t="str"/>
      <x:c r="J23" s="28" t="str">
        <x:v>USD</x:v>
      </x:c>
      <x:c r="K23" s="28" t="str">
        <x:v>Earlier management working export</x:v>
      </x:c>
      <x:c r="L23" s="34" t="str">
        <x:v>2026-06-24</x:v>
      </x:c>
      <x:c r="M23" s="28" t="str"/>
    </x:row>
    <x:row r="24">
      <x:c r="A24" s="37" t="str">
        <x:v>TRY-00465</x:v>
      </x:c>
      <x:c r="B24" s="28" t="str">
        <x:v>Credit metrics and incremental debt capacity</x:v>
      </x:c>
      <x:c r="C24" s="28" t="str">
        <x:v>Credit policy</x:v>
      </x:c>
      <x:c r="D24" s="28" t="str">
        <x:v>Alder Ridge</x:v>
      </x:c>
      <x:c r="E24" s="28" t="str">
        <x:v>LTM 2026-06-30</x:v>
      </x:c>
      <x:c r="F24" s="28" t="str">
        <x:v>Management stretch</x:v>
      </x:c>
      <x:c r="G24" s="28" t="str">
        <x:v>Tangible net worth</x:v>
      </x:c>
      <x:c r="H24" s="31" t="n">
        <x:v>24024000</x:v>
      </x:c>
      <x:c r="I24" s="28" t="str"/>
      <x:c r="J24" s="28" t="str">
        <x:v>USD</x:v>
      </x:c>
      <x:c r="K24" s="28" t="str">
        <x:v>Earlier management working export</x:v>
      </x:c>
      <x:c r="L24" s="34" t="str">
        <x:v>2026-06-24</x:v>
      </x:c>
      <x:c r="M24" s="28" t="str"/>
    </x:row>
    <x:row r="25">
      <x:c r="A25" s="37" t="str">
        <x:v>TRY-00763</x:v>
      </x:c>
      <x:c r="B25" s="28" t="str">
        <x:v>ABL borrowing base and covenant cure</x:v>
      </x:c>
      <x:c r="C25" s="28" t="str">
        <x:v>ABL borrowing base</x:v>
      </x:c>
      <x:c r="D25" s="28" t="str">
        <x:v>Eligible accounts receivable</x:v>
      </x:c>
      <x:c r="E25" s="28" t="str">
        <x:v>2026-05 working copy</x:v>
      </x:c>
      <x:c r="F25" s="28" t="str">
        <x:v>Approved case</x:v>
      </x:c>
      <x:c r="G25" s="28" t="str">
        <x:v>Gross eligible collateral</x:v>
      </x:c>
      <x:c r="H25" s="31" t="n">
        <x:v>12205500</x:v>
      </x:c>
      <x:c r="I25" s="28" t="str"/>
      <x:c r="J25" s="28" t="str">
        <x:v>USD</x:v>
      </x:c>
      <x:c r="K25" s="28" t="str">
        <x:v>Earlier management working export</x:v>
      </x:c>
      <x:c r="L25" s="34" t="str">
        <x:v>2026-06-24</x:v>
      </x:c>
      <x:c r="M25" s="28" t="str"/>
    </x:row>
    <x:row r="26">
      <x:c r="A26" s="37" t="str">
        <x:v>TRY-00764</x:v>
      </x:c>
      <x:c r="B26" s="28" t="str">
        <x:v>ABL borrowing base and covenant cure</x:v>
      </x:c>
      <x:c r="C26" s="28" t="str">
        <x:v>ABL borrowing base</x:v>
      </x:c>
      <x:c r="D26" s="28" t="str">
        <x:v>Eligible equipment</x:v>
      </x:c>
      <x:c r="E26" s="28" t="str">
        <x:v>2026-06-30</x:v>
      </x:c>
      <x:c r="F26" s="28" t="str">
        <x:v>Management stretch</x:v>
      </x:c>
      <x:c r="G26" s="28" t="str">
        <x:v>Advance rate</x:v>
      </x:c>
      <x:c r="H26" s="31" t="n">
        <x:v>0.364</x:v>
      </x:c>
      <x:c r="I26" s="28" t="str"/>
      <x:c r="J26" s="28" t="str">
        <x:v>decimal ratio</x:v>
      </x:c>
      <x:c r="K26" s="28" t="str">
        <x:v>Earlier management working export</x:v>
      </x:c>
      <x:c r="L26" s="34" t="str">
        <x:v>2026-06-24</x:v>
      </x:c>
      <x:c r="M26" s="28" t="str"/>
    </x:row>
    <x:row r="27">
      <x:c r="A27" s="37" t="str">
        <x:v>TRY-00765</x:v>
      </x:c>
      <x:c r="B27" s="28" t="str">
        <x:v>ABL borrowing base and covenant cure</x:v>
      </x:c>
      <x:c r="C27" s="28" t="str">
        <x:v>ABL covenant inputs</x:v>
      </x:c>
      <x:c r="D27" s="28" t="str">
        <x:v>Alder Ridge</x:v>
      </x:c>
      <x:c r="E27" s="28" t="str">
        <x:v>2026-05 working copy</x:v>
      </x:c>
      <x:c r="F27" s="28" t="str">
        <x:v>Approved case</x:v>
      </x:c>
      <x:c r="G27" s="28" t="str">
        <x:v>Existing letters of credit</x:v>
      </x:c>
      <x:c r="H27" s="31" t="n">
        <x:v>892.5</x:v>
      </x:c>
      <x:c r="I27" s="28" t="str"/>
      <x:c r="J27" s="28" t="str">
        <x:v>USD thousands</x:v>
      </x:c>
      <x:c r="K27" s="28" t="str">
        <x:v>Earlier management working export</x:v>
      </x:c>
      <x:c r="L27" s="34" t="str">
        <x:v>2026-06-24</x:v>
      </x:c>
      <x:c r="M27" s="28" t="str"/>
    </x:row>
    <x:row r="28">
      <x:c r="A28" s="37" t="str">
        <x:v>TRY-00766</x:v>
      </x:c>
      <x:c r="B28" s="28" t="str">
        <x:v>ABL borrowing base and covenant cure</x:v>
      </x:c>
      <x:c r="C28" s="28" t="str">
        <x:v>ABL covenant inputs</x:v>
      </x:c>
      <x:c r="D28" s="28" t="str">
        <x:v>Alder Ridge</x:v>
      </x:c>
      <x:c r="E28" s="28" t="str">
        <x:v>2026-06-30</x:v>
      </x:c>
      <x:c r="F28" s="28" t="str">
        <x:v>Management stretch</x:v>
      </x:c>
      <x:c r="G28" s="28" t="str">
        <x:v>Scheduled principal</x:v>
      </x:c>
      <x:c r="H28" s="31" t="n">
        <x:v>844600</x:v>
      </x:c>
      <x:c r="I28" s="28" t="str"/>
      <x:c r="J28" s="28" t="str">
        <x:v>USD</x:v>
      </x:c>
      <x:c r="K28" s="28" t="str">
        <x:v>Earlier management working export</x:v>
      </x:c>
      <x:c r="L28" s="34" t="str">
        <x:v>2026-06-24</x:v>
      </x:c>
      <x:c r="M28" s="28" t="str"/>
    </x:row>
    <x:row r="29">
      <x:c r="A29" s="37" t="str">
        <x:v>TRY-00767</x:v>
      </x:c>
      <x:c r="B29" s="28" t="str">
        <x:v>ABL borrowing base and covenant cure</x:v>
      </x:c>
      <x:c r="C29" s="28" t="str">
        <x:v>ABL borrowing base</x:v>
      </x:c>
      <x:c r="D29" s="28" t="str">
        <x:v>Eligible inventory</x:v>
      </x:c>
      <x:c r="E29" s="28" t="str">
        <x:v>2026-05 working copy</x:v>
      </x:c>
      <x:c r="F29" s="28" t="str">
        <x:v>Approved case</x:v>
      </x:c>
      <x:c r="G29" s="28" t="str">
        <x:v>Gross eligible collateral</x:v>
      </x:c>
      <x:c r="H29" s="31" t="n">
        <x:v>3744000</x:v>
      </x:c>
      <x:c r="I29" s="28" t="str"/>
      <x:c r="J29" s="28" t="str">
        <x:v>USD</x:v>
      </x:c>
      <x:c r="K29" s="28" t="str">
        <x:v>Earlier management working export</x:v>
      </x:c>
      <x:c r="L29" s="34" t="str">
        <x:v>2026-06-24</x:v>
      </x:c>
      <x:c r="M29" s="28" t="str"/>
    </x:row>
    <x:row r="30">
      <x:c r="A30" s="37" t="str">
        <x:v>TRY-00768</x:v>
      </x:c>
      <x:c r="B30" s="28" t="str">
        <x:v>ABL borrowing base and covenant cure</x:v>
      </x:c>
      <x:c r="C30" s="28" t="str">
        <x:v>ABL eligibility exclusions</x:v>
      </x:c>
      <x:c r="D30" s="28" t="str">
        <x:v>Cross-aged customers</x:v>
      </x:c>
      <x:c r="E30" s="28" t="str">
        <x:v>2026-06-30</x:v>
      </x:c>
      <x:c r="F30" s="28" t="str">
        <x:v>Management stretch</x:v>
      </x:c>
      <x:c r="G30" s="28" t="str">
        <x:v>Excluded amount</x:v>
      </x:c>
      <x:c r="H30" s="31" t="n">
        <x:v>567000</x:v>
      </x:c>
      <x:c r="I30" s="28" t="str"/>
      <x:c r="J30" s="28" t="str">
        <x:v>USD</x:v>
      </x:c>
      <x:c r="K30" s="28" t="str">
        <x:v>Earlier management working export</x:v>
      </x:c>
      <x:c r="L30" s="34" t="str">
        <x:v>2026-06-24</x:v>
      </x:c>
      <x:c r="M30" s="28" t="str"/>
    </x:row>
    <x:row r="31">
      <x:c r="A31" s="37" t="str">
        <x:v>TRY-00769</x:v>
      </x:c>
      <x:c r="B31" s="28" t="str">
        <x:v>ABL borrowing base and covenant cure</x:v>
      </x:c>
      <x:c r="C31" s="28" t="str">
        <x:v>ABL covenant inputs</x:v>
      </x:c>
      <x:c r="D31" s="28" t="str">
        <x:v>Alder Ridge</x:v>
      </x:c>
      <x:c r="E31" s="28" t="str">
        <x:v>2026-05 working copy</x:v>
      </x:c>
      <x:c r="F31" s="28" t="str">
        <x:v>Approved case</x:v>
      </x:c>
      <x:c r="G31" s="28" t="str">
        <x:v>Minimum excess availability</x:v>
      </x:c>
      <x:c r="H31" s="31" t="n">
        <x:v>1545</x:v>
      </x:c>
      <x:c r="I31" s="28" t="str"/>
      <x:c r="J31" s="28" t="str">
        <x:v>USD thousands</x:v>
      </x:c>
      <x:c r="K31" s="28" t="str">
        <x:v>Earlier management working export</x:v>
      </x:c>
      <x:c r="L31" s="34" t="str">
        <x:v>2026-06-24</x:v>
      </x:c>
      <x:c r="M31" s="28" t="str"/>
    </x:row>
    <x:row r="32">
      <x:c r="A32" s="37" t="str">
        <x:v>TRY-00770</x:v>
      </x:c>
      <x:c r="B32" s="28" t="str">
        <x:v>ABL borrowing base and covenant cure</x:v>
      </x:c>
      <x:c r="C32" s="28" t="str">
        <x:v>ABL covenant inputs</x:v>
      </x:c>
      <x:c r="D32" s="28" t="str">
        <x:v>Alder Ridge</x:v>
      </x:c>
      <x:c r="E32" s="28" t="str">
        <x:v>2026-06-30</x:v>
      </x:c>
      <x:c r="F32" s="28" t="str">
        <x:v>Management stretch</x:v>
      </x:c>
      <x:c r="G32" s="28" t="str">
        <x:v>Approved equity cure</x:v>
      </x:c>
      <x:c r="H32" s="31" t="n">
        <x:v>650000</x:v>
      </x:c>
      <x:c r="I32" s="28" t="str"/>
      <x:c r="J32" s="28" t="str">
        <x:v>USD</x:v>
      </x:c>
      <x:c r="K32" s="28" t="str">
        <x:v>Earlier management working export</x:v>
      </x:c>
      <x:c r="L32" s="34" t="str">
        <x:v>2026-06-24</x:v>
      </x:c>
      <x:c r="M32" s="28" t="str"/>
    </x:row>
    <x:row r="33">
      <x:c r="A33" s="37" t="str">
        <x:v>TRY-00771</x:v>
      </x:c>
      <x:c r="B33" s="28" t="str">
        <x:v>ABL borrowing base and covenant cure</x:v>
      </x:c>
      <x:c r="C33" s="28" t="str">
        <x:v>ABL borrowing base</x:v>
      </x:c>
      <x:c r="D33" s="28" t="str">
        <x:v>Eligible equipment</x:v>
      </x:c>
      <x:c r="E33" s="28" t="str">
        <x:v>2026-05 working copy</x:v>
      </x:c>
      <x:c r="F33" s="28" t="str">
        <x:v>Approved case</x:v>
      </x:c>
      <x:c r="G33" s="28" t="str">
        <x:v>Gross eligible collateral</x:v>
      </x:c>
      <x:c r="H33" s="31" t="n">
        <x:v>5460000</x:v>
      </x:c>
      <x:c r="I33" s="28" t="str"/>
      <x:c r="J33" s="28" t="str">
        <x:v>USD</x:v>
      </x:c>
      <x:c r="K33" s="28" t="str">
        <x:v>Earlier management working export</x:v>
      </x:c>
      <x:c r="L33" s="34" t="str">
        <x:v>2026-06-24</x:v>
      </x:c>
      <x:c r="M33" s="28" t="str"/>
    </x:row>
    <x:row r="34">
      <x:c r="A34" s="37" t="str">
        <x:v>TRY-00772</x:v>
      </x:c>
      <x:c r="B34" s="28" t="str">
        <x:v>ABL borrowing base and covenant cure</x:v>
      </x:c>
      <x:c r="C34" s="28" t="str">
        <x:v>ABL covenant inputs</x:v>
      </x:c>
      <x:c r="D34" s="28" t="str">
        <x:v>Alder Ridge</x:v>
      </x:c>
      <x:c r="E34" s="28" t="str">
        <x:v>2026-06-30</x:v>
      </x:c>
      <x:c r="F34" s="28" t="str">
        <x:v>Management stretch</x:v>
      </x:c>
      <x:c r="G34" s="28" t="str">
        <x:v>Facility commitment</x:v>
      </x:c>
      <x:c r="H34" s="31" t="n">
        <x:v>12360000</x:v>
      </x:c>
      <x:c r="I34" s="28" t="str"/>
      <x:c r="J34" s="28" t="str">
        <x:v>USD</x:v>
      </x:c>
      <x:c r="K34" s="28" t="str">
        <x:v>Earlier management working export</x:v>
      </x:c>
      <x:c r="L34" s="34" t="str">
        <x:v>2026-06-24</x:v>
      </x:c>
      <x:c r="M34" s="28" t="str"/>
    </x:row>
    <x:row r="35">
      <x:c r="A35" s="37" t="str">
        <x:v>TRY-00773</x:v>
      </x:c>
      <x:c r="B35" s="28" t="str">
        <x:v>ABL borrowing base and covenant cure</x:v>
      </x:c>
      <x:c r="C35" s="28" t="str">
        <x:v>ABL covenant inputs</x:v>
      </x:c>
      <x:c r="D35" s="28" t="str">
        <x:v>Alder Ridge</x:v>
      </x:c>
      <x:c r="E35" s="28" t="str">
        <x:v>2026-05 working copy</x:v>
      </x:c>
      <x:c r="F35" s="28" t="str">
        <x:v>Approved case</x:v>
      </x:c>
      <x:c r="G35" s="28" t="str">
        <x:v>Cash interest</x:v>
      </x:c>
      <x:c r="H35" s="31" t="n">
        <x:v>686.4</x:v>
      </x:c>
      <x:c r="I35" s="28" t="str"/>
      <x:c r="J35" s="28" t="str">
        <x:v>USD thousands</x:v>
      </x:c>
      <x:c r="K35" s="28" t="str">
        <x:v>Earlier management working export</x:v>
      </x:c>
      <x:c r="L35" s="34" t="str">
        <x:v>2026-06-24</x:v>
      </x:c>
      <x:c r="M35" s="28" t="str"/>
    </x:row>
    <x:row r="36">
      <x:c r="A36" s="37" t="str">
        <x:v>TRY-00774</x:v>
      </x:c>
      <x:c r="B36" s="28" t="str">
        <x:v>ABL borrowing base and covenant cure</x:v>
      </x:c>
      <x:c r="C36" s="28" t="str">
        <x:v>ABL borrowing base</x:v>
      </x:c>
      <x:c r="D36" s="28" t="str">
        <x:v>Eligible accounts receivable</x:v>
      </x:c>
      <x:c r="E36" s="28" t="str">
        <x:v>2026-06-30</x:v>
      </x:c>
      <x:c r="F36" s="28" t="str">
        <x:v>Management stretch</x:v>
      </x:c>
      <x:c r="G36" s="28" t="str">
        <x:v>Specific reserve</x:v>
      </x:c>
      <x:c r="H36" s="31" t="n">
        <x:v>1491000</x:v>
      </x:c>
      <x:c r="I36" s="28" t="str"/>
      <x:c r="J36" s="28" t="str">
        <x:v>USD</x:v>
      </x:c>
      <x:c r="K36" s="28" t="str">
        <x:v>Earlier management working export</x:v>
      </x:c>
      <x:c r="L36" s="34" t="str">
        <x:v>2026-06-24</x:v>
      </x:c>
      <x:c r="M36" s="28" t="str"/>
    </x:row>
    <x:row r="37">
      <x:c r="A37" s="37" t="str">
        <x:v>TRY-00775</x:v>
      </x:c>
      <x:c r="B37" s="28" t="str">
        <x:v>ABL borrowing base and covenant cure</x:v>
      </x:c>
      <x:c r="C37" s="28" t="str">
        <x:v>ABL eligibility exclusions</x:v>
      </x:c>
      <x:c r="D37" s="28" t="str">
        <x:v>AR over 90 days</x:v>
      </x:c>
      <x:c r="E37" s="28" t="str">
        <x:v>2026-05 working copy</x:v>
      </x:c>
      <x:c r="F37" s="28" t="str">
        <x:v>Approved case</x:v>
      </x:c>
      <x:c r="G37" s="28" t="str">
        <x:v>Excluded amount</x:v>
      </x:c>
      <x:c r="H37" s="31" t="n">
        <x:v>782800</x:v>
      </x:c>
      <x:c r="I37" s="28" t="str"/>
      <x:c r="J37" s="28" t="str">
        <x:v>USD</x:v>
      </x:c>
      <x:c r="K37" s="28" t="str">
        <x:v>Earlier management working export</x:v>
      </x:c>
      <x:c r="L37" s="34" t="str">
        <x:v>2026-06-24</x:v>
      </x:c>
      <x:c r="M37" s="28" t="str"/>
    </x:row>
    <x:row r="38">
      <x:c r="A38" s="37" t="str">
        <x:v>TRY-00776</x:v>
      </x:c>
      <x:c r="B38" s="28" t="str">
        <x:v>ABL borrowing base and covenant cure</x:v>
      </x:c>
      <x:c r="C38" s="28" t="str">
        <x:v>ABL covenant inputs</x:v>
      </x:c>
      <x:c r="D38" s="28" t="str">
        <x:v>Alder Ridge</x:v>
      </x:c>
      <x:c r="E38" s="28" t="str">
        <x:v>2026-06-30</x:v>
      </x:c>
      <x:c r="F38" s="28" t="str">
        <x:v>Management stretch</x:v>
      </x:c>
      <x:c r="G38" s="28" t="str">
        <x:v>Availability block</x:v>
      </x:c>
      <x:c r="H38" s="31" t="n">
        <x:v>780000</x:v>
      </x:c>
      <x:c r="I38" s="28" t="str"/>
      <x:c r="J38" s="28" t="str">
        <x:v>USD</x:v>
      </x:c>
      <x:c r="K38" s="28" t="str">
        <x:v>Earlier management working export</x:v>
      </x:c>
      <x:c r="L38" s="34" t="str">
        <x:v>2026-06-24</x:v>
      </x:c>
      <x:c r="M38" s="28" t="str"/>
    </x:row>
    <x:row r="39">
      <x:c r="A39" s="37" t="str">
        <x:v>TRY-00809</x:v>
      </x:c>
      <x:c r="B39" s="28" t="str">
        <x:v>ABL borrowing base and covenant cure</x:v>
      </x:c>
      <x:c r="C39" s="28" t="str">
        <x:v>Detailed AR collateral control</x:v>
      </x:c>
      <x:c r="D39" s="28" t="str">
        <x:v>Cedar Medical</x:v>
      </x:c>
      <x:c r="E39" s="28" t="str">
        <x:v>2026-05 working copy</x:v>
      </x:c>
      <x:c r="F39" s="28" t="str">
        <x:v>Approved case</x:v>
      </x:c>
      <x:c r="G39" s="28" t="str">
        <x:v>Gross receivable</x:v>
      </x:c>
      <x:c r="H39" s="31" t="n">
        <x:v>2472000</x:v>
      </x:c>
      <x:c r="I39" s="28" t="str"/>
      <x:c r="J39" s="28" t="str">
        <x:v>USD</x:v>
      </x:c>
      <x:c r="K39" s="28" t="str">
        <x:v>Earlier management working export</x:v>
      </x:c>
      <x:c r="L39" s="34" t="str">
        <x:v>2026-06-24</x:v>
      </x:c>
      <x:c r="M39" s="28" t="str"/>
    </x:row>
    <x:row r="40">
      <x:c r="A40" s="37" t="str">
        <x:v>TRY-00810</x:v>
      </x:c>
      <x:c r="B40" s="28" t="str">
        <x:v>ABL borrowing base and covenant cure</x:v>
      </x:c>
      <x:c r="C40" s="28" t="str">
        <x:v>Detailed AR collateral control</x:v>
      </x:c>
      <x:c r="D40" s="28" t="str">
        <x:v>Helix Data Center</x:v>
      </x:c>
      <x:c r="E40" s="28" t="str">
        <x:v>2026-06-30</x:v>
      </x:c>
      <x:c r="F40" s="28" t="str">
        <x:v>Management stretch</x:v>
      </x:c>
      <x:c r="G40" s="28" t="str">
        <x:v>Related-party exclusion</x:v>
      </x:c>
      <x:c r="H40" s="31" t="n">
        <x:v>0</x:v>
      </x:c>
      <x:c r="I40" s="28" t="str"/>
      <x:c r="J40" s="28" t="str">
        <x:v>USD</x:v>
      </x:c>
      <x:c r="K40" s="28" t="str">
        <x:v>Earlier management working export</x:v>
      </x:c>
      <x:c r="L40" s="34" t="str">
        <x:v>2026-06-24</x:v>
      </x:c>
      <x:c r="M40" s="28" t="str"/>
    </x:row>
    <x:row r="41">
      <x:c r="A41" s="37" t="str">
        <x:v>TRY-00811</x:v>
      </x:c>
      <x:c r="B41" s="28" t="str">
        <x:v>ABL borrowing base and covenant cure</x:v>
      </x:c>
      <x:c r="C41" s="28" t="str">
        <x:v>Detailed AR collateral control</x:v>
      </x:c>
      <x:c r="D41" s="28" t="str">
        <x:v>Juniper Offices</x:v>
      </x:c>
      <x:c r="E41" s="28" t="str">
        <x:v>2026-05 working copy</x:v>
      </x:c>
      <x:c r="F41" s="28" t="str">
        <x:v>Approved case</x:v>
      </x:c>
      <x:c r="G41" s="28" t="str">
        <x:v>Cross-aged exclusion</x:v>
      </x:c>
      <x:c r="H41" s="31" t="n">
        <x:v>0</x:v>
      </x:c>
      <x:c r="I41" s="28" t="str"/>
      <x:c r="J41" s="28" t="str">
        <x:v>USD</x:v>
      </x:c>
      <x:c r="K41" s="28" t="str">
        <x:v>Earlier management working export</x:v>
      </x:c>
      <x:c r="L41" s="34" t="str">
        <x:v>2026-06-24</x:v>
      </x:c>
      <x:c r="M41" s="28" t="str"/>
    </x:row>
    <x:row r="42">
      <x:c r="A42" s="37" t="str">
        <x:v>TRY-00812</x:v>
      </x:c>
      <x:c r="B42" s="28" t="str">
        <x:v>ABL borrowing base and covenant cure</x:v>
      </x:c>
      <x:c r="C42" s="28" t="str">
        <x:v>Detailed AR collateral control</x:v>
      </x:c>
      <x:c r="D42" s="28" t="str">
        <x:v>Other and affiliate</x:v>
      </x:c>
      <x:c r="E42" s="28" t="str">
        <x:v>2026-06-30</x:v>
      </x:c>
      <x:c r="F42" s="28" t="str">
        <x:v>Management stretch</x:v>
      </x:c>
      <x:c r="G42" s="28" t="str">
        <x:v>Over 90 days</x:v>
      </x:c>
      <x:c r="H42" s="31" t="n">
        <x:v>0</x:v>
      </x:c>
      <x:c r="I42" s="28" t="str"/>
      <x:c r="J42" s="28" t="str">
        <x:v>USD</x:v>
      </x:c>
      <x:c r="K42" s="28" t="str">
        <x:v>Earlier management working export</x:v>
      </x:c>
      <x:c r="L42" s="34" t="str">
        <x:v>2026-06-24</x:v>
      </x:c>
      <x:c r="M42" s="28" t="str"/>
    </x:row>
    <x:row r="43">
      <x:c r="A43" s="37" t="str">
        <x:v>TRY-00813</x:v>
      </x:c>
      <x:c r="B43" s="28" t="str">
        <x:v>ABL borrowing base and covenant cure</x:v>
      </x:c>
      <x:c r="C43" s="28" t="str">
        <x:v>Detailed inventory collateral control</x:v>
      </x:c>
      <x:c r="D43" s="28" t="str">
        <x:v>Finished goods</x:v>
      </x:c>
      <x:c r="E43" s="28" t="str">
        <x:v>2026-05 working copy</x:v>
      </x:c>
      <x:c r="F43" s="28" t="str">
        <x:v>Approved case</x:v>
      </x:c>
      <x:c r="G43" s="28" t="str">
        <x:v>Gross inventory</x:v>
      </x:c>
      <x:c r="H43" s="31" t="n">
        <x:v>1144000</x:v>
      </x:c>
      <x:c r="I43" s="28" t="str"/>
      <x:c r="J43" s="28" t="str">
        <x:v>USD</x:v>
      </x:c>
      <x:c r="K43" s="28" t="str">
        <x:v>Earlier management working export</x:v>
      </x:c>
      <x:c r="L43" s="34" t="str">
        <x:v>2026-06-24</x:v>
      </x:c>
      <x:c r="M43" s="28" t="str"/>
    </x:row>
    <x:row r="44">
      <x:c r="A44" s="38" t="str">
        <x:v>TRY-00814</x:v>
      </x:c>
      <x:c r="B44" s="29" t="str">
        <x:v>ABL borrowing base and covenant cure</x:v>
      </x:c>
      <x:c r="C44" s="29" t="str">
        <x:v>Detailed AR collateral control</x:v>
      </x:c>
      <x:c r="D44" s="29" t="str">
        <x:v>Helix Data Center</x:v>
      </x:c>
      <x:c r="E44" s="29" t="str">
        <x:v>2026-06-30</x:v>
      </x:c>
      <x:c r="F44" s="29" t="str">
        <x:v>Management stretch</x:v>
      </x:c>
      <x:c r="G44" s="29" t="str">
        <x:v>Gross receivable</x:v>
      </x:c>
      <x:c r="H44" s="32" t="n">
        <x:v>3255000</x:v>
      </x:c>
      <x:c r="I44" s="29" t="str"/>
      <x:c r="J44" s="29" t="str">
        <x:v>USD</x:v>
      </x:c>
      <x:c r="K44" s="29" t="str">
        <x:v>Earlier management working export</x:v>
      </x:c>
      <x:c r="L44" s="35" t="str">
        <x:v>2026-06-24</x:v>
      </x:c>
      <x:c r="M44" s="29" t="str"/>
    </x:row>
  </x:sheetData>
  <x:mergeCells>
    <x:mergeCell ref="A1:M1"/>
    <x:mergeCell ref="A2:M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44" hidden="0" customWidth="1"/>
  </x:cols>
  <x:sheetData>
    <x:row r="1" ht="25" customHeight="1">
      <x:c r="A1" s="9" t="str">
        <x:v>treasury, banking, and credit outlook | data checks</x:v>
      </x:c>
      <x:c r="B1" s="9"/>
      <x:c r="C1" s="9"/>
      <x:c r="D1" s="9"/>
      <x:c r="E1" s="9"/>
      <x:c r="F1" s="9"/>
    </x:row>
    <x:row r="2" ht="25" customHeight="1">
      <x:c r="A2" s="11" t="str">
        <x:v>Row-count and version checks; investigate any unexpected change before using the book</x:v>
      </x:c>
      <x:c r="B2" s="11"/>
      <x:c r="C2" s="11"/>
      <x:c r="D2" s="11"/>
      <x:c r="E2" s="11"/>
      <x:c r="F2" s="11"/>
    </x:row>
    <x:row r="4" ht="30" customHeight="1">
      <x:c r="A4" s="20" t="str">
        <x:v>Data sheet</x:v>
      </x:c>
      <x:c r="B4" s="21" t="str">
        <x:v>Expected rows</x:v>
      </x:c>
      <x:c r="C4" s="21" t="str">
        <x:v>Workbook rows</x:v>
      </x:c>
      <x:c r="D4" s="21" t="str">
        <x:v>Difference</x:v>
      </x:c>
      <x:c r="E4" s="21" t="str">
        <x:v>Status</x:v>
      </x:c>
      <x:c r="F4" s="22" t="str">
        <x:v>Version note</x:v>
      </x:c>
    </x:row>
    <x:row r="5">
      <x:c r="A5" s="40" t="str">
        <x:v>Cash and Liquidity</x:v>
      </x:c>
      <x:c r="B5" s="40" t="n">
        <x:v>78</x:v>
      </x:c>
      <x:c r="C5" s="40" t="n">
        <x:f>COUNTA('Cash and Liquidity'!$A$5:$A$82)</x:f>
        <x:v>78</x:v>
      </x:c>
      <x:c r="D5" s="40" t="n">
        <x:f>C5-B5</x:f>
        <x:v>0</x:v>
      </x:c>
      <x:c r="E5" s="43" t="str">
        <x:f>IF(D5=0,"OK","CHECK")</x:f>
        <x:v>OK</x:v>
      </x:c>
      <x:c r="F5" s="40" t="str">
        <x:v>PRIOR REVIEW COPY • NOT CURRENT</x:v>
      </x:c>
    </x:row>
    <x:row r="6">
      <x:c r="A6" s="41" t="str">
        <x:v>Debt and Hedges</x:v>
      </x:c>
      <x:c r="B6" s="41" t="n">
        <x:v>68</x:v>
      </x:c>
      <x:c r="C6" s="41" t="n">
        <x:f>COUNTA('Debt and Hedges'!$A$5:$A$72)</x:f>
        <x:v>68</x:v>
      </x:c>
      <x:c r="D6" s="41" t="n">
        <x:f>C6-B6</x:f>
        <x:v>0</x:v>
      </x:c>
      <x:c r="E6" s="44" t="str">
        <x:f>IF(D6=0,"OK","CHECK")</x:f>
        <x:v>OK</x:v>
      </x:c>
      <x:c r="F6" s="41" t="str">
        <x:v>PRIOR REVIEW COPY • NOT CURRENT</x:v>
      </x:c>
    </x:row>
    <x:row r="7">
      <x:c r="A7" s="41" t="str">
        <x:v>Bank Economics</x:v>
      </x:c>
      <x:c r="B7" s="41" t="n">
        <x:v>18</x:v>
      </x:c>
      <x:c r="C7" s="41" t="n">
        <x:f>COUNTA('Bank Economics'!$A$5:$A$22)</x:f>
        <x:v>18</x:v>
      </x:c>
      <x:c r="D7" s="41" t="n">
        <x:f>C7-B7</x:f>
        <x:v>0</x:v>
      </x:c>
      <x:c r="E7" s="44" t="str">
        <x:f>IF(D7=0,"OK","CHECK")</x:f>
        <x:v>OK</x:v>
      </x:c>
      <x:c r="F7" s="41" t="str">
        <x:v>PRIOR REVIEW COPY • NOT CURRENT</x:v>
      </x:c>
    </x:row>
    <x:row r="8">
      <x:c r="A8" s="42" t="str">
        <x:v>Credit Outlook</x:v>
      </x:c>
      <x:c r="B8" s="42" t="n">
        <x:v>40</x:v>
      </x:c>
      <x:c r="C8" s="42" t="n">
        <x:f>COUNTA('Credit Outlook'!$A$5:$A$44)</x:f>
        <x:v>40</x:v>
      </x:c>
      <x:c r="D8" s="42" t="n">
        <x:f>C8-B8</x:f>
        <x:v>0</x:v>
      </x:c>
      <x:c r="E8" s="45" t="str">
        <x:f>IF(D8=0,"OK","CHECK")</x:f>
        <x:v>OK</x:v>
      </x:c>
      <x:c r="F8" s="42" t="str">
        <x:v>PRIOR REVIEW COPY • NOT CURRENT</x:v>
      </x:c>
    </x:row>
  </x:sheetData>
  <x:mergeCells>
    <x:mergeCell ref="A1:F1"/>
    <x:mergeCell ref="A2:F2"/>
  </x:mergeCells>
  <x:pageMargins left="0.7" right="0.7" top="0.75" bottom="0.75" header="0.3" footer="0.3"/>
</x:worksheet>
</file>