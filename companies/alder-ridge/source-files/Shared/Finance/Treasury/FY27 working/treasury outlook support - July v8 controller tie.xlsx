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3d8f1d9354b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272e23d845a4270"/>
    <x:sheet xmlns:r="http://schemas.openxmlformats.org/officeDocument/2006/relationships" name="Cash and Liquidity" sheetId="2" r:id="R75945bd9ea214746"/>
    <x:sheet xmlns:r="http://schemas.openxmlformats.org/officeDocument/2006/relationships" name="Debt and Hedges" sheetId="3" r:id="R8afc2131a1a94918"/>
    <x:sheet xmlns:r="http://schemas.openxmlformats.org/officeDocument/2006/relationships" name="Bank Economics" sheetId="4" r:id="Refa384e2751b4500"/>
    <x:sheet xmlns:r="http://schemas.openxmlformats.org/officeDocument/2006/relationships" name="Credit Outlook" sheetId="5" r:id="Rf1c4b36a38ba4b5a"/>
    <x:sheet xmlns:r="http://schemas.openxmlformats.org/officeDocument/2006/relationships" name="Data Checks" sheetId="6" r:id="Rc0e8f60703dc44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;[Red](#,##0.0000);-"/>
    <x:numFmt numFmtId="201" formatCode="yyyy-mm-dd"/>
  </x:numFmts>
  <x:fonts count="8">
    <x:font>
      <x:sz val="11"/>
      <x:name val="Carlito"/>
    </x:font>
    <x:font>
      <x:b/>
      <x:sz val="10"/>
      <x:color rgb="FF252321"/>
      <x:name val="Aptos"/>
    </x:font>
    <x:font>
      <x:sz val="10"/>
      <x:color rgb="FF252321"/>
      <x:name val="Aptos"/>
    </x:font>
    <x:font>
      <x:b/>
      <x:sz val="15"/>
      <x:color rgb="FFFFFFFF"/>
      <x:name val="Aptos"/>
    </x:font>
    <x:font>
      <x:i/>
      <x:sz val="9"/>
      <x:color rgb="FF252321"/>
      <x:name val="Aptos"/>
    </x:font>
    <x:font>
      <x:b/>
      <x:sz val="9"/>
      <x:color rgb="FFFFFFFF"/>
      <x:name val="Aptos"/>
    </x:font>
    <x:font>
      <x:sz val="8"/>
      <x:color rgb="FF252321"/>
      <x:name val="Aptos"/>
    </x:font>
    <x:font>
      <x:sz val="9"/>
      <x:color rgb="FF252321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E4ECE7"/>
      </x:patternFill>
    </x:fill>
    <x:fill>
      <x:patternFill patternType="solid">
        <x:fgColor rgb="FFE2EFE6"/>
      </x:patternFill>
    </x:fill>
    <x:fill>
      <x:patternFill patternType="solid">
        <x:fgColor rgb="FF2A4337"/>
      </x:patternFill>
    </x:fill>
    <x:fill>
      <x:patternFill patternType="solid">
        <x:fgColor rgb="FF5A7669"/>
      </x:patternFill>
    </x:fill>
  </x:fills>
  <x:borders count="10">
    <x:border/>
    <x:border>
      <x:left style="thin">
        <x:color rgb="FF2A4337"/>
      </x:left>
      <x:top style="thin">
        <x:color rgb="FF2A4337"/>
      </x:top>
      <x:bottom style="thin">
        <x:color rgb="FF2A4337"/>
      </x:bottom>
    </x:border>
    <x:border>
      <x:top style="thin">
        <x:color rgb="FF2A4337"/>
      </x:top>
      <x:bottom style="thin">
        <x:color rgb="FF2A4337"/>
      </x:bottom>
    </x:border>
    <x:border>
      <x:right style="thin">
        <x:color rgb="FF2A4337"/>
      </x:right>
      <x:top style="thin">
        <x:color rgb="FF2A4337"/>
      </x:top>
      <x:bottom style="thin">
        <x:color rgb="FF2A4337"/>
      </x:bottom>
    </x:border>
    <x:border>
      <x:bottom style="hair">
        <x:color rgb="FFD8D0C6"/>
      </x:bottom>
    </x:border>
    <x:border>
      <x:top style="hair">
        <x:color rgb="FFD8D0C6"/>
      </x:top>
      <x:bottom style="hair">
        <x:color rgb="FFD8D0C6"/>
      </x:bottom>
    </x:border>
    <x:border>
      <x:top style="hair">
        <x:color rgb="FFD8D0C6"/>
      </x:top>
    </x:border>
    <x:border>
      <x:bottom style="thin">
        <x:color rgb="FFD8D0C6"/>
      </x:bottom>
    </x:border>
    <x:border>
      <x:top style="thin">
        <x:color rgb="FFD8D0C6"/>
      </x:top>
      <x:bottom style="thin">
        <x:color rgb="FFD8D0C6"/>
      </x:bottom>
    </x:border>
    <x:border>
      <x:top style="thin">
        <x:color rgb="FFD8D0C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0" fontId="6" fillId="0" borderId="4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1" fontId="6" fillId="0" borderId="4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6" fillId="2" borderId="5" xfId="0" applyNumberFormat="1" applyFont="1" applyFill="1" applyBorder="1" applyAlignment="1">
      <x:alignment vertical="center"/>
    </x:xf>
    <x:xf numFmtId="0" fontId="6" fillId="2" borderId="6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3" borderId="7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ff5a74c5714502" /><Relationship Type="http://schemas.openxmlformats.org/officeDocument/2006/relationships/theme" Target="/xl/theme/theme1.xml" Id="R24207f2300f04ca9" /><Relationship Type="http://schemas.openxmlformats.org/officeDocument/2006/relationships/sharedStrings" Target="/xl/sharedStrings.xml" Id="Rfe92b4c6eaae451e" /><Relationship Type="http://schemas.openxmlformats.org/officeDocument/2006/relationships/worksheet" Target="/xl/worksheets/sheet1.xml" Id="R8272e23d845a4270" /><Relationship Type="http://schemas.openxmlformats.org/officeDocument/2006/relationships/worksheet" Target="/xl/worksheets/sheet2.xml" Id="R75945bd9ea214746" /><Relationship Type="http://schemas.openxmlformats.org/officeDocument/2006/relationships/worksheet" Target="/xl/worksheets/sheet3.xml" Id="R8afc2131a1a94918" /><Relationship Type="http://schemas.openxmlformats.org/officeDocument/2006/relationships/worksheet" Target="/xl/worksheets/sheet4.xml" Id="Refa384e2751b4500" /><Relationship Type="http://schemas.openxmlformats.org/officeDocument/2006/relationships/worksheet" Target="/xl/worksheets/sheet5.xml" Id="Rf1c4b36a38ba4b5a" /><Relationship Type="http://schemas.openxmlformats.org/officeDocument/2006/relationships/worksheet" Target="/xl/worksheets/sheet6.xml" Id="Rc0e8f60703dc449f" /><Relationship Type="http://schemas.microsoft.com/office/2017/10/relationships/person" Target="/xl/persons/person.xml" Id="Rba2f00c4753643b6" /></Relationships>
</file>

<file path=xl/persons/person.xml><?xml version="1.0" encoding="utf-8"?>
<xltc:personList xmlns:xltc="http://schemas.microsoft.com/office/spreadsheetml/2018/threadedcomments">
  <xltc:person displayName="Alder Ridge Finance" id="{005012E2-F4E6-4913-91FB-9369B582B27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25" customHeight="1">
      <x:c r="A1" s="6"/>
    </x:row>
    <x:row r="2" ht="25" customHeight="1"/>
    <x:row r="4">
      <x:c r="A4" s="2" t="str">
        <x:v>Company</x:v>
      </x:c>
      <x:c r="B4" s="5" t="str">
        <x:v>Alder Ridge Mechanical</x:v>
      </x:c>
    </x:row>
    <x:row r="5">
      <x:c r="A5" s="2" t="str">
        <x:v>Reporting cutoff</x:v>
      </x:c>
      <x:c r="B5" s="5" t="str">
        <x:v>2026-06-30</x:v>
      </x:c>
    </x:row>
    <x:row r="6">
      <x:c r="A6" s="2" t="str">
        <x:v>Review date</x:v>
      </x:c>
      <x:c r="B6" s="5" t="str">
        <x:v>2026-07-05</x:v>
      </x:c>
    </x:row>
    <x:row r="7">
      <x:c r="A7" s="2" t="str">
        <x:v>Version</x:v>
      </x:c>
      <x:c r="B7" s="5" t="str">
        <x:v>Current controller-reviewed version</x:v>
      </x:c>
    </x:row>
    <x:row r="8">
      <x:c r="A8" s="2" t="str">
        <x:v>Workbook status</x:v>
      </x:c>
      <x:c r="B8" s="5" t="str">
        <x:v>CURRENT • CONTROLLER REVIEW COMPLETE</x:v>
      </x:c>
    </x:row>
    <x:row r="9">
      <x:c r="A9" s="2" t="str">
        <x:v>Purpose</x:v>
      </x:c>
      <x:c r="B9" s="5" t="str">
        <x:v>Management assumptions and supporting schedules used across the finance review</x:v>
      </x:c>
    </x:row>
    <x:row r="10">
      <x:c r="A10" s="2" t="str">
        <x:v>Authority</x:v>
      </x:c>
      <x:c r="B10" s="5" t="str">
        <x:v>Current management assumptions; posted actuals must be reconciled to Vista ERP</x:v>
      </x:c>
    </x:row>
    <x:row r="12" ht="42" customHeight="1">
      <x:c r="B12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Cash and Liquidity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TRY-00067</x:v>
      </x:c>
      <x:c r="B5" s="27" t="str">
        <x:v>Complete the 30-day daily cash-position model</x:v>
      </x:c>
      <x:c r="C5" s="27" t="str">
        <x:v>Treasury policy</x:v>
      </x:c>
      <x:c r="D5" s="27" t="str">
        <x:v>Consolidated</x:v>
      </x:c>
      <x:c r="E5" s="27" t="str">
        <x:v>July 2026</x:v>
      </x:c>
      <x:c r="F5" s="27" t="str">
        <x:v>Approved case</x:v>
      </x:c>
      <x:c r="G5" s="27" t="str">
        <x:v>Consolidated minimum available cash</x:v>
      </x:c>
      <x:c r="H5" s="30" t="n">
        <x:v>2250000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TRY-00068</x:v>
      </x:c>
      <x:c r="B6" s="28" t="str">
        <x:v>Complete the 30-day daily cash-position model</x:v>
      </x:c>
      <x:c r="C6" s="28" t="str">
        <x:v>Treasury policy</x:v>
      </x:c>
      <x:c r="D6" s="28" t="str">
        <x:v>Revolver</x:v>
      </x:c>
      <x:c r="E6" s="28" t="str">
        <x:v>July 2026</x:v>
      </x:c>
      <x:c r="F6" s="28" t="str">
        <x:v>Approved case</x:v>
      </x:c>
      <x:c r="G6" s="28" t="str">
        <x:v>Commitment</x:v>
      </x:c>
      <x:c r="H6" s="31" t="n">
        <x:v>5000</x:v>
      </x:c>
      <x:c r="I6" s="28" t="str"/>
      <x:c r="J6" s="28" t="str">
        <x:v>USD thousands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TRY-00069</x:v>
      </x:c>
      <x:c r="B7" s="28" t="str">
        <x:v>Complete the 30-day daily cash-position model</x:v>
      </x:c>
      <x:c r="C7" s="28" t="str">
        <x:v>Treasury policy</x:v>
      </x:c>
      <x:c r="D7" s="28" t="str">
        <x:v>Restricted account</x:v>
      </x:c>
      <x:c r="E7" s="28" t="str">
        <x:v>July 2026</x:v>
      </x:c>
      <x:c r="F7" s="28" t="str">
        <x:v>Approved case</x:v>
      </x:c>
      <x:c r="G7" s="28" t="str">
        <x:v>Restricted cash excluded</x:v>
      </x:c>
      <x:c r="H7" s="31" t="n">
        <x:v>440000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TRY-00084</x:v>
      </x:c>
      <x:c r="B8" s="28" t="str">
        <x:v>Seasonal liquidity and revolver headroom</x:v>
      </x:c>
      <x:c r="C8" s="28" t="str">
        <x:v>Opening liquidity</x:v>
      </x:c>
      <x:c r="D8" s="28" t="str">
        <x:v>Unrestricted cash</x:v>
      </x:c>
      <x:c r="E8" s="28" t="str">
        <x:v>2026-06-30</x:v>
      </x:c>
      <x:c r="F8" s="28" t="str">
        <x:v>Approved case</x:v>
      </x:c>
      <x:c r="G8" s="28" t="str">
        <x:v>Posted balance</x:v>
      </x:c>
      <x:c r="H8" s="31" t="n">
        <x:v>1</x:v>
      </x:c>
      <x:c r="I8" s="28" t="str"/>
      <x:c r="J8" s="28" t="str">
        <x:v>ledger allocation factor</x:v>
      </x:c>
      <x:c r="K8" s="28" t="str">
        <x:v>Finance operating schedule</x:v>
      </x:c>
      <x:c r="L8" s="34" t="str">
        <x:v>2026-06-30</x:v>
      </x:c>
      <x:c r="M8" s="28" t="str">
        <x:v>Vista ERP cash detail as of 2026-06-30; unrestricted company cash accounts</x:v>
      </x:c>
    </x:row>
    <x:row r="9">
      <x:c r="A9" s="37" t="str">
        <x:v>TRY-00090</x:v>
      </x:c>
      <x:c r="B9" s="28" t="str">
        <x:v>Seasonal liquidity and revolver headroom</x:v>
      </x:c>
      <x:c r="C9" s="28" t="str">
        <x:v>Borrowing base</x:v>
      </x:c>
      <x:c r="D9" s="28" t="str">
        <x:v>Revolver</x:v>
      </x:c>
      <x:c r="E9" s="28" t="str">
        <x:v>2026-07</x:v>
      </x:c>
      <x:c r="F9" s="28" t="str">
        <x:v>Approved case</x:v>
      </x:c>
      <x:c r="G9" s="28" t="str">
        <x:v>Eligible borrowing base</x:v>
      </x:c>
      <x:c r="H9" s="31" t="n">
        <x:v>12000000</x:v>
      </x:c>
      <x:c r="I9" s="28" t="str"/>
      <x:c r="J9" s="28" t="str">
        <x:v>USD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TRY-00096</x:v>
      </x:c>
      <x:c r="B10" s="28" t="str">
        <x:v>Seasonal liquidity and revolver headroom</x:v>
      </x:c>
      <x:c r="C10" s="28" t="str">
        <x:v>Borrowing base</x:v>
      </x:c>
      <x:c r="D10" s="28" t="str">
        <x:v>Revolver</x:v>
      </x:c>
      <x:c r="E10" s="28" t="str">
        <x:v>2026-08</x:v>
      </x:c>
      <x:c r="F10" s="28" t="str">
        <x:v>Approved case</x:v>
      </x:c>
      <x:c r="G10" s="28" t="str">
        <x:v>Eligible borrowing base</x:v>
      </x:c>
      <x:c r="H10" s="31" t="n">
        <x:v>12000000</x:v>
      </x:c>
      <x:c r="I10" s="28" t="str"/>
      <x:c r="J10" s="28" t="str">
        <x:v>USD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TRY-00102</x:v>
      </x:c>
      <x:c r="B11" s="28" t="str">
        <x:v>Seasonal liquidity and revolver headroom</x:v>
      </x:c>
      <x:c r="C11" s="28" t="str">
        <x:v>Borrowing base</x:v>
      </x:c>
      <x:c r="D11" s="28" t="str">
        <x:v>Revolver</x:v>
      </x:c>
      <x:c r="E11" s="28" t="str">
        <x:v>2026-09</x:v>
      </x:c>
      <x:c r="F11" s="28" t="str">
        <x:v>Approved case</x:v>
      </x:c>
      <x:c r="G11" s="28" t="str">
        <x:v>Eligible borrowing base</x:v>
      </x:c>
      <x:c r="H11" s="31" t="n">
        <x:v>12000000</x:v>
      </x:c>
      <x:c r="I11" s="28" t="str"/>
      <x:c r="J11" s="28" t="str">
        <x:v>USD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TRY-00108</x:v>
      </x:c>
      <x:c r="B12" s="28" t="str">
        <x:v>Seasonal liquidity and revolver headroom</x:v>
      </x:c>
      <x:c r="C12" s="28" t="str">
        <x:v>Borrowing base</x:v>
      </x:c>
      <x:c r="D12" s="28" t="str">
        <x:v>Revolver</x:v>
      </x:c>
      <x:c r="E12" s="28" t="str">
        <x:v>2026-10</x:v>
      </x:c>
      <x:c r="F12" s="28" t="str">
        <x:v>Approved case</x:v>
      </x:c>
      <x:c r="G12" s="28" t="str">
        <x:v>Eligible borrowing base</x:v>
      </x:c>
      <x:c r="H12" s="31" t="n">
        <x:v>12000000</x:v>
      </x:c>
      <x:c r="I12" s="28" t="str"/>
      <x:c r="J12" s="28" t="str">
        <x:v>USD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TRY-00114</x:v>
      </x:c>
      <x:c r="B13" s="28" t="str">
        <x:v>Seasonal liquidity and revolver headroom</x:v>
      </x:c>
      <x:c r="C13" s="28" t="str">
        <x:v>Borrowing base</x:v>
      </x:c>
      <x:c r="D13" s="28" t="str">
        <x:v>Revolver</x:v>
      </x:c>
      <x:c r="E13" s="28" t="str">
        <x:v>2026-11</x:v>
      </x:c>
      <x:c r="F13" s="28" t="str">
        <x:v>Approved case</x:v>
      </x:c>
      <x:c r="G13" s="28" t="str">
        <x:v>Eligible borrowing base</x:v>
      </x:c>
      <x:c r="H13" s="31" t="n">
        <x:v>12000000</x:v>
      </x:c>
      <x:c r="I13" s="28" t="str"/>
      <x:c r="J13" s="28" t="str">
        <x:v>USD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TRY-00120</x:v>
      </x:c>
      <x:c r="B14" s="28" t="str">
        <x:v>Seasonal liquidity and revolver headroom</x:v>
      </x:c>
      <x:c r="C14" s="28" t="str">
        <x:v>Borrowing base</x:v>
      </x:c>
      <x:c r="D14" s="28" t="str">
        <x:v>Revolver</x:v>
      </x:c>
      <x:c r="E14" s="28" t="str">
        <x:v>2026-12</x:v>
      </x:c>
      <x:c r="F14" s="28" t="str">
        <x:v>Approved case</x:v>
      </x:c>
      <x:c r="G14" s="28" t="str">
        <x:v>Eligible borrowing base</x:v>
      </x:c>
      <x:c r="H14" s="31" t="n">
        <x:v>12000000</x:v>
      </x:c>
      <x:c r="I14" s="28" t="str"/>
      <x:c r="J14" s="28" t="str">
        <x:v>USD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TRY-00126</x:v>
      </x:c>
      <x:c r="B15" s="28" t="str">
        <x:v>Seasonal liquidity and revolver headroom</x:v>
      </x:c>
      <x:c r="C15" s="28" t="str">
        <x:v>Borrowing base</x:v>
      </x:c>
      <x:c r="D15" s="28" t="str">
        <x:v>Revolver</x:v>
      </x:c>
      <x:c r="E15" s="28" t="str">
        <x:v>2027-01</x:v>
      </x:c>
      <x:c r="F15" s="28" t="str">
        <x:v>Approved case</x:v>
      </x:c>
      <x:c r="G15" s="28" t="str">
        <x:v>Eligible borrowing base</x:v>
      </x:c>
      <x:c r="H15" s="31" t="n">
        <x:v>12000000</x:v>
      </x:c>
      <x:c r="I15" s="28" t="str"/>
      <x:c r="J15" s="28" t="str">
        <x:v>USD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TRY-00132</x:v>
      </x:c>
      <x:c r="B16" s="28" t="str">
        <x:v>Seasonal liquidity and revolver headroom</x:v>
      </x:c>
      <x:c r="C16" s="28" t="str">
        <x:v>Borrowing base</x:v>
      </x:c>
      <x:c r="D16" s="28" t="str">
        <x:v>Revolver</x:v>
      </x:c>
      <x:c r="E16" s="28" t="str">
        <x:v>2027-02</x:v>
      </x:c>
      <x:c r="F16" s="28" t="str">
        <x:v>Approved case</x:v>
      </x:c>
      <x:c r="G16" s="28" t="str">
        <x:v>Eligible borrowing base</x:v>
      </x:c>
      <x:c r="H16" s="31" t="n">
        <x:v>12000000</x:v>
      </x:c>
      <x:c r="I16" s="28" t="str"/>
      <x:c r="J16" s="28" t="str">
        <x:v>USD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TRY-00138</x:v>
      </x:c>
      <x:c r="B17" s="28" t="str">
        <x:v>Seasonal liquidity and revolver headroom</x:v>
      </x:c>
      <x:c r="C17" s="28" t="str">
        <x:v>Borrowing base</x:v>
      </x:c>
      <x:c r="D17" s="28" t="str">
        <x:v>Revolver</x:v>
      </x:c>
      <x:c r="E17" s="28" t="str">
        <x:v>2027-03</x:v>
      </x:c>
      <x:c r="F17" s="28" t="str">
        <x:v>Approved case</x:v>
      </x:c>
      <x:c r="G17" s="28" t="str">
        <x:v>Eligible borrowing base</x:v>
      </x:c>
      <x:c r="H17" s="31" t="n">
        <x:v>10500000</x:v>
      </x:c>
      <x:c r="I17" s="28" t="str"/>
      <x:c r="J17" s="28" t="str">
        <x:v>USD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TRY-00144</x:v>
      </x:c>
      <x:c r="B18" s="28" t="str">
        <x:v>Seasonal liquidity and revolver headroom</x:v>
      </x:c>
      <x:c r="C18" s="28" t="str">
        <x:v>Borrowing base</x:v>
      </x:c>
      <x:c r="D18" s="28" t="str">
        <x:v>Revolver</x:v>
      </x:c>
      <x:c r="E18" s="28" t="str">
        <x:v>2027-04</x:v>
      </x:c>
      <x:c r="F18" s="28" t="str">
        <x:v>Approved case</x:v>
      </x:c>
      <x:c r="G18" s="28" t="str">
        <x:v>Eligible borrowing base</x:v>
      </x:c>
      <x:c r="H18" s="31" t="n">
        <x:v>10500000</x:v>
      </x:c>
      <x:c r="I18" s="28" t="str"/>
      <x:c r="J18" s="28" t="str">
        <x:v>USD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TRY-00150</x:v>
      </x:c>
      <x:c r="B19" s="28" t="str">
        <x:v>Seasonal liquidity and revolver headroom</x:v>
      </x:c>
      <x:c r="C19" s="28" t="str">
        <x:v>Borrowing base</x:v>
      </x:c>
      <x:c r="D19" s="28" t="str">
        <x:v>Revolver</x:v>
      </x:c>
      <x:c r="E19" s="28" t="str">
        <x:v>2027-05</x:v>
      </x:c>
      <x:c r="F19" s="28" t="str">
        <x:v>Approved case</x:v>
      </x:c>
      <x:c r="G19" s="28" t="str">
        <x:v>Eligible borrowing base</x:v>
      </x:c>
      <x:c r="H19" s="31" t="n">
        <x:v>10500000</x:v>
      </x:c>
      <x:c r="I19" s="28" t="str"/>
      <x:c r="J19" s="28" t="str">
        <x:v>USD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TRY-00156</x:v>
      </x:c>
      <x:c r="B20" s="28" t="str">
        <x:v>Seasonal liquidity and revolver headroom</x:v>
      </x:c>
      <x:c r="C20" s="28" t="str">
        <x:v>Borrowing base</x:v>
      </x:c>
      <x:c r="D20" s="28" t="str">
        <x:v>Revolver</x:v>
      </x:c>
      <x:c r="E20" s="28" t="str">
        <x:v>2027-06</x:v>
      </x:c>
      <x:c r="F20" s="28" t="str">
        <x:v>Approved case</x:v>
      </x:c>
      <x:c r="G20" s="28" t="str">
        <x:v>Eligible borrowing base</x:v>
      </x:c>
      <x:c r="H20" s="31" t="n">
        <x:v>10500000</x:v>
      </x:c>
      <x:c r="I20" s="28" t="str"/>
      <x:c r="J20" s="28" t="str">
        <x:v>USD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TRY-00157</x:v>
      </x:c>
      <x:c r="B21" s="28" t="str">
        <x:v>Seasonal liquidity and revolver headroom</x:v>
      </x:c>
      <x:c r="C21" s="28" t="str">
        <x:v>Liquidity policy</x:v>
      </x:c>
      <x:c r="D21" s="28" t="str">
        <x:v>Consolidated</x:v>
      </x:c>
      <x:c r="E21" s="28" t="str">
        <x:v>FY27</x:v>
      </x:c>
      <x:c r="F21" s="28" t="str">
        <x:v>Approved case</x:v>
      </x:c>
      <x:c r="G21" s="28" t="str">
        <x:v>Operating cash floor</x:v>
      </x:c>
      <x:c r="H21" s="31" t="n">
        <x:v>2250000</x:v>
      </x:c>
      <x:c r="I21" s="28" t="str"/>
      <x:c r="J21" s="28" t="str">
        <x:v>USD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TRY-00158</x:v>
      </x:c>
      <x:c r="B22" s="28" t="str">
        <x:v>Seasonal liquidity and revolver headroom</x:v>
      </x:c>
      <x:c r="C22" s="28" t="str">
        <x:v>Liquidity policy</x:v>
      </x:c>
      <x:c r="D22" s="28" t="str">
        <x:v>Revolver</x:v>
      </x:c>
      <x:c r="E22" s="28" t="str">
        <x:v>FY27</x:v>
      </x:c>
      <x:c r="F22" s="28" t="str">
        <x:v>Approved case</x:v>
      </x:c>
      <x:c r="G22" s="28" t="str">
        <x:v>Commitment</x:v>
      </x:c>
      <x:c r="H22" s="31" t="n">
        <x:v>12000000</x:v>
      </x:c>
      <x:c r="I22" s="28" t="str"/>
      <x:c r="J22" s="28" t="str">
        <x:v>USD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TRY-00159</x:v>
      </x:c>
      <x:c r="B23" s="28" t="str">
        <x:v>Seasonal liquidity and revolver headroom</x:v>
      </x:c>
      <x:c r="C23" s="28" t="str">
        <x:v>Liquidity policy</x:v>
      </x:c>
      <x:c r="D23" s="28" t="str">
        <x:v>Restricted cash</x:v>
      </x:c>
      <x:c r="E23" s="28" t="str">
        <x:v>FY27</x:v>
      </x:c>
      <x:c r="F23" s="28" t="str">
        <x:v>Approved case</x:v>
      </x:c>
      <x:c r="G23" s="28" t="str">
        <x:v>Excluded balance</x:v>
      </x:c>
      <x:c r="H23" s="31" t="n">
        <x:v>550</x:v>
      </x:c>
      <x:c r="I23" s="28" t="str"/>
      <x:c r="J23" s="28" t="str">
        <x:v>USD thousands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TRY-00307</x:v>
      </x:c>
      <x:c r="B24" s="28" t="str">
        <x:v>Short-term liquidity investment allocation</x:v>
      </x:c>
      <x:c r="C24" s="28" t="str">
        <x:v>Available cash</x:v>
      </x:c>
      <x:c r="D24" s="28" t="str">
        <x:v>Unrestricted operating cash</x:v>
      </x:c>
      <x:c r="E24" s="28" t="str">
        <x:v>2026-06-30</x:v>
      </x:c>
      <x:c r="F24" s="28" t="str">
        <x:v>Approved case</x:v>
      </x:c>
      <x:c r="G24" s="28" t="str">
        <x:v>Posted cash</x:v>
      </x:c>
      <x:c r="H24" s="31" t="n">
        <x:v>1</x:v>
      </x:c>
      <x:c r="I24" s="28" t="str"/>
      <x:c r="J24" s="28" t="str">
        <x:v>ledger allocation factor</x:v>
      </x:c>
      <x:c r="K24" s="28" t="str">
        <x:v>Finance operating schedule</x:v>
      </x:c>
      <x:c r="L24" s="34" t="str">
        <x:v>2026-06-30</x:v>
      </x:c>
      <x:c r="M24" s="28" t="str">
        <x:v>Vista ERP cash detail as of 2026-06-30; unrestricted company cash accounts</x:v>
      </x:c>
    </x:row>
    <x:row r="25">
      <x:c r="A25" s="37" t="str">
        <x:v>TRY-00308</x:v>
      </x:c>
      <x:c r="B25" s="28" t="str">
        <x:v>Short-term liquidity investment allocation</x:v>
      </x:c>
      <x:c r="C25" s="28" t="str">
        <x:v>Available cash</x:v>
      </x:c>
      <x:c r="D25" s="28" t="str">
        <x:v>Executed asset-sale proceeds</x:v>
      </x:c>
      <x:c r="E25" s="28" t="str">
        <x:v>2026-07-05</x:v>
      </x:c>
      <x:c r="F25" s="28" t="str">
        <x:v>Approved case</x:v>
      </x:c>
      <x:c r="G25" s="28" t="str">
        <x:v>Settling proceeds</x:v>
      </x:c>
      <x:c r="H25" s="31" t="n">
        <x:v>11800000</x:v>
      </x:c>
      <x:c r="I25" s="28" t="str"/>
      <x:c r="J25" s="28" t="str">
        <x:v>USD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TRY-00309</x:v>
      </x:c>
      <x:c r="B26" s="28" t="str">
        <x:v>Short-term liquidity investment allocation</x:v>
      </x:c>
      <x:c r="C26" s="28" t="str">
        <x:v>Available cash</x:v>
      </x:c>
      <x:c r="D26" s="28" t="str">
        <x:v>Restricted surety cash</x:v>
      </x:c>
      <x:c r="E26" s="28" t="str">
        <x:v>2026-06-30</x:v>
      </x:c>
      <x:c r="F26" s="28" t="str">
        <x:v>Approved case</x:v>
      </x:c>
      <x:c r="G26" s="28" t="str">
        <x:v>Excluded balance</x:v>
      </x:c>
      <x:c r="H26" s="31" t="n">
        <x:v>620000</x:v>
      </x:c>
      <x:c r="I26" s="28" t="str"/>
      <x:c r="J26" s="28" t="str">
        <x:v>USD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TRY-00310</x:v>
      </x:c>
      <x:c r="B27" s="28" t="str">
        <x:v>Short-term liquidity investment allocation</x:v>
      </x:c>
      <x:c r="C27" s="28" t="str">
        <x:v>Liquidity floors</x:v>
      </x:c>
      <x:c r="D27" s="28" t="str">
        <x:v>Operating</x:v>
      </x:c>
      <x:c r="E27" s="28" t="str">
        <x:v>2026-07-05</x:v>
      </x:c>
      <x:c r="F27" s="28" t="str">
        <x:v>Approved case</x:v>
      </x:c>
      <x:c r="G27" s="28" t="str">
        <x:v>Operating cash floor</x:v>
      </x:c>
      <x:c r="H27" s="31" t="n">
        <x:v>2250</x:v>
      </x:c>
      <x:c r="I27" s="28" t="str"/>
      <x:c r="J27" s="28" t="str">
        <x:v>USD thousands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TRY-00311</x:v>
      </x:c>
      <x:c r="B28" s="28" t="str">
        <x:v>Short-term liquidity investment allocation</x:v>
      </x:c>
      <x:c r="C28" s="28" t="str">
        <x:v>Liquidity floors</x:v>
      </x:c>
      <x:c r="D28" s="28" t="str">
        <x:v>Payroll</x:v>
      </x:c>
      <x:c r="E28" s="28" t="str">
        <x:v>2026-07-05</x:v>
      </x:c>
      <x:c r="F28" s="28" t="str">
        <x:v>Approved case</x:v>
      </x:c>
      <x:c r="G28" s="28" t="str">
        <x:v>Payroll cash floor</x:v>
      </x:c>
      <x:c r="H28" s="31" t="n">
        <x:v>950000</x:v>
      </x:c>
      <x:c r="I28" s="28" t="str"/>
      <x:c r="J28" s="28" t="str">
        <x:v>USD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TRY-00312</x:v>
      </x:c>
      <x:c r="B29" s="28" t="str">
        <x:v>Short-term liquidity investment allocation</x:v>
      </x:c>
      <x:c r="C29" s="28" t="str">
        <x:v>Approved investment menu</x:v>
      </x:c>
      <x:c r="D29" s="28" t="str">
        <x:v>Operating money market</x:v>
      </x:c>
      <x:c r="E29" s="28" t="str">
        <x:v>2026-07-05</x:v>
      </x:c>
      <x:c r="F29" s="28" t="str">
        <x:v>Approved case</x:v>
      </x:c>
      <x:c r="G29" s="28" t="str">
        <x:v>Annual yield</x:v>
      </x:c>
      <x:c r="H29" s="31" t="n">
        <x:v>0.0415</x:v>
      </x:c>
      <x:c r="I29" s="28" t="str"/>
      <x:c r="J29" s="28" t="str">
        <x:v>decimal ratio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TRY-00313</x:v>
      </x:c>
      <x:c r="B30" s="28" t="str">
        <x:v>Short-term liquidity investment allocation</x:v>
      </x:c>
      <x:c r="C30" s="28" t="str">
        <x:v>Approved investment menu</x:v>
      </x:c>
      <x:c r="D30" s="28" t="str">
        <x:v>Operating money market</x:v>
      </x:c>
      <x:c r="E30" s="28" t="str">
        <x:v>2026-07-05</x:v>
      </x:c>
      <x:c r="F30" s="28" t="str">
        <x:v>Approved case</x:v>
      </x:c>
      <x:c r="G30" s="28" t="str">
        <x:v>Weighted-average maturity days</x:v>
      </x:c>
      <x:c r="H30" s="31" t="n">
        <x:v>1</x:v>
      </x:c>
      <x:c r="I30" s="28" t="str"/>
      <x:c r="J30" s="28" t="str">
        <x:v>days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TRY-00314</x:v>
      </x:c>
      <x:c r="B31" s="28" t="str">
        <x:v>Short-term liquidity investment allocation</x:v>
      </x:c>
      <x:c r="C31" s="28" t="str">
        <x:v>Approved investment menu</x:v>
      </x:c>
      <x:c r="D31" s="28" t="str">
        <x:v>Operating money market</x:v>
      </x:c>
      <x:c r="E31" s="28" t="str">
        <x:v>2026-07-05</x:v>
      </x:c>
      <x:c r="F31" s="28" t="str">
        <x:v>Approved case</x:v>
      </x:c>
      <x:c r="G31" s="28" t="str">
        <x:v>Approved capacity</x:v>
      </x:c>
      <x:c r="H31" s="31" t="n">
        <x:v>4000</x:v>
      </x:c>
      <x:c r="I31" s="28" t="str"/>
      <x:c r="J31" s="28" t="str">
        <x:v>USD thousands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TRY-00315</x:v>
      </x:c>
      <x:c r="B32" s="28" t="str">
        <x:v>Short-term liquidity investment allocation</x:v>
      </x:c>
      <x:c r="C32" s="28" t="str">
        <x:v>Approved investment menu</x:v>
      </x:c>
      <x:c r="D32" s="28" t="str">
        <x:v>Operating money market</x:v>
      </x:c>
      <x:c r="E32" s="28" t="str">
        <x:v>2026-07-05</x:v>
      </x:c>
      <x:c r="F32" s="28" t="str">
        <x:v>Approved case</x:v>
      </x:c>
      <x:c r="G32" s="28" t="str">
        <x:v>Same-day liquidity factor</x:v>
      </x:c>
      <x:c r="H32" s="31" t="n">
        <x:v>1</x:v>
      </x:c>
      <x:c r="I32" s="28" t="str"/>
      <x:c r="J32" s="28" t="str">
        <x:v>decimal ratio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TRY-00316</x:v>
      </x:c>
      <x:c r="B33" s="28" t="str">
        <x:v>Short-term liquidity investment allocation</x:v>
      </x:c>
      <x:c r="C33" s="28" t="str">
        <x:v>Approved investment menu</x:v>
      </x:c>
      <x:c r="D33" s="28" t="str">
        <x:v>Operating money market</x:v>
      </x:c>
      <x:c r="E33" s="28" t="str">
        <x:v>2026-07-05</x:v>
      </x:c>
      <x:c r="F33" s="28" t="str">
        <x:v>Approved case</x:v>
      </x:c>
      <x:c r="G33" s="28" t="str">
        <x:v>Counterparty</x:v>
      </x:c>
      <x:c r="H33" s="31" t="str"/>
      <x:c r="I33" s="28" t="str">
        <x:v>Bank A</x:v>
      </x:c>
      <x:c r="J33" s="28" t="str">
        <x:v>classification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TRY-00317</x:v>
      </x:c>
      <x:c r="B34" s="28" t="str">
        <x:v>Short-term liquidity investment allocation</x:v>
      </x:c>
      <x:c r="C34" s="28" t="str">
        <x:v>Approved investment menu</x:v>
      </x:c>
      <x:c r="D34" s="28" t="str">
        <x:v>Treasury bill</x:v>
      </x:c>
      <x:c r="E34" s="28" t="str">
        <x:v>2026-07-05</x:v>
      </x:c>
      <x:c r="F34" s="28" t="str">
        <x:v>Approved case</x:v>
      </x:c>
      <x:c r="G34" s="28" t="str">
        <x:v>Annual yield</x:v>
      </x:c>
      <x:c r="H34" s="31" t="n">
        <x:v>0.0475</x:v>
      </x:c>
      <x:c r="I34" s="28" t="str"/>
      <x:c r="J34" s="28" t="str">
        <x:v>decimal ratio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TRY-00318</x:v>
      </x:c>
      <x:c r="B35" s="28" t="str">
        <x:v>Short-term liquidity investment allocation</x:v>
      </x:c>
      <x:c r="C35" s="28" t="str">
        <x:v>Approved investment menu</x:v>
      </x:c>
      <x:c r="D35" s="28" t="str">
        <x:v>Treasury bill</x:v>
      </x:c>
      <x:c r="E35" s="28" t="str">
        <x:v>2026-07-05</x:v>
      </x:c>
      <x:c r="F35" s="28" t="str">
        <x:v>Approved case</x:v>
      </x:c>
      <x:c r="G35" s="28" t="str">
        <x:v>Weighted-average maturity days</x:v>
      </x:c>
      <x:c r="H35" s="31" t="n">
        <x:v>91</x:v>
      </x:c>
      <x:c r="I35" s="28" t="str"/>
      <x:c r="J35" s="28" t="str">
        <x:v>days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TRY-00319</x:v>
      </x:c>
      <x:c r="B36" s="28" t="str">
        <x:v>Short-term liquidity investment allocation</x:v>
      </x:c>
      <x:c r="C36" s="28" t="str">
        <x:v>Approved investment menu</x:v>
      </x:c>
      <x:c r="D36" s="28" t="str">
        <x:v>Treasury bill</x:v>
      </x:c>
      <x:c r="E36" s="28" t="str">
        <x:v>2026-07-05</x:v>
      </x:c>
      <x:c r="F36" s="28" t="str">
        <x:v>Approved case</x:v>
      </x:c>
      <x:c r="G36" s="28" t="str">
        <x:v>Approved capacity</x:v>
      </x:c>
      <x:c r="H36" s="31" t="n">
        <x:v>7000000</x:v>
      </x:c>
      <x:c r="I36" s="28" t="str"/>
      <x:c r="J36" s="28" t="str">
        <x:v>USD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TRY-00320</x:v>
      </x:c>
      <x:c r="B37" s="28" t="str">
        <x:v>Short-term liquidity investment allocation</x:v>
      </x:c>
      <x:c r="C37" s="28" t="str">
        <x:v>Approved investment menu</x:v>
      </x:c>
      <x:c r="D37" s="28" t="str">
        <x:v>Treasury bill</x:v>
      </x:c>
      <x:c r="E37" s="28" t="str">
        <x:v>2026-07-05</x:v>
      </x:c>
      <x:c r="F37" s="28" t="str">
        <x:v>Approved case</x:v>
      </x:c>
      <x:c r="G37" s="28" t="str">
        <x:v>Same-day liquidity factor</x:v>
      </x:c>
      <x:c r="H37" s="31" t="n">
        <x:v>0</x:v>
      </x:c>
      <x:c r="I37" s="28" t="str"/>
      <x:c r="J37" s="28" t="str">
        <x:v>decimal ratio</x:v>
      </x:c>
      <x:c r="K37" s="28" t="str">
        <x:v>Finance operating schedule</x:v>
      </x:c>
      <x:c r="L37" s="34" t="str">
        <x:v>2026-06-30</x:v>
      </x:c>
      <x:c r="M37" s="28" t="str"/>
    </x:row>
    <x:row r="38">
      <x:c r="A38" s="37" t="str">
        <x:v>TRY-00321</x:v>
      </x:c>
      <x:c r="B38" s="28" t="str">
        <x:v>Short-term liquidity investment allocation</x:v>
      </x:c>
      <x:c r="C38" s="28" t="str">
        <x:v>Approved investment menu</x:v>
      </x:c>
      <x:c r="D38" s="28" t="str">
        <x:v>Treasury bill</x:v>
      </x:c>
      <x:c r="E38" s="28" t="str">
        <x:v>2026-07-05</x:v>
      </x:c>
      <x:c r="F38" s="28" t="str">
        <x:v>Approved case</x:v>
      </x:c>
      <x:c r="G38" s="28" t="str">
        <x:v>Counterparty</x:v>
      </x:c>
      <x:c r="H38" s="31" t="str"/>
      <x:c r="I38" s="28" t="str">
        <x:v>US Treasury</x:v>
      </x:c>
      <x:c r="J38" s="28" t="str">
        <x:v>classification</x:v>
      </x:c>
      <x:c r="K38" s="28" t="str">
        <x:v>Finance operating schedule</x:v>
      </x:c>
      <x:c r="L38" s="34" t="str">
        <x:v>2026-06-30</x:v>
      </x:c>
      <x:c r="M38" s="28" t="str"/>
    </x:row>
    <x:row r="39">
      <x:c r="A39" s="37" t="str">
        <x:v>TRY-00322</x:v>
      </x:c>
      <x:c r="B39" s="28" t="str">
        <x:v>Short-term liquidity investment allocation</x:v>
      </x:c>
      <x:c r="C39" s="28" t="str">
        <x:v>Approved investment menu</x:v>
      </x:c>
      <x:c r="D39" s="28" t="str">
        <x:v>Government fund</x:v>
      </x:c>
      <x:c r="E39" s="28" t="str">
        <x:v>2026-07-05</x:v>
      </x:c>
      <x:c r="F39" s="28" t="str">
        <x:v>Approved case</x:v>
      </x:c>
      <x:c r="G39" s="28" t="str">
        <x:v>Annual yield</x:v>
      </x:c>
      <x:c r="H39" s="31" t="n">
        <x:v>0.044</x:v>
      </x:c>
      <x:c r="I39" s="28" t="str"/>
      <x:c r="J39" s="28" t="str">
        <x:v>decimal ratio</x:v>
      </x:c>
      <x:c r="K39" s="28" t="str">
        <x:v>Finance operating schedule</x:v>
      </x:c>
      <x:c r="L39" s="34" t="str">
        <x:v>2026-06-30</x:v>
      </x:c>
      <x:c r="M39" s="28" t="str"/>
    </x:row>
    <x:row r="40">
      <x:c r="A40" s="37" t="str">
        <x:v>TRY-00323</x:v>
      </x:c>
      <x:c r="B40" s="28" t="str">
        <x:v>Short-term liquidity investment allocation</x:v>
      </x:c>
      <x:c r="C40" s="28" t="str">
        <x:v>Approved investment menu</x:v>
      </x:c>
      <x:c r="D40" s="28" t="str">
        <x:v>Government fund</x:v>
      </x:c>
      <x:c r="E40" s="28" t="str">
        <x:v>2026-07-05</x:v>
      </x:c>
      <x:c r="F40" s="28" t="str">
        <x:v>Approved case</x:v>
      </x:c>
      <x:c r="G40" s="28" t="str">
        <x:v>Weighted-average maturity days</x:v>
      </x:c>
      <x:c r="H40" s="31" t="n">
        <x:v>1</x:v>
      </x:c>
      <x:c r="I40" s="28" t="str"/>
      <x:c r="J40" s="28" t="str">
        <x:v>days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TRY-00324</x:v>
      </x:c>
      <x:c r="B41" s="28" t="str">
        <x:v>Short-term liquidity investment allocation</x:v>
      </x:c>
      <x:c r="C41" s="28" t="str">
        <x:v>Approved investment menu</x:v>
      </x:c>
      <x:c r="D41" s="28" t="str">
        <x:v>Government fund</x:v>
      </x:c>
      <x:c r="E41" s="28" t="str">
        <x:v>2026-07-05</x:v>
      </x:c>
      <x:c r="F41" s="28" t="str">
        <x:v>Approved case</x:v>
      </x:c>
      <x:c r="G41" s="28" t="str">
        <x:v>Approved capacity</x:v>
      </x:c>
      <x:c r="H41" s="31" t="n">
        <x:v>6000000</x:v>
      </x:c>
      <x:c r="I41" s="28" t="str"/>
      <x:c r="J41" s="28" t="str">
        <x:v>USD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TRY-00325</x:v>
      </x:c>
      <x:c r="B42" s="28" t="str">
        <x:v>Short-term liquidity investment allocation</x:v>
      </x:c>
      <x:c r="C42" s="28" t="str">
        <x:v>Approved investment menu</x:v>
      </x:c>
      <x:c r="D42" s="28" t="str">
        <x:v>Government fund</x:v>
      </x:c>
      <x:c r="E42" s="28" t="str">
        <x:v>2026-07-05</x:v>
      </x:c>
      <x:c r="F42" s="28" t="str">
        <x:v>Approved case</x:v>
      </x:c>
      <x:c r="G42" s="28" t="str">
        <x:v>Same-day liquidity factor</x:v>
      </x:c>
      <x:c r="H42" s="31" t="n">
        <x:v>1</x:v>
      </x:c>
      <x:c r="I42" s="28" t="str"/>
      <x:c r="J42" s="28" t="str">
        <x:v>decimal ratio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TRY-00326</x:v>
      </x:c>
      <x:c r="B43" s="28" t="str">
        <x:v>Short-term liquidity investment allocation</x:v>
      </x:c>
      <x:c r="C43" s="28" t="str">
        <x:v>Approved investment menu</x:v>
      </x:c>
      <x:c r="D43" s="28" t="str">
        <x:v>Government fund</x:v>
      </x:c>
      <x:c r="E43" s="28" t="str">
        <x:v>2026-07-05</x:v>
      </x:c>
      <x:c r="F43" s="28" t="str">
        <x:v>Approved case</x:v>
      </x:c>
      <x:c r="G43" s="28" t="str">
        <x:v>Counterparty</x:v>
      </x:c>
      <x:c r="H43" s="31" t="str"/>
      <x:c r="I43" s="28" t="str">
        <x:v>Government fund</x:v>
      </x:c>
      <x:c r="J43" s="28" t="str">
        <x:v>classification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TRY-00327</x:v>
      </x:c>
      <x:c r="B44" s="28" t="str">
        <x:v>Short-term liquidity investment allocation</x:v>
      </x:c>
      <x:c r="C44" s="28" t="str">
        <x:v>Approved investment menu</x:v>
      </x:c>
      <x:c r="D44" s="28" t="str">
        <x:v>Insured sweep</x:v>
      </x:c>
      <x:c r="E44" s="28" t="str">
        <x:v>2026-07-05</x:v>
      </x:c>
      <x:c r="F44" s="28" t="str">
        <x:v>Approved case</x:v>
      </x:c>
      <x:c r="G44" s="28" t="str">
        <x:v>Annual yield</x:v>
      </x:c>
      <x:c r="H44" s="31" t="n">
        <x:v>0.0395</x:v>
      </x:c>
      <x:c r="I44" s="28" t="str"/>
      <x:c r="J44" s="28" t="str">
        <x:v>decimal ratio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TRY-00328</x:v>
      </x:c>
      <x:c r="B45" s="28" t="str">
        <x:v>Short-term liquidity investment allocation</x:v>
      </x:c>
      <x:c r="C45" s="28" t="str">
        <x:v>Approved investment menu</x:v>
      </x:c>
      <x:c r="D45" s="28" t="str">
        <x:v>Insured sweep</x:v>
      </x:c>
      <x:c r="E45" s="28" t="str">
        <x:v>2026-07-05</x:v>
      </x:c>
      <x:c r="F45" s="28" t="str">
        <x:v>Approved case</x:v>
      </x:c>
      <x:c r="G45" s="28" t="str">
        <x:v>Weighted-average maturity days</x:v>
      </x:c>
      <x:c r="H45" s="31" t="n">
        <x:v>2</x:v>
      </x:c>
      <x:c r="I45" s="28" t="str"/>
      <x:c r="J45" s="28" t="str">
        <x:v>days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TRY-00329</x:v>
      </x:c>
      <x:c r="B46" s="28" t="str">
        <x:v>Short-term liquidity investment allocation</x:v>
      </x:c>
      <x:c r="C46" s="28" t="str">
        <x:v>Approved investment menu</x:v>
      </x:c>
      <x:c r="D46" s="28" t="str">
        <x:v>Insured sweep</x:v>
      </x:c>
      <x:c r="E46" s="28" t="str">
        <x:v>2026-07-05</x:v>
      </x:c>
      <x:c r="F46" s="28" t="str">
        <x:v>Approved case</x:v>
      </x:c>
      <x:c r="G46" s="28" t="str">
        <x:v>Approved capacity</x:v>
      </x:c>
      <x:c r="H46" s="31" t="n">
        <x:v>1500000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TRY-00330</x:v>
      </x:c>
      <x:c r="B47" s="28" t="str">
        <x:v>Short-term liquidity investment allocation</x:v>
      </x:c>
      <x:c r="C47" s="28" t="str">
        <x:v>Approved investment menu</x:v>
      </x:c>
      <x:c r="D47" s="28" t="str">
        <x:v>Insured sweep</x:v>
      </x:c>
      <x:c r="E47" s="28" t="str">
        <x:v>2026-07-05</x:v>
      </x:c>
      <x:c r="F47" s="28" t="str">
        <x:v>Approved case</x:v>
      </x:c>
      <x:c r="G47" s="28" t="str">
        <x:v>Same-day liquidity factor</x:v>
      </x:c>
      <x:c r="H47" s="31" t="n">
        <x:v>1</x:v>
      </x:c>
      <x:c r="I47" s="28" t="str"/>
      <x:c r="J47" s="28" t="str">
        <x:v>decimal ratio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TRY-00331</x:v>
      </x:c>
      <x:c r="B48" s="28" t="str">
        <x:v>Short-term liquidity investment allocation</x:v>
      </x:c>
      <x:c r="C48" s="28" t="str">
        <x:v>Approved investment menu</x:v>
      </x:c>
      <x:c r="D48" s="28" t="str">
        <x:v>Insured sweep</x:v>
      </x:c>
      <x:c r="E48" s="28" t="str">
        <x:v>2026-07-05</x:v>
      </x:c>
      <x:c r="F48" s="28" t="str">
        <x:v>Approved case</x:v>
      </x:c>
      <x:c r="G48" s="28" t="str">
        <x:v>Counterparty</x:v>
      </x:c>
      <x:c r="H48" s="31" t="str"/>
      <x:c r="I48" s="28" t="str">
        <x:v>Insured network</x:v>
      </x:c>
      <x:c r="J48" s="28" t="str">
        <x:v>classification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TRY-00332</x:v>
      </x:c>
      <x:c r="B49" s="28" t="str">
        <x:v>Short-term liquidity investment allocation</x:v>
      </x:c>
      <x:c r="C49" s="28" t="str">
        <x:v>Investment policy</x:v>
      </x:c>
      <x:c r="D49" s="28" t="str">
        <x:v>Portfolio</x:v>
      </x:c>
      <x:c r="E49" s="28" t="str">
        <x:v>2026-07-05</x:v>
      </x:c>
      <x:c r="F49" s="28" t="str">
        <x:v>Approved case</x:v>
      </x:c>
      <x:c r="G49" s="28" t="str">
        <x:v>Maximum weighted-average maturity</x:v>
      </x:c>
      <x:c r="H49" s="31" t="n">
        <x:v>45</x:v>
      </x:c>
      <x:c r="I49" s="28" t="str"/>
      <x:c r="J49" s="28" t="str">
        <x:v>days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TRY-00333</x:v>
      </x:c>
      <x:c r="B50" s="28" t="str">
        <x:v>Short-term liquidity investment allocation</x:v>
      </x:c>
      <x:c r="C50" s="28" t="str">
        <x:v>Investment policy</x:v>
      </x:c>
      <x:c r="D50" s="28" t="str">
        <x:v>Portfolio</x:v>
      </x:c>
      <x:c r="E50" s="28" t="str">
        <x:v>2026-07-05</x:v>
      </x:c>
      <x:c r="F50" s="28" t="str">
        <x:v>Approved case</x:v>
      </x:c>
      <x:c r="G50" s="28" t="str">
        <x:v>Minimum same-day liquidity percent</x:v>
      </x:c>
      <x:c r="H50" s="31" t="n">
        <x:v>0.42</x:v>
      </x:c>
      <x:c r="I50" s="28" t="str"/>
      <x:c r="J50" s="28" t="str">
        <x:v>decimal ratio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TRY-00334</x:v>
      </x:c>
      <x:c r="B51" s="28" t="str">
        <x:v>Short-term liquidity investment allocation</x:v>
      </x:c>
      <x:c r="C51" s="28" t="str">
        <x:v>Investment policy</x:v>
      </x:c>
      <x:c r="D51" s="28" t="str">
        <x:v>Bank A</x:v>
      </x:c>
      <x:c r="E51" s="28" t="str">
        <x:v>2026-07-05</x:v>
      </x:c>
      <x:c r="F51" s="28" t="str">
        <x:v>Approved case</x:v>
      </x:c>
      <x:c r="G51" s="28" t="str">
        <x:v>Bank counterparty limit</x:v>
      </x:c>
      <x:c r="H51" s="31" t="n">
        <x:v>3000</x:v>
      </x:c>
      <x:c r="I51" s="28" t="str"/>
      <x:c r="J51" s="28" t="str">
        <x:v>USD thousands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TRY-00493</x:v>
      </x:c>
      <x:c r="B52" s="28" t="str">
        <x:v>Create the dynamic 13-week cash and revolver model</x:v>
      </x:c>
      <x:c r="C52" s="28" t="str">
        <x:v>13-week cash baseline</x:v>
      </x:c>
      <x:c r="D52" s="28" t="str">
        <x:v>Alder Ridge</x:v>
      </x:c>
      <x:c r="E52" s="28" t="str">
        <x:v>2026-07-03</x:v>
      </x:c>
      <x:c r="F52" s="28" t="str">
        <x:v>Approved case</x:v>
      </x:c>
      <x:c r="G52" s="28" t="str">
        <x:v>Opening unrestricted cash</x:v>
      </x:c>
      <x:c r="H52" s="31" t="n">
        <x:v>1</x:v>
      </x:c>
      <x:c r="I52" s="28" t="str"/>
      <x:c r="J52" s="28" t="str">
        <x:v>ledger allocation factor</x:v>
      </x:c>
      <x:c r="K52" s="28" t="str">
        <x:v>Finance operating schedule</x:v>
      </x:c>
      <x:c r="L52" s="34" t="str">
        <x:v>2026-06-30</x:v>
      </x:c>
      <x:c r="M52" s="28" t="str">
        <x:v>Vista ERP cash detail as of 2026-06-30; unrestricted company cash accounts</x:v>
      </x:c>
    </x:row>
    <x:row r="53">
      <x:c r="A53" s="37" t="str">
        <x:v>TRY-00494</x:v>
      </x:c>
      <x:c r="B53" s="28" t="str">
        <x:v>Create the dynamic 13-week cash and revolver model</x:v>
      </x:c>
      <x:c r="C53" s="28" t="str">
        <x:v>13-week direct cash forecast</x:v>
      </x:c>
      <x:c r="D53" s="28" t="str">
        <x:v>Alder Ridge</x:v>
      </x:c>
      <x:c r="E53" s="28" t="str">
        <x:v>2026-07-10</x:v>
      </x:c>
      <x:c r="F53" s="28" t="str">
        <x:v>Approved case</x:v>
      </x:c>
      <x:c r="G53" s="28" t="str">
        <x:v>Customer receipts</x:v>
      </x:c>
      <x:c r="H53" s="31" t="n">
        <x:v>2180000</x:v>
      </x:c>
      <x:c r="I53" s="28" t="str"/>
      <x:c r="J53" s="28" t="str">
        <x:v>USD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TRY-00495</x:v>
      </x:c>
      <x:c r="B54" s="28" t="str">
        <x:v>Create the dynamic 13-week cash and revolver model</x:v>
      </x:c>
      <x:c r="C54" s="28" t="str">
        <x:v>13-week direct cash forecast</x:v>
      </x:c>
      <x:c r="D54" s="28" t="str">
        <x:v>Alder Ridge</x:v>
      </x:c>
      <x:c r="E54" s="28" t="str">
        <x:v>2026-07-10</x:v>
      </x:c>
      <x:c r="F54" s="28" t="str">
        <x:v>Approved case</x:v>
      </x:c>
      <x:c r="G54" s="28" t="str">
        <x:v>Operating disbursements</x:v>
      </x:c>
      <x:c r="H54" s="31" t="n">
        <x:v>2760000</x:v>
      </x:c>
      <x:c r="I54" s="28" t="str"/>
      <x:c r="J54" s="28" t="str">
        <x:v>USD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TRY-00496</x:v>
      </x:c>
      <x:c r="B55" s="28" t="str">
        <x:v>Create the dynamic 13-week cash and revolver model</x:v>
      </x:c>
      <x:c r="C55" s="28" t="str">
        <x:v>13-week direct cash forecast</x:v>
      </x:c>
      <x:c r="D55" s="28" t="str">
        <x:v>Alder Ridge</x:v>
      </x:c>
      <x:c r="E55" s="28" t="str">
        <x:v>2026-07-10</x:v>
      </x:c>
      <x:c r="F55" s="28" t="str">
        <x:v>Approved case</x:v>
      </x:c>
      <x:c r="G55" s="28" t="str">
        <x:v>Payroll</x:v>
      </x:c>
      <x:c r="H55" s="31" t="n">
        <x:v>0</x:v>
      </x:c>
      <x:c r="I55" s="28" t="str"/>
      <x:c r="J55" s="28" t="str">
        <x:v>USD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TRY-00497</x:v>
      </x:c>
      <x:c r="B56" s="28" t="str">
        <x:v>Create the dynamic 13-week cash and revolver model</x:v>
      </x:c>
      <x:c r="C56" s="28" t="str">
        <x:v>13-week direct cash forecast</x:v>
      </x:c>
      <x:c r="D56" s="28" t="str">
        <x:v>Alder Ridge</x:v>
      </x:c>
      <x:c r="E56" s="28" t="str">
        <x:v>2026-07-10</x:v>
      </x:c>
      <x:c r="F56" s="28" t="str">
        <x:v>Approved case</x:v>
      </x:c>
      <x:c r="G56" s="28" t="str">
        <x:v>Taxes and capex</x:v>
      </x:c>
      <x:c r="H56" s="31" t="n">
        <x:v>0</x:v>
      </x:c>
      <x:c r="I56" s="28" t="str"/>
      <x:c r="J56" s="28" t="str">
        <x:v>USD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TRY-00498</x:v>
      </x:c>
      <x:c r="B57" s="28" t="str">
        <x:v>Create the dynamic 13-week cash and revolver model</x:v>
      </x:c>
      <x:c r="C57" s="28" t="str">
        <x:v>13-week direct cash forecast</x:v>
      </x:c>
      <x:c r="D57" s="28" t="str">
        <x:v>Alder Ridge</x:v>
      </x:c>
      <x:c r="E57" s="28" t="str">
        <x:v>2026-07-17</x:v>
      </x:c>
      <x:c r="F57" s="28" t="str">
        <x:v>Approved case</x:v>
      </x:c>
      <x:c r="G57" s="28" t="str">
        <x:v>Customer receipts</x:v>
      </x:c>
      <x:c r="H57" s="31" t="n">
        <x:v>2420000</x:v>
      </x:c>
      <x:c r="I57" s="28" t="str"/>
      <x:c r="J57" s="28" t="str">
        <x:v>USD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TRY-00499</x:v>
      </x:c>
      <x:c r="B58" s="28" t="str">
        <x:v>Create the dynamic 13-week cash and revolver model</x:v>
      </x:c>
      <x:c r="C58" s="28" t="str">
        <x:v>13-week direct cash forecast</x:v>
      </x:c>
      <x:c r="D58" s="28" t="str">
        <x:v>Alder Ridge</x:v>
      </x:c>
      <x:c r="E58" s="28" t="str">
        <x:v>2026-07-17</x:v>
      </x:c>
      <x:c r="F58" s="28" t="str">
        <x:v>Approved case</x:v>
      </x:c>
      <x:c r="G58" s="28" t="str">
        <x:v>Operating disbursements</x:v>
      </x:c>
      <x:c r="H58" s="31" t="n">
        <x:v>2190000</x:v>
      </x:c>
      <x:c r="I58" s="28" t="str"/>
      <x:c r="J58" s="28" t="str">
        <x:v>USD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TRY-00500</x:v>
      </x:c>
      <x:c r="B59" s="28" t="str">
        <x:v>Create the dynamic 13-week cash and revolver model</x:v>
      </x:c>
      <x:c r="C59" s="28" t="str">
        <x:v>13-week direct cash forecast</x:v>
      </x:c>
      <x:c r="D59" s="28" t="str">
        <x:v>Alder Ridge</x:v>
      </x:c>
      <x:c r="E59" s="28" t="str">
        <x:v>2026-07-17</x:v>
      </x:c>
      <x:c r="F59" s="28" t="str">
        <x:v>Approved case</x:v>
      </x:c>
      <x:c r="G59" s="28" t="str">
        <x:v>Payroll</x:v>
      </x:c>
      <x:c r="H59" s="31" t="n">
        <x:v>0</x:v>
      </x:c>
      <x:c r="I59" s="28" t="str"/>
      <x:c r="J59" s="28" t="str">
        <x:v>USD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TRY-00501</x:v>
      </x:c>
      <x:c r="B60" s="28" t="str">
        <x:v>Create the dynamic 13-week cash and revolver model</x:v>
      </x:c>
      <x:c r="C60" s="28" t="str">
        <x:v>13-week direct cash forecast</x:v>
      </x:c>
      <x:c r="D60" s="28" t="str">
        <x:v>Alder Ridge</x:v>
      </x:c>
      <x:c r="E60" s="28" t="str">
        <x:v>2026-07-17</x:v>
      </x:c>
      <x:c r="F60" s="28" t="str">
        <x:v>Approved case</x:v>
      </x:c>
      <x:c r="G60" s="28" t="str">
        <x:v>Taxes and capex</x:v>
      </x:c>
      <x:c r="H60" s="31" t="n">
        <x:v>0</x:v>
      </x:c>
      <x:c r="I60" s="28" t="str"/>
      <x:c r="J60" s="28" t="str">
        <x:v>USD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TRY-00502</x:v>
      </x:c>
      <x:c r="B61" s="28" t="str">
        <x:v>Create the dynamic 13-week cash and revolver model</x:v>
      </x:c>
      <x:c r="C61" s="28" t="str">
        <x:v>13-week direct cash forecast</x:v>
      </x:c>
      <x:c r="D61" s="28" t="str">
        <x:v>Alder Ridge</x:v>
      </x:c>
      <x:c r="E61" s="28" t="str">
        <x:v>2026-07-24</x:v>
      </x:c>
      <x:c r="F61" s="28" t="str">
        <x:v>Approved case</x:v>
      </x:c>
      <x:c r="G61" s="28" t="str">
        <x:v>Customer receipts</x:v>
      </x:c>
      <x:c r="H61" s="31" t="n">
        <x:v>1940000</x:v>
      </x:c>
      <x:c r="I61" s="28" t="str"/>
      <x:c r="J61" s="28" t="str">
        <x:v>USD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TRY-00503</x:v>
      </x:c>
      <x:c r="B62" s="28" t="str">
        <x:v>Create the dynamic 13-week cash and revolver model</x:v>
      </x:c>
      <x:c r="C62" s="28" t="str">
        <x:v>13-week direct cash forecast</x:v>
      </x:c>
      <x:c r="D62" s="28" t="str">
        <x:v>Alder Ridge</x:v>
      </x:c>
      <x:c r="E62" s="28" t="str">
        <x:v>2026-07-24</x:v>
      </x:c>
      <x:c r="F62" s="28" t="str">
        <x:v>Approved case</x:v>
      </x:c>
      <x:c r="G62" s="28" t="str">
        <x:v>Operating disbursements</x:v>
      </x:c>
      <x:c r="H62" s="31" t="n">
        <x:v>2880000</x:v>
      </x:c>
      <x:c r="I62" s="28" t="str"/>
      <x:c r="J62" s="28" t="str">
        <x:v>USD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TRY-00504</x:v>
      </x:c>
      <x:c r="B63" s="28" t="str">
        <x:v>Create the dynamic 13-week cash and revolver model</x:v>
      </x:c>
      <x:c r="C63" s="28" t="str">
        <x:v>13-week direct cash forecast</x:v>
      </x:c>
      <x:c r="D63" s="28" t="str">
        <x:v>Alder Ridge</x:v>
      </x:c>
      <x:c r="E63" s="28" t="str">
        <x:v>2026-07-24</x:v>
      </x:c>
      <x:c r="F63" s="28" t="str">
        <x:v>Approved case</x:v>
      </x:c>
      <x:c r="G63" s="28" t="str">
        <x:v>Payroll</x:v>
      </x:c>
      <x:c r="H63" s="31" t="n">
        <x:v>940</x:v>
      </x:c>
      <x:c r="I63" s="28" t="str"/>
      <x:c r="J63" s="28" t="str">
        <x:v>USD thousands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TRY-00505</x:v>
      </x:c>
      <x:c r="B64" s="28" t="str">
        <x:v>Create the dynamic 13-week cash and revolver model</x:v>
      </x:c>
      <x:c r="C64" s="28" t="str">
        <x:v>13-week direct cash forecast</x:v>
      </x:c>
      <x:c r="D64" s="28" t="str">
        <x:v>Alder Ridge</x:v>
      </x:c>
      <x:c r="E64" s="28" t="str">
        <x:v>2026-07-24</x:v>
      </x:c>
      <x:c r="F64" s="28" t="str">
        <x:v>Approved case</x:v>
      </x:c>
      <x:c r="G64" s="28" t="str">
        <x:v>Taxes and capex</x:v>
      </x:c>
      <x:c r="H64" s="31" t="n">
        <x:v>0</x:v>
      </x:c>
      <x:c r="I64" s="28" t="str"/>
      <x:c r="J64" s="28" t="str">
        <x:v>USD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TRY-00506</x:v>
      </x:c>
      <x:c r="B65" s="28" t="str">
        <x:v>Create the dynamic 13-week cash and revolver model</x:v>
      </x:c>
      <x:c r="C65" s="28" t="str">
        <x:v>13-week direct cash forecast</x:v>
      </x:c>
      <x:c r="D65" s="28" t="str">
        <x:v>Alder Ridge</x:v>
      </x:c>
      <x:c r="E65" s="28" t="str">
        <x:v>2026-07-31</x:v>
      </x:c>
      <x:c r="F65" s="28" t="str">
        <x:v>Approved case</x:v>
      </x:c>
      <x:c r="G65" s="28" t="str">
        <x:v>Customer receipts</x:v>
      </x:c>
      <x:c r="H65" s="31" t="n">
        <x:v>3260000</x:v>
      </x:c>
      <x:c r="I65" s="28" t="str"/>
      <x:c r="J65" s="28" t="str">
        <x:v>USD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TRY-00507</x:v>
      </x:c>
      <x:c r="B66" s="28" t="str">
        <x:v>Create the dynamic 13-week cash and revolver model</x:v>
      </x:c>
      <x:c r="C66" s="28" t="str">
        <x:v>13-week direct cash forecast</x:v>
      </x:c>
      <x:c r="D66" s="28" t="str">
        <x:v>Alder Ridge</x:v>
      </x:c>
      <x:c r="E66" s="28" t="str">
        <x:v>2026-07-31</x:v>
      </x:c>
      <x:c r="F66" s="28" t="str">
        <x:v>Approved case</x:v>
      </x:c>
      <x:c r="G66" s="28" t="str">
        <x:v>Operating disbursements</x:v>
      </x:c>
      <x:c r="H66" s="31" t="n">
        <x:v>2340000</x:v>
      </x:c>
      <x:c r="I66" s="28" t="str"/>
      <x:c r="J66" s="28" t="str">
        <x:v>USD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TRY-00508</x:v>
      </x:c>
      <x:c r="B67" s="28" t="str">
        <x:v>Create the dynamic 13-week cash and revolver model</x:v>
      </x:c>
      <x:c r="C67" s="28" t="str">
        <x:v>13-week direct cash forecast</x:v>
      </x:c>
      <x:c r="D67" s="28" t="str">
        <x:v>Alder Ridge</x:v>
      </x:c>
      <x:c r="E67" s="28" t="str">
        <x:v>2026-07-31</x:v>
      </x:c>
      <x:c r="F67" s="28" t="str">
        <x:v>Approved case</x:v>
      </x:c>
      <x:c r="G67" s="28" t="str">
        <x:v>Payroll</x:v>
      </x:c>
      <x:c r="H67" s="31" t="n">
        <x:v>0</x:v>
      </x:c>
      <x:c r="I67" s="28" t="str"/>
      <x:c r="J67" s="28" t="str">
        <x:v>USD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TRY-00509</x:v>
      </x:c>
      <x:c r="B68" s="28" t="str">
        <x:v>Create the dynamic 13-week cash and revolver model</x:v>
      </x:c>
      <x:c r="C68" s="28" t="str">
        <x:v>13-week direct cash forecast</x:v>
      </x:c>
      <x:c r="D68" s="28" t="str">
        <x:v>Alder Ridge</x:v>
      </x:c>
      <x:c r="E68" s="28" t="str">
        <x:v>2026-07-31</x:v>
      </x:c>
      <x:c r="F68" s="28" t="str">
        <x:v>Approved case</x:v>
      </x:c>
      <x:c r="G68" s="28" t="str">
        <x:v>Taxes and capex</x:v>
      </x:c>
      <x:c r="H68" s="31" t="n">
        <x:v>410000</x:v>
      </x:c>
      <x:c r="I68" s="28" t="str"/>
      <x:c r="J68" s="28" t="str">
        <x:v>USD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TRY-00510</x:v>
      </x:c>
      <x:c r="B69" s="28" t="str">
        <x:v>Create the dynamic 13-week cash and revolver model</x:v>
      </x:c>
      <x:c r="C69" s="28" t="str">
        <x:v>13-week direct cash forecast</x:v>
      </x:c>
      <x:c r="D69" s="28" t="str">
        <x:v>Alder Ridge</x:v>
      </x:c>
      <x:c r="E69" s="28" t="str">
        <x:v>2026-08-07</x:v>
      </x:c>
      <x:c r="F69" s="28" t="str">
        <x:v>Approved case</x:v>
      </x:c>
      <x:c r="G69" s="28" t="str">
        <x:v>Customer receipts</x:v>
      </x:c>
      <x:c r="H69" s="31" t="n">
        <x:v>2080000</x:v>
      </x:c>
      <x:c r="I69" s="28" t="str"/>
      <x:c r="J69" s="28" t="str">
        <x:v>USD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TRY-00511</x:v>
      </x:c>
      <x:c r="B70" s="28" t="str">
        <x:v>Create the dynamic 13-week cash and revolver model</x:v>
      </x:c>
      <x:c r="C70" s="28" t="str">
        <x:v>13-week direct cash forecast</x:v>
      </x:c>
      <x:c r="D70" s="28" t="str">
        <x:v>Alder Ridge</x:v>
      </x:c>
      <x:c r="E70" s="28" t="str">
        <x:v>2026-08-07</x:v>
      </x:c>
      <x:c r="F70" s="28" t="str">
        <x:v>Approved case</x:v>
      </x:c>
      <x:c r="G70" s="28" t="str">
        <x:v>Operating disbursements</x:v>
      </x:c>
      <x:c r="H70" s="31" t="n">
        <x:v>2570000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TRY-00512</x:v>
      </x:c>
      <x:c r="B71" s="28" t="str">
        <x:v>Create the dynamic 13-week cash and revolver model</x:v>
      </x:c>
      <x:c r="C71" s="28" t="str">
        <x:v>13-week direct cash forecast</x:v>
      </x:c>
      <x:c r="D71" s="28" t="str">
        <x:v>Alder Ridge</x:v>
      </x:c>
      <x:c r="E71" s="28" t="str">
        <x:v>2026-08-07</x:v>
      </x:c>
      <x:c r="F71" s="28" t="str">
        <x:v>Approved case</x:v>
      </x:c>
      <x:c r="G71" s="28" t="str">
        <x:v>Payroll</x:v>
      </x:c>
      <x:c r="H71" s="31" t="n">
        <x:v>0</x:v>
      </x:c>
      <x:c r="I71" s="28" t="str"/>
      <x:c r="J71" s="28" t="str">
        <x:v>USD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TRY-00513</x:v>
      </x:c>
      <x:c r="B72" s="28" t="str">
        <x:v>Create the dynamic 13-week cash and revolver model</x:v>
      </x:c>
      <x:c r="C72" s="28" t="str">
        <x:v>13-week direct cash forecast</x:v>
      </x:c>
      <x:c r="D72" s="28" t="str">
        <x:v>Alder Ridge</x:v>
      </x:c>
      <x:c r="E72" s="28" t="str">
        <x:v>2026-08-07</x:v>
      </x:c>
      <x:c r="F72" s="28" t="str">
        <x:v>Approved case</x:v>
      </x:c>
      <x:c r="G72" s="28" t="str">
        <x:v>Taxes and capex</x:v>
      </x:c>
      <x:c r="H72" s="31" t="n">
        <x:v>0</x:v>
      </x:c>
      <x:c r="I72" s="28" t="str"/>
      <x:c r="J72" s="28" t="str">
        <x:v>USD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TRY-00514</x:v>
      </x:c>
      <x:c r="B73" s="28" t="str">
        <x:v>Create the dynamic 13-week cash and revolver model</x:v>
      </x:c>
      <x:c r="C73" s="28" t="str">
        <x:v>13-week direct cash forecast</x:v>
      </x:c>
      <x:c r="D73" s="28" t="str">
        <x:v>Alder Ridge</x:v>
      </x:c>
      <x:c r="E73" s="28" t="str">
        <x:v>2026-08-14</x:v>
      </x:c>
      <x:c r="F73" s="28" t="str">
        <x:v>Approved case</x:v>
      </x:c>
      <x:c r="G73" s="28" t="str">
        <x:v>Customer receipts</x:v>
      </x:c>
      <x:c r="H73" s="31" t="n">
        <x:v>2740000</x:v>
      </x:c>
      <x:c r="I73" s="28" t="str"/>
      <x:c r="J73" s="28" t="str">
        <x:v>USD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TRY-00515</x:v>
      </x:c>
      <x:c r="B74" s="28" t="str">
        <x:v>Create the dynamic 13-week cash and revolver model</x:v>
      </x:c>
      <x:c r="C74" s="28" t="str">
        <x:v>13-week direct cash forecast</x:v>
      </x:c>
      <x:c r="D74" s="28" t="str">
        <x:v>Alder Ridge</x:v>
      </x:c>
      <x:c r="E74" s="28" t="str">
        <x:v>2026-08-14</x:v>
      </x:c>
      <x:c r="F74" s="28" t="str">
        <x:v>Approved case</x:v>
      </x:c>
      <x:c r="G74" s="28" t="str">
        <x:v>Operating disbursements</x:v>
      </x:c>
      <x:c r="H74" s="31" t="n">
        <x:v>2130000</x:v>
      </x:c>
      <x:c r="I74" s="28" t="str"/>
      <x:c r="J74" s="28" t="str">
        <x:v>USD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TRY-00516</x:v>
      </x:c>
      <x:c r="B75" s="28" t="str">
        <x:v>Create the dynamic 13-week cash and revolver model</x:v>
      </x:c>
      <x:c r="C75" s="28" t="str">
        <x:v>13-week direct cash forecast</x:v>
      </x:c>
      <x:c r="D75" s="28" t="str">
        <x:v>Alder Ridge</x:v>
      </x:c>
      <x:c r="E75" s="28" t="str">
        <x:v>2026-08-14</x:v>
      </x:c>
      <x:c r="F75" s="28" t="str">
        <x:v>Approved case</x:v>
      </x:c>
      <x:c r="G75" s="28" t="str">
        <x:v>Payroll</x:v>
      </x:c>
      <x:c r="H75" s="31" t="n">
        <x:v>0</x:v>
      </x:c>
      <x:c r="I75" s="28" t="str"/>
      <x:c r="J75" s="28" t="str">
        <x:v>USD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TRY-00517</x:v>
      </x:c>
      <x:c r="B76" s="28" t="str">
        <x:v>Create the dynamic 13-week cash and revolver model</x:v>
      </x:c>
      <x:c r="C76" s="28" t="str">
        <x:v>13-week direct cash forecast</x:v>
      </x:c>
      <x:c r="D76" s="28" t="str">
        <x:v>Alder Ridge</x:v>
      </x:c>
      <x:c r="E76" s="28" t="str">
        <x:v>2026-08-14</x:v>
      </x:c>
      <x:c r="F76" s="28" t="str">
        <x:v>Approved case</x:v>
      </x:c>
      <x:c r="G76" s="28" t="str">
        <x:v>Taxes and capex</x:v>
      </x:c>
      <x:c r="H76" s="31" t="n">
        <x:v>0</x:v>
      </x:c>
      <x:c r="I76" s="28" t="str"/>
      <x:c r="J76" s="28" t="str">
        <x:v>USD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TRY-00518</x:v>
      </x:c>
      <x:c r="B77" s="28" t="str">
        <x:v>Create the dynamic 13-week cash and revolver model</x:v>
      </x:c>
      <x:c r="C77" s="28" t="str">
        <x:v>13-week direct cash forecast</x:v>
      </x:c>
      <x:c r="D77" s="28" t="str">
        <x:v>Alder Ridge</x:v>
      </x:c>
      <x:c r="E77" s="28" t="str">
        <x:v>2026-08-21</x:v>
      </x:c>
      <x:c r="F77" s="28" t="str">
        <x:v>Approved case</x:v>
      </x:c>
      <x:c r="G77" s="28" t="str">
        <x:v>Customer receipts</x:v>
      </x:c>
      <x:c r="H77" s="31" t="n">
        <x:v>1860000</x:v>
      </x:c>
      <x:c r="I77" s="28" t="str"/>
      <x:c r="J77" s="28" t="str">
        <x:v>USD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TRY-00519</x:v>
      </x:c>
      <x:c r="B78" s="28" t="str">
        <x:v>Create the dynamic 13-week cash and revolver model</x:v>
      </x:c>
      <x:c r="C78" s="28" t="str">
        <x:v>13-week direct cash forecast</x:v>
      </x:c>
      <x:c r="D78" s="28" t="str">
        <x:v>Alder Ridge</x:v>
      </x:c>
      <x:c r="E78" s="28" t="str">
        <x:v>2026-08-21</x:v>
      </x:c>
      <x:c r="F78" s="28" t="str">
        <x:v>Approved case</x:v>
      </x:c>
      <x:c r="G78" s="28" t="str">
        <x:v>Operating disbursements</x:v>
      </x:c>
      <x:c r="H78" s="31" t="n">
        <x:v>2910000</x:v>
      </x:c>
      <x:c r="I78" s="28" t="str"/>
      <x:c r="J78" s="28" t="str">
        <x:v>USD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TRY-00520</x:v>
      </x:c>
      <x:c r="B79" s="28" t="str">
        <x:v>Create the dynamic 13-week cash and revolver model</x:v>
      </x:c>
      <x:c r="C79" s="28" t="str">
        <x:v>13-week direct cash forecast</x:v>
      </x:c>
      <x:c r="D79" s="28" t="str">
        <x:v>Alder Ridge</x:v>
      </x:c>
      <x:c r="E79" s="28" t="str">
        <x:v>2026-08-21</x:v>
      </x:c>
      <x:c r="F79" s="28" t="str">
        <x:v>Approved case</x:v>
      </x:c>
      <x:c r="G79" s="28" t="str">
        <x:v>Payroll</x:v>
      </x:c>
      <x:c r="H79" s="31" t="n">
        <x:v>940</x:v>
      </x:c>
      <x:c r="I79" s="28" t="str"/>
      <x:c r="J79" s="28" t="str">
        <x:v>USD thousands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TRY-00521</x:v>
      </x:c>
      <x:c r="B80" s="28" t="str">
        <x:v>Create the dynamic 13-week cash and revolver model</x:v>
      </x:c>
      <x:c r="C80" s="28" t="str">
        <x:v>13-week direct cash forecast</x:v>
      </x:c>
      <x:c r="D80" s="28" t="str">
        <x:v>Alder Ridge</x:v>
      </x:c>
      <x:c r="E80" s="28" t="str">
        <x:v>2026-08-21</x:v>
      </x:c>
      <x:c r="F80" s="28" t="str">
        <x:v>Approved case</x:v>
      </x:c>
      <x:c r="G80" s="28" t="str">
        <x:v>Taxes and capex</x:v>
      </x:c>
      <x:c r="H80" s="31" t="n">
        <x:v>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TRY-00522</x:v>
      </x:c>
      <x:c r="B81" s="28" t="str">
        <x:v>Create the dynamic 13-week cash and revolver model</x:v>
      </x:c>
      <x:c r="C81" s="28" t="str">
        <x:v>13-week direct cash forecast</x:v>
      </x:c>
      <x:c r="D81" s="28" t="str">
        <x:v>Alder Ridge</x:v>
      </x:c>
      <x:c r="E81" s="28" t="str">
        <x:v>2026-08-28</x:v>
      </x:c>
      <x:c r="F81" s="28" t="str">
        <x:v>Approved case</x:v>
      </x:c>
      <x:c r="G81" s="28" t="str">
        <x:v>Customer receipts</x:v>
      </x:c>
      <x:c r="H81" s="31" t="n">
        <x:v>3440000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TRY-00523</x:v>
      </x:c>
      <x:c r="B82" s="28" t="str">
        <x:v>Create the dynamic 13-week cash and revolver model</x:v>
      </x:c>
      <x:c r="C82" s="28" t="str">
        <x:v>13-week direct cash forecast</x:v>
      </x:c>
      <x:c r="D82" s="28" t="str">
        <x:v>Alder Ridge</x:v>
      </x:c>
      <x:c r="E82" s="28" t="str">
        <x:v>2026-08-28</x:v>
      </x:c>
      <x:c r="F82" s="28" t="str">
        <x:v>Approved case</x:v>
      </x:c>
      <x:c r="G82" s="28" t="str">
        <x:v>Operating disbursements</x:v>
      </x:c>
      <x:c r="H82" s="31" t="n">
        <x:v>2280000</x:v>
      </x:c>
      <x:c r="I82" s="28" t="str"/>
      <x:c r="J82" s="28" t="str">
        <x:v>USD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TRY-00524</x:v>
      </x:c>
      <x:c r="B83" s="28" t="str">
        <x:v>Create the dynamic 13-week cash and revolver model</x:v>
      </x:c>
      <x:c r="C83" s="28" t="str">
        <x:v>13-week direct cash forecast</x:v>
      </x:c>
      <x:c r="D83" s="28" t="str">
        <x:v>Alder Ridge</x:v>
      </x:c>
      <x:c r="E83" s="28" t="str">
        <x:v>2026-08-28</x:v>
      </x:c>
      <x:c r="F83" s="28" t="str">
        <x:v>Approved case</x:v>
      </x:c>
      <x:c r="G83" s="28" t="str">
        <x:v>Payroll</x:v>
      </x:c>
      <x:c r="H83" s="31" t="n">
        <x:v>0</x:v>
      </x:c>
      <x:c r="I83" s="28" t="str"/>
      <x:c r="J83" s="28" t="str">
        <x:v>USD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TRY-00525</x:v>
      </x:c>
      <x:c r="B84" s="28" t="str">
        <x:v>Create the dynamic 13-week cash and revolver model</x:v>
      </x:c>
      <x:c r="C84" s="28" t="str">
        <x:v>13-week direct cash forecast</x:v>
      </x:c>
      <x:c r="D84" s="28" t="str">
        <x:v>Alder Ridge</x:v>
      </x:c>
      <x:c r="E84" s="28" t="str">
        <x:v>2026-08-28</x:v>
      </x:c>
      <x:c r="F84" s="28" t="str">
        <x:v>Approved case</x:v>
      </x:c>
      <x:c r="G84" s="28" t="str">
        <x:v>Taxes and capex</x:v>
      </x:c>
      <x:c r="H84" s="31" t="n">
        <x:v>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TRY-00526</x:v>
      </x:c>
      <x:c r="B85" s="28" t="str">
        <x:v>Create the dynamic 13-week cash and revolver model</x:v>
      </x:c>
      <x:c r="C85" s="28" t="str">
        <x:v>13-week direct cash forecast</x:v>
      </x:c>
      <x:c r="D85" s="28" t="str">
        <x:v>Alder Ridge</x:v>
      </x:c>
      <x:c r="E85" s="28" t="str">
        <x:v>2026-09-04</x:v>
      </x:c>
      <x:c r="F85" s="28" t="str">
        <x:v>Approved case</x:v>
      </x:c>
      <x:c r="G85" s="28" t="str">
        <x:v>Customer receipts</x:v>
      </x:c>
      <x:c r="H85" s="31" t="n">
        <x:v>2120000</x:v>
      </x:c>
      <x:c r="I85" s="28" t="str"/>
      <x:c r="J85" s="28" t="str">
        <x:v>USD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TRY-00527</x:v>
      </x:c>
      <x:c r="B86" s="28" t="str">
        <x:v>Create the dynamic 13-week cash and revolver model</x:v>
      </x:c>
      <x:c r="C86" s="28" t="str">
        <x:v>13-week direct cash forecast</x:v>
      </x:c>
      <x:c r="D86" s="28" t="str">
        <x:v>Alder Ridge</x:v>
      </x:c>
      <x:c r="E86" s="28" t="str">
        <x:v>2026-09-04</x:v>
      </x:c>
      <x:c r="F86" s="28" t="str">
        <x:v>Approved case</x:v>
      </x:c>
      <x:c r="G86" s="28" t="str">
        <x:v>Operating disbursements</x:v>
      </x:c>
      <x:c r="H86" s="31" t="n">
        <x:v>2510000</x:v>
      </x:c>
      <x:c r="I86" s="28" t="str"/>
      <x:c r="J86" s="28" t="str">
        <x:v>USD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TRY-00528</x:v>
      </x:c>
      <x:c r="B87" s="28" t="str">
        <x:v>Create the dynamic 13-week cash and revolver model</x:v>
      </x:c>
      <x:c r="C87" s="28" t="str">
        <x:v>13-week direct cash forecast</x:v>
      </x:c>
      <x:c r="D87" s="28" t="str">
        <x:v>Alder Ridge</x:v>
      </x:c>
      <x:c r="E87" s="28" t="str">
        <x:v>2026-09-04</x:v>
      </x:c>
      <x:c r="F87" s="28" t="str">
        <x:v>Approved case</x:v>
      </x:c>
      <x:c r="G87" s="28" t="str">
        <x:v>Payroll</x:v>
      </x:c>
      <x:c r="H87" s="31" t="n">
        <x:v>0</x:v>
      </x:c>
      <x:c r="I87" s="28" t="str"/>
      <x:c r="J87" s="28" t="str">
        <x:v>USD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TRY-00529</x:v>
      </x:c>
      <x:c r="B88" s="28" t="str">
        <x:v>Create the dynamic 13-week cash and revolver model</x:v>
      </x:c>
      <x:c r="C88" s="28" t="str">
        <x:v>13-week direct cash forecast</x:v>
      </x:c>
      <x:c r="D88" s="28" t="str">
        <x:v>Alder Ridge</x:v>
      </x:c>
      <x:c r="E88" s="28" t="str">
        <x:v>2026-09-04</x:v>
      </x:c>
      <x:c r="F88" s="28" t="str">
        <x:v>Approved case</x:v>
      </x:c>
      <x:c r="G88" s="28" t="str">
        <x:v>Taxes and capex</x:v>
      </x:c>
      <x:c r="H88" s="31" t="n">
        <x:v>0</x:v>
      </x:c>
      <x:c r="I88" s="28" t="str"/>
      <x:c r="J88" s="28" t="str">
        <x:v>USD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TRY-00530</x:v>
      </x:c>
      <x:c r="B89" s="28" t="str">
        <x:v>Create the dynamic 13-week cash and revolver model</x:v>
      </x:c>
      <x:c r="C89" s="28" t="str">
        <x:v>13-week direct cash forecast</x:v>
      </x:c>
      <x:c r="D89" s="28" t="str">
        <x:v>Alder Ridge</x:v>
      </x:c>
      <x:c r="E89" s="28" t="str">
        <x:v>2026-09-11</x:v>
      </x:c>
      <x:c r="F89" s="28" t="str">
        <x:v>Approved case</x:v>
      </x:c>
      <x:c r="G89" s="28" t="str">
        <x:v>Customer receipts</x:v>
      </x:c>
      <x:c r="H89" s="31" t="n">
        <x:v>2890000</x:v>
      </x:c>
      <x:c r="I89" s="28" t="str"/>
      <x:c r="J89" s="28" t="str">
        <x:v>USD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TRY-00531</x:v>
      </x:c>
      <x:c r="B90" s="28" t="str">
        <x:v>Create the dynamic 13-week cash and revolver model</x:v>
      </x:c>
      <x:c r="C90" s="28" t="str">
        <x:v>13-week direct cash forecast</x:v>
      </x:c>
      <x:c r="D90" s="28" t="str">
        <x:v>Alder Ridge</x:v>
      </x:c>
      <x:c r="E90" s="28" t="str">
        <x:v>2026-09-11</x:v>
      </x:c>
      <x:c r="F90" s="28" t="str">
        <x:v>Approved case</x:v>
      </x:c>
      <x:c r="G90" s="28" t="str">
        <x:v>Operating disbursements</x:v>
      </x:c>
      <x:c r="H90" s="31" t="n">
        <x:v>2260000</x:v>
      </x:c>
      <x:c r="I90" s="28" t="str"/>
      <x:c r="J90" s="28" t="str">
        <x:v>USD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TRY-00532</x:v>
      </x:c>
      <x:c r="B91" s="28" t="str">
        <x:v>Create the dynamic 13-week cash and revolver model</x:v>
      </x:c>
      <x:c r="C91" s="28" t="str">
        <x:v>13-week direct cash forecast</x:v>
      </x:c>
      <x:c r="D91" s="28" t="str">
        <x:v>Alder Ridge</x:v>
      </x:c>
      <x:c r="E91" s="28" t="str">
        <x:v>2026-09-11</x:v>
      </x:c>
      <x:c r="F91" s="28" t="str">
        <x:v>Approved case</x:v>
      </x:c>
      <x:c r="G91" s="28" t="str">
        <x:v>Payroll</x:v>
      </x:c>
      <x:c r="H91" s="31" t="n">
        <x:v>0</x:v>
      </x:c>
      <x:c r="I91" s="28" t="str"/>
      <x:c r="J91" s="28" t="str">
        <x:v>USD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TRY-00533</x:v>
      </x:c>
      <x:c r="B92" s="28" t="str">
        <x:v>Create the dynamic 13-week cash and revolver model</x:v>
      </x:c>
      <x:c r="C92" s="28" t="str">
        <x:v>13-week direct cash forecast</x:v>
      </x:c>
      <x:c r="D92" s="28" t="str">
        <x:v>Alder Ridge</x:v>
      </x:c>
      <x:c r="E92" s="28" t="str">
        <x:v>2026-09-11</x:v>
      </x:c>
      <x:c r="F92" s="28" t="str">
        <x:v>Approved case</x:v>
      </x:c>
      <x:c r="G92" s="28" t="str">
        <x:v>Taxes and capex</x:v>
      </x:c>
      <x:c r="H92" s="31" t="n">
        <x:v>0</x:v>
      </x:c>
      <x:c r="I92" s="28" t="str"/>
      <x:c r="J92" s="28" t="str">
        <x:v>USD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TRY-00534</x:v>
      </x:c>
      <x:c r="B93" s="28" t="str">
        <x:v>Create the dynamic 13-week cash and revolver model</x:v>
      </x:c>
      <x:c r="C93" s="28" t="str">
        <x:v>13-week direct cash forecast</x:v>
      </x:c>
      <x:c r="D93" s="28" t="str">
        <x:v>Alder Ridge</x:v>
      </x:c>
      <x:c r="E93" s="28" t="str">
        <x:v>2026-09-18</x:v>
      </x:c>
      <x:c r="F93" s="28" t="str">
        <x:v>Approved case</x:v>
      </x:c>
      <x:c r="G93" s="28" t="str">
        <x:v>Customer receipts</x:v>
      </x:c>
      <x:c r="H93" s="31" t="n">
        <x:v>2050000</x:v>
      </x:c>
      <x:c r="I93" s="28" t="str"/>
      <x:c r="J93" s="28" t="str">
        <x:v>USD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7" t="str">
        <x:v>TRY-00535</x:v>
      </x:c>
      <x:c r="B94" s="28" t="str">
        <x:v>Create the dynamic 13-week cash and revolver model</x:v>
      </x:c>
      <x:c r="C94" s="28" t="str">
        <x:v>13-week direct cash forecast</x:v>
      </x:c>
      <x:c r="D94" s="28" t="str">
        <x:v>Alder Ridge</x:v>
      </x:c>
      <x:c r="E94" s="28" t="str">
        <x:v>2026-09-18</x:v>
      </x:c>
      <x:c r="F94" s="28" t="str">
        <x:v>Approved case</x:v>
      </x:c>
      <x:c r="G94" s="28" t="str">
        <x:v>Operating disbursements</x:v>
      </x:c>
      <x:c r="H94" s="31" t="n">
        <x:v>2790000</x:v>
      </x:c>
      <x:c r="I94" s="28" t="str"/>
      <x:c r="J94" s="28" t="str">
        <x:v>USD</x:v>
      </x:c>
      <x:c r="K94" s="28" t="str">
        <x:v>Finance operating schedule</x:v>
      </x:c>
      <x:c r="L94" s="34" t="str">
        <x:v>2026-06-30</x:v>
      </x:c>
      <x:c r="M94" s="28" t="str"/>
    </x:row>
    <x:row r="95">
      <x:c r="A95" s="37" t="str">
        <x:v>TRY-00536</x:v>
      </x:c>
      <x:c r="B95" s="28" t="str">
        <x:v>Create the dynamic 13-week cash and revolver model</x:v>
      </x:c>
      <x:c r="C95" s="28" t="str">
        <x:v>13-week direct cash forecast</x:v>
      </x:c>
      <x:c r="D95" s="28" t="str">
        <x:v>Alder Ridge</x:v>
      </x:c>
      <x:c r="E95" s="28" t="str">
        <x:v>2026-09-18</x:v>
      </x:c>
      <x:c r="F95" s="28" t="str">
        <x:v>Approved case</x:v>
      </x:c>
      <x:c r="G95" s="28" t="str">
        <x:v>Payroll</x:v>
      </x:c>
      <x:c r="H95" s="31" t="n">
        <x:v>940</x:v>
      </x:c>
      <x:c r="I95" s="28" t="str"/>
      <x:c r="J95" s="28" t="str">
        <x:v>USD thousands</x:v>
      </x:c>
      <x:c r="K95" s="28" t="str">
        <x:v>Finance operating schedule</x:v>
      </x:c>
      <x:c r="L95" s="34" t="str">
        <x:v>2026-06-30</x:v>
      </x:c>
      <x:c r="M95" s="28" t="str"/>
    </x:row>
    <x:row r="96">
      <x:c r="A96" s="37" t="str">
        <x:v>TRY-00537</x:v>
      </x:c>
      <x:c r="B96" s="28" t="str">
        <x:v>Create the dynamic 13-week cash and revolver model</x:v>
      </x:c>
      <x:c r="C96" s="28" t="str">
        <x:v>13-week direct cash forecast</x:v>
      </x:c>
      <x:c r="D96" s="28" t="str">
        <x:v>Alder Ridge</x:v>
      </x:c>
      <x:c r="E96" s="28" t="str">
        <x:v>2026-09-18</x:v>
      </x:c>
      <x:c r="F96" s="28" t="str">
        <x:v>Approved case</x:v>
      </x:c>
      <x:c r="G96" s="28" t="str">
        <x:v>Taxes and capex</x:v>
      </x:c>
      <x:c r="H96" s="31" t="n">
        <x:v>0</x:v>
      </x:c>
      <x:c r="I96" s="28" t="str"/>
      <x:c r="J96" s="28" t="str">
        <x:v>USD</x:v>
      </x:c>
      <x:c r="K96" s="28" t="str">
        <x:v>Finance operating schedule</x:v>
      </x:c>
      <x:c r="L96" s="34" t="str">
        <x:v>2026-06-30</x:v>
      </x:c>
      <x:c r="M96" s="28" t="str"/>
    </x:row>
    <x:row r="97">
      <x:c r="A97" s="37" t="str">
        <x:v>TRY-00538</x:v>
      </x:c>
      <x:c r="B97" s="28" t="str">
        <x:v>Create the dynamic 13-week cash and revolver model</x:v>
      </x:c>
      <x:c r="C97" s="28" t="str">
        <x:v>13-week direct cash forecast</x:v>
      </x:c>
      <x:c r="D97" s="28" t="str">
        <x:v>Alder Ridge</x:v>
      </x:c>
      <x:c r="E97" s="28" t="str">
        <x:v>2026-09-25</x:v>
      </x:c>
      <x:c r="F97" s="28" t="str">
        <x:v>Approved case</x:v>
      </x:c>
      <x:c r="G97" s="28" t="str">
        <x:v>Customer receipts</x:v>
      </x:c>
      <x:c r="H97" s="31" t="n">
        <x:v>3610000</x:v>
      </x:c>
      <x:c r="I97" s="28" t="str"/>
      <x:c r="J97" s="28" t="str">
        <x:v>USD</x:v>
      </x:c>
      <x:c r="K97" s="28" t="str">
        <x:v>Finance operating schedule</x:v>
      </x:c>
      <x:c r="L97" s="34" t="str">
        <x:v>2026-06-30</x:v>
      </x:c>
      <x:c r="M97" s="28" t="str"/>
    </x:row>
    <x:row r="98">
      <x:c r="A98" s="37" t="str">
        <x:v>TRY-00539</x:v>
      </x:c>
      <x:c r="B98" s="28" t="str">
        <x:v>Create the dynamic 13-week cash and revolver model</x:v>
      </x:c>
      <x:c r="C98" s="28" t="str">
        <x:v>13-week direct cash forecast</x:v>
      </x:c>
      <x:c r="D98" s="28" t="str">
        <x:v>Alder Ridge</x:v>
      </x:c>
      <x:c r="E98" s="28" t="str">
        <x:v>2026-09-25</x:v>
      </x:c>
      <x:c r="F98" s="28" t="str">
        <x:v>Approved case</x:v>
      </x:c>
      <x:c r="G98" s="28" t="str">
        <x:v>Operating disbursements</x:v>
      </x:c>
      <x:c r="H98" s="31" t="n">
        <x:v>2420000</x:v>
      </x:c>
      <x:c r="I98" s="28" t="str"/>
      <x:c r="J98" s="28" t="str">
        <x:v>USD</x:v>
      </x:c>
      <x:c r="K98" s="28" t="str">
        <x:v>Finance operating schedule</x:v>
      </x:c>
      <x:c r="L98" s="34" t="str">
        <x:v>2026-06-30</x:v>
      </x:c>
      <x:c r="M98" s="28" t="str"/>
    </x:row>
    <x:row r="99">
      <x:c r="A99" s="37" t="str">
        <x:v>TRY-00540</x:v>
      </x:c>
      <x:c r="B99" s="28" t="str">
        <x:v>Create the dynamic 13-week cash and revolver model</x:v>
      </x:c>
      <x:c r="C99" s="28" t="str">
        <x:v>13-week direct cash forecast</x:v>
      </x:c>
      <x:c r="D99" s="28" t="str">
        <x:v>Alder Ridge</x:v>
      </x:c>
      <x:c r="E99" s="28" t="str">
        <x:v>2026-09-25</x:v>
      </x:c>
      <x:c r="F99" s="28" t="str">
        <x:v>Approved case</x:v>
      </x:c>
      <x:c r="G99" s="28" t="str">
        <x:v>Payroll</x:v>
      </x:c>
      <x:c r="H99" s="31" t="n">
        <x:v>0</x:v>
      </x:c>
      <x:c r="I99" s="28" t="str"/>
      <x:c r="J99" s="28" t="str">
        <x:v>USD</x:v>
      </x:c>
      <x:c r="K99" s="28" t="str">
        <x:v>Finance operating schedule</x:v>
      </x:c>
      <x:c r="L99" s="34" t="str">
        <x:v>2026-06-30</x:v>
      </x:c>
      <x:c r="M99" s="28" t="str"/>
    </x:row>
    <x:row r="100">
      <x:c r="A100" s="37" t="str">
        <x:v>TRY-00541</x:v>
      </x:c>
      <x:c r="B100" s="28" t="str">
        <x:v>Create the dynamic 13-week cash and revolver model</x:v>
      </x:c>
      <x:c r="C100" s="28" t="str">
        <x:v>13-week direct cash forecast</x:v>
      </x:c>
      <x:c r="D100" s="28" t="str">
        <x:v>Alder Ridge</x:v>
      </x:c>
      <x:c r="E100" s="28" t="str">
        <x:v>2026-09-25</x:v>
      </x:c>
      <x:c r="F100" s="28" t="str">
        <x:v>Approved case</x:v>
      </x:c>
      <x:c r="G100" s="28" t="str">
        <x:v>Taxes and capex</x:v>
      </x:c>
      <x:c r="H100" s="31" t="n">
        <x:v>680000</x:v>
      </x:c>
      <x:c r="I100" s="28" t="str"/>
      <x:c r="J100" s="28" t="str">
        <x:v>USD</x:v>
      </x:c>
      <x:c r="K100" s="28" t="str">
        <x:v>Finance operating schedule</x:v>
      </x:c>
      <x:c r="L100" s="34" t="str">
        <x:v>2026-06-30</x:v>
      </x:c>
      <x:c r="M100" s="28" t="str"/>
    </x:row>
    <x:row r="101">
      <x:c r="A101" s="37" t="str">
        <x:v>TRY-00542</x:v>
      </x:c>
      <x:c r="B101" s="28" t="str">
        <x:v>Create the dynamic 13-week cash and revolver model</x:v>
      </x:c>
      <x:c r="C101" s="28" t="str">
        <x:v>13-week direct cash forecast</x:v>
      </x:c>
      <x:c r="D101" s="28" t="str">
        <x:v>Alder Ridge</x:v>
      </x:c>
      <x:c r="E101" s="28" t="str">
        <x:v>2026-10-02</x:v>
      </x:c>
      <x:c r="F101" s="28" t="str">
        <x:v>Approved case</x:v>
      </x:c>
      <x:c r="G101" s="28" t="str">
        <x:v>Customer receipts</x:v>
      </x:c>
      <x:c r="H101" s="31" t="n">
        <x:v>2330000</x:v>
      </x:c>
      <x:c r="I101" s="28" t="str"/>
      <x:c r="J101" s="28" t="str">
        <x:v>USD</x:v>
      </x:c>
      <x:c r="K101" s="28" t="str">
        <x:v>Finance operating schedule</x:v>
      </x:c>
      <x:c r="L101" s="34" t="str">
        <x:v>2026-06-30</x:v>
      </x:c>
      <x:c r="M101" s="28" t="str"/>
    </x:row>
    <x:row r="102">
      <x:c r="A102" s="37" t="str">
        <x:v>TRY-00543</x:v>
      </x:c>
      <x:c r="B102" s="28" t="str">
        <x:v>Create the dynamic 13-week cash and revolver model</x:v>
      </x:c>
      <x:c r="C102" s="28" t="str">
        <x:v>13-week direct cash forecast</x:v>
      </x:c>
      <x:c r="D102" s="28" t="str">
        <x:v>Alder Ridge</x:v>
      </x:c>
      <x:c r="E102" s="28" t="str">
        <x:v>2026-10-02</x:v>
      </x:c>
      <x:c r="F102" s="28" t="str">
        <x:v>Approved case</x:v>
      </x:c>
      <x:c r="G102" s="28" t="str">
        <x:v>Operating disbursements</x:v>
      </x:c>
      <x:c r="H102" s="31" t="n">
        <x:v>2490000</x:v>
      </x:c>
      <x:c r="I102" s="28" t="str"/>
      <x:c r="J102" s="28" t="str">
        <x:v>USD</x:v>
      </x:c>
      <x:c r="K102" s="28" t="str">
        <x:v>Finance operating schedule</x:v>
      </x:c>
      <x:c r="L102" s="34" t="str">
        <x:v>2026-06-30</x:v>
      </x:c>
      <x:c r="M102" s="28" t="str"/>
    </x:row>
    <x:row r="103">
      <x:c r="A103" s="37" t="str">
        <x:v>TRY-00544</x:v>
      </x:c>
      <x:c r="B103" s="28" t="str">
        <x:v>Create the dynamic 13-week cash and revolver model</x:v>
      </x:c>
      <x:c r="C103" s="28" t="str">
        <x:v>13-week direct cash forecast</x:v>
      </x:c>
      <x:c r="D103" s="28" t="str">
        <x:v>Alder Ridge</x:v>
      </x:c>
      <x:c r="E103" s="28" t="str">
        <x:v>2026-10-02</x:v>
      </x:c>
      <x:c r="F103" s="28" t="str">
        <x:v>Approved case</x:v>
      </x:c>
      <x:c r="G103" s="28" t="str">
        <x:v>Payroll</x:v>
      </x:c>
      <x:c r="H103" s="31" t="n">
        <x:v>0</x:v>
      </x:c>
      <x:c r="I103" s="28" t="str"/>
      <x:c r="J103" s="28" t="str">
        <x:v>USD</x:v>
      </x:c>
      <x:c r="K103" s="28" t="str">
        <x:v>Finance operating schedule</x:v>
      </x:c>
      <x:c r="L103" s="34" t="str">
        <x:v>2026-06-30</x:v>
      </x:c>
      <x:c r="M103" s="28" t="str"/>
    </x:row>
    <x:row r="104">
      <x:c r="A104" s="37" t="str">
        <x:v>TRY-00545</x:v>
      </x:c>
      <x:c r="B104" s="28" t="str">
        <x:v>Create the dynamic 13-week cash and revolver model</x:v>
      </x:c>
      <x:c r="C104" s="28" t="str">
        <x:v>13-week direct cash forecast</x:v>
      </x:c>
      <x:c r="D104" s="28" t="str">
        <x:v>Alder Ridge</x:v>
      </x:c>
      <x:c r="E104" s="28" t="str">
        <x:v>2026-10-02</x:v>
      </x:c>
      <x:c r="F104" s="28" t="str">
        <x:v>Approved case</x:v>
      </x:c>
      <x:c r="G104" s="28" t="str">
        <x:v>Taxes and capex</x:v>
      </x:c>
      <x:c r="H104" s="31" t="n">
        <x:v>0</x:v>
      </x:c>
      <x:c r="I104" s="28" t="str"/>
      <x:c r="J104" s="28" t="str">
        <x:v>USD</x:v>
      </x:c>
      <x:c r="K104" s="28" t="str">
        <x:v>Finance operating schedule</x:v>
      </x:c>
      <x:c r="L104" s="34" t="str">
        <x:v>2026-06-30</x:v>
      </x:c>
      <x:c r="M104" s="28" t="str"/>
    </x:row>
    <x:row r="105">
      <x:c r="A105" s="37" t="str">
        <x:v>TRY-00546</x:v>
      </x:c>
      <x:c r="B105" s="28" t="str">
        <x:v>Create the dynamic 13-week cash and revolver model</x:v>
      </x:c>
      <x:c r="C105" s="28" t="str">
        <x:v>Weekly funding policy</x:v>
      </x:c>
      <x:c r="D105" s="28" t="str">
        <x:v>Alder Ridge</x:v>
      </x:c>
      <x:c r="E105" s="28" t="str">
        <x:v>FY26 Q3</x:v>
      </x:c>
      <x:c r="F105" s="28" t="str">
        <x:v>Approved case</x:v>
      </x:c>
      <x:c r="G105" s="28" t="str">
        <x:v>Minimum operating cash</x:v>
      </x:c>
      <x:c r="H105" s="31" t="n">
        <x:v>2250000</x:v>
      </x:c>
      <x:c r="I105" s="28" t="str"/>
      <x:c r="J105" s="28" t="str">
        <x:v>USD</x:v>
      </x:c>
      <x:c r="K105" s="28" t="str">
        <x:v>Finance operating schedule</x:v>
      </x:c>
      <x:c r="L105" s="34" t="str">
        <x:v>2026-06-30</x:v>
      </x:c>
      <x:c r="M105" s="28" t="str"/>
    </x:row>
    <x:row r="106">
      <x:c r="A106" s="37" t="str">
        <x:v>TRY-00547</x:v>
      </x:c>
      <x:c r="B106" s="28" t="str">
        <x:v>Create the dynamic 13-week cash and revolver model</x:v>
      </x:c>
      <x:c r="C106" s="28" t="str">
        <x:v>Weekly funding policy</x:v>
      </x:c>
      <x:c r="D106" s="28" t="str">
        <x:v>Alder Ridge</x:v>
      </x:c>
      <x:c r="E106" s="28" t="str">
        <x:v>FY26 Q3</x:v>
      </x:c>
      <x:c r="F106" s="28" t="str">
        <x:v>Approved case</x:v>
      </x:c>
      <x:c r="G106" s="28" t="str">
        <x:v>Revolver commitment</x:v>
      </x:c>
      <x:c r="H106" s="31" t="n">
        <x:v>8000000</x:v>
      </x:c>
      <x:c r="I106" s="28" t="str"/>
      <x:c r="J106" s="28" t="str">
        <x:v>USD</x:v>
      </x:c>
      <x:c r="K106" s="28" t="str">
        <x:v>Finance operating schedule</x:v>
      </x:c>
      <x:c r="L106" s="34" t="str">
        <x:v>2026-06-30</x:v>
      </x:c>
      <x:c r="M106" s="28" t="str"/>
    </x:row>
    <x:row r="107">
      <x:c r="A107" s="37" t="str">
        <x:v>TRY-00548</x:v>
      </x:c>
      <x:c r="B107" s="28" t="str">
        <x:v>Create the dynamic 13-week cash and revolver model</x:v>
      </x:c>
      <x:c r="C107" s="28" t="str">
        <x:v>Weekly funding policy</x:v>
      </x:c>
      <x:c r="D107" s="28" t="str">
        <x:v>Alder Ridge</x:v>
      </x:c>
      <x:c r="E107" s="28" t="str">
        <x:v>FY26 Q3</x:v>
      </x:c>
      <x:c r="F107" s="28" t="str">
        <x:v>Approved case</x:v>
      </x:c>
      <x:c r="G107" s="28" t="str">
        <x:v>SOFR</x:v>
      </x:c>
      <x:c r="H107" s="31" t="n">
        <x:v>0.0525</x:v>
      </x:c>
      <x:c r="I107" s="28" t="str"/>
      <x:c r="J107" s="28" t="str">
        <x:v>decimal ratio</x:v>
      </x:c>
      <x:c r="K107" s="28" t="str">
        <x:v>Finance operating schedule</x:v>
      </x:c>
      <x:c r="L107" s="34" t="str">
        <x:v>2026-06-30</x:v>
      </x:c>
      <x:c r="M107" s="28" t="str"/>
    </x:row>
    <x:row r="108">
      <x:c r="A108" s="37" t="str">
        <x:v>TRY-00549</x:v>
      </x:c>
      <x:c r="B108" s="28" t="str">
        <x:v>Create the dynamic 13-week cash and revolver model</x:v>
      </x:c>
      <x:c r="C108" s="28" t="str">
        <x:v>Weekly funding policy</x:v>
      </x:c>
      <x:c r="D108" s="28" t="str">
        <x:v>Alder Ridge</x:v>
      </x:c>
      <x:c r="E108" s="28" t="str">
        <x:v>FY26 Q3</x:v>
      </x:c>
      <x:c r="F108" s="28" t="str">
        <x:v>Approved case</x:v>
      </x:c>
      <x:c r="G108" s="28" t="str">
        <x:v>Revolver spread</x:v>
      </x:c>
      <x:c r="H108" s="31" t="n">
        <x:v>0.0275</x:v>
      </x:c>
      <x:c r="I108" s="28" t="str"/>
      <x:c r="J108" s="28" t="str">
        <x:v>decimal ratio</x:v>
      </x:c>
      <x:c r="K108" s="28" t="str">
        <x:v>Finance operating schedule</x:v>
      </x:c>
      <x:c r="L108" s="34" t="str">
        <x:v>2026-06-30</x:v>
      </x:c>
      <x:c r="M108" s="28" t="str"/>
    </x:row>
    <x:row r="109">
      <x:c r="A109" s="37" t="str">
        <x:v>TRY-00550</x:v>
      </x:c>
      <x:c r="B109" s="28" t="str">
        <x:v>Create the dynamic 13-week cash and revolver model</x:v>
      </x:c>
      <x:c r="C109" s="28" t="str">
        <x:v>Weekly funding policy</x:v>
      </x:c>
      <x:c r="D109" s="28" t="str">
        <x:v>Alder Ridge</x:v>
      </x:c>
      <x:c r="E109" s="28" t="str">
        <x:v>FY26 Q3</x:v>
      </x:c>
      <x:c r="F109" s="28" t="str">
        <x:v>Approved case</x:v>
      </x:c>
      <x:c r="G109" s="28" t="str">
        <x:v>Unused commitment fee</x:v>
      </x:c>
      <x:c r="H109" s="31" t="n">
        <x:v>0.003</x:v>
      </x:c>
      <x:c r="I109" s="28" t="str"/>
      <x:c r="J109" s="28" t="str">
        <x:v>decimal ratio</x:v>
      </x:c>
      <x:c r="K109" s="28" t="str">
        <x:v>Finance operating schedule</x:v>
      </x:c>
      <x:c r="L109" s="34" t="str">
        <x:v>2026-06-30</x:v>
      </x:c>
      <x:c r="M109" s="28" t="str"/>
    </x:row>
    <x:row r="110">
      <x:c r="A110" s="37" t="str">
        <x:v>TRY-00551</x:v>
      </x:c>
      <x:c r="B110" s="28" t="str">
        <x:v>Create the dynamic 13-week cash and revolver model</x:v>
      </x:c>
      <x:c r="C110" s="28" t="str">
        <x:v>Weekly funding policy</x:v>
      </x:c>
      <x:c r="D110" s="28" t="str">
        <x:v>Alder Ridge</x:v>
      </x:c>
      <x:c r="E110" s="28" t="str">
        <x:v>FY26 Q3</x:v>
      </x:c>
      <x:c r="F110" s="28" t="str">
        <x:v>Approved case</x:v>
      </x:c>
      <x:c r="G110" s="28" t="str">
        <x:v>Day count</x:v>
      </x:c>
      <x:c r="H110" s="31" t="n">
        <x:v>365</x:v>
      </x:c>
      <x:c r="I110" s="28" t="str"/>
      <x:c r="J110" s="28" t="str">
        <x:v>days</x:v>
      </x:c>
      <x:c r="K110" s="28" t="str">
        <x:v>Finance operating schedule</x:v>
      </x:c>
      <x:c r="L110" s="34" t="str">
        <x:v>2026-06-30</x:v>
      </x:c>
      <x:c r="M110" s="28" t="str"/>
    </x:row>
    <x:row r="111">
      <x:c r="A111" s="37" t="str">
        <x:v>TRY-00568</x:v>
      </x:c>
      <x:c r="B111" s="28" t="str">
        <x:v>Create the dynamic 13-week cash and revolver model</x:v>
      </x:c>
      <x:c r="C111" s="28" t="str">
        <x:v>Weekly collection and collateral control</x:v>
      </x:c>
      <x:c r="D111" s="28" t="str">
        <x:v>Alder Ridge</x:v>
      </x:c>
      <x:c r="E111" s="28" t="str">
        <x:v>2026-07-10</x:v>
      </x:c>
      <x:c r="F111" s="28" t="str">
        <x:v>Approved case</x:v>
      </x:c>
      <x:c r="G111" s="28" t="str">
        <x:v>Receipt confidence</x:v>
      </x:c>
      <x:c r="H111" s="31" t="n">
        <x:v>0.96</x:v>
      </x:c>
      <x:c r="I111" s="28" t="str"/>
      <x:c r="J111" s="28" t="str">
        <x:v>decimal ratio</x:v>
      </x:c>
      <x:c r="K111" s="28" t="str">
        <x:v>Finance operating schedule</x:v>
      </x:c>
      <x:c r="L111" s="34" t="str">
        <x:v>2026-06-30</x:v>
      </x:c>
      <x:c r="M111" s="28" t="str"/>
    </x:row>
    <x:row r="112">
      <x:c r="A112" s="37" t="str">
        <x:v>TRY-00569</x:v>
      </x:c>
      <x:c r="B112" s="28" t="str">
        <x:v>Create the dynamic 13-week cash and revolver model</x:v>
      </x:c>
      <x:c r="C112" s="28" t="str">
        <x:v>Weekly collection and collateral control</x:v>
      </x:c>
      <x:c r="D112" s="28" t="str">
        <x:v>Alder Ridge</x:v>
      </x:c>
      <x:c r="E112" s="28" t="str">
        <x:v>2026-07-10</x:v>
      </x:c>
      <x:c r="F112" s="28" t="str">
        <x:v>Approved case</x:v>
      </x:c>
      <x:c r="G112" s="28" t="str">
        <x:v>Eligible AR</x:v>
      </x:c>
      <x:c r="H112" s="31" t="n">
        <x:v>9800000</x:v>
      </x:c>
      <x:c r="I112" s="28" t="str"/>
      <x:c r="J112" s="28" t="str">
        <x:v>USD</x:v>
      </x:c>
      <x:c r="K112" s="28" t="str">
        <x:v>Finance operating schedule</x:v>
      </x:c>
      <x:c r="L112" s="34" t="str">
        <x:v>2026-06-30</x:v>
      </x:c>
      <x:c r="M112" s="28" t="str"/>
    </x:row>
    <x:row r="113">
      <x:c r="A113" s="37" t="str">
        <x:v>TRY-00570</x:v>
      </x:c>
      <x:c r="B113" s="28" t="str">
        <x:v>Create the dynamic 13-week cash and revolver model</x:v>
      </x:c>
      <x:c r="C113" s="28" t="str">
        <x:v>Weekly collection and collateral control</x:v>
      </x:c>
      <x:c r="D113" s="28" t="str">
        <x:v>Alder Ridge</x:v>
      </x:c>
      <x:c r="E113" s="28" t="str">
        <x:v>2026-07-10</x:v>
      </x:c>
      <x:c r="F113" s="28" t="str">
        <x:v>Approved case</x:v>
      </x:c>
      <x:c r="G113" s="28" t="str">
        <x:v>Eligible inventory</x:v>
      </x:c>
      <x:c r="H113" s="31" t="n">
        <x:v>3400000</x:v>
      </x:c>
      <x:c r="I113" s="28" t="str"/>
      <x:c r="J113" s="28" t="str">
        <x:v>USD</x:v>
      </x:c>
      <x:c r="K113" s="28" t="str">
        <x:v>Finance operating schedule</x:v>
      </x:c>
      <x:c r="L113" s="34" t="str">
        <x:v>2026-06-30</x:v>
      </x:c>
      <x:c r="M113" s="28" t="str"/>
    </x:row>
    <x:row r="114">
      <x:c r="A114" s="37" t="str">
        <x:v>TRY-00571</x:v>
      </x:c>
      <x:c r="B114" s="28" t="str">
        <x:v>Create the dynamic 13-week cash and revolver model</x:v>
      </x:c>
      <x:c r="C114" s="28" t="str">
        <x:v>Weekly collection and collateral control</x:v>
      </x:c>
      <x:c r="D114" s="28" t="str">
        <x:v>Alder Ridge</x:v>
      </x:c>
      <x:c r="E114" s="28" t="str">
        <x:v>2026-07-17</x:v>
      </x:c>
      <x:c r="F114" s="28" t="str">
        <x:v>Approved case</x:v>
      </x:c>
      <x:c r="G114" s="28" t="str">
        <x:v>Receipt confidence</x:v>
      </x:c>
      <x:c r="H114" s="31" t="n">
        <x:v>0.94</x:v>
      </x:c>
      <x:c r="I114" s="28" t="str"/>
      <x:c r="J114" s="28" t="str">
        <x:v>decimal ratio</x:v>
      </x:c>
      <x:c r="K114" s="28" t="str">
        <x:v>Finance operating schedule</x:v>
      </x:c>
      <x:c r="L114" s="34" t="str">
        <x:v>2026-06-30</x:v>
      </x:c>
      <x:c r="M114" s="28" t="str"/>
    </x:row>
    <x:row r="115">
      <x:c r="A115" s="37" t="str">
        <x:v>TRY-00572</x:v>
      </x:c>
      <x:c r="B115" s="28" t="str">
        <x:v>Create the dynamic 13-week cash and revolver model</x:v>
      </x:c>
      <x:c r="C115" s="28" t="str">
        <x:v>Weekly collection and collateral control</x:v>
      </x:c>
      <x:c r="D115" s="28" t="str">
        <x:v>Alder Ridge</x:v>
      </x:c>
      <x:c r="E115" s="28" t="str">
        <x:v>2026-07-17</x:v>
      </x:c>
      <x:c r="F115" s="28" t="str">
        <x:v>Approved case</x:v>
      </x:c>
      <x:c r="G115" s="28" t="str">
        <x:v>Eligible AR</x:v>
      </x:c>
      <x:c r="H115" s="31" t="n">
        <x:v>9650000</x:v>
      </x:c>
      <x:c r="I115" s="28" t="str"/>
      <x:c r="J115" s="28" t="str">
        <x:v>USD</x:v>
      </x:c>
      <x:c r="K115" s="28" t="str">
        <x:v>Finance operating schedule</x:v>
      </x:c>
      <x:c r="L115" s="34" t="str">
        <x:v>2026-06-30</x:v>
      </x:c>
      <x:c r="M115" s="28" t="str"/>
    </x:row>
    <x:row r="116">
      <x:c r="A116" s="37" t="str">
        <x:v>TRY-00573</x:v>
      </x:c>
      <x:c r="B116" s="28" t="str">
        <x:v>Create the dynamic 13-week cash and revolver model</x:v>
      </x:c>
      <x:c r="C116" s="28" t="str">
        <x:v>Weekly collection and collateral control</x:v>
      </x:c>
      <x:c r="D116" s="28" t="str">
        <x:v>Alder Ridge</x:v>
      </x:c>
      <x:c r="E116" s="28" t="str">
        <x:v>2026-07-17</x:v>
      </x:c>
      <x:c r="F116" s="28" t="str">
        <x:v>Approved case</x:v>
      </x:c>
      <x:c r="G116" s="28" t="str">
        <x:v>Eligible inventory</x:v>
      </x:c>
      <x:c r="H116" s="31" t="n">
        <x:v>3420000</x:v>
      </x:c>
      <x:c r="I116" s="28" t="str"/>
      <x:c r="J116" s="28" t="str">
        <x:v>USD</x:v>
      </x:c>
      <x:c r="K116" s="28" t="str">
        <x:v>Finance operating schedule</x:v>
      </x:c>
      <x:c r="L116" s="34" t="str">
        <x:v>2026-06-30</x:v>
      </x:c>
      <x:c r="M116" s="28" t="str"/>
    </x:row>
    <x:row r="117">
      <x:c r="A117" s="37" t="str">
        <x:v>TRY-00574</x:v>
      </x:c>
      <x:c r="B117" s="28" t="str">
        <x:v>Create the dynamic 13-week cash and revolver model</x:v>
      </x:c>
      <x:c r="C117" s="28" t="str">
        <x:v>Weekly collection and collateral control</x:v>
      </x:c>
      <x:c r="D117" s="28" t="str">
        <x:v>Alder Ridge</x:v>
      </x:c>
      <x:c r="E117" s="28" t="str">
        <x:v>2026-07-24</x:v>
      </x:c>
      <x:c r="F117" s="28" t="str">
        <x:v>Approved case</x:v>
      </x:c>
      <x:c r="G117" s="28" t="str">
        <x:v>Receipt confidence</x:v>
      </x:c>
      <x:c r="H117" s="31" t="n">
        <x:v>0.88</x:v>
      </x:c>
      <x:c r="I117" s="28" t="str"/>
      <x:c r="J117" s="28" t="str">
        <x:v>decimal ratio</x:v>
      </x:c>
      <x:c r="K117" s="28" t="str">
        <x:v>Finance operating schedule</x:v>
      </x:c>
      <x:c r="L117" s="34" t="str">
        <x:v>2026-06-30</x:v>
      </x:c>
      <x:c r="M117" s="28" t="str"/>
    </x:row>
    <x:row r="118">
      <x:c r="A118" s="37" t="str">
        <x:v>TRY-00575</x:v>
      </x:c>
      <x:c r="B118" s="28" t="str">
        <x:v>Create the dynamic 13-week cash and revolver model</x:v>
      </x:c>
      <x:c r="C118" s="28" t="str">
        <x:v>Weekly collection and collateral control</x:v>
      </x:c>
      <x:c r="D118" s="28" t="str">
        <x:v>Alder Ridge</x:v>
      </x:c>
      <x:c r="E118" s="28" t="str">
        <x:v>2026-07-24</x:v>
      </x:c>
      <x:c r="F118" s="28" t="str">
        <x:v>Approved case</x:v>
      </x:c>
      <x:c r="G118" s="28" t="str">
        <x:v>Eligible AR</x:v>
      </x:c>
      <x:c r="H118" s="31" t="n">
        <x:v>9200</x:v>
      </x:c>
      <x:c r="I118" s="28" t="str"/>
      <x:c r="J118" s="28" t="str">
        <x:v>USD thousands</x:v>
      </x:c>
      <x:c r="K118" s="28" t="str">
        <x:v>Finance operating schedule</x:v>
      </x:c>
      <x:c r="L118" s="34" t="str">
        <x:v>2026-06-30</x:v>
      </x:c>
      <x:c r="M118" s="28" t="str"/>
    </x:row>
    <x:row r="119">
      <x:c r="A119" s="37" t="str">
        <x:v>TRY-00576</x:v>
      </x:c>
      <x:c r="B119" s="28" t="str">
        <x:v>Create the dynamic 13-week cash and revolver model</x:v>
      </x:c>
      <x:c r="C119" s="28" t="str">
        <x:v>Weekly collection and collateral control</x:v>
      </x:c>
      <x:c r="D119" s="28" t="str">
        <x:v>Alder Ridge</x:v>
      </x:c>
      <x:c r="E119" s="28" t="str">
        <x:v>2026-07-24</x:v>
      </x:c>
      <x:c r="F119" s="28" t="str">
        <x:v>Approved case</x:v>
      </x:c>
      <x:c r="G119" s="28" t="str">
        <x:v>Eligible inventory</x:v>
      </x:c>
      <x:c r="H119" s="31" t="n">
        <x:v>3480000</x:v>
      </x:c>
      <x:c r="I119" s="28" t="str"/>
      <x:c r="J119" s="28" t="str">
        <x:v>USD</x:v>
      </x:c>
      <x:c r="K119" s="28" t="str">
        <x:v>Finance operating schedule</x:v>
      </x:c>
      <x:c r="L119" s="34" t="str">
        <x:v>2026-06-30</x:v>
      </x:c>
      <x:c r="M119" s="28" t="str"/>
    </x:row>
    <x:row r="120">
      <x:c r="A120" s="37" t="str">
        <x:v>TRY-00577</x:v>
      </x:c>
      <x:c r="B120" s="28" t="str">
        <x:v>Create the dynamic 13-week cash and revolver model</x:v>
      </x:c>
      <x:c r="C120" s="28" t="str">
        <x:v>Weekly collection and collateral control</x:v>
      </x:c>
      <x:c r="D120" s="28" t="str">
        <x:v>Alder Ridge</x:v>
      </x:c>
      <x:c r="E120" s="28" t="str">
        <x:v>2026-07-31</x:v>
      </x:c>
      <x:c r="F120" s="28" t="str">
        <x:v>Approved case</x:v>
      </x:c>
      <x:c r="G120" s="28" t="str">
        <x:v>Receipt confidence</x:v>
      </x:c>
      <x:c r="H120" s="31" t="n">
        <x:v>0.97</x:v>
      </x:c>
      <x:c r="I120" s="28" t="str"/>
      <x:c r="J120" s="28" t="str">
        <x:v>decimal ratio</x:v>
      </x:c>
      <x:c r="K120" s="28" t="str">
        <x:v>Finance operating schedule</x:v>
      </x:c>
      <x:c r="L120" s="34" t="str">
        <x:v>2026-06-30</x:v>
      </x:c>
      <x:c r="M120" s="28" t="str"/>
    </x:row>
    <x:row r="121">
      <x:c r="A121" s="37" t="str">
        <x:v>TRY-00578</x:v>
      </x:c>
      <x:c r="B121" s="28" t="str">
        <x:v>Create the dynamic 13-week cash and revolver model</x:v>
      </x:c>
      <x:c r="C121" s="28" t="str">
        <x:v>Weekly collection and collateral control</x:v>
      </x:c>
      <x:c r="D121" s="28" t="str">
        <x:v>Alder Ridge</x:v>
      </x:c>
      <x:c r="E121" s="28" t="str">
        <x:v>2026-07-31</x:v>
      </x:c>
      <x:c r="F121" s="28" t="str">
        <x:v>Approved case</x:v>
      </x:c>
      <x:c r="G121" s="28" t="str">
        <x:v>Eligible AR</x:v>
      </x:c>
      <x:c r="H121" s="31" t="n">
        <x:v>9550000</x:v>
      </x:c>
      <x:c r="I121" s="28" t="str"/>
      <x:c r="J121" s="28" t="str">
        <x:v>USD</x:v>
      </x:c>
      <x:c r="K121" s="28" t="str">
        <x:v>Finance operating schedule</x:v>
      </x:c>
      <x:c r="L121" s="34" t="str">
        <x:v>2026-06-30</x:v>
      </x:c>
      <x:c r="M121" s="28" t="str"/>
    </x:row>
    <x:row r="122">
      <x:c r="A122" s="37" t="str">
        <x:v>TRY-00579</x:v>
      </x:c>
      <x:c r="B122" s="28" t="str">
        <x:v>Create the dynamic 13-week cash and revolver model</x:v>
      </x:c>
      <x:c r="C122" s="28" t="str">
        <x:v>Weekly collection and collateral control</x:v>
      </x:c>
      <x:c r="D122" s="28" t="str">
        <x:v>Alder Ridge</x:v>
      </x:c>
      <x:c r="E122" s="28" t="str">
        <x:v>2026-07-31</x:v>
      </x:c>
      <x:c r="F122" s="28" t="str">
        <x:v>Approved case</x:v>
      </x:c>
      <x:c r="G122" s="28" t="str">
        <x:v>Eligible inventory</x:v>
      </x:c>
      <x:c r="H122" s="31" t="n">
        <x:v>3360</x:v>
      </x:c>
      <x:c r="I122" s="28" t="str"/>
      <x:c r="J122" s="28" t="str">
        <x:v>USD thousands</x:v>
      </x:c>
      <x:c r="K122" s="28" t="str">
        <x:v>Finance operating schedule</x:v>
      </x:c>
      <x:c r="L122" s="34" t="str">
        <x:v>2026-06-30</x:v>
      </x:c>
      <x:c r="M122" s="28" t="str"/>
    </x:row>
    <x:row r="123">
      <x:c r="A123" s="37" t="str">
        <x:v>TRY-00580</x:v>
      </x:c>
      <x:c r="B123" s="28" t="str">
        <x:v>Create the dynamic 13-week cash and revolver model</x:v>
      </x:c>
      <x:c r="C123" s="28" t="str">
        <x:v>Weekly collection and collateral control</x:v>
      </x:c>
      <x:c r="D123" s="28" t="str">
        <x:v>Alder Ridge</x:v>
      </x:c>
      <x:c r="E123" s="28" t="str">
        <x:v>2026-08-07</x:v>
      </x:c>
      <x:c r="F123" s="28" t="str">
        <x:v>Approved case</x:v>
      </x:c>
      <x:c r="G123" s="28" t="str">
        <x:v>Receipt confidence</x:v>
      </x:c>
      <x:c r="H123" s="31" t="n">
        <x:v>0.91</x:v>
      </x:c>
      <x:c r="I123" s="28" t="str"/>
      <x:c r="J123" s="28" t="str">
        <x:v>decimal ratio</x:v>
      </x:c>
      <x:c r="K123" s="28" t="str">
        <x:v>Finance operating schedule</x:v>
      </x:c>
      <x:c r="L123" s="34" t="str">
        <x:v>2026-06-30</x:v>
      </x:c>
      <x:c r="M123" s="28" t="str"/>
    </x:row>
    <x:row r="124">
      <x:c r="A124" s="37" t="str">
        <x:v>TRY-00581</x:v>
      </x:c>
      <x:c r="B124" s="28" t="str">
        <x:v>Create the dynamic 13-week cash and revolver model</x:v>
      </x:c>
      <x:c r="C124" s="28" t="str">
        <x:v>Weekly collection and collateral control</x:v>
      </x:c>
      <x:c r="D124" s="28" t="str">
        <x:v>Alder Ridge</x:v>
      </x:c>
      <x:c r="E124" s="28" t="str">
        <x:v>2026-08-07</x:v>
      </x:c>
      <x:c r="F124" s="28" t="str">
        <x:v>Approved case</x:v>
      </x:c>
      <x:c r="G124" s="28" t="str">
        <x:v>Eligible AR</x:v>
      </x:c>
      <x:c r="H124" s="31" t="n">
        <x:v>9250000</x:v>
      </x:c>
      <x:c r="I124" s="28" t="str"/>
      <x:c r="J124" s="28" t="str">
        <x:v>USD</x:v>
      </x:c>
      <x:c r="K124" s="28" t="str">
        <x:v>Finance operating schedule</x:v>
      </x:c>
      <x:c r="L124" s="34" t="str">
        <x:v>2026-06-30</x:v>
      </x:c>
      <x:c r="M124" s="28" t="str"/>
    </x:row>
    <x:row r="125">
      <x:c r="A125" s="37" t="str">
        <x:v>TRY-00582</x:v>
      </x:c>
      <x:c r="B125" s="28" t="str">
        <x:v>Create the dynamic 13-week cash and revolver model</x:v>
      </x:c>
      <x:c r="C125" s="28" t="str">
        <x:v>Weekly collection and collateral control</x:v>
      </x:c>
      <x:c r="D125" s="28" t="str">
        <x:v>Alder Ridge</x:v>
      </x:c>
      <x:c r="E125" s="28" t="str">
        <x:v>2026-08-07</x:v>
      </x:c>
      <x:c r="F125" s="28" t="str">
        <x:v>Approved case</x:v>
      </x:c>
      <x:c r="G125" s="28" t="str">
        <x:v>Eligible inventory</x:v>
      </x:c>
      <x:c r="H125" s="31" t="n">
        <x:v>3440000</x:v>
      </x:c>
      <x:c r="I125" s="28" t="str"/>
      <x:c r="J125" s="28" t="str">
        <x:v>USD</x:v>
      </x:c>
      <x:c r="K125" s="28" t="str">
        <x:v>Finance operating schedule</x:v>
      </x:c>
      <x:c r="L125" s="34" t="str">
        <x:v>2026-06-30</x:v>
      </x:c>
      <x:c r="M125" s="28" t="str"/>
    </x:row>
    <x:row r="126">
      <x:c r="A126" s="37" t="str">
        <x:v>TRY-00583</x:v>
      </x:c>
      <x:c r="B126" s="28" t="str">
        <x:v>Create the dynamic 13-week cash and revolver model</x:v>
      </x:c>
      <x:c r="C126" s="28" t="str">
        <x:v>Weekly collection and collateral control</x:v>
      </x:c>
      <x:c r="D126" s="28" t="str">
        <x:v>Alder Ridge</x:v>
      </x:c>
      <x:c r="E126" s="28" t="str">
        <x:v>2026-08-14</x:v>
      </x:c>
      <x:c r="F126" s="28" t="str">
        <x:v>Approved case</x:v>
      </x:c>
      <x:c r="G126" s="28" t="str">
        <x:v>Receipt confidence</x:v>
      </x:c>
      <x:c r="H126" s="31" t="n">
        <x:v>0.95</x:v>
      </x:c>
      <x:c r="I126" s="28" t="str"/>
      <x:c r="J126" s="28" t="str">
        <x:v>decimal ratio</x:v>
      </x:c>
      <x:c r="K126" s="28" t="str">
        <x:v>Finance operating schedule</x:v>
      </x:c>
      <x:c r="L126" s="34" t="str">
        <x:v>2026-06-30</x:v>
      </x:c>
      <x:c r="M126" s="28" t="str"/>
    </x:row>
    <x:row r="127">
      <x:c r="A127" s="37" t="str">
        <x:v>TRY-00584</x:v>
      </x:c>
      <x:c r="B127" s="28" t="str">
        <x:v>Create the dynamic 13-week cash and revolver model</x:v>
      </x:c>
      <x:c r="C127" s="28" t="str">
        <x:v>Weekly collection and collateral control</x:v>
      </x:c>
      <x:c r="D127" s="28" t="str">
        <x:v>Alder Ridge</x:v>
      </x:c>
      <x:c r="E127" s="28" t="str">
        <x:v>2026-08-14</x:v>
      </x:c>
      <x:c r="F127" s="28" t="str">
        <x:v>Approved case</x:v>
      </x:c>
      <x:c r="G127" s="28" t="str">
        <x:v>Eligible AR</x:v>
      </x:c>
      <x:c r="H127" s="31" t="n">
        <x:v>9400000</x:v>
      </x:c>
      <x:c r="I127" s="28" t="str"/>
      <x:c r="J127" s="28" t="str">
        <x:v>USD</x:v>
      </x:c>
      <x:c r="K127" s="28" t="str">
        <x:v>Finance operating schedule</x:v>
      </x:c>
      <x:c r="L127" s="34" t="str">
        <x:v>2026-06-30</x:v>
      </x:c>
      <x:c r="M127" s="28" t="str"/>
    </x:row>
    <x:row r="128">
      <x:c r="A128" s="37" t="str">
        <x:v>TRY-00585</x:v>
      </x:c>
      <x:c r="B128" s="28" t="str">
        <x:v>Create the dynamic 13-week cash and revolver model</x:v>
      </x:c>
      <x:c r="C128" s="28" t="str">
        <x:v>Weekly collection and collateral control</x:v>
      </x:c>
      <x:c r="D128" s="28" t="str">
        <x:v>Alder Ridge</x:v>
      </x:c>
      <x:c r="E128" s="28" t="str">
        <x:v>2026-08-14</x:v>
      </x:c>
      <x:c r="F128" s="28" t="str">
        <x:v>Approved case</x:v>
      </x:c>
      <x:c r="G128" s="28" t="str">
        <x:v>Eligible inventory</x:v>
      </x:c>
      <x:c r="H128" s="31" t="n">
        <x:v>3390000</x:v>
      </x:c>
      <x:c r="I128" s="28" t="str"/>
      <x:c r="J128" s="28" t="str">
        <x:v>USD</x:v>
      </x:c>
      <x:c r="K128" s="28" t="str">
        <x:v>Finance operating schedule</x:v>
      </x:c>
      <x:c r="L128" s="34" t="str">
        <x:v>2026-06-30</x:v>
      </x:c>
      <x:c r="M128" s="28" t="str"/>
    </x:row>
    <x:row r="129">
      <x:c r="A129" s="37" t="str">
        <x:v>TRY-00586</x:v>
      </x:c>
      <x:c r="B129" s="28" t="str">
        <x:v>Create the dynamic 13-week cash and revolver model</x:v>
      </x:c>
      <x:c r="C129" s="28" t="str">
        <x:v>Weekly collection and collateral control</x:v>
      </x:c>
      <x:c r="D129" s="28" t="str">
        <x:v>Alder Ridge</x:v>
      </x:c>
      <x:c r="E129" s="28" t="str">
        <x:v>2026-08-21</x:v>
      </x:c>
      <x:c r="F129" s="28" t="str">
        <x:v>Approved case</x:v>
      </x:c>
      <x:c r="G129" s="28" t="str">
        <x:v>Receipt confidence</x:v>
      </x:c>
      <x:c r="H129" s="31" t="n">
        <x:v>0.86</x:v>
      </x:c>
      <x:c r="I129" s="28" t="str"/>
      <x:c r="J129" s="28" t="str">
        <x:v>decimal ratio</x:v>
      </x:c>
      <x:c r="K129" s="28" t="str">
        <x:v>Finance operating schedule</x:v>
      </x:c>
      <x:c r="L129" s="34" t="str">
        <x:v>2026-06-30</x:v>
      </x:c>
      <x:c r="M129" s="28" t="str"/>
    </x:row>
    <x:row r="130">
      <x:c r="A130" s="37" t="str">
        <x:v>TRY-00587</x:v>
      </x:c>
      <x:c r="B130" s="28" t="str">
        <x:v>Create the dynamic 13-week cash and revolver model</x:v>
      </x:c>
      <x:c r="C130" s="28" t="str">
        <x:v>Weekly collection and collateral control</x:v>
      </x:c>
      <x:c r="D130" s="28" t="str">
        <x:v>Alder Ridge</x:v>
      </x:c>
      <x:c r="E130" s="28" t="str">
        <x:v>2026-08-21</x:v>
      </x:c>
      <x:c r="F130" s="28" t="str">
        <x:v>Approved case</x:v>
      </x:c>
      <x:c r="G130" s="28" t="str">
        <x:v>Eligible AR</x:v>
      </x:c>
      <x:c r="H130" s="31" t="n">
        <x:v>8950</x:v>
      </x:c>
      <x:c r="I130" s="28" t="str"/>
      <x:c r="J130" s="28" t="str">
        <x:v>USD thousands</x:v>
      </x:c>
      <x:c r="K130" s="28" t="str">
        <x:v>Finance operating schedule</x:v>
      </x:c>
      <x:c r="L130" s="34" t="str">
        <x:v>2026-06-30</x:v>
      </x:c>
      <x:c r="M130" s="28" t="str"/>
    </x:row>
    <x:row r="131">
      <x:c r="A131" s="37" t="str">
        <x:v>TRY-00588</x:v>
      </x:c>
      <x:c r="B131" s="28" t="str">
        <x:v>Create the dynamic 13-week cash and revolver model</x:v>
      </x:c>
      <x:c r="C131" s="28" t="str">
        <x:v>Weekly collection and collateral control</x:v>
      </x:c>
      <x:c r="D131" s="28" t="str">
        <x:v>Alder Ridge</x:v>
      </x:c>
      <x:c r="E131" s="28" t="str">
        <x:v>2026-08-21</x:v>
      </x:c>
      <x:c r="F131" s="28" t="str">
        <x:v>Approved case</x:v>
      </x:c>
      <x:c r="G131" s="28" t="str">
        <x:v>Eligible inventory</x:v>
      </x:c>
      <x:c r="H131" s="31" t="n">
        <x:v>3520000</x:v>
      </x:c>
      <x:c r="I131" s="28" t="str"/>
      <x:c r="J131" s="28" t="str">
        <x:v>USD</x:v>
      </x:c>
      <x:c r="K131" s="28" t="str">
        <x:v>Finance operating schedule</x:v>
      </x:c>
      <x:c r="L131" s="34" t="str">
        <x:v>2026-06-30</x:v>
      </x:c>
      <x:c r="M131" s="28" t="str"/>
    </x:row>
    <x:row r="132">
      <x:c r="A132" s="37" t="str">
        <x:v>TRY-00589</x:v>
      </x:c>
      <x:c r="B132" s="28" t="str">
        <x:v>Create the dynamic 13-week cash and revolver model</x:v>
      </x:c>
      <x:c r="C132" s="28" t="str">
        <x:v>Weekly collection and collateral control</x:v>
      </x:c>
      <x:c r="D132" s="28" t="str">
        <x:v>Alder Ridge</x:v>
      </x:c>
      <x:c r="E132" s="28" t="str">
        <x:v>2026-08-28</x:v>
      </x:c>
      <x:c r="F132" s="28" t="str">
        <x:v>Approved case</x:v>
      </x:c>
      <x:c r="G132" s="28" t="str">
        <x:v>Receipt confidence</x:v>
      </x:c>
      <x:c r="H132" s="31" t="n">
        <x:v>0.98</x:v>
      </x:c>
      <x:c r="I132" s="28" t="str"/>
      <x:c r="J132" s="28" t="str">
        <x:v>decimal ratio</x:v>
      </x:c>
      <x:c r="K132" s="28" t="str">
        <x:v>Finance operating schedule</x:v>
      </x:c>
      <x:c r="L132" s="34" t="str">
        <x:v>2026-06-30</x:v>
      </x:c>
      <x:c r="M132" s="28" t="str"/>
    </x:row>
    <x:row r="133">
      <x:c r="A133" s="37" t="str">
        <x:v>TRY-00590</x:v>
      </x:c>
      <x:c r="B133" s="28" t="str">
        <x:v>Create the dynamic 13-week cash and revolver model</x:v>
      </x:c>
      <x:c r="C133" s="28" t="str">
        <x:v>Weekly collection and collateral control</x:v>
      </x:c>
      <x:c r="D133" s="28" t="str">
        <x:v>Alder Ridge</x:v>
      </x:c>
      <x:c r="E133" s="28" t="str">
        <x:v>2026-08-28</x:v>
      </x:c>
      <x:c r="F133" s="28" t="str">
        <x:v>Approved case</x:v>
      </x:c>
      <x:c r="G133" s="28" t="str">
        <x:v>Eligible AR</x:v>
      </x:c>
      <x:c r="H133" s="31" t="n">
        <x:v>9350000</x:v>
      </x:c>
      <x:c r="I133" s="28" t="str"/>
      <x:c r="J133" s="28" t="str">
        <x:v>USD</x:v>
      </x:c>
      <x:c r="K133" s="28" t="str">
        <x:v>Finance operating schedule</x:v>
      </x:c>
      <x:c r="L133" s="34" t="str">
        <x:v>2026-06-30</x:v>
      </x:c>
      <x:c r="M133" s="28" t="str"/>
    </x:row>
    <x:row r="134">
      <x:c r="A134" s="37" t="str">
        <x:v>TRY-00591</x:v>
      </x:c>
      <x:c r="B134" s="28" t="str">
        <x:v>Create the dynamic 13-week cash and revolver model</x:v>
      </x:c>
      <x:c r="C134" s="28" t="str">
        <x:v>Weekly collection and collateral control</x:v>
      </x:c>
      <x:c r="D134" s="28" t="str">
        <x:v>Alder Ridge</x:v>
      </x:c>
      <x:c r="E134" s="28" t="str">
        <x:v>2026-08-28</x:v>
      </x:c>
      <x:c r="F134" s="28" t="str">
        <x:v>Approved case</x:v>
      </x:c>
      <x:c r="G134" s="28" t="str">
        <x:v>Eligible inventory</x:v>
      </x:c>
      <x:c r="H134" s="31" t="n">
        <x:v>3310</x:v>
      </x:c>
      <x:c r="I134" s="28" t="str"/>
      <x:c r="J134" s="28" t="str">
        <x:v>USD thousands</x:v>
      </x:c>
      <x:c r="K134" s="28" t="str">
        <x:v>Finance operating schedule</x:v>
      </x:c>
      <x:c r="L134" s="34" t="str">
        <x:v>2026-06-30</x:v>
      </x:c>
      <x:c r="M134" s="28" t="str"/>
    </x:row>
    <x:row r="135">
      <x:c r="A135" s="37" t="str">
        <x:v>TRY-00592</x:v>
      </x:c>
      <x:c r="B135" s="28" t="str">
        <x:v>Create the dynamic 13-week cash and revolver model</x:v>
      </x:c>
      <x:c r="C135" s="28" t="str">
        <x:v>Weekly collection and collateral control</x:v>
      </x:c>
      <x:c r="D135" s="28" t="str">
        <x:v>Alder Ridge</x:v>
      </x:c>
      <x:c r="E135" s="28" t="str">
        <x:v>2026-09-04</x:v>
      </x:c>
      <x:c r="F135" s="28" t="str">
        <x:v>Approved case</x:v>
      </x:c>
      <x:c r="G135" s="28" t="str">
        <x:v>Receipt confidence</x:v>
      </x:c>
      <x:c r="H135" s="31" t="n">
        <x:v>0.9</x:v>
      </x:c>
      <x:c r="I135" s="28" t="str"/>
      <x:c r="J135" s="28" t="str">
        <x:v>decimal ratio</x:v>
      </x:c>
      <x:c r="K135" s="28" t="str">
        <x:v>Finance operating schedule</x:v>
      </x:c>
      <x:c r="L135" s="34" t="str">
        <x:v>2026-06-30</x:v>
      </x:c>
      <x:c r="M135" s="28" t="str"/>
    </x:row>
    <x:row r="136">
      <x:c r="A136" s="37" t="str">
        <x:v>TRY-00593</x:v>
      </x:c>
      <x:c r="B136" s="28" t="str">
        <x:v>Create the dynamic 13-week cash and revolver model</x:v>
      </x:c>
      <x:c r="C136" s="28" t="str">
        <x:v>Weekly collection and collateral control</x:v>
      </x:c>
      <x:c r="D136" s="28" t="str">
        <x:v>Alder Ridge</x:v>
      </x:c>
      <x:c r="E136" s="28" t="str">
        <x:v>2026-09-04</x:v>
      </x:c>
      <x:c r="F136" s="28" t="str">
        <x:v>Approved case</x:v>
      </x:c>
      <x:c r="G136" s="28" t="str">
        <x:v>Eligible AR</x:v>
      </x:c>
      <x:c r="H136" s="31" t="n">
        <x:v>9050000</x:v>
      </x:c>
      <x:c r="I136" s="28" t="str"/>
      <x:c r="J136" s="28" t="str">
        <x:v>USD</x:v>
      </x:c>
      <x:c r="K136" s="28" t="str">
        <x:v>Finance operating schedule</x:v>
      </x:c>
      <x:c r="L136" s="34" t="str">
        <x:v>2026-06-30</x:v>
      </x:c>
      <x:c r="M136" s="28" t="str"/>
    </x:row>
    <x:row r="137">
      <x:c r="A137" s="37" t="str">
        <x:v>TRY-00594</x:v>
      </x:c>
      <x:c r="B137" s="28" t="str">
        <x:v>Create the dynamic 13-week cash and revolver model</x:v>
      </x:c>
      <x:c r="C137" s="28" t="str">
        <x:v>Weekly collection and collateral control</x:v>
      </x:c>
      <x:c r="D137" s="28" t="str">
        <x:v>Alder Ridge</x:v>
      </x:c>
      <x:c r="E137" s="28" t="str">
        <x:v>2026-09-04</x:v>
      </x:c>
      <x:c r="F137" s="28" t="str">
        <x:v>Approved case</x:v>
      </x:c>
      <x:c r="G137" s="28" t="str">
        <x:v>Eligible inventory</x:v>
      </x:c>
      <x:c r="H137" s="31" t="n">
        <x:v>3400000</x:v>
      </x:c>
      <x:c r="I137" s="28" t="str"/>
      <x:c r="J137" s="28" t="str">
        <x:v>USD</x:v>
      </x:c>
      <x:c r="K137" s="28" t="str">
        <x:v>Finance operating schedule</x:v>
      </x:c>
      <x:c r="L137" s="34" t="str">
        <x:v>2026-06-30</x:v>
      </x:c>
      <x:c r="M137" s="28" t="str"/>
    </x:row>
    <x:row r="138">
      <x:c r="A138" s="37" t="str">
        <x:v>TRY-00595</x:v>
      </x:c>
      <x:c r="B138" s="28" t="str">
        <x:v>Create the dynamic 13-week cash and revolver model</x:v>
      </x:c>
      <x:c r="C138" s="28" t="str">
        <x:v>Weekly collection and collateral control</x:v>
      </x:c>
      <x:c r="D138" s="28" t="str">
        <x:v>Alder Ridge</x:v>
      </x:c>
      <x:c r="E138" s="28" t="str">
        <x:v>2026-09-11</x:v>
      </x:c>
      <x:c r="F138" s="28" t="str">
        <x:v>Approved case</x:v>
      </x:c>
      <x:c r="G138" s="28" t="str">
        <x:v>Receipt confidence</x:v>
      </x:c>
      <x:c r="H138" s="31" t="n">
        <x:v>0.96</x:v>
      </x:c>
      <x:c r="I138" s="28" t="str"/>
      <x:c r="J138" s="28" t="str">
        <x:v>decimal ratio</x:v>
      </x:c>
      <x:c r="K138" s="28" t="str">
        <x:v>Finance operating schedule</x:v>
      </x:c>
      <x:c r="L138" s="34" t="str">
        <x:v>2026-06-30</x:v>
      </x:c>
      <x:c r="M138" s="28" t="str"/>
    </x:row>
    <x:row r="139">
      <x:c r="A139" s="37" t="str">
        <x:v>TRY-00596</x:v>
      </x:c>
      <x:c r="B139" s="28" t="str">
        <x:v>Create the dynamic 13-week cash and revolver model</x:v>
      </x:c>
      <x:c r="C139" s="28" t="str">
        <x:v>Weekly collection and collateral control</x:v>
      </x:c>
      <x:c r="D139" s="28" t="str">
        <x:v>Alder Ridge</x:v>
      </x:c>
      <x:c r="E139" s="28" t="str">
        <x:v>2026-09-11</x:v>
      </x:c>
      <x:c r="F139" s="28" t="str">
        <x:v>Approved case</x:v>
      </x:c>
      <x:c r="G139" s="28" t="str">
        <x:v>Eligible AR</x:v>
      </x:c>
      <x:c r="H139" s="31" t="n">
        <x:v>9300000</x:v>
      </x:c>
      <x:c r="I139" s="28" t="str"/>
      <x:c r="J139" s="28" t="str">
        <x:v>USD</x:v>
      </x:c>
      <x:c r="K139" s="28" t="str">
        <x:v>Finance operating schedule</x:v>
      </x:c>
      <x:c r="L139" s="34" t="str">
        <x:v>2026-06-30</x:v>
      </x:c>
      <x:c r="M139" s="28" t="str"/>
    </x:row>
    <x:row r="140">
      <x:c r="A140" s="37" t="str">
        <x:v>TRY-00597</x:v>
      </x:c>
      <x:c r="B140" s="28" t="str">
        <x:v>Create the dynamic 13-week cash and revolver model</x:v>
      </x:c>
      <x:c r="C140" s="28" t="str">
        <x:v>Weekly collection and collateral control</x:v>
      </x:c>
      <x:c r="D140" s="28" t="str">
        <x:v>Alder Ridge</x:v>
      </x:c>
      <x:c r="E140" s="28" t="str">
        <x:v>2026-09-11</x:v>
      </x:c>
      <x:c r="F140" s="28" t="str">
        <x:v>Approved case</x:v>
      </x:c>
      <x:c r="G140" s="28" t="str">
        <x:v>Eligible inventory</x:v>
      </x:c>
      <x:c r="H140" s="31" t="n">
        <x:v>3340000</x:v>
      </x:c>
      <x:c r="I140" s="28" t="str"/>
      <x:c r="J140" s="28" t="str">
        <x:v>USD</x:v>
      </x:c>
      <x:c r="K140" s="28" t="str">
        <x:v>Finance operating schedule</x:v>
      </x:c>
      <x:c r="L140" s="34" t="str">
        <x:v>2026-06-30</x:v>
      </x:c>
      <x:c r="M140" s="28" t="str"/>
    </x:row>
    <x:row r="141">
      <x:c r="A141" s="37" t="str">
        <x:v>TRY-00598</x:v>
      </x:c>
      <x:c r="B141" s="28" t="str">
        <x:v>Create the dynamic 13-week cash and revolver model</x:v>
      </x:c>
      <x:c r="C141" s="28" t="str">
        <x:v>Weekly collection and collateral control</x:v>
      </x:c>
      <x:c r="D141" s="28" t="str">
        <x:v>Alder Ridge</x:v>
      </x:c>
      <x:c r="E141" s="28" t="str">
        <x:v>2026-09-18</x:v>
      </x:c>
      <x:c r="F141" s="28" t="str">
        <x:v>Approved case</x:v>
      </x:c>
      <x:c r="G141" s="28" t="str">
        <x:v>Receipt confidence</x:v>
      </x:c>
      <x:c r="H141" s="31" t="n">
        <x:v>0.84</x:v>
      </x:c>
      <x:c r="I141" s="28" t="str"/>
      <x:c r="J141" s="28" t="str">
        <x:v>decimal ratio</x:v>
      </x:c>
      <x:c r="K141" s="28" t="str">
        <x:v>Finance operating schedule</x:v>
      </x:c>
      <x:c r="L141" s="34" t="str">
        <x:v>2026-06-30</x:v>
      </x:c>
      <x:c r="M141" s="28" t="str"/>
    </x:row>
    <x:row r="142">
      <x:c r="A142" s="37" t="str">
        <x:v>TRY-00599</x:v>
      </x:c>
      <x:c r="B142" s="28" t="str">
        <x:v>Create the dynamic 13-week cash and revolver model</x:v>
      </x:c>
      <x:c r="C142" s="28" t="str">
        <x:v>Weekly collection and collateral control</x:v>
      </x:c>
      <x:c r="D142" s="28" t="str">
        <x:v>Alder Ridge</x:v>
      </x:c>
      <x:c r="E142" s="28" t="str">
        <x:v>2026-09-18</x:v>
      </x:c>
      <x:c r="F142" s="28" t="str">
        <x:v>Approved case</x:v>
      </x:c>
      <x:c r="G142" s="28" t="str">
        <x:v>Eligible AR</x:v>
      </x:c>
      <x:c r="H142" s="31" t="n">
        <x:v>8800</x:v>
      </x:c>
      <x:c r="I142" s="28" t="str"/>
      <x:c r="J142" s="28" t="str">
        <x:v>USD thousands</x:v>
      </x:c>
      <x:c r="K142" s="28" t="str">
        <x:v>Finance operating schedule</x:v>
      </x:c>
      <x:c r="L142" s="34" t="str">
        <x:v>2026-06-30</x:v>
      </x:c>
      <x:c r="M142" s="28" t="str"/>
    </x:row>
    <x:row r="143">
      <x:c r="A143" s="37" t="str">
        <x:v>TRY-00600</x:v>
      </x:c>
      <x:c r="B143" s="28" t="str">
        <x:v>Create the dynamic 13-week cash and revolver model</x:v>
      </x:c>
      <x:c r="C143" s="28" t="str">
        <x:v>Weekly collection and collateral control</x:v>
      </x:c>
      <x:c r="D143" s="28" t="str">
        <x:v>Alder Ridge</x:v>
      </x:c>
      <x:c r="E143" s="28" t="str">
        <x:v>2026-09-18</x:v>
      </x:c>
      <x:c r="F143" s="28" t="str">
        <x:v>Approved case</x:v>
      </x:c>
      <x:c r="G143" s="28" t="str">
        <x:v>Eligible inventory</x:v>
      </x:c>
      <x:c r="H143" s="31" t="n">
        <x:v>3460000</x:v>
      </x:c>
      <x:c r="I143" s="28" t="str"/>
      <x:c r="J143" s="28" t="str">
        <x:v>USD</x:v>
      </x:c>
      <x:c r="K143" s="28" t="str">
        <x:v>Finance operating schedule</x:v>
      </x:c>
      <x:c r="L143" s="34" t="str">
        <x:v>2026-06-30</x:v>
      </x:c>
      <x:c r="M143" s="28" t="str"/>
    </x:row>
    <x:row r="144">
      <x:c r="A144" s="37" t="str">
        <x:v>TRY-00601</x:v>
      </x:c>
      <x:c r="B144" s="28" t="str">
        <x:v>Create the dynamic 13-week cash and revolver model</x:v>
      </x:c>
      <x:c r="C144" s="28" t="str">
        <x:v>Weekly collection and collateral control</x:v>
      </x:c>
      <x:c r="D144" s="28" t="str">
        <x:v>Alder Ridge</x:v>
      </x:c>
      <x:c r="E144" s="28" t="str">
        <x:v>2026-09-25</x:v>
      </x:c>
      <x:c r="F144" s="28" t="str">
        <x:v>Approved case</x:v>
      </x:c>
      <x:c r="G144" s="28" t="str">
        <x:v>Receipt confidence</x:v>
      </x:c>
      <x:c r="H144" s="31" t="n">
        <x:v>0.97</x:v>
      </x:c>
      <x:c r="I144" s="28" t="str"/>
      <x:c r="J144" s="28" t="str">
        <x:v>decimal ratio</x:v>
      </x:c>
      <x:c r="K144" s="28" t="str">
        <x:v>Finance operating schedule</x:v>
      </x:c>
      <x:c r="L144" s="34" t="str">
        <x:v>2026-06-30</x:v>
      </x:c>
      <x:c r="M144" s="28" t="str"/>
    </x:row>
    <x:row r="145">
      <x:c r="A145" s="37" t="str">
        <x:v>TRY-00602</x:v>
      </x:c>
      <x:c r="B145" s="28" t="str">
        <x:v>Create the dynamic 13-week cash and revolver model</x:v>
      </x:c>
      <x:c r="C145" s="28" t="str">
        <x:v>Weekly collection and collateral control</x:v>
      </x:c>
      <x:c r="D145" s="28" t="str">
        <x:v>Alder Ridge</x:v>
      </x:c>
      <x:c r="E145" s="28" t="str">
        <x:v>2026-09-25</x:v>
      </x:c>
      <x:c r="F145" s="28" t="str">
        <x:v>Approved case</x:v>
      </x:c>
      <x:c r="G145" s="28" t="str">
        <x:v>Eligible AR</x:v>
      </x:c>
      <x:c r="H145" s="31" t="n">
        <x:v>9150000</x:v>
      </x:c>
      <x:c r="I145" s="28" t="str"/>
      <x:c r="J145" s="28" t="str">
        <x:v>USD</x:v>
      </x:c>
      <x:c r="K145" s="28" t="str">
        <x:v>Finance operating schedule</x:v>
      </x:c>
      <x:c r="L145" s="34" t="str">
        <x:v>2026-06-30</x:v>
      </x:c>
      <x:c r="M145" s="28" t="str"/>
    </x:row>
    <x:row r="146">
      <x:c r="A146" s="37" t="str">
        <x:v>TRY-00603</x:v>
      </x:c>
      <x:c r="B146" s="28" t="str">
        <x:v>Create the dynamic 13-week cash and revolver model</x:v>
      </x:c>
      <x:c r="C146" s="28" t="str">
        <x:v>Weekly collection and collateral control</x:v>
      </x:c>
      <x:c r="D146" s="28" t="str">
        <x:v>Alder Ridge</x:v>
      </x:c>
      <x:c r="E146" s="28" t="str">
        <x:v>2026-09-25</x:v>
      </x:c>
      <x:c r="F146" s="28" t="str">
        <x:v>Approved case</x:v>
      </x:c>
      <x:c r="G146" s="28" t="str">
        <x:v>Eligible inventory</x:v>
      </x:c>
      <x:c r="H146" s="31" t="n">
        <x:v>3280</x:v>
      </x:c>
      <x:c r="I146" s="28" t="str"/>
      <x:c r="J146" s="28" t="str">
        <x:v>USD thousands</x:v>
      </x:c>
      <x:c r="K146" s="28" t="str">
        <x:v>Finance operating schedule</x:v>
      </x:c>
      <x:c r="L146" s="34" t="str">
        <x:v>2026-06-30</x:v>
      </x:c>
      <x:c r="M146" s="28" t="str"/>
    </x:row>
    <x:row r="147">
      <x:c r="A147" s="37" t="str">
        <x:v>TRY-00604</x:v>
      </x:c>
      <x:c r="B147" s="28" t="str">
        <x:v>Create the dynamic 13-week cash and revolver model</x:v>
      </x:c>
      <x:c r="C147" s="28" t="str">
        <x:v>Weekly collection and collateral control</x:v>
      </x:c>
      <x:c r="D147" s="28" t="str">
        <x:v>Alder Ridge</x:v>
      </x:c>
      <x:c r="E147" s="28" t="str">
        <x:v>2026-10-02</x:v>
      </x:c>
      <x:c r="F147" s="28" t="str">
        <x:v>Approved case</x:v>
      </x:c>
      <x:c r="G147" s="28" t="str">
        <x:v>Receipt confidence</x:v>
      </x:c>
      <x:c r="H147" s="31" t="n">
        <x:v>0.92</x:v>
      </x:c>
      <x:c r="I147" s="28" t="str"/>
      <x:c r="J147" s="28" t="str">
        <x:v>decimal ratio</x:v>
      </x:c>
      <x:c r="K147" s="28" t="str">
        <x:v>Finance operating schedule</x:v>
      </x:c>
      <x:c r="L147" s="34" t="str">
        <x:v>2026-06-30</x:v>
      </x:c>
      <x:c r="M147" s="28" t="str"/>
    </x:row>
    <x:row r="148">
      <x:c r="A148" s="37" t="str">
        <x:v>TRY-00605</x:v>
      </x:c>
      <x:c r="B148" s="28" t="str">
        <x:v>Create the dynamic 13-week cash and revolver model</x:v>
      </x:c>
      <x:c r="C148" s="28" t="str">
        <x:v>Weekly collection and collateral control</x:v>
      </x:c>
      <x:c r="D148" s="28" t="str">
        <x:v>Alder Ridge</x:v>
      </x:c>
      <x:c r="E148" s="28" t="str">
        <x:v>2026-10-02</x:v>
      </x:c>
      <x:c r="F148" s="28" t="str">
        <x:v>Approved case</x:v>
      </x:c>
      <x:c r="G148" s="28" t="str">
        <x:v>Eligible AR</x:v>
      </x:c>
      <x:c r="H148" s="31" t="n">
        <x:v>8900000</x:v>
      </x:c>
      <x:c r="I148" s="28" t="str"/>
      <x:c r="J148" s="28" t="str">
        <x:v>USD</x:v>
      </x:c>
      <x:c r="K148" s="28" t="str">
        <x:v>Finance operating schedule</x:v>
      </x:c>
      <x:c r="L148" s="34" t="str">
        <x:v>2026-06-30</x:v>
      </x:c>
      <x:c r="M148" s="28" t="str"/>
    </x:row>
    <x:row r="149">
      <x:c r="A149" s="37" t="str">
        <x:v>TRY-00606</x:v>
      </x:c>
      <x:c r="B149" s="28" t="str">
        <x:v>Create the dynamic 13-week cash and revolver model</x:v>
      </x:c>
      <x:c r="C149" s="28" t="str">
        <x:v>Weekly collection and collateral control</x:v>
      </x:c>
      <x:c r="D149" s="28" t="str">
        <x:v>Alder Ridge</x:v>
      </x:c>
      <x:c r="E149" s="28" t="str">
        <x:v>2026-10-02</x:v>
      </x:c>
      <x:c r="F149" s="28" t="str">
        <x:v>Approved case</x:v>
      </x:c>
      <x:c r="G149" s="28" t="str">
        <x:v>Eligible inventory</x:v>
      </x:c>
      <x:c r="H149" s="31" t="n">
        <x:v>3350000</x:v>
      </x:c>
      <x:c r="I149" s="28" t="str"/>
      <x:c r="J149" s="28" t="str">
        <x:v>USD</x:v>
      </x:c>
      <x:c r="K149" s="28" t="str">
        <x:v>Finance operating schedule</x:v>
      </x:c>
      <x:c r="L149" s="34" t="str">
        <x:v>2026-06-30</x:v>
      </x:c>
      <x:c r="M149" s="28" t="str"/>
    </x:row>
    <x:row r="150">
      <x:c r="A150" s="37" t="str">
        <x:v>TRY-00607</x:v>
      </x:c>
      <x:c r="B150" s="28" t="str">
        <x:v>Create the dynamic 13-week cash and revolver model</x:v>
      </x:c>
      <x:c r="C150" s="28" t="str">
        <x:v>Weekly borrowing base policy</x:v>
      </x:c>
      <x:c r="D150" s="28" t="str">
        <x:v>Alder Ridge</x:v>
      </x:c>
      <x:c r="E150" s="28" t="str">
        <x:v>FY26 Q3</x:v>
      </x:c>
      <x:c r="F150" s="28" t="str">
        <x:v>Approved case</x:v>
      </x:c>
      <x:c r="G150" s="28" t="str">
        <x:v>AR advance rate</x:v>
      </x:c>
      <x:c r="H150" s="31" t="n">
        <x:v>0.8</x:v>
      </x:c>
      <x:c r="I150" s="28" t="str"/>
      <x:c r="J150" s="28" t="str">
        <x:v>decimal ratio</x:v>
      </x:c>
      <x:c r="K150" s="28" t="str">
        <x:v>Finance operating schedule</x:v>
      </x:c>
      <x:c r="L150" s="34" t="str">
        <x:v>2026-06-30</x:v>
      </x:c>
      <x:c r="M150" s="28" t="str"/>
    </x:row>
    <x:row r="151">
      <x:c r="A151" s="37" t="str">
        <x:v>TRY-00608</x:v>
      </x:c>
      <x:c r="B151" s="28" t="str">
        <x:v>Create the dynamic 13-week cash and revolver model</x:v>
      </x:c>
      <x:c r="C151" s="28" t="str">
        <x:v>Weekly borrowing base policy</x:v>
      </x:c>
      <x:c r="D151" s="28" t="str">
        <x:v>Alder Ridge</x:v>
      </x:c>
      <x:c r="E151" s="28" t="str">
        <x:v>FY26 Q3</x:v>
      </x:c>
      <x:c r="F151" s="28" t="str">
        <x:v>Approved case</x:v>
      </x:c>
      <x:c r="G151" s="28" t="str">
        <x:v>Inventory advance rate</x:v>
      </x:c>
      <x:c r="H151" s="31" t="n">
        <x:v>0</x:v>
      </x:c>
      <x:c r="I151" s="28" t="str"/>
      <x:c r="J151" s="28" t="str">
        <x:v>decimal ratio</x:v>
      </x:c>
      <x:c r="K151" s="28" t="str">
        <x:v>Finance operating schedule</x:v>
      </x:c>
      <x:c r="L151" s="34" t="str">
        <x:v>2026-06-30</x:v>
      </x:c>
      <x:c r="M151" s="28" t="str"/>
    </x:row>
    <x:row r="152">
      <x:c r="A152" s="37" t="str">
        <x:v>TRY-00609</x:v>
      </x:c>
      <x:c r="B152" s="28" t="str">
        <x:v>Create the dynamic 13-week cash and revolver model</x:v>
      </x:c>
      <x:c r="C152" s="28" t="str">
        <x:v>Weekly borrowing base policy</x:v>
      </x:c>
      <x:c r="D152" s="28" t="str">
        <x:v>Alder Ridge</x:v>
      </x:c>
      <x:c r="E152" s="28" t="str">
        <x:v>FY26 Q3</x:v>
      </x:c>
      <x:c r="F152" s="28" t="str">
        <x:v>Approved case</x:v>
      </x:c>
      <x:c r="G152" s="28" t="str">
        <x:v>Letters of credit</x:v>
      </x:c>
      <x:c r="H152" s="31" t="n">
        <x:v>650000</x:v>
      </x:c>
      <x:c r="I152" s="28" t="str"/>
      <x:c r="J152" s="28" t="str">
        <x:v>USD</x:v>
      </x:c>
      <x:c r="K152" s="28" t="str">
        <x:v>Finance operating schedule</x:v>
      </x:c>
      <x:c r="L152" s="34" t="str">
        <x:v>2026-06-30</x:v>
      </x:c>
      <x:c r="M152" s="28" t="str"/>
    </x:row>
    <x:row r="153">
      <x:c r="A153" s="37" t="str">
        <x:v>TRY-00610</x:v>
      </x:c>
      <x:c r="B153" s="28" t="str">
        <x:v>Create the dynamic 13-week cash and revolver model</x:v>
      </x:c>
      <x:c r="C153" s="28" t="str">
        <x:v>Weekly borrowing base policy</x:v>
      </x:c>
      <x:c r="D153" s="28" t="str">
        <x:v>Alder Ridge</x:v>
      </x:c>
      <x:c r="E153" s="28" t="str">
        <x:v>FY26 Q3</x:v>
      </x:c>
      <x:c r="F153" s="28" t="str">
        <x:v>Approved case</x:v>
      </x:c>
      <x:c r="G153" s="28" t="str">
        <x:v>Availability block</x:v>
      </x:c>
      <x:c r="H153" s="31" t="n">
        <x:v>725000</x:v>
      </x:c>
      <x:c r="I153" s="28" t="str"/>
      <x:c r="J153" s="28" t="str">
        <x:v>USD</x:v>
      </x:c>
      <x:c r="K153" s="28" t="str">
        <x:v>Finance operating schedule</x:v>
      </x:c>
      <x:c r="L153" s="34" t="str">
        <x:v>2026-06-30</x:v>
      </x:c>
      <x:c r="M153" s="28" t="str"/>
    </x:row>
    <x:row r="154">
      <x:c r="A154" s="37" t="str">
        <x:v>TRY-00815</x:v>
      </x:c>
      <x:c r="B154" s="28" t="str">
        <x:v>Cash-investment liquidity ladder</x:v>
      </x:c>
      <x:c r="C154" s="28" t="str">
        <x:v>Permitted cash investments</x:v>
      </x:c>
      <x:c r="D154" s="28" t="str">
        <x:v>Operating deposit</x:v>
      </x:c>
      <x:c r="E154" s="28" t="str">
        <x:v>2026-07-06</x:v>
      </x:c>
      <x:c r="F154" s="28" t="str">
        <x:v>Approved case</x:v>
      </x:c>
      <x:c r="G154" s="28" t="str">
        <x:v>Maximum allocation</x:v>
      </x:c>
      <x:c r="H154" s="31" t="n">
        <x:v>1250000</x:v>
      </x:c>
      <x:c r="I154" s="28" t="str"/>
      <x:c r="J154" s="28" t="str">
        <x:v>USD</x:v>
      </x:c>
      <x:c r="K154" s="28" t="str">
        <x:v>Finance operating schedule</x:v>
      </x:c>
      <x:c r="L154" s="34" t="str">
        <x:v>2026-06-30</x:v>
      </x:c>
      <x:c r="M154" s="28" t="str"/>
    </x:row>
    <x:row r="155">
      <x:c r="A155" s="37" t="str">
        <x:v>TRY-00816</x:v>
      </x:c>
      <x:c r="B155" s="28" t="str">
        <x:v>Cash-investment liquidity ladder</x:v>
      </x:c>
      <x:c r="C155" s="28" t="str">
        <x:v>Permitted cash investments</x:v>
      </x:c>
      <x:c r="D155" s="28" t="str">
        <x:v>Operating deposit</x:v>
      </x:c>
      <x:c r="E155" s="28" t="str">
        <x:v>2026-07-06</x:v>
      </x:c>
      <x:c r="F155" s="28" t="str">
        <x:v>Approved case</x:v>
      </x:c>
      <x:c r="G155" s="28" t="str">
        <x:v>Annual yield</x:v>
      </x:c>
      <x:c r="H155" s="31" t="n">
        <x:v>0.041</x:v>
      </x:c>
      <x:c r="I155" s="28" t="str"/>
      <x:c r="J155" s="28" t="str">
        <x:v>decimal ratio</x:v>
      </x:c>
      <x:c r="K155" s="28" t="str">
        <x:v>Finance operating schedule</x:v>
      </x:c>
      <x:c r="L155" s="34" t="str">
        <x:v>2026-06-30</x:v>
      </x:c>
      <x:c r="M155" s="28" t="str"/>
    </x:row>
    <x:row r="156">
      <x:c r="A156" s="37" t="str">
        <x:v>TRY-00817</x:v>
      </x:c>
      <x:c r="B156" s="28" t="str">
        <x:v>Cash-investment liquidity ladder</x:v>
      </x:c>
      <x:c r="C156" s="28" t="str">
        <x:v>Permitted cash investments</x:v>
      </x:c>
      <x:c r="D156" s="28" t="str">
        <x:v>Operating deposit</x:v>
      </x:c>
      <x:c r="E156" s="28" t="str">
        <x:v>2026-07-06</x:v>
      </x:c>
      <x:c r="F156" s="28" t="str">
        <x:v>Approved case</x:v>
      </x:c>
      <x:c r="G156" s="28" t="str">
        <x:v>Maturity days</x:v>
      </x:c>
      <x:c r="H156" s="31" t="n">
        <x:v>0</x:v>
      </x:c>
      <x:c r="I156" s="28" t="str"/>
      <x:c r="J156" s="28" t="str">
        <x:v>days</x:v>
      </x:c>
      <x:c r="K156" s="28" t="str">
        <x:v>Finance operating schedule</x:v>
      </x:c>
      <x:c r="L156" s="34" t="str">
        <x:v>2026-06-30</x:v>
      </x:c>
      <x:c r="M156" s="28" t="str"/>
    </x:row>
    <x:row r="157">
      <x:c r="A157" s="37" t="str">
        <x:v>TRY-00818</x:v>
      </x:c>
      <x:c r="B157" s="28" t="str">
        <x:v>Cash-investment liquidity ladder</x:v>
      </x:c>
      <x:c r="C157" s="28" t="str">
        <x:v>Permitted cash investments</x:v>
      </x:c>
      <x:c r="D157" s="28" t="str">
        <x:v>Operating deposit</x:v>
      </x:c>
      <x:c r="E157" s="28" t="str">
        <x:v>2026-07-06</x:v>
      </x:c>
      <x:c r="F157" s="28" t="str">
        <x:v>Approved case</x:v>
      </x:c>
      <x:c r="G157" s="28" t="str">
        <x:v>Settlement days</x:v>
      </x:c>
      <x:c r="H157" s="31" t="n">
        <x:v>0</x:v>
      </x:c>
      <x:c r="I157" s="28" t="str"/>
      <x:c r="J157" s="28" t="str">
        <x:v>days</x:v>
      </x:c>
      <x:c r="K157" s="28" t="str">
        <x:v>Finance operating schedule</x:v>
      </x:c>
      <x:c r="L157" s="34" t="str">
        <x:v>2026-06-30</x:v>
      </x:c>
      <x:c r="M157" s="28" t="str"/>
    </x:row>
    <x:row r="158">
      <x:c r="A158" s="37" t="str">
        <x:v>TRY-00819</x:v>
      </x:c>
      <x:c r="B158" s="28" t="str">
        <x:v>Cash-investment liquidity ladder</x:v>
      </x:c>
      <x:c r="C158" s="28" t="str">
        <x:v>Permitted cash investments</x:v>
      </x:c>
      <x:c r="D158" s="28" t="str">
        <x:v>Operating deposit</x:v>
      </x:c>
      <x:c r="E158" s="28" t="str">
        <x:v>2026-07-06</x:v>
      </x:c>
      <x:c r="F158" s="28" t="str">
        <x:v>Approved case</x:v>
      </x:c>
      <x:c r="G158" s="28" t="str">
        <x:v>Same-day value factor</x:v>
      </x:c>
      <x:c r="H158" s="31" t="n">
        <x:v>1</x:v>
      </x:c>
      <x:c r="I158" s="28" t="str"/>
      <x:c r="J158" s="28" t="str">
        <x:v>decimal ratio</x:v>
      </x:c>
      <x:c r="K158" s="28" t="str">
        <x:v>Finance operating schedule</x:v>
      </x:c>
      <x:c r="L158" s="34" t="str">
        <x:v>2026-06-30</x:v>
      </x:c>
      <x:c r="M158" s="28" t="str"/>
    </x:row>
    <x:row r="159">
      <x:c r="A159" s="37" t="str">
        <x:v>TRY-00820</x:v>
      </x:c>
      <x:c r="B159" s="28" t="str">
        <x:v>Cash-investment liquidity ladder</x:v>
      </x:c>
      <x:c r="C159" s="28" t="str">
        <x:v>Permitted cash investments</x:v>
      </x:c>
      <x:c r="D159" s="28" t="str">
        <x:v>Government MMF</x:v>
      </x:c>
      <x:c r="E159" s="28" t="str">
        <x:v>2026-07-06</x:v>
      </x:c>
      <x:c r="F159" s="28" t="str">
        <x:v>Approved case</x:v>
      </x:c>
      <x:c r="G159" s="28" t="str">
        <x:v>Maximum allocation</x:v>
      </x:c>
      <x:c r="H159" s="31" t="n">
        <x:v>1800000</x:v>
      </x:c>
      <x:c r="I159" s="28" t="str"/>
      <x:c r="J159" s="28" t="str">
        <x:v>USD</x:v>
      </x:c>
      <x:c r="K159" s="28" t="str">
        <x:v>Finance operating schedule</x:v>
      </x:c>
      <x:c r="L159" s="34" t="str">
        <x:v>2026-06-30</x:v>
      </x:c>
      <x:c r="M159" s="28" t="str"/>
    </x:row>
    <x:row r="160">
      <x:c r="A160" s="37" t="str">
        <x:v>TRY-00821</x:v>
      </x:c>
      <x:c r="B160" s="28" t="str">
        <x:v>Cash-investment liquidity ladder</x:v>
      </x:c>
      <x:c r="C160" s="28" t="str">
        <x:v>Permitted cash investments</x:v>
      </x:c>
      <x:c r="D160" s="28" t="str">
        <x:v>Government MMF</x:v>
      </x:c>
      <x:c r="E160" s="28" t="str">
        <x:v>2026-07-06</x:v>
      </x:c>
      <x:c r="F160" s="28" t="str">
        <x:v>Approved case</x:v>
      </x:c>
      <x:c r="G160" s="28" t="str">
        <x:v>Annual yield</x:v>
      </x:c>
      <x:c r="H160" s="31" t="n">
        <x:v>0.048</x:v>
      </x:c>
      <x:c r="I160" s="28" t="str"/>
      <x:c r="J160" s="28" t="str">
        <x:v>decimal ratio</x:v>
      </x:c>
      <x:c r="K160" s="28" t="str">
        <x:v>Finance operating schedule</x:v>
      </x:c>
      <x:c r="L160" s="34" t="str">
        <x:v>2026-06-30</x:v>
      </x:c>
      <x:c r="M160" s="28" t="str"/>
    </x:row>
    <x:row r="161">
      <x:c r="A161" s="37" t="str">
        <x:v>TRY-00822</x:v>
      </x:c>
      <x:c r="B161" s="28" t="str">
        <x:v>Cash-investment liquidity ladder</x:v>
      </x:c>
      <x:c r="C161" s="28" t="str">
        <x:v>Permitted cash investments</x:v>
      </x:c>
      <x:c r="D161" s="28" t="str">
        <x:v>Government MMF</x:v>
      </x:c>
      <x:c r="E161" s="28" t="str">
        <x:v>2026-07-06</x:v>
      </x:c>
      <x:c r="F161" s="28" t="str">
        <x:v>Approved case</x:v>
      </x:c>
      <x:c r="G161" s="28" t="str">
        <x:v>Maturity days</x:v>
      </x:c>
      <x:c r="H161" s="31" t="n">
        <x:v>0</x:v>
      </x:c>
      <x:c r="I161" s="28" t="str"/>
      <x:c r="J161" s="28" t="str">
        <x:v>days</x:v>
      </x:c>
      <x:c r="K161" s="28" t="str">
        <x:v>Finance operating schedule</x:v>
      </x:c>
      <x:c r="L161" s="34" t="str">
        <x:v>2026-06-30</x:v>
      </x:c>
      <x:c r="M161" s="28" t="str"/>
    </x:row>
    <x:row r="162">
      <x:c r="A162" s="37" t="str">
        <x:v>TRY-00823</x:v>
      </x:c>
      <x:c r="B162" s="28" t="str">
        <x:v>Cash-investment liquidity ladder</x:v>
      </x:c>
      <x:c r="C162" s="28" t="str">
        <x:v>Permitted cash investments</x:v>
      </x:c>
      <x:c r="D162" s="28" t="str">
        <x:v>Government MMF</x:v>
      </x:c>
      <x:c r="E162" s="28" t="str">
        <x:v>2026-07-06</x:v>
      </x:c>
      <x:c r="F162" s="28" t="str">
        <x:v>Approved case</x:v>
      </x:c>
      <x:c r="G162" s="28" t="str">
        <x:v>Settlement days</x:v>
      </x:c>
      <x:c r="H162" s="31" t="n">
        <x:v>1</x:v>
      </x:c>
      <x:c r="I162" s="28" t="str"/>
      <x:c r="J162" s="28" t="str">
        <x:v>days</x:v>
      </x:c>
      <x:c r="K162" s="28" t="str">
        <x:v>Finance operating schedule</x:v>
      </x:c>
      <x:c r="L162" s="34" t="str">
        <x:v>2026-06-30</x:v>
      </x:c>
      <x:c r="M162" s="28" t="str"/>
    </x:row>
    <x:row r="163">
      <x:c r="A163" s="37" t="str">
        <x:v>TRY-00824</x:v>
      </x:c>
      <x:c r="B163" s="28" t="str">
        <x:v>Cash-investment liquidity ladder</x:v>
      </x:c>
      <x:c r="C163" s="28" t="str">
        <x:v>Permitted cash investments</x:v>
      </x:c>
      <x:c r="D163" s="28" t="str">
        <x:v>Government MMF</x:v>
      </x:c>
      <x:c r="E163" s="28" t="str">
        <x:v>2026-07-06</x:v>
      </x:c>
      <x:c r="F163" s="28" t="str">
        <x:v>Approved case</x:v>
      </x:c>
      <x:c r="G163" s="28" t="str">
        <x:v>Same-day value factor</x:v>
      </x:c>
      <x:c r="H163" s="31" t="n">
        <x:v>1</x:v>
      </x:c>
      <x:c r="I163" s="28" t="str"/>
      <x:c r="J163" s="28" t="str">
        <x:v>decimal ratio</x:v>
      </x:c>
      <x:c r="K163" s="28" t="str">
        <x:v>Finance operating schedule</x:v>
      </x:c>
      <x:c r="L163" s="34" t="str">
        <x:v>2026-06-30</x:v>
      </x:c>
      <x:c r="M163" s="28" t="str"/>
    </x:row>
    <x:row r="164">
      <x:c r="A164" s="37" t="str">
        <x:v>TRY-00825</x:v>
      </x:c>
      <x:c r="B164" s="28" t="str">
        <x:v>Cash-investment liquidity ladder</x:v>
      </x:c>
      <x:c r="C164" s="28" t="str">
        <x:v>Permitted cash investments</x:v>
      </x:c>
      <x:c r="D164" s="28" t="str">
        <x:v>4-week T-bill</x:v>
      </x:c>
      <x:c r="E164" s="28" t="str">
        <x:v>2026-07-06</x:v>
      </x:c>
      <x:c r="F164" s="28" t="str">
        <x:v>Approved case</x:v>
      </x:c>
      <x:c r="G164" s="28" t="str">
        <x:v>Maximum allocation</x:v>
      </x:c>
      <x:c r="H164" s="31" t="n">
        <x:v>1500000</x:v>
      </x:c>
      <x:c r="I164" s="28" t="str"/>
      <x:c r="J164" s="28" t="str">
        <x:v>USD</x:v>
      </x:c>
      <x:c r="K164" s="28" t="str">
        <x:v>Finance operating schedule</x:v>
      </x:c>
      <x:c r="L164" s="34" t="str">
        <x:v>2026-06-30</x:v>
      </x:c>
      <x:c r="M164" s="28" t="str"/>
    </x:row>
    <x:row r="165">
      <x:c r="A165" s="37" t="str">
        <x:v>TRY-00826</x:v>
      </x:c>
      <x:c r="B165" s="28" t="str">
        <x:v>Cash-investment liquidity ladder</x:v>
      </x:c>
      <x:c r="C165" s="28" t="str">
        <x:v>Permitted cash investments</x:v>
      </x:c>
      <x:c r="D165" s="28" t="str">
        <x:v>4-week T-bill</x:v>
      </x:c>
      <x:c r="E165" s="28" t="str">
        <x:v>2026-07-06</x:v>
      </x:c>
      <x:c r="F165" s="28" t="str">
        <x:v>Approved case</x:v>
      </x:c>
      <x:c r="G165" s="28" t="str">
        <x:v>Annual yield</x:v>
      </x:c>
      <x:c r="H165" s="31" t="n">
        <x:v>0.0505</x:v>
      </x:c>
      <x:c r="I165" s="28" t="str"/>
      <x:c r="J165" s="28" t="str">
        <x:v>decimal ratio</x:v>
      </x:c>
      <x:c r="K165" s="28" t="str">
        <x:v>Finance operating schedule</x:v>
      </x:c>
      <x:c r="L165" s="34" t="str">
        <x:v>2026-06-30</x:v>
      </x:c>
      <x:c r="M165" s="28" t="str"/>
    </x:row>
    <x:row r="166">
      <x:c r="A166" s="37" t="str">
        <x:v>TRY-00827</x:v>
      </x:c>
      <x:c r="B166" s="28" t="str">
        <x:v>Cash-investment liquidity ladder</x:v>
      </x:c>
      <x:c r="C166" s="28" t="str">
        <x:v>Permitted cash investments</x:v>
      </x:c>
      <x:c r="D166" s="28" t="str">
        <x:v>4-week T-bill</x:v>
      </x:c>
      <x:c r="E166" s="28" t="str">
        <x:v>2026-07-06</x:v>
      </x:c>
      <x:c r="F166" s="28" t="str">
        <x:v>Approved case</x:v>
      </x:c>
      <x:c r="G166" s="28" t="str">
        <x:v>Maturity days</x:v>
      </x:c>
      <x:c r="H166" s="31" t="n">
        <x:v>28</x:v>
      </x:c>
      <x:c r="I166" s="28" t="str"/>
      <x:c r="J166" s="28" t="str">
        <x:v>days</x:v>
      </x:c>
      <x:c r="K166" s="28" t="str">
        <x:v>Finance operating schedule</x:v>
      </x:c>
      <x:c r="L166" s="34" t="str">
        <x:v>2026-06-30</x:v>
      </x:c>
      <x:c r="M166" s="28" t="str"/>
    </x:row>
    <x:row r="167">
      <x:c r="A167" s="37" t="str">
        <x:v>TRY-00828</x:v>
      </x:c>
      <x:c r="B167" s="28" t="str">
        <x:v>Cash-investment liquidity ladder</x:v>
      </x:c>
      <x:c r="C167" s="28" t="str">
        <x:v>Permitted cash investments</x:v>
      </x:c>
      <x:c r="D167" s="28" t="str">
        <x:v>4-week T-bill</x:v>
      </x:c>
      <x:c r="E167" s="28" t="str">
        <x:v>2026-07-06</x:v>
      </x:c>
      <x:c r="F167" s="28" t="str">
        <x:v>Approved case</x:v>
      </x:c>
      <x:c r="G167" s="28" t="str">
        <x:v>Settlement days</x:v>
      </x:c>
      <x:c r="H167" s="31" t="n">
        <x:v>1</x:v>
      </x:c>
      <x:c r="I167" s="28" t="str"/>
      <x:c r="J167" s="28" t="str">
        <x:v>days</x:v>
      </x:c>
      <x:c r="K167" s="28" t="str">
        <x:v>Finance operating schedule</x:v>
      </x:c>
      <x:c r="L167" s="34" t="str">
        <x:v>2026-06-30</x:v>
      </x:c>
      <x:c r="M167" s="28" t="str"/>
    </x:row>
    <x:row r="168">
      <x:c r="A168" s="37" t="str">
        <x:v>TRY-00829</x:v>
      </x:c>
      <x:c r="B168" s="28" t="str">
        <x:v>Cash-investment liquidity ladder</x:v>
      </x:c>
      <x:c r="C168" s="28" t="str">
        <x:v>Permitted cash investments</x:v>
      </x:c>
      <x:c r="D168" s="28" t="str">
        <x:v>4-week T-bill</x:v>
      </x:c>
      <x:c r="E168" s="28" t="str">
        <x:v>2026-07-06</x:v>
      </x:c>
      <x:c r="F168" s="28" t="str">
        <x:v>Approved case</x:v>
      </x:c>
      <x:c r="G168" s="28" t="str">
        <x:v>Same-day value factor</x:v>
      </x:c>
      <x:c r="H168" s="31" t="n">
        <x:v>0.998</x:v>
      </x:c>
      <x:c r="I168" s="28" t="str"/>
      <x:c r="J168" s="28" t="str">
        <x:v>decimal ratio</x:v>
      </x:c>
      <x:c r="K168" s="28" t="str">
        <x:v>Finance operating schedule</x:v>
      </x:c>
      <x:c r="L168" s="34" t="str">
        <x:v>2026-06-30</x:v>
      </x:c>
      <x:c r="M168" s="28" t="str"/>
    </x:row>
    <x:row r="169">
      <x:c r="A169" s="37" t="str">
        <x:v>TRY-00830</x:v>
      </x:c>
      <x:c r="B169" s="28" t="str">
        <x:v>Cash-investment liquidity ladder</x:v>
      </x:c>
      <x:c r="C169" s="28" t="str">
        <x:v>Permitted cash investments</x:v>
      </x:c>
      <x:c r="D169" s="28" t="str">
        <x:v>8-week T-bill</x:v>
      </x:c>
      <x:c r="E169" s="28" t="str">
        <x:v>2026-07-06</x:v>
      </x:c>
      <x:c r="F169" s="28" t="str">
        <x:v>Approved case</x:v>
      </x:c>
      <x:c r="G169" s="28" t="str">
        <x:v>Maximum allocation</x:v>
      </x:c>
      <x:c r="H169" s="31" t="n">
        <x:v>1750</x:v>
      </x:c>
      <x:c r="I169" s="28" t="str"/>
      <x:c r="J169" s="28" t="str">
        <x:v>USD thousands</x:v>
      </x:c>
      <x:c r="K169" s="28" t="str">
        <x:v>Finance operating schedule</x:v>
      </x:c>
      <x:c r="L169" s="34" t="str">
        <x:v>2026-06-30</x:v>
      </x:c>
      <x:c r="M169" s="28" t="str"/>
    </x:row>
    <x:row r="170">
      <x:c r="A170" s="37" t="str">
        <x:v>TRY-00831</x:v>
      </x:c>
      <x:c r="B170" s="28" t="str">
        <x:v>Cash-investment liquidity ladder</x:v>
      </x:c>
      <x:c r="C170" s="28" t="str">
        <x:v>Permitted cash investments</x:v>
      </x:c>
      <x:c r="D170" s="28" t="str">
        <x:v>8-week T-bill</x:v>
      </x:c>
      <x:c r="E170" s="28" t="str">
        <x:v>2026-07-06</x:v>
      </x:c>
      <x:c r="F170" s="28" t="str">
        <x:v>Approved case</x:v>
      </x:c>
      <x:c r="G170" s="28" t="str">
        <x:v>Annual yield</x:v>
      </x:c>
      <x:c r="H170" s="31" t="n">
        <x:v>0.0515</x:v>
      </x:c>
      <x:c r="I170" s="28" t="str"/>
      <x:c r="J170" s="28" t="str">
        <x:v>decimal ratio</x:v>
      </x:c>
      <x:c r="K170" s="28" t="str">
        <x:v>Finance operating schedule</x:v>
      </x:c>
      <x:c r="L170" s="34" t="str">
        <x:v>2026-06-30</x:v>
      </x:c>
      <x:c r="M170" s="28" t="str"/>
    </x:row>
    <x:row r="171">
      <x:c r="A171" s="37" t="str">
        <x:v>TRY-00832</x:v>
      </x:c>
      <x:c r="B171" s="28" t="str">
        <x:v>Cash-investment liquidity ladder</x:v>
      </x:c>
      <x:c r="C171" s="28" t="str">
        <x:v>Permitted cash investments</x:v>
      </x:c>
      <x:c r="D171" s="28" t="str">
        <x:v>8-week T-bill</x:v>
      </x:c>
      <x:c r="E171" s="28" t="str">
        <x:v>2026-07-06</x:v>
      </x:c>
      <x:c r="F171" s="28" t="str">
        <x:v>Approved case</x:v>
      </x:c>
      <x:c r="G171" s="28" t="str">
        <x:v>Maturity days</x:v>
      </x:c>
      <x:c r="H171" s="31" t="n">
        <x:v>56</x:v>
      </x:c>
      <x:c r="I171" s="28" t="str"/>
      <x:c r="J171" s="28" t="str">
        <x:v>days</x:v>
      </x:c>
      <x:c r="K171" s="28" t="str">
        <x:v>Finance operating schedule</x:v>
      </x:c>
      <x:c r="L171" s="34" t="str">
        <x:v>2026-06-30</x:v>
      </x:c>
      <x:c r="M171" s="28" t="str"/>
    </x:row>
    <x:row r="172">
      <x:c r="A172" s="37" t="str">
        <x:v>TRY-00833</x:v>
      </x:c>
      <x:c r="B172" s="28" t="str">
        <x:v>Cash-investment liquidity ladder</x:v>
      </x:c>
      <x:c r="C172" s="28" t="str">
        <x:v>Permitted cash investments</x:v>
      </x:c>
      <x:c r="D172" s="28" t="str">
        <x:v>8-week T-bill</x:v>
      </x:c>
      <x:c r="E172" s="28" t="str">
        <x:v>2026-07-06</x:v>
      </x:c>
      <x:c r="F172" s="28" t="str">
        <x:v>Approved case</x:v>
      </x:c>
      <x:c r="G172" s="28" t="str">
        <x:v>Settlement days</x:v>
      </x:c>
      <x:c r="H172" s="31" t="n">
        <x:v>1</x:v>
      </x:c>
      <x:c r="I172" s="28" t="str"/>
      <x:c r="J172" s="28" t="str">
        <x:v>days</x:v>
      </x:c>
      <x:c r="K172" s="28" t="str">
        <x:v>Finance operating schedule</x:v>
      </x:c>
      <x:c r="L172" s="34" t="str">
        <x:v>2026-06-30</x:v>
      </x:c>
      <x:c r="M172" s="28" t="str"/>
    </x:row>
    <x:row r="173">
      <x:c r="A173" s="37" t="str">
        <x:v>TRY-00834</x:v>
      </x:c>
      <x:c r="B173" s="28" t="str">
        <x:v>Cash-investment liquidity ladder</x:v>
      </x:c>
      <x:c r="C173" s="28" t="str">
        <x:v>Permitted cash investments</x:v>
      </x:c>
      <x:c r="D173" s="28" t="str">
        <x:v>8-week T-bill</x:v>
      </x:c>
      <x:c r="E173" s="28" t="str">
        <x:v>2026-07-06</x:v>
      </x:c>
      <x:c r="F173" s="28" t="str">
        <x:v>Approved case</x:v>
      </x:c>
      <x:c r="G173" s="28" t="str">
        <x:v>Same-day value factor</x:v>
      </x:c>
      <x:c r="H173" s="31" t="n">
        <x:v>0.996</x:v>
      </x:c>
      <x:c r="I173" s="28" t="str"/>
      <x:c r="J173" s="28" t="str">
        <x:v>decimal ratio</x:v>
      </x:c>
      <x:c r="K173" s="28" t="str">
        <x:v>Finance operating schedule</x:v>
      </x:c>
      <x:c r="L173" s="34" t="str">
        <x:v>2026-06-30</x:v>
      </x:c>
      <x:c r="M173" s="28" t="str"/>
    </x:row>
    <x:row r="174">
      <x:c r="A174" s="37" t="str">
        <x:v>TRY-00835</x:v>
      </x:c>
      <x:c r="B174" s="28" t="str">
        <x:v>Cash-investment liquidity ladder</x:v>
      </x:c>
      <x:c r="C174" s="28" t="str">
        <x:v>Permitted cash investments</x:v>
      </x:c>
      <x:c r="D174" s="28" t="str">
        <x:v>13-week T-bill</x:v>
      </x:c>
      <x:c r="E174" s="28" t="str">
        <x:v>2026-07-06</x:v>
      </x:c>
      <x:c r="F174" s="28" t="str">
        <x:v>Approved case</x:v>
      </x:c>
      <x:c r="G174" s="28" t="str">
        <x:v>Maximum allocation</x:v>
      </x:c>
      <x:c r="H174" s="31" t="n">
        <x:v>2000000</x:v>
      </x:c>
      <x:c r="I174" s="28" t="str"/>
      <x:c r="J174" s="28" t="str">
        <x:v>USD</x:v>
      </x:c>
      <x:c r="K174" s="28" t="str">
        <x:v>Finance operating schedule</x:v>
      </x:c>
      <x:c r="L174" s="34" t="str">
        <x:v>2026-06-30</x:v>
      </x:c>
      <x:c r="M174" s="28" t="str"/>
    </x:row>
    <x:row r="175">
      <x:c r="A175" s="37" t="str">
        <x:v>TRY-00836</x:v>
      </x:c>
      <x:c r="B175" s="28" t="str">
        <x:v>Cash-investment liquidity ladder</x:v>
      </x:c>
      <x:c r="C175" s="28" t="str">
        <x:v>Permitted cash investments</x:v>
      </x:c>
      <x:c r="D175" s="28" t="str">
        <x:v>13-week T-bill</x:v>
      </x:c>
      <x:c r="E175" s="28" t="str">
        <x:v>2026-07-06</x:v>
      </x:c>
      <x:c r="F175" s="28" t="str">
        <x:v>Approved case</x:v>
      </x:c>
      <x:c r="G175" s="28" t="str">
        <x:v>Annual yield</x:v>
      </x:c>
      <x:c r="H175" s="31" t="n">
        <x:v>0.052</x:v>
      </x:c>
      <x:c r="I175" s="28" t="str"/>
      <x:c r="J175" s="28" t="str">
        <x:v>decimal ratio</x:v>
      </x:c>
      <x:c r="K175" s="28" t="str">
        <x:v>Finance operating schedule</x:v>
      </x:c>
      <x:c r="L175" s="34" t="str">
        <x:v>2026-06-30</x:v>
      </x:c>
      <x:c r="M175" s="28" t="str"/>
    </x:row>
    <x:row r="176">
      <x:c r="A176" s="37" t="str">
        <x:v>TRY-00837</x:v>
      </x:c>
      <x:c r="B176" s="28" t="str">
        <x:v>Cash-investment liquidity ladder</x:v>
      </x:c>
      <x:c r="C176" s="28" t="str">
        <x:v>Permitted cash investments</x:v>
      </x:c>
      <x:c r="D176" s="28" t="str">
        <x:v>13-week T-bill</x:v>
      </x:c>
      <x:c r="E176" s="28" t="str">
        <x:v>2026-07-06</x:v>
      </x:c>
      <x:c r="F176" s="28" t="str">
        <x:v>Approved case</x:v>
      </x:c>
      <x:c r="G176" s="28" t="str">
        <x:v>Maturity days</x:v>
      </x:c>
      <x:c r="H176" s="31" t="n">
        <x:v>91</x:v>
      </x:c>
      <x:c r="I176" s="28" t="str"/>
      <x:c r="J176" s="28" t="str">
        <x:v>days</x:v>
      </x:c>
      <x:c r="K176" s="28" t="str">
        <x:v>Finance operating schedule</x:v>
      </x:c>
      <x:c r="L176" s="34" t="str">
        <x:v>2026-06-30</x:v>
      </x:c>
      <x:c r="M176" s="28" t="str"/>
    </x:row>
    <x:row r="177">
      <x:c r="A177" s="37" t="str">
        <x:v>TRY-00838</x:v>
      </x:c>
      <x:c r="B177" s="28" t="str">
        <x:v>Cash-investment liquidity ladder</x:v>
      </x:c>
      <x:c r="C177" s="28" t="str">
        <x:v>Permitted cash investments</x:v>
      </x:c>
      <x:c r="D177" s="28" t="str">
        <x:v>13-week T-bill</x:v>
      </x:c>
      <x:c r="E177" s="28" t="str">
        <x:v>2026-07-06</x:v>
      </x:c>
      <x:c r="F177" s="28" t="str">
        <x:v>Approved case</x:v>
      </x:c>
      <x:c r="G177" s="28" t="str">
        <x:v>Settlement days</x:v>
      </x:c>
      <x:c r="H177" s="31" t="n">
        <x:v>2</x:v>
      </x:c>
      <x:c r="I177" s="28" t="str"/>
      <x:c r="J177" s="28" t="str">
        <x:v>days</x:v>
      </x:c>
      <x:c r="K177" s="28" t="str">
        <x:v>Finance operating schedule</x:v>
      </x:c>
      <x:c r="L177" s="34" t="str">
        <x:v>2026-06-30</x:v>
      </x:c>
      <x:c r="M177" s="28" t="str"/>
    </x:row>
    <x:row r="178">
      <x:c r="A178" s="37" t="str">
        <x:v>TRY-00839</x:v>
      </x:c>
      <x:c r="B178" s="28" t="str">
        <x:v>Cash-investment liquidity ladder</x:v>
      </x:c>
      <x:c r="C178" s="28" t="str">
        <x:v>Permitted cash investments</x:v>
      </x:c>
      <x:c r="D178" s="28" t="str">
        <x:v>13-week T-bill</x:v>
      </x:c>
      <x:c r="E178" s="28" t="str">
        <x:v>2026-07-06</x:v>
      </x:c>
      <x:c r="F178" s="28" t="str">
        <x:v>Approved case</x:v>
      </x:c>
      <x:c r="G178" s="28" t="str">
        <x:v>Same-day value factor</x:v>
      </x:c>
      <x:c r="H178" s="31" t="n">
        <x:v>0.994</x:v>
      </x:c>
      <x:c r="I178" s="28" t="str"/>
      <x:c r="J178" s="28" t="str">
        <x:v>decimal ratio</x:v>
      </x:c>
      <x:c r="K178" s="28" t="str">
        <x:v>Finance operating schedule</x:v>
      </x:c>
      <x:c r="L178" s="34" t="str">
        <x:v>2026-06-30</x:v>
      </x:c>
      <x:c r="M178" s="28" t="str"/>
    </x:row>
    <x:row r="179">
      <x:c r="A179" s="37" t="str">
        <x:v>TRY-00840</x:v>
      </x:c>
      <x:c r="B179" s="28" t="str">
        <x:v>Cash-investment liquidity ladder</x:v>
      </x:c>
      <x:c r="C179" s="28" t="str">
        <x:v>Permitted cash investments</x:v>
      </x:c>
      <x:c r="D179" s="28" t="str">
        <x:v>AAA commercial paper</x:v>
      </x:c>
      <x:c r="E179" s="28" t="str">
        <x:v>2026-07-06</x:v>
      </x:c>
      <x:c r="F179" s="28" t="str">
        <x:v>Approved case</x:v>
      </x:c>
      <x:c r="G179" s="28" t="str">
        <x:v>Maximum allocation</x:v>
      </x:c>
      <x:c r="H179" s="31" t="n">
        <x:v>1200000</x:v>
      </x:c>
      <x:c r="I179" s="28" t="str"/>
      <x:c r="J179" s="28" t="str">
        <x:v>USD</x:v>
      </x:c>
      <x:c r="K179" s="28" t="str">
        <x:v>Finance operating schedule</x:v>
      </x:c>
      <x:c r="L179" s="34" t="str">
        <x:v>2026-06-30</x:v>
      </x:c>
      <x:c r="M179" s="28" t="str"/>
    </x:row>
    <x:row r="180">
      <x:c r="A180" s="37" t="str">
        <x:v>TRY-00841</x:v>
      </x:c>
      <x:c r="B180" s="28" t="str">
        <x:v>Cash-investment liquidity ladder</x:v>
      </x:c>
      <x:c r="C180" s="28" t="str">
        <x:v>Permitted cash investments</x:v>
      </x:c>
      <x:c r="D180" s="28" t="str">
        <x:v>AAA commercial paper</x:v>
      </x:c>
      <x:c r="E180" s="28" t="str">
        <x:v>2026-07-06</x:v>
      </x:c>
      <x:c r="F180" s="28" t="str">
        <x:v>Approved case</x:v>
      </x:c>
      <x:c r="G180" s="28" t="str">
        <x:v>Annual yield</x:v>
      </x:c>
      <x:c r="H180" s="31" t="n">
        <x:v>0.0545</x:v>
      </x:c>
      <x:c r="I180" s="28" t="str"/>
      <x:c r="J180" s="28" t="str">
        <x:v>decimal ratio</x:v>
      </x:c>
      <x:c r="K180" s="28" t="str">
        <x:v>Finance operating schedule</x:v>
      </x:c>
      <x:c r="L180" s="34" t="str">
        <x:v>2026-06-30</x:v>
      </x:c>
      <x:c r="M180" s="28" t="str"/>
    </x:row>
    <x:row r="181">
      <x:c r="A181" s="37" t="str">
        <x:v>TRY-00842</x:v>
      </x:c>
      <x:c r="B181" s="28" t="str">
        <x:v>Cash-investment liquidity ladder</x:v>
      </x:c>
      <x:c r="C181" s="28" t="str">
        <x:v>Permitted cash investments</x:v>
      </x:c>
      <x:c r="D181" s="28" t="str">
        <x:v>AAA commercial paper</x:v>
      </x:c>
      <x:c r="E181" s="28" t="str">
        <x:v>2026-07-06</x:v>
      </x:c>
      <x:c r="F181" s="28" t="str">
        <x:v>Approved case</x:v>
      </x:c>
      <x:c r="G181" s="28" t="str">
        <x:v>Maturity days</x:v>
      </x:c>
      <x:c r="H181" s="31" t="n">
        <x:v>63</x:v>
      </x:c>
      <x:c r="I181" s="28" t="str"/>
      <x:c r="J181" s="28" t="str">
        <x:v>days</x:v>
      </x:c>
      <x:c r="K181" s="28" t="str">
        <x:v>Finance operating schedule</x:v>
      </x:c>
      <x:c r="L181" s="34" t="str">
        <x:v>2026-06-30</x:v>
      </x:c>
      <x:c r="M181" s="28" t="str"/>
    </x:row>
    <x:row r="182">
      <x:c r="A182" s="37" t="str">
        <x:v>TRY-00843</x:v>
      </x:c>
      <x:c r="B182" s="28" t="str">
        <x:v>Cash-investment liquidity ladder</x:v>
      </x:c>
      <x:c r="C182" s="28" t="str">
        <x:v>Permitted cash investments</x:v>
      </x:c>
      <x:c r="D182" s="28" t="str">
        <x:v>AAA commercial paper</x:v>
      </x:c>
      <x:c r="E182" s="28" t="str">
        <x:v>2026-07-06</x:v>
      </x:c>
      <x:c r="F182" s="28" t="str">
        <x:v>Approved case</x:v>
      </x:c>
      <x:c r="G182" s="28" t="str">
        <x:v>Settlement days</x:v>
      </x:c>
      <x:c r="H182" s="31" t="n">
        <x:v>3</x:v>
      </x:c>
      <x:c r="I182" s="28" t="str"/>
      <x:c r="J182" s="28" t="str">
        <x:v>days</x:v>
      </x:c>
      <x:c r="K182" s="28" t="str">
        <x:v>Finance operating schedule</x:v>
      </x:c>
      <x:c r="L182" s="34" t="str">
        <x:v>2026-06-30</x:v>
      </x:c>
      <x:c r="M182" s="28" t="str"/>
    </x:row>
    <x:row r="183">
      <x:c r="A183" s="37" t="str">
        <x:v>TRY-00844</x:v>
      </x:c>
      <x:c r="B183" s="28" t="str">
        <x:v>Cash-investment liquidity ladder</x:v>
      </x:c>
      <x:c r="C183" s="28" t="str">
        <x:v>Permitted cash investments</x:v>
      </x:c>
      <x:c r="D183" s="28" t="str">
        <x:v>AAA commercial paper</x:v>
      </x:c>
      <x:c r="E183" s="28" t="str">
        <x:v>2026-07-06</x:v>
      </x:c>
      <x:c r="F183" s="28" t="str">
        <x:v>Approved case</x:v>
      </x:c>
      <x:c r="G183" s="28" t="str">
        <x:v>Same-day value factor</x:v>
      </x:c>
      <x:c r="H183" s="31" t="n">
        <x:v>0.985</x:v>
      </x:c>
      <x:c r="I183" s="28" t="str"/>
      <x:c r="J183" s="28" t="str">
        <x:v>decimal ratio</x:v>
      </x:c>
      <x:c r="K183" s="28" t="str">
        <x:v>Finance operating schedule</x:v>
      </x:c>
      <x:c r="L183" s="34" t="str">
        <x:v>2026-06-30</x:v>
      </x:c>
      <x:c r="M183" s="28" t="str"/>
    </x:row>
    <x:row r="184">
      <x:c r="A184" s="37" t="str">
        <x:v>TRY-00845</x:v>
      </x:c>
      <x:c r="B184" s="28" t="str">
        <x:v>Cash-investment liquidity ladder</x:v>
      </x:c>
      <x:c r="C184" s="28" t="str">
        <x:v>Liquidity requirement tranches</x:v>
      </x:c>
      <x:c r="D184" s="28" t="str">
        <x:v>Alder Ridge</x:v>
      </x:c>
      <x:c r="E184" s="28" t="str">
        <x:v>Day 14</x:v>
      </x:c>
      <x:c r="F184" s="28" t="str">
        <x:v>Approved case</x:v>
      </x:c>
      <x:c r="G184" s="28" t="str">
        <x:v>Incremental cash need</x:v>
      </x:c>
      <x:c r="H184" s="31" t="n">
        <x:v>2100000</x:v>
      </x:c>
      <x:c r="I184" s="28" t="str"/>
      <x:c r="J184" s="28" t="str">
        <x:v>USD</x:v>
      </x:c>
      <x:c r="K184" s="28" t="str">
        <x:v>Finance operating schedule</x:v>
      </x:c>
      <x:c r="L184" s="34" t="str">
        <x:v>2026-06-30</x:v>
      </x:c>
      <x:c r="M184" s="28" t="str"/>
    </x:row>
    <x:row r="185">
      <x:c r="A185" s="37" t="str">
        <x:v>TRY-00846</x:v>
      </x:c>
      <x:c r="B185" s="28" t="str">
        <x:v>Cash-investment liquidity ladder</x:v>
      </x:c>
      <x:c r="C185" s="28" t="str">
        <x:v>Liquidity requirement tranches</x:v>
      </x:c>
      <x:c r="D185" s="28" t="str">
        <x:v>Alder Ridge</x:v>
      </x:c>
      <x:c r="E185" s="28" t="str">
        <x:v>Day 35</x:v>
      </x:c>
      <x:c r="F185" s="28" t="str">
        <x:v>Approved case</x:v>
      </x:c>
      <x:c r="G185" s="28" t="str">
        <x:v>Incremental cash need</x:v>
      </x:c>
      <x:c r="H185" s="31" t="n">
        <x:v>1600</x:v>
      </x:c>
      <x:c r="I185" s="28" t="str"/>
      <x:c r="J185" s="28" t="str">
        <x:v>USD thousands</x:v>
      </x:c>
      <x:c r="K185" s="28" t="str">
        <x:v>Finance operating schedule</x:v>
      </x:c>
      <x:c r="L185" s="34" t="str">
        <x:v>2026-06-30</x:v>
      </x:c>
      <x:c r="M185" s="28" t="str"/>
    </x:row>
    <x:row r="186">
      <x:c r="A186" s="37" t="str">
        <x:v>TRY-00847</x:v>
      </x:c>
      <x:c r="B186" s="28" t="str">
        <x:v>Cash-investment liquidity ladder</x:v>
      </x:c>
      <x:c r="C186" s="28" t="str">
        <x:v>Liquidity requirement tranches</x:v>
      </x:c>
      <x:c r="D186" s="28" t="str">
        <x:v>Alder Ridge</x:v>
      </x:c>
      <x:c r="E186" s="28" t="str">
        <x:v>Day 70</x:v>
      </x:c>
      <x:c r="F186" s="28" t="str">
        <x:v>Approved case</x:v>
      </x:c>
      <x:c r="G186" s="28" t="str">
        <x:v>Incremental cash need</x:v>
      </x:c>
      <x:c r="H186" s="31" t="n">
        <x:v>1900000</x:v>
      </x:c>
      <x:c r="I186" s="28" t="str"/>
      <x:c r="J186" s="28" t="str">
        <x:v>USD</x:v>
      </x:c>
      <x:c r="K186" s="28" t="str">
        <x:v>Finance operating schedule</x:v>
      </x:c>
      <x:c r="L186" s="34" t="str">
        <x:v>2026-06-30</x:v>
      </x:c>
      <x:c r="M186" s="28" t="str"/>
    </x:row>
    <x:row r="187">
      <x:c r="A187" s="37" t="str">
        <x:v>TRY-00848</x:v>
      </x:c>
      <x:c r="B187" s="28" t="str">
        <x:v>Cash-investment liquidity ladder</x:v>
      </x:c>
      <x:c r="C187" s="28" t="str">
        <x:v>Liquidity requirement tranches</x:v>
      </x:c>
      <x:c r="D187" s="28" t="str">
        <x:v>Alder Ridge</x:v>
      </x:c>
      <x:c r="E187" s="28" t="str">
        <x:v>Day 100</x:v>
      </x:c>
      <x:c r="F187" s="28" t="str">
        <x:v>Approved case</x:v>
      </x:c>
      <x:c r="G187" s="28" t="str">
        <x:v>Incremental cash need</x:v>
      </x:c>
      <x:c r="H187" s="31" t="n">
        <x:v>1250000</x:v>
      </x:c>
      <x:c r="I187" s="28" t="str"/>
      <x:c r="J187" s="28" t="str">
        <x:v>USD</x:v>
      </x:c>
      <x:c r="K187" s="28" t="str">
        <x:v>Finance operating schedule</x:v>
      </x:c>
      <x:c r="L187" s="34" t="str">
        <x:v>2026-06-30</x:v>
      </x:c>
      <x:c r="M187" s="28" t="str"/>
    </x:row>
    <x:row r="188">
      <x:c r="A188" s="37" t="str">
        <x:v>TRY-00849</x:v>
      </x:c>
      <x:c r="B188" s="28" t="str">
        <x:v>Cash-investment liquidity ladder</x:v>
      </x:c>
      <x:c r="C188" s="28" t="str">
        <x:v>Investment policy</x:v>
      </x:c>
      <x:c r="D188" s="28" t="str">
        <x:v>Alder Ridge</x:v>
      </x:c>
      <x:c r="E188" s="28" t="str">
        <x:v>2026-07-06</x:v>
      </x:c>
      <x:c r="F188" s="28" t="str">
        <x:v>Approved case</x:v>
      </x:c>
      <x:c r="G188" s="28" t="str">
        <x:v>Investable cash</x:v>
      </x:c>
      <x:c r="H188" s="31" t="n">
        <x:v>6850000</x:v>
      </x:c>
      <x:c r="I188" s="28" t="str"/>
      <x:c r="J188" s="28" t="str">
        <x:v>USD</x:v>
      </x:c>
      <x:c r="K188" s="28" t="str">
        <x:v>Finance operating schedule</x:v>
      </x:c>
      <x:c r="L188" s="34" t="str">
        <x:v>2026-06-30</x:v>
      </x:c>
      <x:c r="M188" s="28" t="str"/>
    </x:row>
    <x:row r="189">
      <x:c r="A189" s="37" t="str">
        <x:v>TRY-00850</x:v>
      </x:c>
      <x:c r="B189" s="28" t="str">
        <x:v>Cash-investment liquidity ladder</x:v>
      </x:c>
      <x:c r="C189" s="28" t="str">
        <x:v>Investment policy</x:v>
      </x:c>
      <x:c r="D189" s="28" t="str">
        <x:v>Alder Ridge</x:v>
      </x:c>
      <x:c r="E189" s="28" t="str">
        <x:v>2026-07-06</x:v>
      </x:c>
      <x:c r="F189" s="28" t="str">
        <x:v>Approved case</x:v>
      </x:c>
      <x:c r="G189" s="28" t="str">
        <x:v>Minimum same-day liquidity</x:v>
      </x:c>
      <x:c r="H189" s="31" t="n">
        <x:v>2500</x:v>
      </x:c>
      <x:c r="I189" s="28" t="str"/>
      <x:c r="J189" s="28" t="str">
        <x:v>USD thousands</x:v>
      </x:c>
      <x:c r="K189" s="28" t="str">
        <x:v>Finance operating schedule</x:v>
      </x:c>
      <x:c r="L189" s="34" t="str">
        <x:v>2026-06-30</x:v>
      </x:c>
      <x:c r="M189" s="28" t="str"/>
    </x:row>
    <x:row r="190">
      <x:c r="A190" s="37" t="str">
        <x:v>TRY-00851</x:v>
      </x:c>
      <x:c r="B190" s="28" t="str">
        <x:v>Cash-investment liquidity ladder</x:v>
      </x:c>
      <x:c r="C190" s="28" t="str">
        <x:v>Investment policy</x:v>
      </x:c>
      <x:c r="D190" s="28" t="str">
        <x:v>Alder Ridge</x:v>
      </x:c>
      <x:c r="E190" s="28" t="str">
        <x:v>2026-07-06</x:v>
      </x:c>
      <x:c r="F190" s="28" t="str">
        <x:v>Approved case</x:v>
      </x:c>
      <x:c r="G190" s="28" t="str">
        <x:v>Maximum commercial paper percent</x:v>
      </x:c>
      <x:c r="H190" s="31" t="n">
        <x:v>0.15</x:v>
      </x:c>
      <x:c r="I190" s="28" t="str"/>
      <x:c r="J190" s="28" t="str">
        <x:v>decimal ratio</x:v>
      </x:c>
      <x:c r="K190" s="28" t="str">
        <x:v>Finance operating schedule</x:v>
      </x:c>
      <x:c r="L190" s="34" t="str">
        <x:v>2026-06-30</x:v>
      </x:c>
      <x:c r="M190" s="28" t="str"/>
    </x:row>
    <x:row r="191">
      <x:c r="A191" s="37" t="str">
        <x:v>TRY-00852</x:v>
      </x:c>
      <x:c r="B191" s="28" t="str">
        <x:v>Cash-investment liquidity ladder</x:v>
      </x:c>
      <x:c r="C191" s="28" t="str">
        <x:v>Investment policy</x:v>
      </x:c>
      <x:c r="D191" s="28" t="str">
        <x:v>Alder Ridge</x:v>
      </x:c>
      <x:c r="E191" s="28" t="str">
        <x:v>2026-07-06</x:v>
      </x:c>
      <x:c r="F191" s="28" t="str">
        <x:v>Approved case</x:v>
      </x:c>
      <x:c r="G191" s="28" t="str">
        <x:v>Investment horizon days</x:v>
      </x:c>
      <x:c r="H191" s="31" t="n">
        <x:v>100</x:v>
      </x:c>
      <x:c r="I191" s="28" t="str"/>
      <x:c r="J191" s="28" t="str">
        <x:v>days</x:v>
      </x:c>
      <x:c r="K191" s="28" t="str">
        <x:v>Finance operating schedule</x:v>
      </x:c>
      <x:c r="L191" s="34" t="str">
        <x:v>2026-06-30</x:v>
      </x:c>
      <x:c r="M191" s="28" t="str"/>
    </x:row>
    <x:row r="192">
      <x:c r="A192" s="37" t="str">
        <x:v>TRY-00865</x:v>
      </x:c>
      <x:c r="B192" s="28" t="str">
        <x:v>Cash-investment liquidity ladder</x:v>
      </x:c>
      <x:c r="C192" s="28" t="str">
        <x:v>Investment stress control</x:v>
      </x:c>
      <x:c r="D192" s="28" t="str">
        <x:v>Operating deposit</x:v>
      </x:c>
      <x:c r="E192" s="28" t="str">
        <x:v>Day 35</x:v>
      </x:c>
      <x:c r="F192" s="28" t="str">
        <x:v>Approved case</x:v>
      </x:c>
      <x:c r="G192" s="28" t="str">
        <x:v>Effective maturity days</x:v>
      </x:c>
      <x:c r="H192" s="31" t="n">
        <x:v>0</x:v>
      </x:c>
      <x:c r="I192" s="28" t="str"/>
      <x:c r="J192" s="28" t="str">
        <x:v>days</x:v>
      </x:c>
      <x:c r="K192" s="28" t="str">
        <x:v>Finance operating schedule</x:v>
      </x:c>
      <x:c r="L192" s="34" t="str">
        <x:v>2026-06-30</x:v>
      </x:c>
      <x:c r="M192" s="28" t="str"/>
    </x:row>
    <x:row r="193">
      <x:c r="A193" s="37" t="str">
        <x:v>TRY-00866</x:v>
      </x:c>
      <x:c r="B193" s="28" t="str">
        <x:v>Cash-investment liquidity ladder</x:v>
      </x:c>
      <x:c r="C193" s="28" t="str">
        <x:v>Investment stress control</x:v>
      </x:c>
      <x:c r="D193" s="28" t="str">
        <x:v>Operating deposit</x:v>
      </x:c>
      <x:c r="E193" s="28" t="str">
        <x:v>Day 35</x:v>
      </x:c>
      <x:c r="F193" s="28" t="str">
        <x:v>Approved case</x:v>
      </x:c>
      <x:c r="G193" s="28" t="str">
        <x:v>Stress value factor</x:v>
      </x:c>
      <x:c r="H193" s="31" t="n">
        <x:v>1</x:v>
      </x:c>
      <x:c r="I193" s="28" t="str"/>
      <x:c r="J193" s="28" t="str">
        <x:v>decimal ratio</x:v>
      </x:c>
      <x:c r="K193" s="28" t="str">
        <x:v>Finance operating schedule</x:v>
      </x:c>
      <x:c r="L193" s="34" t="str">
        <x:v>2026-06-30</x:v>
      </x:c>
      <x:c r="M193" s="28" t="str"/>
    </x:row>
    <x:row r="194">
      <x:c r="A194" s="37" t="str">
        <x:v>TRY-00867</x:v>
      </x:c>
      <x:c r="B194" s="28" t="str">
        <x:v>Cash-investment liquidity ladder</x:v>
      </x:c>
      <x:c r="C194" s="28" t="str">
        <x:v>Investment stress control</x:v>
      </x:c>
      <x:c r="D194" s="28" t="str">
        <x:v>Operating deposit</x:v>
      </x:c>
      <x:c r="E194" s="28" t="str">
        <x:v>Day 35</x:v>
      </x:c>
      <x:c r="F194" s="28" t="str">
        <x:v>Approved case</x:v>
      </x:c>
      <x:c r="G194" s="28" t="str">
        <x:v>Issuer class</x:v>
      </x:c>
      <x:c r="H194" s="31" t="str"/>
      <x:c r="I194" s="28" t="str">
        <x:v>Bank</x:v>
      </x:c>
      <x:c r="J194" s="28" t="str">
        <x:v>classification</x:v>
      </x:c>
      <x:c r="K194" s="28" t="str">
        <x:v>Finance operating schedule</x:v>
      </x:c>
      <x:c r="L194" s="34" t="str">
        <x:v>2026-06-30</x:v>
      </x:c>
      <x:c r="M194" s="28" t="str"/>
    </x:row>
    <x:row r="195">
      <x:c r="A195" s="37" t="str">
        <x:v>TRY-00868</x:v>
      </x:c>
      <x:c r="B195" s="28" t="str">
        <x:v>Cash-investment liquidity ladder</x:v>
      </x:c>
      <x:c r="C195" s="28" t="str">
        <x:v>Investment stress control</x:v>
      </x:c>
      <x:c r="D195" s="28" t="str">
        <x:v>Government MMF</x:v>
      </x:c>
      <x:c r="E195" s="28" t="str">
        <x:v>Day 35</x:v>
      </x:c>
      <x:c r="F195" s="28" t="str">
        <x:v>Approved case</x:v>
      </x:c>
      <x:c r="G195" s="28" t="str">
        <x:v>Effective maturity days</x:v>
      </x:c>
      <x:c r="H195" s="31" t="n">
        <x:v>1</x:v>
      </x:c>
      <x:c r="I195" s="28" t="str"/>
      <x:c r="J195" s="28" t="str">
        <x:v>days</x:v>
      </x:c>
      <x:c r="K195" s="28" t="str">
        <x:v>Finance operating schedule</x:v>
      </x:c>
      <x:c r="L195" s="34" t="str">
        <x:v>2026-06-30</x:v>
      </x:c>
      <x:c r="M195" s="28" t="str"/>
    </x:row>
    <x:row r="196">
      <x:c r="A196" s="37" t="str">
        <x:v>TRY-00869</x:v>
      </x:c>
      <x:c r="B196" s="28" t="str">
        <x:v>Cash-investment liquidity ladder</x:v>
      </x:c>
      <x:c r="C196" s="28" t="str">
        <x:v>Investment stress control</x:v>
      </x:c>
      <x:c r="D196" s="28" t="str">
        <x:v>Government MMF</x:v>
      </x:c>
      <x:c r="E196" s="28" t="str">
        <x:v>Day 35</x:v>
      </x:c>
      <x:c r="F196" s="28" t="str">
        <x:v>Approved case</x:v>
      </x:c>
      <x:c r="G196" s="28" t="str">
        <x:v>Stress value factor</x:v>
      </x:c>
      <x:c r="H196" s="31" t="n">
        <x:v>0.998</x:v>
      </x:c>
      <x:c r="I196" s="28" t="str"/>
      <x:c r="J196" s="28" t="str">
        <x:v>decimal ratio</x:v>
      </x:c>
      <x:c r="K196" s="28" t="str">
        <x:v>Finance operating schedule</x:v>
      </x:c>
      <x:c r="L196" s="34" t="str">
        <x:v>2026-06-30</x:v>
      </x:c>
      <x:c r="M196" s="28" t="str"/>
    </x:row>
    <x:row r="197">
      <x:c r="A197" s="37" t="str">
        <x:v>TRY-00870</x:v>
      </x:c>
      <x:c r="B197" s="28" t="str">
        <x:v>Cash-investment liquidity ladder</x:v>
      </x:c>
      <x:c r="C197" s="28" t="str">
        <x:v>Investment stress control</x:v>
      </x:c>
      <x:c r="D197" s="28" t="str">
        <x:v>Government MMF</x:v>
      </x:c>
      <x:c r="E197" s="28" t="str">
        <x:v>Day 35</x:v>
      </x:c>
      <x:c r="F197" s="28" t="str">
        <x:v>Approved case</x:v>
      </x:c>
      <x:c r="G197" s="28" t="str">
        <x:v>Issuer class</x:v>
      </x:c>
      <x:c r="H197" s="31" t="str"/>
      <x:c r="I197" s="28" t="str">
        <x:v>Government</x:v>
      </x:c>
      <x:c r="J197" s="28" t="str">
        <x:v>classification</x:v>
      </x:c>
      <x:c r="K197" s="28" t="str">
        <x:v>Finance operating schedule</x:v>
      </x:c>
      <x:c r="L197" s="34" t="str">
        <x:v>2026-06-30</x:v>
      </x:c>
      <x:c r="M197" s="28" t="str"/>
    </x:row>
    <x:row r="198">
      <x:c r="A198" s="37" t="str">
        <x:v>TRY-00871</x:v>
      </x:c>
      <x:c r="B198" s="28" t="str">
        <x:v>Cash-investment liquidity ladder</x:v>
      </x:c>
      <x:c r="C198" s="28" t="str">
        <x:v>Investment stress control</x:v>
      </x:c>
      <x:c r="D198" s="28" t="str">
        <x:v>4-week T-bill</x:v>
      </x:c>
      <x:c r="E198" s="28" t="str">
        <x:v>Day 35</x:v>
      </x:c>
      <x:c r="F198" s="28" t="str">
        <x:v>Approved case</x:v>
      </x:c>
      <x:c r="G198" s="28" t="str">
        <x:v>Effective maturity days</x:v>
      </x:c>
      <x:c r="H198" s="31" t="n">
        <x:v>28</x:v>
      </x:c>
      <x:c r="I198" s="28" t="str"/>
      <x:c r="J198" s="28" t="str">
        <x:v>days</x:v>
      </x:c>
      <x:c r="K198" s="28" t="str">
        <x:v>Finance operating schedule</x:v>
      </x:c>
      <x:c r="L198" s="34" t="str">
        <x:v>2026-06-30</x:v>
      </x:c>
      <x:c r="M198" s="28" t="str"/>
    </x:row>
    <x:row r="199">
      <x:c r="A199" s="37" t="str">
        <x:v>TRY-00872</x:v>
      </x:c>
      <x:c r="B199" s="28" t="str">
        <x:v>Cash-investment liquidity ladder</x:v>
      </x:c>
      <x:c r="C199" s="28" t="str">
        <x:v>Investment stress control</x:v>
      </x:c>
      <x:c r="D199" s="28" t="str">
        <x:v>4-week T-bill</x:v>
      </x:c>
      <x:c r="E199" s="28" t="str">
        <x:v>Day 35</x:v>
      </x:c>
      <x:c r="F199" s="28" t="str">
        <x:v>Approved case</x:v>
      </x:c>
      <x:c r="G199" s="28" t="str">
        <x:v>Stress value factor</x:v>
      </x:c>
      <x:c r="H199" s="31" t="n">
        <x:v>0.997</x:v>
      </x:c>
      <x:c r="I199" s="28" t="str"/>
      <x:c r="J199" s="28" t="str">
        <x:v>decimal ratio</x:v>
      </x:c>
      <x:c r="K199" s="28" t="str">
        <x:v>Finance operating schedule</x:v>
      </x:c>
      <x:c r="L199" s="34" t="str">
        <x:v>2026-06-30</x:v>
      </x:c>
      <x:c r="M199" s="28" t="str"/>
    </x:row>
    <x:row r="200">
      <x:c r="A200" s="37" t="str">
        <x:v>TRY-00873</x:v>
      </x:c>
      <x:c r="B200" s="28" t="str">
        <x:v>Cash-investment liquidity ladder</x:v>
      </x:c>
      <x:c r="C200" s="28" t="str">
        <x:v>Investment stress control</x:v>
      </x:c>
      <x:c r="D200" s="28" t="str">
        <x:v>4-week T-bill</x:v>
      </x:c>
      <x:c r="E200" s="28" t="str">
        <x:v>Day 35</x:v>
      </x:c>
      <x:c r="F200" s="28" t="str">
        <x:v>Approved case</x:v>
      </x:c>
      <x:c r="G200" s="28" t="str">
        <x:v>Issuer class</x:v>
      </x:c>
      <x:c r="H200" s="31" t="str"/>
      <x:c r="I200" s="28" t="str">
        <x:v>Government</x:v>
      </x:c>
      <x:c r="J200" s="28" t="str">
        <x:v>classification</x:v>
      </x:c>
      <x:c r="K200" s="28" t="str">
        <x:v>Finance operating schedule</x:v>
      </x:c>
      <x:c r="L200" s="34" t="str">
        <x:v>2026-06-30</x:v>
      </x:c>
      <x:c r="M200" s="28" t="str"/>
    </x:row>
    <x:row r="201">
      <x:c r="A201" s="37" t="str">
        <x:v>TRY-00874</x:v>
      </x:c>
      <x:c r="B201" s="28" t="str">
        <x:v>Cash-investment liquidity ladder</x:v>
      </x:c>
      <x:c r="C201" s="28" t="str">
        <x:v>Investment stress control</x:v>
      </x:c>
      <x:c r="D201" s="28" t="str">
        <x:v>8-week T-bill</x:v>
      </x:c>
      <x:c r="E201" s="28" t="str">
        <x:v>Day 35</x:v>
      </x:c>
      <x:c r="F201" s="28" t="str">
        <x:v>Approved case</x:v>
      </x:c>
      <x:c r="G201" s="28" t="str">
        <x:v>Effective maturity days</x:v>
      </x:c>
      <x:c r="H201" s="31" t="n">
        <x:v>56</x:v>
      </x:c>
      <x:c r="I201" s="28" t="str"/>
      <x:c r="J201" s="28" t="str">
        <x:v>days</x:v>
      </x:c>
      <x:c r="K201" s="28" t="str">
        <x:v>Finance operating schedule</x:v>
      </x:c>
      <x:c r="L201" s="34" t="str">
        <x:v>2026-06-30</x:v>
      </x:c>
      <x:c r="M201" s="28" t="str"/>
    </x:row>
    <x:row r="202">
      <x:c r="A202" s="37" t="str">
        <x:v>TRY-00875</x:v>
      </x:c>
      <x:c r="B202" s="28" t="str">
        <x:v>Cash-investment liquidity ladder</x:v>
      </x:c>
      <x:c r="C202" s="28" t="str">
        <x:v>Investment stress control</x:v>
      </x:c>
      <x:c r="D202" s="28" t="str">
        <x:v>8-week T-bill</x:v>
      </x:c>
      <x:c r="E202" s="28" t="str">
        <x:v>Day 35</x:v>
      </x:c>
      <x:c r="F202" s="28" t="str">
        <x:v>Approved case</x:v>
      </x:c>
      <x:c r="G202" s="28" t="str">
        <x:v>Stress value factor</x:v>
      </x:c>
      <x:c r="H202" s="31" t="n">
        <x:v>0.992</x:v>
      </x:c>
      <x:c r="I202" s="28" t="str"/>
      <x:c r="J202" s="28" t="str">
        <x:v>decimal ratio</x:v>
      </x:c>
      <x:c r="K202" s="28" t="str">
        <x:v>Finance operating schedule</x:v>
      </x:c>
      <x:c r="L202" s="34" t="str">
        <x:v>2026-06-30</x:v>
      </x:c>
      <x:c r="M202" s="28" t="str"/>
    </x:row>
    <x:row r="203">
      <x:c r="A203" s="37" t="str">
        <x:v>TRY-00876</x:v>
      </x:c>
      <x:c r="B203" s="28" t="str">
        <x:v>Cash-investment liquidity ladder</x:v>
      </x:c>
      <x:c r="C203" s="28" t="str">
        <x:v>Investment stress control</x:v>
      </x:c>
      <x:c r="D203" s="28" t="str">
        <x:v>8-week T-bill</x:v>
      </x:c>
      <x:c r="E203" s="28" t="str">
        <x:v>Day 35</x:v>
      </x:c>
      <x:c r="F203" s="28" t="str">
        <x:v>Approved case</x:v>
      </x:c>
      <x:c r="G203" s="28" t="str">
        <x:v>Issuer class</x:v>
      </x:c>
      <x:c r="H203" s="31" t="str"/>
      <x:c r="I203" s="28" t="str">
        <x:v>Government</x:v>
      </x:c>
      <x:c r="J203" s="28" t="str">
        <x:v>classification</x:v>
      </x:c>
      <x:c r="K203" s="28" t="str">
        <x:v>Finance operating schedule</x:v>
      </x:c>
      <x:c r="L203" s="34" t="str">
        <x:v>2026-06-30</x:v>
      </x:c>
      <x:c r="M203" s="28" t="str"/>
    </x:row>
    <x:row r="204">
      <x:c r="A204" s="37" t="str">
        <x:v>TRY-00877</x:v>
      </x:c>
      <x:c r="B204" s="28" t="str">
        <x:v>Cash-investment liquidity ladder</x:v>
      </x:c>
      <x:c r="C204" s="28" t="str">
        <x:v>Investment stress control</x:v>
      </x:c>
      <x:c r="D204" s="28" t="str">
        <x:v>13-week T-bill</x:v>
      </x:c>
      <x:c r="E204" s="28" t="str">
        <x:v>Day 35</x:v>
      </x:c>
      <x:c r="F204" s="28" t="str">
        <x:v>Approved case</x:v>
      </x:c>
      <x:c r="G204" s="28" t="str">
        <x:v>Effective maturity days</x:v>
      </x:c>
      <x:c r="H204" s="31" t="n">
        <x:v>91</x:v>
      </x:c>
      <x:c r="I204" s="28" t="str"/>
      <x:c r="J204" s="28" t="str">
        <x:v>days</x:v>
      </x:c>
      <x:c r="K204" s="28" t="str">
        <x:v>Finance operating schedule</x:v>
      </x:c>
      <x:c r="L204" s="34" t="str">
        <x:v>2026-06-30</x:v>
      </x:c>
      <x:c r="M204" s="28" t="str"/>
    </x:row>
    <x:row r="205">
      <x:c r="A205" s="37" t="str">
        <x:v>TRY-00878</x:v>
      </x:c>
      <x:c r="B205" s="28" t="str">
        <x:v>Cash-investment liquidity ladder</x:v>
      </x:c>
      <x:c r="C205" s="28" t="str">
        <x:v>Investment stress control</x:v>
      </x:c>
      <x:c r="D205" s="28" t="str">
        <x:v>13-week T-bill</x:v>
      </x:c>
      <x:c r="E205" s="28" t="str">
        <x:v>Day 35</x:v>
      </x:c>
      <x:c r="F205" s="28" t="str">
        <x:v>Approved case</x:v>
      </x:c>
      <x:c r="G205" s="28" t="str">
        <x:v>Stress value factor</x:v>
      </x:c>
      <x:c r="H205" s="31" t="n">
        <x:v>0.985</x:v>
      </x:c>
      <x:c r="I205" s="28" t="str"/>
      <x:c r="J205" s="28" t="str">
        <x:v>decimal ratio</x:v>
      </x:c>
      <x:c r="K205" s="28" t="str">
        <x:v>Finance operating schedule</x:v>
      </x:c>
      <x:c r="L205" s="34" t="str">
        <x:v>2026-06-30</x:v>
      </x:c>
      <x:c r="M205" s="28" t="str"/>
    </x:row>
    <x:row r="206">
      <x:c r="A206" s="37" t="str">
        <x:v>TRY-00879</x:v>
      </x:c>
      <x:c r="B206" s="28" t="str">
        <x:v>Cash-investment liquidity ladder</x:v>
      </x:c>
      <x:c r="C206" s="28" t="str">
        <x:v>Investment stress control</x:v>
      </x:c>
      <x:c r="D206" s="28" t="str">
        <x:v>13-week T-bill</x:v>
      </x:c>
      <x:c r="E206" s="28" t="str">
        <x:v>Day 35</x:v>
      </x:c>
      <x:c r="F206" s="28" t="str">
        <x:v>Approved case</x:v>
      </x:c>
      <x:c r="G206" s="28" t="str">
        <x:v>Issuer class</x:v>
      </x:c>
      <x:c r="H206" s="31" t="str"/>
      <x:c r="I206" s="28" t="str">
        <x:v>Government</x:v>
      </x:c>
      <x:c r="J206" s="28" t="str">
        <x:v>classification</x:v>
      </x:c>
      <x:c r="K206" s="28" t="str">
        <x:v>Finance operating schedule</x:v>
      </x:c>
      <x:c r="L206" s="34" t="str">
        <x:v>2026-06-30</x:v>
      </x:c>
      <x:c r="M206" s="28" t="str"/>
    </x:row>
    <x:row r="207">
      <x:c r="A207" s="37" t="str">
        <x:v>TRY-00880</x:v>
      </x:c>
      <x:c r="B207" s="28" t="str">
        <x:v>Cash-investment liquidity ladder</x:v>
      </x:c>
      <x:c r="C207" s="28" t="str">
        <x:v>Investment stress control</x:v>
      </x:c>
      <x:c r="D207" s="28" t="str">
        <x:v>AAA commercial paper</x:v>
      </x:c>
      <x:c r="E207" s="28" t="str">
        <x:v>Day 35</x:v>
      </x:c>
      <x:c r="F207" s="28" t="str">
        <x:v>Approved case</x:v>
      </x:c>
      <x:c r="G207" s="28" t="str">
        <x:v>Effective maturity days</x:v>
      </x:c>
      <x:c r="H207" s="31" t="n">
        <x:v>63</x:v>
      </x:c>
      <x:c r="I207" s="28" t="str"/>
      <x:c r="J207" s="28" t="str">
        <x:v>days</x:v>
      </x:c>
      <x:c r="K207" s="28" t="str">
        <x:v>Finance operating schedule</x:v>
      </x:c>
      <x:c r="L207" s="34" t="str">
        <x:v>2026-06-30</x:v>
      </x:c>
      <x:c r="M207" s="28" t="str"/>
    </x:row>
    <x:row r="208">
      <x:c r="A208" s="37" t="str">
        <x:v>TRY-00881</x:v>
      </x:c>
      <x:c r="B208" s="28" t="str">
        <x:v>Cash-investment liquidity ladder</x:v>
      </x:c>
      <x:c r="C208" s="28" t="str">
        <x:v>Investment stress control</x:v>
      </x:c>
      <x:c r="D208" s="28" t="str">
        <x:v>AAA commercial paper</x:v>
      </x:c>
      <x:c r="E208" s="28" t="str">
        <x:v>Day 35</x:v>
      </x:c>
      <x:c r="F208" s="28" t="str">
        <x:v>Approved case</x:v>
      </x:c>
      <x:c r="G208" s="28" t="str">
        <x:v>Stress value factor</x:v>
      </x:c>
      <x:c r="H208" s="31" t="n">
        <x:v>0.972</x:v>
      </x:c>
      <x:c r="I208" s="28" t="str"/>
      <x:c r="J208" s="28" t="str">
        <x:v>decimal ratio</x:v>
      </x:c>
      <x:c r="K208" s="28" t="str">
        <x:v>Finance operating schedule</x:v>
      </x:c>
      <x:c r="L208" s="34" t="str">
        <x:v>2026-06-30</x:v>
      </x:c>
      <x:c r="M208" s="28" t="str"/>
    </x:row>
    <x:row r="209">
      <x:c r="A209" s="37" t="str">
        <x:v>TRY-00882</x:v>
      </x:c>
      <x:c r="B209" s="28" t="str">
        <x:v>Cash-investment liquidity ladder</x:v>
      </x:c>
      <x:c r="C209" s="28" t="str">
        <x:v>Investment stress control</x:v>
      </x:c>
      <x:c r="D209" s="28" t="str">
        <x:v>AAA commercial paper</x:v>
      </x:c>
      <x:c r="E209" s="28" t="str">
        <x:v>Day 35</x:v>
      </x:c>
      <x:c r="F209" s="28" t="str">
        <x:v>Approved case</x:v>
      </x:c>
      <x:c r="G209" s="28" t="str">
        <x:v>Issuer class</x:v>
      </x:c>
      <x:c r="H209" s="31" t="str"/>
      <x:c r="I209" s="28" t="str">
        <x:v>Corporate</x:v>
      </x:c>
      <x:c r="J209" s="28" t="str">
        <x:v>classification</x:v>
      </x:c>
      <x:c r="K209" s="28" t="str">
        <x:v>Finance operating schedule</x:v>
      </x:c>
      <x:c r="L209" s="34" t="str">
        <x:v>2026-06-30</x:v>
      </x:c>
      <x:c r="M209" s="28" t="str"/>
    </x:row>
    <x:row r="210">
      <x:c r="A210" s="37" t="str">
        <x:v>TRY-00883</x:v>
      </x:c>
      <x:c r="B210" s="28" t="str">
        <x:v>Cash-investment liquidity ladder</x:v>
      </x:c>
      <x:c r="C210" s="28" t="str">
        <x:v>Investment policy</x:v>
      </x:c>
      <x:c r="D210" s="28" t="str">
        <x:v>Alder Ridge</x:v>
      </x:c>
      <x:c r="E210" s="28" t="str">
        <x:v>Stress</x:v>
      </x:c>
      <x:c r="F210" s="28" t="str">
        <x:v>Approved case</x:v>
      </x:c>
      <x:c r="G210" s="28" t="str">
        <x:v>Maximum weighted average maturity</x:v>
      </x:c>
      <x:c r="H210" s="31" t="n">
        <x:v>48</x:v>
      </x:c>
      <x:c r="I210" s="28" t="str"/>
      <x:c r="J210" s="28" t="str">
        <x:v>days</x:v>
      </x:c>
      <x:c r="K210" s="28" t="str">
        <x:v>Finance operating schedule</x:v>
      </x:c>
      <x:c r="L210" s="34" t="str">
        <x:v>2026-06-30</x:v>
      </x:c>
      <x:c r="M210" s="28" t="str"/>
    </x:row>
    <x:row r="211">
      <x:c r="A211" s="37" t="str">
        <x:v>TRY-00884</x:v>
      </x:c>
      <x:c r="B211" s="28" t="str">
        <x:v>Cash-investment liquidity ladder</x:v>
      </x:c>
      <x:c r="C211" s="28" t="str">
        <x:v>Investment policy</x:v>
      </x:c>
      <x:c r="D211" s="28" t="str">
        <x:v>Alder Ridge</x:v>
      </x:c>
      <x:c r="E211" s="28" t="str">
        <x:v>Stress</x:v>
      </x:c>
      <x:c r="F211" s="28" t="str">
        <x:v>Approved case</x:v>
      </x:c>
      <x:c r="G211" s="28" t="str">
        <x:v>Maximum government issuer concentration</x:v>
      </x:c>
      <x:c r="H211" s="31" t="n">
        <x:v>0.78</x:v>
      </x:c>
      <x:c r="I211" s="28" t="str"/>
      <x:c r="J211" s="28" t="str">
        <x:v>decimal ratio</x:v>
      </x:c>
      <x:c r="K211" s="28" t="str">
        <x:v>Finance operating schedule</x:v>
      </x:c>
      <x:c r="L211" s="34" t="str">
        <x:v>2026-06-30</x:v>
      </x:c>
      <x:c r="M211" s="28" t="str"/>
    </x:row>
    <x:row r="212">
      <x:c r="A212" s="38" t="str">
        <x:v>TRY-00885</x:v>
      </x:c>
      <x:c r="B212" s="29" t="str">
        <x:v>Cash-investment liquidity ladder</x:v>
      </x:c>
      <x:c r="C212" s="29" t="str">
        <x:v>Investment policy</x:v>
      </x:c>
      <x:c r="D212" s="29" t="str">
        <x:v>Alder Ridge</x:v>
      </x:c>
      <x:c r="E212" s="29" t="str">
        <x:v>Stress</x:v>
      </x:c>
      <x:c r="F212" s="29" t="str">
        <x:v>Approved case</x:v>
      </x:c>
      <x:c r="G212" s="29" t="str">
        <x:v>Minimum stressed day-35 liquidity</x:v>
      </x:c>
      <x:c r="H212" s="32" t="n">
        <x:v>5050000</x:v>
      </x:c>
      <x:c r="I212" s="29" t="str"/>
      <x:c r="J212" s="29" t="str">
        <x:v>USD</x:v>
      </x:c>
      <x:c r="K212" s="29" t="str">
        <x:v>Finance operating schedule</x:v>
      </x:c>
      <x:c r="L212" s="35" t="str">
        <x:v>2026-06-30</x:v>
      </x:c>
      <x:c r="M21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Debt and Hedges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TRY-00172</x:v>
      </x:c>
      <x:c r="B5" s="27" t="str">
        <x:v>Term-loan refinancing NPV decision</x:v>
      </x:c>
      <x:c r="C5" s="27" t="str">
        <x:v>Existing notes</x:v>
      </x:c>
      <x:c r="D5" s="27" t="str">
        <x:v>Consolidated</x:v>
      </x:c>
      <x:c r="E5" s="27" t="str">
        <x:v>2026-06-30</x:v>
      </x:c>
      <x:c r="F5" s="27" t="str">
        <x:v>Approved case</x:v>
      </x:c>
      <x:c r="G5" s="27" t="str">
        <x:v>Outstanding principal</x:v>
      </x:c>
      <x:c r="H5" s="30" t="n">
        <x:v>6500000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TRY-00173</x:v>
      </x:c>
      <x:c r="B6" s="28" t="str">
        <x:v>Term-loan refinancing NPV decision</x:v>
      </x:c>
      <x:c r="C6" s="28" t="str">
        <x:v>Existing notes</x:v>
      </x:c>
      <x:c r="D6" s="28" t="str">
        <x:v>Posted funded-debt control</x:v>
      </x:c>
      <x:c r="E6" s="28" t="str">
        <x:v>2026-06-30</x:v>
      </x:c>
      <x:c r="F6" s="28" t="str">
        <x:v>Approved case</x:v>
      </x:c>
      <x:c r="G6" s="28" t="str">
        <x:v>Posted balance</x:v>
      </x:c>
      <x:c r="H6" s="31" t="n">
        <x:v>1</x:v>
      </x:c>
      <x:c r="I6" s="28" t="str"/>
      <x:c r="J6" s="28" t="str">
        <x:v>ledger allocation factor</x:v>
      </x:c>
      <x:c r="K6" s="28" t="str">
        <x:v>Finance operating schedule</x:v>
      </x:c>
      <x:c r="L6" s="34" t="str">
        <x:v>2026-06-30</x:v>
      </x:c>
      <x:c r="M6" s="28" t="str">
        <x:v>Vista ERP balance sheet as of 2026-06-30; accounts 2200, 2210, and 2300</x:v>
      </x:c>
    </x:row>
    <x:row r="7">
      <x:c r="A7" s="37" t="str">
        <x:v>TRY-00174</x:v>
      </x:c>
      <x:c r="B7" s="28" t="str">
        <x:v>Term-loan refinancing NPV decision</x:v>
      </x:c>
      <x:c r="C7" s="28" t="str">
        <x:v>Refinancing proposals</x:v>
      </x:c>
      <x:c r="D7" s="28" t="str">
        <x:v>Keep existing</x:v>
      </x:c>
      <x:c r="E7" s="28" t="str">
        <x:v>2026-07-01</x:v>
      </x:c>
      <x:c r="F7" s="28" t="str">
        <x:v>Approved case</x:v>
      </x:c>
      <x:c r="G7" s="28" t="str">
        <x:v>Annual interest rate</x:v>
      </x:c>
      <x:c r="H7" s="31" t="n">
        <x:v>0.078</x:v>
      </x:c>
      <x:c r="I7" s="28" t="str"/>
      <x:c r="J7" s="28" t="str">
        <x:v>decimal ratio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TRY-00175</x:v>
      </x:c>
      <x:c r="B8" s="28" t="str">
        <x:v>Term-loan refinancing NPV decision</x:v>
      </x:c>
      <x:c r="C8" s="28" t="str">
        <x:v>Refinancing proposals</x:v>
      </x:c>
      <x:c r="D8" s="28" t="str">
        <x:v>Keep existing</x:v>
      </x:c>
      <x:c r="E8" s="28" t="str">
        <x:v>2026-07-01</x:v>
      </x:c>
      <x:c r="F8" s="28" t="str">
        <x:v>Approved case</x:v>
      </x:c>
      <x:c r="G8" s="28" t="str">
        <x:v>Amortization months</x:v>
      </x:c>
      <x:c r="H8" s="31" t="n">
        <x:v>30</x:v>
      </x:c>
      <x:c r="I8" s="28" t="str"/>
      <x:c r="J8" s="28" t="str">
        <x:v>count</x:v>
      </x:c>
      <x:c r="K8" s="28" t="str">
        <x:v>Finance operating schedule</x:v>
      </x:c>
      <x:c r="L8" s="34" t="str">
        <x:v>2026-06-30</x:v>
      </x:c>
      <x:c r="M8" s="28" t="str"/>
    </x:row>
    <x:row r="9">
      <x:c r="A9" s="37" t="str">
        <x:v>TRY-00176</x:v>
      </x:c>
      <x:c r="B9" s="28" t="str">
        <x:v>Term-loan refinancing NPV decision</x:v>
      </x:c>
      <x:c r="C9" s="28" t="str">
        <x:v>Refinancing proposals</x:v>
      </x:c>
      <x:c r="D9" s="28" t="str">
        <x:v>Keep existing</x:v>
      </x:c>
      <x:c r="E9" s="28" t="str">
        <x:v>2026-07-01</x:v>
      </x:c>
      <x:c r="F9" s="28" t="str">
        <x:v>Approved case</x:v>
      </x:c>
      <x:c r="G9" s="28" t="str">
        <x:v>Upfront fee</x:v>
      </x:c>
      <x:c r="H9" s="31" t="n">
        <x:v>0</x:v>
      </x:c>
      <x:c r="I9" s="28" t="str"/>
      <x:c r="J9" s="28" t="str">
        <x:v>USD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TRY-00177</x:v>
      </x:c>
      <x:c r="B10" s="28" t="str">
        <x:v>Term-loan refinancing NPV decision</x:v>
      </x:c>
      <x:c r="C10" s="28" t="str">
        <x:v>Refinancing proposals</x:v>
      </x:c>
      <x:c r="D10" s="28" t="str">
        <x:v>Keep existing</x:v>
      </x:c>
      <x:c r="E10" s="28" t="str">
        <x:v>2026-07-01</x:v>
      </x:c>
      <x:c r="F10" s="28" t="str">
        <x:v>Approved case</x:v>
      </x:c>
      <x:c r="G10" s="28" t="str">
        <x:v>Existing-note prepayment penalty rate</x:v>
      </x:c>
      <x:c r="H10" s="31" t="n">
        <x:v>0</x:v>
      </x:c>
      <x:c r="I10" s="28" t="str"/>
      <x:c r="J10" s="28" t="str">
        <x:v>decimal ratio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TRY-00178</x:v>
      </x:c>
      <x:c r="B11" s="28" t="str">
        <x:v>Term-loan refinancing NPV decision</x:v>
      </x:c>
      <x:c r="C11" s="28" t="str">
        <x:v>Refinancing proposals</x:v>
      </x:c>
      <x:c r="D11" s="28" t="str">
        <x:v>Keep existing</x:v>
      </x:c>
      <x:c r="E11" s="28" t="str">
        <x:v>2026-07-01</x:v>
      </x:c>
      <x:c r="F11" s="28" t="str">
        <x:v>Approved case</x:v>
      </x:c>
      <x:c r="G11" s="28" t="str">
        <x:v>Maturity balloon percent</x:v>
      </x:c>
      <x:c r="H11" s="31" t="n">
        <x:v>0</x:v>
      </x:c>
      <x:c r="I11" s="28" t="str"/>
      <x:c r="J11" s="28" t="str">
        <x:v>decimal ratio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TRY-00179</x:v>
      </x:c>
      <x:c r="B12" s="28" t="str">
        <x:v>Term-loan refinancing NPV decision</x:v>
      </x:c>
      <x:c r="C12" s="28" t="str">
        <x:v>Refinancing proposals</x:v>
      </x:c>
      <x:c r="D12" s="28" t="str">
        <x:v>Proposal A</x:v>
      </x:c>
      <x:c r="E12" s="28" t="str">
        <x:v>2026-07-01</x:v>
      </x:c>
      <x:c r="F12" s="28" t="str">
        <x:v>Approved case</x:v>
      </x:c>
      <x:c r="G12" s="28" t="str">
        <x:v>Annual interest rate</x:v>
      </x:c>
      <x:c r="H12" s="31" t="n">
        <x:v>0.061</x:v>
      </x:c>
      <x:c r="I12" s="28" t="str"/>
      <x:c r="J12" s="28" t="str">
        <x:v>decimal ratio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TRY-00180</x:v>
      </x:c>
      <x:c r="B13" s="28" t="str">
        <x:v>Term-loan refinancing NPV decision</x:v>
      </x:c>
      <x:c r="C13" s="28" t="str">
        <x:v>Refinancing proposals</x:v>
      </x:c>
      <x:c r="D13" s="28" t="str">
        <x:v>Proposal A</x:v>
      </x:c>
      <x:c r="E13" s="28" t="str">
        <x:v>2026-07-01</x:v>
      </x:c>
      <x:c r="F13" s="28" t="str">
        <x:v>Approved case</x:v>
      </x:c>
      <x:c r="G13" s="28" t="str">
        <x:v>Amortization months</x:v>
      </x:c>
      <x:c r="H13" s="31" t="n">
        <x:v>48</x:v>
      </x:c>
      <x:c r="I13" s="28" t="str"/>
      <x:c r="J13" s="28" t="str">
        <x:v>count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TRY-00181</x:v>
      </x:c>
      <x:c r="B14" s="28" t="str">
        <x:v>Term-loan refinancing NPV decision</x:v>
      </x:c>
      <x:c r="C14" s="28" t="str">
        <x:v>Refinancing proposals</x:v>
      </x:c>
      <x:c r="D14" s="28" t="str">
        <x:v>Proposal A</x:v>
      </x:c>
      <x:c r="E14" s="28" t="str">
        <x:v>2026-07-01</x:v>
      </x:c>
      <x:c r="F14" s="28" t="str">
        <x:v>Approved case</x:v>
      </x:c>
      <x:c r="G14" s="28" t="str">
        <x:v>Upfront fee</x:v>
      </x:c>
      <x:c r="H14" s="31" t="n">
        <x:v>42000</x:v>
      </x:c>
      <x:c r="I14" s="28" t="str"/>
      <x:c r="J14" s="28" t="str">
        <x:v>USD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TRY-00182</x:v>
      </x:c>
      <x:c r="B15" s="28" t="str">
        <x:v>Term-loan refinancing NPV decision</x:v>
      </x:c>
      <x:c r="C15" s="28" t="str">
        <x:v>Refinancing proposals</x:v>
      </x:c>
      <x:c r="D15" s="28" t="str">
        <x:v>Proposal A</x:v>
      </x:c>
      <x:c r="E15" s="28" t="str">
        <x:v>2026-07-01</x:v>
      </x:c>
      <x:c r="F15" s="28" t="str">
        <x:v>Approved case</x:v>
      </x:c>
      <x:c r="G15" s="28" t="str">
        <x:v>Existing-note prepayment penalty rate</x:v>
      </x:c>
      <x:c r="H15" s="31" t="n">
        <x:v>0.015</x:v>
      </x:c>
      <x:c r="I15" s="28" t="str"/>
      <x:c r="J15" s="28" t="str">
        <x:v>decimal ratio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TRY-00183</x:v>
      </x:c>
      <x:c r="B16" s="28" t="str">
        <x:v>Term-loan refinancing NPV decision</x:v>
      </x:c>
      <x:c r="C16" s="28" t="str">
        <x:v>Refinancing proposals</x:v>
      </x:c>
      <x:c r="D16" s="28" t="str">
        <x:v>Proposal A</x:v>
      </x:c>
      <x:c r="E16" s="28" t="str">
        <x:v>2026-07-01</x:v>
      </x:c>
      <x:c r="F16" s="28" t="str">
        <x:v>Approved case</x:v>
      </x:c>
      <x:c r="G16" s="28" t="str">
        <x:v>Maturity balloon percent</x:v>
      </x:c>
      <x:c r="H16" s="31" t="n">
        <x:v>0</x:v>
      </x:c>
      <x:c r="I16" s="28" t="str"/>
      <x:c r="J16" s="28" t="str">
        <x:v>decimal ratio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TRY-00184</x:v>
      </x:c>
      <x:c r="B17" s="28" t="str">
        <x:v>Term-loan refinancing NPV decision</x:v>
      </x:c>
      <x:c r="C17" s="28" t="str">
        <x:v>Refinancing proposals</x:v>
      </x:c>
      <x:c r="D17" s="28" t="str">
        <x:v>Proposal B</x:v>
      </x:c>
      <x:c r="E17" s="28" t="str">
        <x:v>2026-07-01</x:v>
      </x:c>
      <x:c r="F17" s="28" t="str">
        <x:v>Approved case</x:v>
      </x:c>
      <x:c r="G17" s="28" t="str">
        <x:v>Annual interest rate</x:v>
      </x:c>
      <x:c r="H17" s="31" t="n">
        <x:v>0.0575</x:v>
      </x:c>
      <x:c r="I17" s="28" t="str"/>
      <x:c r="J17" s="28" t="str">
        <x:v>decimal ratio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TRY-00185</x:v>
      </x:c>
      <x:c r="B18" s="28" t="str">
        <x:v>Term-loan refinancing NPV decision</x:v>
      </x:c>
      <x:c r="C18" s="28" t="str">
        <x:v>Refinancing proposals</x:v>
      </x:c>
      <x:c r="D18" s="28" t="str">
        <x:v>Proposal B</x:v>
      </x:c>
      <x:c r="E18" s="28" t="str">
        <x:v>2026-07-01</x:v>
      </x:c>
      <x:c r="F18" s="28" t="str">
        <x:v>Approved case</x:v>
      </x:c>
      <x:c r="G18" s="28" t="str">
        <x:v>Amortization months</x:v>
      </x:c>
      <x:c r="H18" s="31" t="n">
        <x:v>60</x:v>
      </x:c>
      <x:c r="I18" s="28" t="str"/>
      <x:c r="J18" s="28" t="str">
        <x:v>count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TRY-00186</x:v>
      </x:c>
      <x:c r="B19" s="28" t="str">
        <x:v>Term-loan refinancing NPV decision</x:v>
      </x:c>
      <x:c r="C19" s="28" t="str">
        <x:v>Refinancing proposals</x:v>
      </x:c>
      <x:c r="D19" s="28" t="str">
        <x:v>Proposal B</x:v>
      </x:c>
      <x:c r="E19" s="28" t="str">
        <x:v>2026-07-01</x:v>
      </x:c>
      <x:c r="F19" s="28" t="str">
        <x:v>Approved case</x:v>
      </x:c>
      <x:c r="G19" s="28" t="str">
        <x:v>Upfront fee</x:v>
      </x:c>
      <x:c r="H19" s="31" t="n">
        <x:v>68000</x:v>
      </x:c>
      <x:c r="I19" s="28" t="str"/>
      <x:c r="J19" s="28" t="str">
        <x:v>USD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TRY-00187</x:v>
      </x:c>
      <x:c r="B20" s="28" t="str">
        <x:v>Term-loan refinancing NPV decision</x:v>
      </x:c>
      <x:c r="C20" s="28" t="str">
        <x:v>Refinancing proposals</x:v>
      </x:c>
      <x:c r="D20" s="28" t="str">
        <x:v>Proposal B</x:v>
      </x:c>
      <x:c r="E20" s="28" t="str">
        <x:v>2026-07-01</x:v>
      </x:c>
      <x:c r="F20" s="28" t="str">
        <x:v>Approved case</x:v>
      </x:c>
      <x:c r="G20" s="28" t="str">
        <x:v>Existing-note prepayment penalty rate</x:v>
      </x:c>
      <x:c r="H20" s="31" t="n">
        <x:v>0.015</x:v>
      </x:c>
      <x:c r="I20" s="28" t="str"/>
      <x:c r="J20" s="28" t="str">
        <x:v>decimal ratio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TRY-00188</x:v>
      </x:c>
      <x:c r="B21" s="28" t="str">
        <x:v>Term-loan refinancing NPV decision</x:v>
      </x:c>
      <x:c r="C21" s="28" t="str">
        <x:v>Refinancing proposals</x:v>
      </x:c>
      <x:c r="D21" s="28" t="str">
        <x:v>Proposal B</x:v>
      </x:c>
      <x:c r="E21" s="28" t="str">
        <x:v>2026-07-01</x:v>
      </x:c>
      <x:c r="F21" s="28" t="str">
        <x:v>Approved case</x:v>
      </x:c>
      <x:c r="G21" s="28" t="str">
        <x:v>Maturity balloon percent</x:v>
      </x:c>
      <x:c r="H21" s="31" t="n">
        <x:v>0.2</x:v>
      </x:c>
      <x:c r="I21" s="28" t="str"/>
      <x:c r="J21" s="28" t="str">
        <x:v>decimal ratio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TRY-00189</x:v>
      </x:c>
      <x:c r="B22" s="28" t="str">
        <x:v>Term-loan refinancing NPV decision</x:v>
      </x:c>
      <x:c r="C22" s="28" t="str">
        <x:v>Treasury policy</x:v>
      </x:c>
      <x:c r="D22" s="28" t="str">
        <x:v>Consolidated</x:v>
      </x:c>
      <x:c r="E22" s="28" t="str">
        <x:v>2026-07-01</x:v>
      </x:c>
      <x:c r="F22" s="28" t="str">
        <x:v>Approved case</x:v>
      </x:c>
      <x:c r="G22" s="28" t="str">
        <x:v>Monthly discount rate</x:v>
      </x:c>
      <x:c r="H22" s="31" t="n">
        <x:v>0.006</x:v>
      </x:c>
      <x:c r="I22" s="28" t="str"/>
      <x:c r="J22" s="28" t="str">
        <x:v>decimal ratio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TRY-00190</x:v>
      </x:c>
      <x:c r="B23" s="28" t="str">
        <x:v>Term-loan refinancing NPV decision</x:v>
      </x:c>
      <x:c r="C23" s="28" t="str">
        <x:v>Treasury policy</x:v>
      </x:c>
      <x:c r="D23" s="28" t="str">
        <x:v>Existing notes</x:v>
      </x:c>
      <x:c r="E23" s="28" t="str">
        <x:v>2026-07-01</x:v>
      </x:c>
      <x:c r="F23" s="28" t="str">
        <x:v>Approved case</x:v>
      </x:c>
      <x:c r="G23" s="28" t="str">
        <x:v>Unamortized fee write-off</x:v>
      </x:c>
      <x:c r="H23" s="31" t="n">
        <x:v>22500</x:v>
      </x:c>
      <x:c r="I23" s="28" t="str"/>
      <x:c r="J23" s="28" t="str">
        <x:v>USD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TRY-00201</x:v>
      </x:c>
      <x:c r="B24" s="28" t="str">
        <x:v>Interest-rate hedge strategy</x:v>
      </x:c>
      <x:c r="C24" s="28" t="str">
        <x:v>Floating debt</x:v>
      </x:c>
      <x:c r="D24" s="28" t="str">
        <x:v>Revolver</x:v>
      </x:c>
      <x:c r="E24" s="28" t="str">
        <x:v>2026-06-30</x:v>
      </x:c>
      <x:c r="F24" s="28" t="str">
        <x:v>Approved case</x:v>
      </x:c>
      <x:c r="G24" s="28" t="str">
        <x:v>Opening floating balance</x:v>
      </x:c>
      <x:c r="H24" s="31" t="n">
        <x:v>1</x:v>
      </x:c>
      <x:c r="I24" s="28" t="str"/>
      <x:c r="J24" s="28" t="str">
        <x:v>ledger allocation factor</x:v>
      </x:c>
      <x:c r="K24" s="28" t="str">
        <x:v>Finance operating schedule</x:v>
      </x:c>
      <x:c r="L24" s="34" t="str">
        <x:v>2026-06-30</x:v>
      </x:c>
      <x:c r="M24" s="28" t="str">
        <x:v>Vista ERP balance sheet as of 2026-06-30; accounts 2200, 2210, and 2300</x:v>
      </x:c>
    </x:row>
    <x:row r="25">
      <x:c r="A25" s="37" t="str">
        <x:v>TRY-00202</x:v>
      </x:c>
      <x:c r="B25" s="28" t="str">
        <x:v>Interest-rate hedge strategy</x:v>
      </x:c>
      <x:c r="C25" s="28" t="str">
        <x:v>SOFR scenarios</x:v>
      </x:c>
      <x:c r="D25" s="28" t="str">
        <x:v>Base</x:v>
      </x:c>
      <x:c r="E25" s="28" t="str">
        <x:v>Three-year horizon</x:v>
      </x:c>
      <x:c r="F25" s="28" t="str">
        <x:v>Approved case</x:v>
      </x:c>
      <x:c r="G25" s="28" t="str">
        <x:v>Probability</x:v>
      </x:c>
      <x:c r="H25" s="31" t="n">
        <x:v>0.5</x:v>
      </x:c>
      <x:c r="I25" s="28" t="str"/>
      <x:c r="J25" s="28" t="str">
        <x:v>decimal ratio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TRY-00203</x:v>
      </x:c>
      <x:c r="B26" s="28" t="str">
        <x:v>Interest-rate hedge strategy</x:v>
      </x:c>
      <x:c r="C26" s="28" t="str">
        <x:v>SOFR scenarios</x:v>
      </x:c>
      <x:c r="D26" s="28" t="str">
        <x:v>Base</x:v>
      </x:c>
      <x:c r="E26" s="28" t="str">
        <x:v>Year 1</x:v>
      </x:c>
      <x:c r="F26" s="28" t="str">
        <x:v>Approved case</x:v>
      </x:c>
      <x:c r="G26" s="28" t="str">
        <x:v>Average SOFR</x:v>
      </x:c>
      <x:c r="H26" s="31" t="n">
        <x:v>0.042</x:v>
      </x:c>
      <x:c r="I26" s="28" t="str"/>
      <x:c r="J26" s="28" t="str">
        <x:v>decimal ratio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TRY-00204</x:v>
      </x:c>
      <x:c r="B27" s="28" t="str">
        <x:v>Interest-rate hedge strategy</x:v>
      </x:c>
      <x:c r="C27" s="28" t="str">
        <x:v>SOFR scenarios</x:v>
      </x:c>
      <x:c r="D27" s="28" t="str">
        <x:v>Base</x:v>
      </x:c>
      <x:c r="E27" s="28" t="str">
        <x:v>Year 2</x:v>
      </x:c>
      <x:c r="F27" s="28" t="str">
        <x:v>Approved case</x:v>
      </x:c>
      <x:c r="G27" s="28" t="str">
        <x:v>Average SOFR</x:v>
      </x:c>
      <x:c r="H27" s="31" t="n">
        <x:v>0.04</x:v>
      </x:c>
      <x:c r="I27" s="28" t="str"/>
      <x:c r="J27" s="28" t="str">
        <x:v>decimal ratio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TRY-00205</x:v>
      </x:c>
      <x:c r="B28" s="28" t="str">
        <x:v>Interest-rate hedge strategy</x:v>
      </x:c>
      <x:c r="C28" s="28" t="str">
        <x:v>SOFR scenarios</x:v>
      </x:c>
      <x:c r="D28" s="28" t="str">
        <x:v>Base</x:v>
      </x:c>
      <x:c r="E28" s="28" t="str">
        <x:v>Year 3</x:v>
      </x:c>
      <x:c r="F28" s="28" t="str">
        <x:v>Approved case</x:v>
      </x:c>
      <x:c r="G28" s="28" t="str">
        <x:v>Average SOFR</x:v>
      </x:c>
      <x:c r="H28" s="31" t="n">
        <x:v>0.038</x:v>
      </x:c>
      <x:c r="I28" s="28" t="str"/>
      <x:c r="J28" s="28" t="str">
        <x:v>decimal ratio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TRY-00206</x:v>
      </x:c>
      <x:c r="B29" s="28" t="str">
        <x:v>Interest-rate hedge strategy</x:v>
      </x:c>
      <x:c r="C29" s="28" t="str">
        <x:v>SOFR scenarios</x:v>
      </x:c>
      <x:c r="D29" s="28" t="str">
        <x:v>Downside</x:v>
      </x:c>
      <x:c r="E29" s="28" t="str">
        <x:v>Three-year horizon</x:v>
      </x:c>
      <x:c r="F29" s="28" t="str">
        <x:v>Approved case</x:v>
      </x:c>
      <x:c r="G29" s="28" t="str">
        <x:v>Probability</x:v>
      </x:c>
      <x:c r="H29" s="31" t="n">
        <x:v>0.25</x:v>
      </x:c>
      <x:c r="I29" s="28" t="str"/>
      <x:c r="J29" s="28" t="str">
        <x:v>decimal ratio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TRY-00207</x:v>
      </x:c>
      <x:c r="B30" s="28" t="str">
        <x:v>Interest-rate hedge strategy</x:v>
      </x:c>
      <x:c r="C30" s="28" t="str">
        <x:v>SOFR scenarios</x:v>
      </x:c>
      <x:c r="D30" s="28" t="str">
        <x:v>Downside</x:v>
      </x:c>
      <x:c r="E30" s="28" t="str">
        <x:v>Year 1</x:v>
      </x:c>
      <x:c r="F30" s="28" t="str">
        <x:v>Approved case</x:v>
      </x:c>
      <x:c r="G30" s="28" t="str">
        <x:v>Average SOFR</x:v>
      </x:c>
      <x:c r="H30" s="31" t="n">
        <x:v>0.055</x:v>
      </x:c>
      <x:c r="I30" s="28" t="str"/>
      <x:c r="J30" s="28" t="str">
        <x:v>decimal ratio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TRY-00208</x:v>
      </x:c>
      <x:c r="B31" s="28" t="str">
        <x:v>Interest-rate hedge strategy</x:v>
      </x:c>
      <x:c r="C31" s="28" t="str">
        <x:v>SOFR scenarios</x:v>
      </x:c>
      <x:c r="D31" s="28" t="str">
        <x:v>Downside</x:v>
      </x:c>
      <x:c r="E31" s="28" t="str">
        <x:v>Year 2</x:v>
      </x:c>
      <x:c r="F31" s="28" t="str">
        <x:v>Approved case</x:v>
      </x:c>
      <x:c r="G31" s="28" t="str">
        <x:v>Average SOFR</x:v>
      </x:c>
      <x:c r="H31" s="31" t="n">
        <x:v>0.062</x:v>
      </x:c>
      <x:c r="I31" s="28" t="str"/>
      <x:c r="J31" s="28" t="str">
        <x:v>decimal ratio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TRY-00209</x:v>
      </x:c>
      <x:c r="B32" s="28" t="str">
        <x:v>Interest-rate hedge strategy</x:v>
      </x:c>
      <x:c r="C32" s="28" t="str">
        <x:v>SOFR scenarios</x:v>
      </x:c>
      <x:c r="D32" s="28" t="str">
        <x:v>Downside</x:v>
      </x:c>
      <x:c r="E32" s="28" t="str">
        <x:v>Year 3</x:v>
      </x:c>
      <x:c r="F32" s="28" t="str">
        <x:v>Approved case</x:v>
      </x:c>
      <x:c r="G32" s="28" t="str">
        <x:v>Average SOFR</x:v>
      </x:c>
      <x:c r="H32" s="31" t="n">
        <x:v>0.058</x:v>
      </x:c>
      <x:c r="I32" s="28" t="str"/>
      <x:c r="J32" s="28" t="str">
        <x:v>decimal ratio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TRY-00210</x:v>
      </x:c>
      <x:c r="B33" s="28" t="str">
        <x:v>Interest-rate hedge strategy</x:v>
      </x:c>
      <x:c r="C33" s="28" t="str">
        <x:v>SOFR scenarios</x:v>
      </x:c>
      <x:c r="D33" s="28" t="str">
        <x:v>Falling</x:v>
      </x:c>
      <x:c r="E33" s="28" t="str">
        <x:v>Three-year horizon</x:v>
      </x:c>
      <x:c r="F33" s="28" t="str">
        <x:v>Approved case</x:v>
      </x:c>
      <x:c r="G33" s="28" t="str">
        <x:v>Probability</x:v>
      </x:c>
      <x:c r="H33" s="31" t="n">
        <x:v>0.25</x:v>
      </x:c>
      <x:c r="I33" s="28" t="str"/>
      <x:c r="J33" s="28" t="str">
        <x:v>decimal ratio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TRY-00211</x:v>
      </x:c>
      <x:c r="B34" s="28" t="str">
        <x:v>Interest-rate hedge strategy</x:v>
      </x:c>
      <x:c r="C34" s="28" t="str">
        <x:v>SOFR scenarios</x:v>
      </x:c>
      <x:c r="D34" s="28" t="str">
        <x:v>Falling</x:v>
      </x:c>
      <x:c r="E34" s="28" t="str">
        <x:v>Year 1</x:v>
      </x:c>
      <x:c r="F34" s="28" t="str">
        <x:v>Approved case</x:v>
      </x:c>
      <x:c r="G34" s="28" t="str">
        <x:v>Average SOFR</x:v>
      </x:c>
      <x:c r="H34" s="31" t="n">
        <x:v>0.035</x:v>
      </x:c>
      <x:c r="I34" s="28" t="str"/>
      <x:c r="J34" s="28" t="str">
        <x:v>decimal ratio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TRY-00212</x:v>
      </x:c>
      <x:c r="B35" s="28" t="str">
        <x:v>Interest-rate hedge strategy</x:v>
      </x:c>
      <x:c r="C35" s="28" t="str">
        <x:v>SOFR scenarios</x:v>
      </x:c>
      <x:c r="D35" s="28" t="str">
        <x:v>Falling</x:v>
      </x:c>
      <x:c r="E35" s="28" t="str">
        <x:v>Year 2</x:v>
      </x:c>
      <x:c r="F35" s="28" t="str">
        <x:v>Approved case</x:v>
      </x:c>
      <x:c r="G35" s="28" t="str">
        <x:v>Average SOFR</x:v>
      </x:c>
      <x:c r="H35" s="31" t="n">
        <x:v>0.028</x:v>
      </x:c>
      <x:c r="I35" s="28" t="str"/>
      <x:c r="J35" s="28" t="str">
        <x:v>decimal ratio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TRY-00213</x:v>
      </x:c>
      <x:c r="B36" s="28" t="str">
        <x:v>Interest-rate hedge strategy</x:v>
      </x:c>
      <x:c r="C36" s="28" t="str">
        <x:v>SOFR scenarios</x:v>
      </x:c>
      <x:c r="D36" s="28" t="str">
        <x:v>Falling</x:v>
      </x:c>
      <x:c r="E36" s="28" t="str">
        <x:v>Year 3</x:v>
      </x:c>
      <x:c r="F36" s="28" t="str">
        <x:v>Approved case</x:v>
      </x:c>
      <x:c r="G36" s="28" t="str">
        <x:v>Average SOFR</x:v>
      </x:c>
      <x:c r="H36" s="31" t="n">
        <x:v>0.026</x:v>
      </x:c>
      <x:c r="I36" s="28" t="str"/>
      <x:c r="J36" s="28" t="str">
        <x:v>decimal ratio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TRY-00214</x:v>
      </x:c>
      <x:c r="B37" s="28" t="str">
        <x:v>Interest-rate hedge strategy</x:v>
      </x:c>
      <x:c r="C37" s="28" t="str">
        <x:v>Debt forecast</x:v>
      </x:c>
      <x:c r="D37" s="28" t="str">
        <x:v>Revolver</x:v>
      </x:c>
      <x:c r="E37" s="28" t="str">
        <x:v>Year 1</x:v>
      </x:c>
      <x:c r="F37" s="28" t="str">
        <x:v>Approved case</x:v>
      </x:c>
      <x:c r="G37" s="28" t="str">
        <x:v>Average balance multiplier</x:v>
      </x:c>
      <x:c r="H37" s="31" t="n">
        <x:v>1</x:v>
      </x:c>
      <x:c r="I37" s="28" t="str"/>
      <x:c r="J37" s="28" t="str">
        <x:v>ledger allocation factor</x:v>
      </x:c>
      <x:c r="K37" s="28" t="str">
        <x:v>Finance operating schedule</x:v>
      </x:c>
      <x:c r="L37" s="34" t="str">
        <x:v>2026-06-30</x:v>
      </x:c>
      <x:c r="M37" s="28" t="str">
        <x:v>Vista ERP balance sheet as of 2026-06-30; accounts 2200, 2210, and 2300</x:v>
      </x:c>
    </x:row>
    <x:row r="38">
      <x:c r="A38" s="37" t="str">
        <x:v>TRY-00215</x:v>
      </x:c>
      <x:c r="B38" s="28" t="str">
        <x:v>Interest-rate hedge strategy</x:v>
      </x:c>
      <x:c r="C38" s="28" t="str">
        <x:v>Debt forecast</x:v>
      </x:c>
      <x:c r="D38" s="28" t="str">
        <x:v>Revolver</x:v>
      </x:c>
      <x:c r="E38" s="28" t="str">
        <x:v>Year 2</x:v>
      </x:c>
      <x:c r="F38" s="28" t="str">
        <x:v>Approved case</x:v>
      </x:c>
      <x:c r="G38" s="28" t="str">
        <x:v>Average balance multiplier</x:v>
      </x:c>
      <x:c r="H38" s="31" t="n">
        <x:v>1.35</x:v>
      </x:c>
      <x:c r="I38" s="28" t="str"/>
      <x:c r="J38" s="28" t="str">
        <x:v>ledger allocation factor</x:v>
      </x:c>
      <x:c r="K38" s="28" t="str">
        <x:v>Finance operating schedule</x:v>
      </x:c>
      <x:c r="L38" s="34" t="str">
        <x:v>2026-06-30</x:v>
      </x:c>
      <x:c r="M38" s="28" t="str">
        <x:v>Vista ERP balance sheet as of 2026-06-30; accounts 2200, 2210, and 2300</x:v>
      </x:c>
    </x:row>
    <x:row r="39">
      <x:c r="A39" s="37" t="str">
        <x:v>TRY-00216</x:v>
      </x:c>
      <x:c r="B39" s="28" t="str">
        <x:v>Interest-rate hedge strategy</x:v>
      </x:c>
      <x:c r="C39" s="28" t="str">
        <x:v>Debt forecast</x:v>
      </x:c>
      <x:c r="D39" s="28" t="str">
        <x:v>Revolver</x:v>
      </x:c>
      <x:c r="E39" s="28" t="str">
        <x:v>Year 3</x:v>
      </x:c>
      <x:c r="F39" s="28" t="str">
        <x:v>Approved case</x:v>
      </x:c>
      <x:c r="G39" s="28" t="str">
        <x:v>Average balance multiplier</x:v>
      </x:c>
      <x:c r="H39" s="31" t="n">
        <x:v>1.7</x:v>
      </x:c>
      <x:c r="I39" s="28" t="str"/>
      <x:c r="J39" s="28" t="str">
        <x:v>ledger allocation factor</x:v>
      </x:c>
      <x:c r="K39" s="28" t="str">
        <x:v>Finance operating schedule</x:v>
      </x:c>
      <x:c r="L39" s="34" t="str">
        <x:v>2026-06-30</x:v>
      </x:c>
      <x:c r="M39" s="28" t="str">
        <x:v>Vista ERP balance sheet as of 2026-06-30; accounts 2200, 2210, and 2300</x:v>
      </x:c>
    </x:row>
    <x:row r="40">
      <x:c r="A40" s="37" t="str">
        <x:v>TRY-00217</x:v>
      </x:c>
      <x:c r="B40" s="28" t="str">
        <x:v>Interest-rate hedge strategy</x:v>
      </x:c>
      <x:c r="C40" s="28" t="str">
        <x:v>Hedge terms</x:v>
      </x:c>
      <x:c r="D40" s="28" t="str">
        <x:v>Policy</x:v>
      </x:c>
      <x:c r="E40" s="28" t="str">
        <x:v>Three-year horizon</x:v>
      </x:c>
      <x:c r="F40" s="28" t="str">
        <x:v>Approved case</x:v>
      </x:c>
      <x:c r="G40" s="28" t="str">
        <x:v>Credit spread</x:v>
      </x:c>
      <x:c r="H40" s="31" t="n">
        <x:v>0.026</x:v>
      </x:c>
      <x:c r="I40" s="28" t="str"/>
      <x:c r="J40" s="28" t="str">
        <x:v>decimal ratio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TRY-00218</x:v>
      </x:c>
      <x:c r="B41" s="28" t="str">
        <x:v>Interest-rate hedge strategy</x:v>
      </x:c>
      <x:c r="C41" s="28" t="str">
        <x:v>Hedge terms</x:v>
      </x:c>
      <x:c r="D41" s="28" t="str">
        <x:v>Policy</x:v>
      </x:c>
      <x:c r="E41" s="28" t="str">
        <x:v>Three-year horizon</x:v>
      </x:c>
      <x:c r="F41" s="28" t="str">
        <x:v>Approved case</x:v>
      </x:c>
      <x:c r="G41" s="28" t="str">
        <x:v>Cap strike</x:v>
      </x:c>
      <x:c r="H41" s="31" t="n">
        <x:v>0.045</x:v>
      </x:c>
      <x:c r="I41" s="28" t="str"/>
      <x:c r="J41" s="28" t="str">
        <x:v>decimal ratio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TRY-00219</x:v>
      </x:c>
      <x:c r="B42" s="28" t="str">
        <x:v>Interest-rate hedge strategy</x:v>
      </x:c>
      <x:c r="C42" s="28" t="str">
        <x:v>Hedge terms</x:v>
      </x:c>
      <x:c r="D42" s="28" t="str">
        <x:v>Policy</x:v>
      </x:c>
      <x:c r="E42" s="28" t="str">
        <x:v>Three-year horizon</x:v>
      </x:c>
      <x:c r="F42" s="28" t="str">
        <x:v>Approved case</x:v>
      </x:c>
      <x:c r="G42" s="28" t="str">
        <x:v>Cap premium</x:v>
      </x:c>
      <x:c r="H42" s="31" t="n">
        <x:v>62000</x:v>
      </x:c>
      <x:c r="I42" s="28" t="str"/>
      <x:c r="J42" s="28" t="str">
        <x:v>USD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TRY-00220</x:v>
      </x:c>
      <x:c r="B43" s="28" t="str">
        <x:v>Interest-rate hedge strategy</x:v>
      </x:c>
      <x:c r="C43" s="28" t="str">
        <x:v>Hedge terms</x:v>
      </x:c>
      <x:c r="D43" s="28" t="str">
        <x:v>Policy</x:v>
      </x:c>
      <x:c r="E43" s="28" t="str">
        <x:v>Three-year horizon</x:v>
      </x:c>
      <x:c r="F43" s="28" t="str">
        <x:v>Approved case</x:v>
      </x:c>
      <x:c r="G43" s="28" t="str">
        <x:v>Swap fixed SOFR</x:v>
      </x:c>
      <x:c r="H43" s="31" t="n">
        <x:v>0.0395</x:v>
      </x:c>
      <x:c r="I43" s="28" t="str"/>
      <x:c r="J43" s="28" t="str">
        <x:v>decimal ratio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TRY-00221</x:v>
      </x:c>
      <x:c r="B44" s="28" t="str">
        <x:v>Interest-rate hedge strategy</x:v>
      </x:c>
      <x:c r="C44" s="28" t="str">
        <x:v>Hedge terms</x:v>
      </x:c>
      <x:c r="D44" s="28" t="str">
        <x:v>Policy</x:v>
      </x:c>
      <x:c r="E44" s="28" t="str">
        <x:v>Three-year horizon</x:v>
      </x:c>
      <x:c r="F44" s="28" t="str">
        <x:v>Approved case</x:v>
      </x:c>
      <x:c r="G44" s="28" t="str">
        <x:v>Swap termination reserve</x:v>
      </x:c>
      <x:c r="H44" s="31" t="n">
        <x:v>85000</x:v>
      </x:c>
      <x:c r="I44" s="28" t="str"/>
      <x:c r="J44" s="28" t="str">
        <x:v>USD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TRY-00222</x:v>
      </x:c>
      <x:c r="B45" s="28" t="str">
        <x:v>Interest-rate hedge strategy</x:v>
      </x:c>
      <x:c r="C45" s="28" t="str">
        <x:v>Hedge terms</x:v>
      </x:c>
      <x:c r="D45" s="28" t="str">
        <x:v>Policy</x:v>
      </x:c>
      <x:c r="E45" s="28" t="str">
        <x:v>Three-year horizon</x:v>
      </x:c>
      <x:c r="F45" s="28" t="str">
        <x:v>Approved case</x:v>
      </x:c>
      <x:c r="G45" s="28" t="str">
        <x:v>Downside annual interest ceiling</x:v>
      </x:c>
      <x:c r="H45" s="31" t="n">
        <x:v>145000</x:v>
      </x:c>
      <x:c r="I45" s="28" t="str"/>
      <x:c r="J45" s="28" t="str">
        <x:v>USD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TRY-00287</x:v>
      </x:c>
      <x:c r="B46" s="28" t="str">
        <x:v>Foreign-currency equipment hedge</x:v>
      </x:c>
      <x:c r="C46" s="28" t="str">
        <x:v>Existing hedge register</x:v>
      </x:c>
      <x:c r="D46" s="28" t="str">
        <x:v>FWD-118</x:v>
      </x:c>
      <x:c r="E46" s="28" t="str">
        <x:v>2026-08</x:v>
      </x:c>
      <x:c r="F46" s="28" t="str">
        <x:v>Approved case</x:v>
      </x:c>
      <x:c r="G46" s="28" t="str">
        <x:v>Hedged notional</x:v>
      </x:c>
      <x:c r="H46" s="31" t="n">
        <x:v>800000</x:v>
      </x:c>
      <x:c r="I46" s="28" t="str"/>
      <x:c r="J46" s="28" t="str">
        <x:v>CAD</x:v>
      </x:c>
      <x:c r="K46" s="28" t="str">
        <x:v>Bank hedge confirmations</x:v>
      </x:c>
      <x:c r="L46" s="34" t="str">
        <x:v>2026-06-30</x:v>
      </x:c>
      <x:c r="M46" s="28" t="str"/>
    </x:row>
    <x:row r="47">
      <x:c r="A47" s="37" t="str">
        <x:v>TRY-00288</x:v>
      </x:c>
      <x:c r="B47" s="28" t="str">
        <x:v>Foreign-currency equipment hedge</x:v>
      </x:c>
      <x:c r="C47" s="28" t="str">
        <x:v>Existing hedge register</x:v>
      </x:c>
      <x:c r="D47" s="28" t="str">
        <x:v>FWD-118</x:v>
      </x:c>
      <x:c r="E47" s="28" t="str">
        <x:v>2026-08</x:v>
      </x:c>
      <x:c r="F47" s="28" t="str">
        <x:v>Approved case</x:v>
      </x:c>
      <x:c r="G47" s="28" t="str">
        <x:v>Contract USD per CAD</x:v>
      </x:c>
      <x:c r="H47" s="31" t="n">
        <x:v>0.724</x:v>
      </x:c>
      <x:c r="I47" s="28" t="str"/>
      <x:c r="J47" s="28" t="str">
        <x:v>USD per CAD</x:v>
      </x:c>
      <x:c r="K47" s="28" t="str">
        <x:v>Bank hedge confirmations</x:v>
      </x:c>
      <x:c r="L47" s="34" t="str">
        <x:v>2026-06-30</x:v>
      </x:c>
      <x:c r="M47" s="28" t="str"/>
    </x:row>
    <x:row r="48">
      <x:c r="A48" s="37" t="str">
        <x:v>TRY-00289</x:v>
      </x:c>
      <x:c r="B48" s="28" t="str">
        <x:v>Foreign-currency equipment hedge</x:v>
      </x:c>
      <x:c r="C48" s="28" t="str">
        <x:v>Existing hedge register</x:v>
      </x:c>
      <x:c r="D48" s="28" t="str">
        <x:v>FWD-121</x:v>
      </x:c>
      <x:c r="E48" s="28" t="str">
        <x:v>2026-10</x:v>
      </x:c>
      <x:c r="F48" s="28" t="str">
        <x:v>Approved case</x:v>
      </x:c>
      <x:c r="G48" s="28" t="str">
        <x:v>Hedged notional</x:v>
      </x:c>
      <x:c r="H48" s="31" t="n">
        <x:v>700000</x:v>
      </x:c>
      <x:c r="I48" s="28" t="str"/>
      <x:c r="J48" s="28" t="str">
        <x:v>CAD</x:v>
      </x:c>
      <x:c r="K48" s="28" t="str">
        <x:v>Bank hedge confirmations</x:v>
      </x:c>
      <x:c r="L48" s="34" t="str">
        <x:v>2026-06-30</x:v>
      </x:c>
      <x:c r="M48" s="28" t="str"/>
    </x:row>
    <x:row r="49">
      <x:c r="A49" s="37" t="str">
        <x:v>TRY-00290</x:v>
      </x:c>
      <x:c r="B49" s="28" t="str">
        <x:v>Foreign-currency equipment hedge</x:v>
      </x:c>
      <x:c r="C49" s="28" t="str">
        <x:v>Existing hedge register</x:v>
      </x:c>
      <x:c r="D49" s="28" t="str">
        <x:v>FWD-121</x:v>
      </x:c>
      <x:c r="E49" s="28" t="str">
        <x:v>2026-10</x:v>
      </x:c>
      <x:c r="F49" s="28" t="str">
        <x:v>Approved case</x:v>
      </x:c>
      <x:c r="G49" s="28" t="str">
        <x:v>Contract USD per CAD</x:v>
      </x:c>
      <x:c r="H49" s="31" t="n">
        <x:v>0.731</x:v>
      </x:c>
      <x:c r="I49" s="28" t="str"/>
      <x:c r="J49" s="28" t="str">
        <x:v>USD per CAD</x:v>
      </x:c>
      <x:c r="K49" s="28" t="str">
        <x:v>Bank hedge confirmations</x:v>
      </x:c>
      <x:c r="L49" s="34" t="str">
        <x:v>2026-06-30</x:v>
      </x:c>
      <x:c r="M49" s="28" t="str"/>
    </x:row>
    <x:row r="50">
      <x:c r="A50" s="37" t="str">
        <x:v>TRY-00291</x:v>
      </x:c>
      <x:c r="B50" s="28" t="str">
        <x:v>Foreign-currency equipment hedge</x:v>
      </x:c>
      <x:c r="C50" s="28" t="str">
        <x:v>Downside FX scenario</x:v>
      </x:c>
      <x:c r="D50" s="28" t="str">
        <x:v>CAD downside</x:v>
      </x:c>
      <x:c r="E50" s="28" t="str">
        <x:v>2026-08</x:v>
      </x:c>
      <x:c r="F50" s="28" t="str">
        <x:v>Approved case</x:v>
      </x:c>
      <x:c r="G50" s="28" t="str">
        <x:v>USD per CAD spot</x:v>
      </x:c>
      <x:c r="H50" s="31" t="n">
        <x:v>0.778</x:v>
      </x:c>
      <x:c r="I50" s="28" t="str"/>
      <x:c r="J50" s="28" t="str">
        <x:v>USD per CAD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TRY-00292</x:v>
      </x:c>
      <x:c r="B51" s="28" t="str">
        <x:v>Foreign-currency equipment hedge</x:v>
      </x:c>
      <x:c r="C51" s="28" t="str">
        <x:v>Downside FX scenario</x:v>
      </x:c>
      <x:c r="D51" s="28" t="str">
        <x:v>CAD downside</x:v>
      </x:c>
      <x:c r="E51" s="28" t="str">
        <x:v>2026-10</x:v>
      </x:c>
      <x:c r="F51" s="28" t="str">
        <x:v>Approved case</x:v>
      </x:c>
      <x:c r="G51" s="28" t="str">
        <x:v>USD per CAD spot</x:v>
      </x:c>
      <x:c r="H51" s="31" t="n">
        <x:v>0.786</x:v>
      </x:c>
      <x:c r="I51" s="28" t="str"/>
      <x:c r="J51" s="28" t="str">
        <x:v>USD per CAD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TRY-00293</x:v>
      </x:c>
      <x:c r="B52" s="28" t="str">
        <x:v>Foreign-currency equipment hedge</x:v>
      </x:c>
      <x:c r="C52" s="28" t="str">
        <x:v>Downside FX scenario</x:v>
      </x:c>
      <x:c r="D52" s="28" t="str">
        <x:v>CAD downside</x:v>
      </x:c>
      <x:c r="E52" s="28" t="str">
        <x:v>2026-12</x:v>
      </x:c>
      <x:c r="F52" s="28" t="str">
        <x:v>Approved case</x:v>
      </x:c>
      <x:c r="G52" s="28" t="str">
        <x:v>USD per CAD spot</x:v>
      </x:c>
      <x:c r="H52" s="31" t="n">
        <x:v>0.795</x:v>
      </x:c>
      <x:c r="I52" s="28" t="str"/>
      <x:c r="J52" s="28" t="str">
        <x:v>USD per CAD</x:v>
      </x:c>
      <x:c r="K52" s="28" t="str">
        <x:v>Finance operating schedule</x:v>
      </x:c>
      <x:c r="L52" s="34" t="str">
        <x:v>2026-06-30</x:v>
      </x:c>
      <x:c r="M52" s="28" t="str"/>
    </x:row>
    <x:row r="53">
      <x:c r="A53" s="37" t="str">
        <x:v>TRY-00294</x:v>
      </x:c>
      <x:c r="B53" s="28" t="str">
        <x:v>Foreign-currency equipment hedge</x:v>
      </x:c>
      <x:c r="C53" s="28" t="str">
        <x:v>Downside FX scenario</x:v>
      </x:c>
      <x:c r="D53" s="28" t="str">
        <x:v>CAD downside</x:v>
      </x:c>
      <x:c r="E53" s="28" t="str">
        <x:v>2027-02</x:v>
      </x:c>
      <x:c r="F53" s="28" t="str">
        <x:v>Approved case</x:v>
      </x:c>
      <x:c r="G53" s="28" t="str">
        <x:v>USD per CAD spot</x:v>
      </x:c>
      <x:c r="H53" s="31" t="n">
        <x:v>0.802</x:v>
      </x:c>
      <x:c r="I53" s="28" t="str"/>
      <x:c r="J53" s="28" t="str">
        <x:v>USD per CAD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TRY-00295</x:v>
      </x:c>
      <x:c r="B54" s="28" t="str">
        <x:v>Foreign-currency equipment hedge</x:v>
      </x:c>
      <x:c r="C54" s="28" t="str">
        <x:v>Hedge policy</x:v>
      </x:c>
      <x:c r="D54" s="28" t="str">
        <x:v>Committed exposure</x:v>
      </x:c>
      <x:c r="E54" s="28" t="str">
        <x:v>2026-07-04</x:v>
      </x:c>
      <x:c r="F54" s="28" t="str">
        <x:v>Approved case</x:v>
      </x:c>
      <x:c r="G54" s="28" t="str">
        <x:v>Required hedge percent</x:v>
      </x:c>
      <x:c r="H54" s="31" t="n">
        <x:v>1</x:v>
      </x:c>
      <x:c r="I54" s="28" t="str"/>
      <x:c r="J54" s="28" t="str">
        <x:v>decimal ratio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TRY-00296</x:v>
      </x:c>
      <x:c r="B55" s="28" t="str">
        <x:v>Foreign-currency equipment hedge</x:v>
      </x:c>
      <x:c r="C55" s="28" t="str">
        <x:v>Hedge policy</x:v>
      </x:c>
      <x:c r="D55" s="28" t="str">
        <x:v>Optional exposure</x:v>
      </x:c>
      <x:c r="E55" s="28" t="str">
        <x:v>2026-07-04</x:v>
      </x:c>
      <x:c r="F55" s="28" t="str">
        <x:v>Approved case</x:v>
      </x:c>
      <x:c r="G55" s="28" t="str">
        <x:v>Maximum hedge percent</x:v>
      </x:c>
      <x:c r="H55" s="31" t="n">
        <x:v>0</x:v>
      </x:c>
      <x:c r="I55" s="28" t="str"/>
      <x:c r="J55" s="28" t="str">
        <x:v>decimal ratio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TRY-00619</x:v>
      </x:c>
      <x:c r="B56" s="28" t="str">
        <x:v>Refinancing, hedge, and covenant economics</x:v>
      </x:c>
      <x:c r="C56" s="28" t="str">
        <x:v>Refinancing alternatives</x:v>
      </x:c>
      <x:c r="D56" s="28" t="str">
        <x:v>Keep existing</x:v>
      </x:c>
      <x:c r="E56" s="28" t="str">
        <x:v>2026-07-31</x:v>
      </x:c>
      <x:c r="F56" s="28" t="str">
        <x:v>Approved case</x:v>
      </x:c>
      <x:c r="G56" s="28" t="str">
        <x:v>Opening principal</x:v>
      </x:c>
      <x:c r="H56" s="31" t="n">
        <x:v>6800000</x:v>
      </x:c>
      <x:c r="I56" s="28" t="str"/>
      <x:c r="J56" s="28" t="str">
        <x:v>USD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TRY-00620</x:v>
      </x:c>
      <x:c r="B57" s="28" t="str">
        <x:v>Refinancing, hedge, and covenant economics</x:v>
      </x:c>
      <x:c r="C57" s="28" t="str">
        <x:v>Refinancing alternatives</x:v>
      </x:c>
      <x:c r="D57" s="28" t="str">
        <x:v>Keep existing</x:v>
      </x:c>
      <x:c r="E57" s="28" t="str">
        <x:v>2026-07-31</x:v>
      </x:c>
      <x:c r="F57" s="28" t="str">
        <x:v>Approved case</x:v>
      </x:c>
      <x:c r="G57" s="28" t="str">
        <x:v>SOFR floor</x:v>
      </x:c>
      <x:c r="H57" s="31" t="n">
        <x:v>0.055</x:v>
      </x:c>
      <x:c r="I57" s="28" t="str"/>
      <x:c r="J57" s="28" t="str">
        <x:v>decimal ratio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TRY-00621</x:v>
      </x:c>
      <x:c r="B58" s="28" t="str">
        <x:v>Refinancing, hedge, and covenant economics</x:v>
      </x:c>
      <x:c r="C58" s="28" t="str">
        <x:v>Refinancing alternatives</x:v>
      </x:c>
      <x:c r="D58" s="28" t="str">
        <x:v>Keep existing</x:v>
      </x:c>
      <x:c r="E58" s="28" t="str">
        <x:v>2026-07-31</x:v>
      </x:c>
      <x:c r="F58" s="28" t="str">
        <x:v>Approved case</x:v>
      </x:c>
      <x:c r="G58" s="28" t="str">
        <x:v>Credit spread or fixed rate</x:v>
      </x:c>
      <x:c r="H58" s="31" t="n">
        <x:v>0.028</x:v>
      </x:c>
      <x:c r="I58" s="28" t="str"/>
      <x:c r="J58" s="28" t="str">
        <x:v>decimal ratio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TRY-00622</x:v>
      </x:c>
      <x:c r="B59" s="28" t="str">
        <x:v>Refinancing, hedge, and covenant economics</x:v>
      </x:c>
      <x:c r="C59" s="28" t="str">
        <x:v>Refinancing alternatives</x:v>
      </x:c>
      <x:c r="D59" s="28" t="str">
        <x:v>Keep existing</x:v>
      </x:c>
      <x:c r="E59" s="28" t="str">
        <x:v>2026-07-31</x:v>
      </x:c>
      <x:c r="F59" s="28" t="str">
        <x:v>Approved case</x:v>
      </x:c>
      <x:c r="G59" s="28" t="str">
        <x:v>Upfront fee percent</x:v>
      </x:c>
      <x:c r="H59" s="31" t="n">
        <x:v>0</x:v>
      </x:c>
      <x:c r="I59" s="28" t="str"/>
      <x:c r="J59" s="28" t="str">
        <x:v>decimal ratio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TRY-00623</x:v>
      </x:c>
      <x:c r="B60" s="28" t="str">
        <x:v>Refinancing, hedge, and covenant economics</x:v>
      </x:c>
      <x:c r="C60" s="28" t="str">
        <x:v>Refinancing alternatives</x:v>
      </x:c>
      <x:c r="D60" s="28" t="str">
        <x:v>Keep existing</x:v>
      </x:c>
      <x:c r="E60" s="28" t="str">
        <x:v>2026-07-31</x:v>
      </x:c>
      <x:c r="F60" s="28" t="str">
        <x:v>Approved case</x:v>
      </x:c>
      <x:c r="G60" s="28" t="str">
        <x:v>Other closing costs</x:v>
      </x:c>
      <x:c r="H60" s="31" t="n">
        <x:v>0</x:v>
      </x:c>
      <x:c r="I60" s="28" t="str"/>
      <x:c r="J60" s="28" t="str">
        <x:v>USD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TRY-00624</x:v>
      </x:c>
      <x:c r="B61" s="28" t="str">
        <x:v>Refinancing, hedge, and covenant economics</x:v>
      </x:c>
      <x:c r="C61" s="28" t="str">
        <x:v>Refinancing alternatives</x:v>
      </x:c>
      <x:c r="D61" s="28" t="str">
        <x:v>Keep existing</x:v>
      </x:c>
      <x:c r="E61" s="28" t="str">
        <x:v>2026-07-31</x:v>
      </x:c>
      <x:c r="F61" s="28" t="str">
        <x:v>Approved case</x:v>
      </x:c>
      <x:c r="G61" s="28" t="str">
        <x:v>Term years</x:v>
      </x:c>
      <x:c r="H61" s="31" t="n">
        <x:v>4</x:v>
      </x:c>
      <x:c r="I61" s="28" t="str"/>
      <x:c r="J61" s="28" t="str">
        <x:v>years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TRY-00625</x:v>
      </x:c>
      <x:c r="B62" s="28" t="str">
        <x:v>Refinancing, hedge, and covenant economics</x:v>
      </x:c>
      <x:c r="C62" s="28" t="str">
        <x:v>Refinancing alternatives</x:v>
      </x:c>
      <x:c r="D62" s="28" t="str">
        <x:v>Keep existing</x:v>
      </x:c>
      <x:c r="E62" s="28" t="str">
        <x:v>2026-07-31</x:v>
      </x:c>
      <x:c r="F62" s="28" t="str">
        <x:v>Approved case</x:v>
      </x:c>
      <x:c r="G62" s="28" t="str">
        <x:v>Rate basis</x:v>
      </x:c>
      <x:c r="H62" s="31" t="str"/>
      <x:c r="I62" s="28" t="str">
        <x:v>Floating</x:v>
      </x:c>
      <x:c r="J62" s="28" t="str">
        <x:v>classification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TRY-00626</x:v>
      </x:c>
      <x:c r="B63" s="28" t="str">
        <x:v>Refinancing, hedge, and covenant economics</x:v>
      </x:c>
      <x:c r="C63" s="28" t="str">
        <x:v>Refinancing alternatives</x:v>
      </x:c>
      <x:c r="D63" s="28" t="str">
        <x:v>Term loan A</x:v>
      </x:c>
      <x:c r="E63" s="28" t="str">
        <x:v>2026-07-31</x:v>
      </x:c>
      <x:c r="F63" s="28" t="str">
        <x:v>Approved case</x:v>
      </x:c>
      <x:c r="G63" s="28" t="str">
        <x:v>Opening principal</x:v>
      </x:c>
      <x:c r="H63" s="31" t="n">
        <x:v>6800</x:v>
      </x:c>
      <x:c r="I63" s="28" t="str"/>
      <x:c r="J63" s="28" t="str">
        <x:v>USD thousands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TRY-00627</x:v>
      </x:c>
      <x:c r="B64" s="28" t="str">
        <x:v>Refinancing, hedge, and covenant economics</x:v>
      </x:c>
      <x:c r="C64" s="28" t="str">
        <x:v>Refinancing alternatives</x:v>
      </x:c>
      <x:c r="D64" s="28" t="str">
        <x:v>Term loan A</x:v>
      </x:c>
      <x:c r="E64" s="28" t="str">
        <x:v>2026-07-31</x:v>
      </x:c>
      <x:c r="F64" s="28" t="str">
        <x:v>Approved case</x:v>
      </x:c>
      <x:c r="G64" s="28" t="str">
        <x:v>SOFR floor</x:v>
      </x:c>
      <x:c r="H64" s="31" t="n">
        <x:v>0.05</x:v>
      </x:c>
      <x:c r="I64" s="28" t="str"/>
      <x:c r="J64" s="28" t="str">
        <x:v>decimal ratio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TRY-00628</x:v>
      </x:c>
      <x:c r="B65" s="28" t="str">
        <x:v>Refinancing, hedge, and covenant economics</x:v>
      </x:c>
      <x:c r="C65" s="28" t="str">
        <x:v>Refinancing alternatives</x:v>
      </x:c>
      <x:c r="D65" s="28" t="str">
        <x:v>Term loan A</x:v>
      </x:c>
      <x:c r="E65" s="28" t="str">
        <x:v>2026-07-31</x:v>
      </x:c>
      <x:c r="F65" s="28" t="str">
        <x:v>Approved case</x:v>
      </x:c>
      <x:c r="G65" s="28" t="str">
        <x:v>Credit spread or fixed rate</x:v>
      </x:c>
      <x:c r="H65" s="31" t="n">
        <x:v>0.0225</x:v>
      </x:c>
      <x:c r="I65" s="28" t="str"/>
      <x:c r="J65" s="28" t="str">
        <x:v>decimal ratio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TRY-00629</x:v>
      </x:c>
      <x:c r="B66" s="28" t="str">
        <x:v>Refinancing, hedge, and covenant economics</x:v>
      </x:c>
      <x:c r="C66" s="28" t="str">
        <x:v>Refinancing alternatives</x:v>
      </x:c>
      <x:c r="D66" s="28" t="str">
        <x:v>Term loan A</x:v>
      </x:c>
      <x:c r="E66" s="28" t="str">
        <x:v>2026-07-31</x:v>
      </x:c>
      <x:c r="F66" s="28" t="str">
        <x:v>Approved case</x:v>
      </x:c>
      <x:c r="G66" s="28" t="str">
        <x:v>Upfront fee percent</x:v>
      </x:c>
      <x:c r="H66" s="31" t="n">
        <x:v>0.0125</x:v>
      </x:c>
      <x:c r="I66" s="28" t="str"/>
      <x:c r="J66" s="28" t="str">
        <x:v>decimal ratio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TRY-00630</x:v>
      </x:c>
      <x:c r="B67" s="28" t="str">
        <x:v>Refinancing, hedge, and covenant economics</x:v>
      </x:c>
      <x:c r="C67" s="28" t="str">
        <x:v>Refinancing alternatives</x:v>
      </x:c>
      <x:c r="D67" s="28" t="str">
        <x:v>Term loan A</x:v>
      </x:c>
      <x:c r="E67" s="28" t="str">
        <x:v>2026-07-31</x:v>
      </x:c>
      <x:c r="F67" s="28" t="str">
        <x:v>Approved case</x:v>
      </x:c>
      <x:c r="G67" s="28" t="str">
        <x:v>Other closing costs</x:v>
      </x:c>
      <x:c r="H67" s="31" t="n">
        <x:v>95</x:v>
      </x:c>
      <x:c r="I67" s="28" t="str"/>
      <x:c r="J67" s="28" t="str">
        <x:v>USD thousands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TRY-00631</x:v>
      </x:c>
      <x:c r="B68" s="28" t="str">
        <x:v>Refinancing, hedge, and covenant economics</x:v>
      </x:c>
      <x:c r="C68" s="28" t="str">
        <x:v>Refinancing alternatives</x:v>
      </x:c>
      <x:c r="D68" s="28" t="str">
        <x:v>Term loan A</x:v>
      </x:c>
      <x:c r="E68" s="28" t="str">
        <x:v>2026-07-31</x:v>
      </x:c>
      <x:c r="F68" s="28" t="str">
        <x:v>Approved case</x:v>
      </x:c>
      <x:c r="G68" s="28" t="str">
        <x:v>Term years</x:v>
      </x:c>
      <x:c r="H68" s="31" t="n">
        <x:v>5</x:v>
      </x:c>
      <x:c r="I68" s="28" t="str"/>
      <x:c r="J68" s="28" t="str">
        <x:v>years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TRY-00632</x:v>
      </x:c>
      <x:c r="B69" s="28" t="str">
        <x:v>Refinancing, hedge, and covenant economics</x:v>
      </x:c>
      <x:c r="C69" s="28" t="str">
        <x:v>Refinancing alternatives</x:v>
      </x:c>
      <x:c r="D69" s="28" t="str">
        <x:v>Term loan A</x:v>
      </x:c>
      <x:c r="E69" s="28" t="str">
        <x:v>2026-07-31</x:v>
      </x:c>
      <x:c r="F69" s="28" t="str">
        <x:v>Approved case</x:v>
      </x:c>
      <x:c r="G69" s="28" t="str">
        <x:v>Rate basis</x:v>
      </x:c>
      <x:c r="H69" s="31" t="str"/>
      <x:c r="I69" s="28" t="str">
        <x:v>Floating</x:v>
      </x:c>
      <x:c r="J69" s="28" t="str">
        <x:v>classification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TRY-00633</x:v>
      </x:c>
      <x:c r="B70" s="28" t="str">
        <x:v>Refinancing, hedge, and covenant economics</x:v>
      </x:c>
      <x:c r="C70" s="28" t="str">
        <x:v>Refinancing alternatives</x:v>
      </x:c>
      <x:c r="D70" s="28" t="str">
        <x:v>Term loan B plus swap</x:v>
      </x:c>
      <x:c r="E70" s="28" t="str">
        <x:v>2026-07-31</x:v>
      </x:c>
      <x:c r="F70" s="28" t="str">
        <x:v>Approved case</x:v>
      </x:c>
      <x:c r="G70" s="28" t="str">
        <x:v>Opening principal</x:v>
      </x:c>
      <x:c r="H70" s="31" t="n">
        <x:v>6800000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TRY-00634</x:v>
      </x:c>
      <x:c r="B71" s="28" t="str">
        <x:v>Refinancing, hedge, and covenant economics</x:v>
      </x:c>
      <x:c r="C71" s="28" t="str">
        <x:v>Refinancing alternatives</x:v>
      </x:c>
      <x:c r="D71" s="28" t="str">
        <x:v>Term loan B plus swap</x:v>
      </x:c>
      <x:c r="E71" s="28" t="str">
        <x:v>2026-07-31</x:v>
      </x:c>
      <x:c r="F71" s="28" t="str">
        <x:v>Approved case</x:v>
      </x:c>
      <x:c r="G71" s="28" t="str">
        <x:v>SOFR floor</x:v>
      </x:c>
      <x:c r="H71" s="31" t="n">
        <x:v>0</x:v>
      </x:c>
      <x:c r="I71" s="28" t="str"/>
      <x:c r="J71" s="28" t="str">
        <x:v>decimal ratio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TRY-00635</x:v>
      </x:c>
      <x:c r="B72" s="28" t="str">
        <x:v>Refinancing, hedge, and covenant economics</x:v>
      </x:c>
      <x:c r="C72" s="28" t="str">
        <x:v>Refinancing alternatives</x:v>
      </x:c>
      <x:c r="D72" s="28" t="str">
        <x:v>Term loan B plus swap</x:v>
      </x:c>
      <x:c r="E72" s="28" t="str">
        <x:v>2026-07-31</x:v>
      </x:c>
      <x:c r="F72" s="28" t="str">
        <x:v>Approved case</x:v>
      </x:c>
      <x:c r="G72" s="28" t="str">
        <x:v>Credit spread or fixed rate</x:v>
      </x:c>
      <x:c r="H72" s="31" t="n">
        <x:v>0.071</x:v>
      </x:c>
      <x:c r="I72" s="28" t="str"/>
      <x:c r="J72" s="28" t="str">
        <x:v>decimal ratio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TRY-00636</x:v>
      </x:c>
      <x:c r="B73" s="28" t="str">
        <x:v>Refinancing, hedge, and covenant economics</x:v>
      </x:c>
      <x:c r="C73" s="28" t="str">
        <x:v>Refinancing alternatives</x:v>
      </x:c>
      <x:c r="D73" s="28" t="str">
        <x:v>Term loan B plus swap</x:v>
      </x:c>
      <x:c r="E73" s="28" t="str">
        <x:v>2026-07-31</x:v>
      </x:c>
      <x:c r="F73" s="28" t="str">
        <x:v>Approved case</x:v>
      </x:c>
      <x:c r="G73" s="28" t="str">
        <x:v>Upfront fee percent</x:v>
      </x:c>
      <x:c r="H73" s="31" t="n">
        <x:v>0.0075</x:v>
      </x:c>
      <x:c r="I73" s="28" t="str"/>
      <x:c r="J73" s="28" t="str">
        <x:v>decimal ratio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TRY-00637</x:v>
      </x:c>
      <x:c r="B74" s="28" t="str">
        <x:v>Refinancing, hedge, and covenant economics</x:v>
      </x:c>
      <x:c r="C74" s="28" t="str">
        <x:v>Refinancing alternatives</x:v>
      </x:c>
      <x:c r="D74" s="28" t="str">
        <x:v>Term loan B plus swap</x:v>
      </x:c>
      <x:c r="E74" s="28" t="str">
        <x:v>2026-07-31</x:v>
      </x:c>
      <x:c r="F74" s="28" t="str">
        <x:v>Approved case</x:v>
      </x:c>
      <x:c r="G74" s="28" t="str">
        <x:v>Other closing costs</x:v>
      </x:c>
      <x:c r="H74" s="31" t="n">
        <x:v>145000</x:v>
      </x:c>
      <x:c r="I74" s="28" t="str"/>
      <x:c r="J74" s="28" t="str">
        <x:v>USD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TRY-00638</x:v>
      </x:c>
      <x:c r="B75" s="28" t="str">
        <x:v>Refinancing, hedge, and covenant economics</x:v>
      </x:c>
      <x:c r="C75" s="28" t="str">
        <x:v>Refinancing alternatives</x:v>
      </x:c>
      <x:c r="D75" s="28" t="str">
        <x:v>Term loan B plus swap</x:v>
      </x:c>
      <x:c r="E75" s="28" t="str">
        <x:v>2026-07-31</x:v>
      </x:c>
      <x:c r="F75" s="28" t="str">
        <x:v>Approved case</x:v>
      </x:c>
      <x:c r="G75" s="28" t="str">
        <x:v>Term years</x:v>
      </x:c>
      <x:c r="H75" s="31" t="n">
        <x:v>5</x:v>
      </x:c>
      <x:c r="I75" s="28" t="str"/>
      <x:c r="J75" s="28" t="str">
        <x:v>years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TRY-00639</x:v>
      </x:c>
      <x:c r="B76" s="28" t="str">
        <x:v>Refinancing, hedge, and covenant economics</x:v>
      </x:c>
      <x:c r="C76" s="28" t="str">
        <x:v>Refinancing alternatives</x:v>
      </x:c>
      <x:c r="D76" s="28" t="str">
        <x:v>Term loan B plus swap</x:v>
      </x:c>
      <x:c r="E76" s="28" t="str">
        <x:v>2026-07-31</x:v>
      </x:c>
      <x:c r="F76" s="28" t="str">
        <x:v>Approved case</x:v>
      </x:c>
      <x:c r="G76" s="28" t="str">
        <x:v>Rate basis</x:v>
      </x:c>
      <x:c r="H76" s="31" t="str"/>
      <x:c r="I76" s="28" t="str">
        <x:v>Fixed</x:v>
      </x:c>
      <x:c r="J76" s="28" t="str">
        <x:v>classification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TRY-00640</x:v>
      </x:c>
      <x:c r="B77" s="28" t="str">
        <x:v>Refinancing, hedge, and covenant economics</x:v>
      </x:c>
      <x:c r="C77" s="28" t="str">
        <x:v>Rate cases</x:v>
      </x:c>
      <x:c r="D77" s="28" t="str">
        <x:v>SOFR</x:v>
      </x:c>
      <x:c r="E77" s="28" t="str">
        <x:v>Base</x:v>
      </x:c>
      <x:c r="F77" s="28" t="str">
        <x:v>Approved case</x:v>
      </x:c>
      <x:c r="G77" s="28" t="str">
        <x:v>Average forward rate</x:v>
      </x:c>
      <x:c r="H77" s="31" t="n">
        <x:v>0.046</x:v>
      </x:c>
      <x:c r="I77" s="28" t="str"/>
      <x:c r="J77" s="28" t="str">
        <x:v>decimal ratio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TRY-00641</x:v>
      </x:c>
      <x:c r="B78" s="28" t="str">
        <x:v>Refinancing, hedge, and covenant economics</x:v>
      </x:c>
      <x:c r="C78" s="28" t="str">
        <x:v>Rate cases</x:v>
      </x:c>
      <x:c r="D78" s="28" t="str">
        <x:v>SOFR</x:v>
      </x:c>
      <x:c r="E78" s="28" t="str">
        <x:v>Downside</x:v>
      </x:c>
      <x:c r="F78" s="28" t="str">
        <x:v>Approved case</x:v>
      </x:c>
      <x:c r="G78" s="28" t="str">
        <x:v>Average forward rate</x:v>
      </x:c>
      <x:c r="H78" s="31" t="n">
        <x:v>0.0635</x:v>
      </x:c>
      <x:c r="I78" s="28" t="str"/>
      <x:c r="J78" s="28" t="str">
        <x:v>decimal ratio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TRY-00642</x:v>
      </x:c>
      <x:c r="B79" s="28" t="str">
        <x:v>Refinancing, hedge, and covenant economics</x:v>
      </x:c>
      <x:c r="C79" s="28" t="str">
        <x:v>Refinancing decision policy</x:v>
      </x:c>
      <x:c r="D79" s="28" t="str">
        <x:v>Alder Ridge</x:v>
      </x:c>
      <x:c r="E79" s="28" t="str">
        <x:v>FY27</x:v>
      </x:c>
      <x:c r="F79" s="28" t="str">
        <x:v>Approved case</x:v>
      </x:c>
      <x:c r="G79" s="28" t="str">
        <x:v>Existing prepayment penalty</x:v>
      </x:c>
      <x:c r="H79" s="31" t="n">
        <x:v>0.015</x:v>
      </x:c>
      <x:c r="I79" s="28" t="str"/>
      <x:c r="J79" s="28" t="str">
        <x:v>decimal ratio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TRY-00643</x:v>
      </x:c>
      <x:c r="B80" s="28" t="str">
        <x:v>Refinancing, hedge, and covenant economics</x:v>
      </x:c>
      <x:c r="C80" s="28" t="str">
        <x:v>Refinancing decision policy</x:v>
      </x:c>
      <x:c r="D80" s="28" t="str">
        <x:v>Alder Ridge</x:v>
      </x:c>
      <x:c r="E80" s="28" t="str">
        <x:v>FY27</x:v>
      </x:c>
      <x:c r="F80" s="28" t="str">
        <x:v>Approved case</x:v>
      </x:c>
      <x:c r="G80" s="28" t="str">
        <x:v>Unamortized existing fees</x:v>
      </x:c>
      <x:c r="H80" s="31" t="n">
        <x:v>72000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TRY-00644</x:v>
      </x:c>
      <x:c r="B81" s="28" t="str">
        <x:v>Refinancing, hedge, and covenant economics</x:v>
      </x:c>
      <x:c r="C81" s="28" t="str">
        <x:v>Refinancing decision policy</x:v>
      </x:c>
      <x:c r="D81" s="28" t="str">
        <x:v>Alder Ridge</x:v>
      </x:c>
      <x:c r="E81" s="28" t="str">
        <x:v>FY27</x:v>
      </x:c>
      <x:c r="F81" s="28" t="str">
        <x:v>Approved case</x:v>
      </x:c>
      <x:c r="G81" s="28" t="str">
        <x:v>Covenant EBITDA</x:v>
      </x:c>
      <x:c r="H81" s="31" t="n">
        <x:v>5250000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TRY-00645</x:v>
      </x:c>
      <x:c r="B82" s="28" t="str">
        <x:v>Refinancing, hedge, and covenant economics</x:v>
      </x:c>
      <x:c r="C82" s="28" t="str">
        <x:v>Refinancing decision policy</x:v>
      </x:c>
      <x:c r="D82" s="28" t="str">
        <x:v>Alder Ridge</x:v>
      </x:c>
      <x:c r="E82" s="28" t="str">
        <x:v>FY27</x:v>
      </x:c>
      <x:c r="F82" s="28" t="str">
        <x:v>Approved case</x:v>
      </x:c>
      <x:c r="G82" s="28" t="str">
        <x:v>Maximum leverage</x:v>
      </x:c>
      <x:c r="H82" s="31" t="n">
        <x:v>2.25</x:v>
      </x:c>
      <x:c r="I82" s="28" t="str"/>
      <x:c r="J82" s="28" t="str">
        <x:v>multiple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TRY-00646</x:v>
      </x:c>
      <x:c r="B83" s="28" t="str">
        <x:v>Refinancing, hedge, and covenant economics</x:v>
      </x:c>
      <x:c r="C83" s="28" t="str">
        <x:v>Refinancing decision policy</x:v>
      </x:c>
      <x:c r="D83" s="28" t="str">
        <x:v>Alder Ridge</x:v>
      </x:c>
      <x:c r="E83" s="28" t="str">
        <x:v>FY27</x:v>
      </x:c>
      <x:c r="F83" s="28" t="str">
        <x:v>Approved case</x:v>
      </x:c>
      <x:c r="G83" s="28" t="str">
        <x:v>Minimum fixed charge coverage</x:v>
      </x:c>
      <x:c r="H83" s="31" t="n">
        <x:v>1.35</x:v>
      </x:c>
      <x:c r="I83" s="28" t="str"/>
      <x:c r="J83" s="28" t="str">
        <x:v>multiple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TRY-00647</x:v>
      </x:c>
      <x:c r="B84" s="28" t="str">
        <x:v>Refinancing, hedge, and covenant economics</x:v>
      </x:c>
      <x:c r="C84" s="28" t="str">
        <x:v>Refinancing decision policy</x:v>
      </x:c>
      <x:c r="D84" s="28" t="str">
        <x:v>Alder Ridge</x:v>
      </x:c>
      <x:c r="E84" s="28" t="str">
        <x:v>FY27</x:v>
      </x:c>
      <x:c r="F84" s="28" t="str">
        <x:v>Approved case</x:v>
      </x:c>
      <x:c r="G84" s="28" t="str">
        <x:v>Annual fixed charges excluding interest</x:v>
      </x:c>
      <x:c r="H84" s="31" t="n">
        <x:v>2100000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TRY-00648</x:v>
      </x:c>
      <x:c r="B85" s="28" t="str">
        <x:v>Refinancing, hedge, and covenant economics</x:v>
      </x:c>
      <x:c r="C85" s="28" t="str">
        <x:v>Refinancing decision policy</x:v>
      </x:c>
      <x:c r="D85" s="28" t="str">
        <x:v>Alder Ridge</x:v>
      </x:c>
      <x:c r="E85" s="28" t="str">
        <x:v>FY27</x:v>
      </x:c>
      <x:c r="F85" s="28" t="str">
        <x:v>Approved case</x:v>
      </x:c>
      <x:c r="G85" s="28" t="str">
        <x:v>Annual principal amortization percent</x:v>
      </x:c>
      <x:c r="H85" s="31" t="n">
        <x:v>0.1</x:v>
      </x:c>
      <x:c r="I85" s="28" t="str"/>
      <x:c r="J85" s="28" t="str">
        <x:v>decimal ratio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TRY-00649</x:v>
      </x:c>
      <x:c r="B86" s="28" t="str">
        <x:v>Refinancing, hedge, and covenant economics</x:v>
      </x:c>
      <x:c r="C86" s="28" t="str">
        <x:v>Refinancing decision policy</x:v>
      </x:c>
      <x:c r="D86" s="28" t="str">
        <x:v>Alder Ridge</x:v>
      </x:c>
      <x:c r="E86" s="28" t="str">
        <x:v>FY27</x:v>
      </x:c>
      <x:c r="F86" s="28" t="str">
        <x:v>Approved case</x:v>
      </x:c>
      <x:c r="G86" s="28" t="str">
        <x:v>Tax rate</x:v>
      </x:c>
      <x:c r="H86" s="31" t="n">
        <x:v>0.26</x:v>
      </x:c>
      <x:c r="I86" s="28" t="str"/>
      <x:c r="J86" s="28" t="str">
        <x:v>decimal ratio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TRY-00650</x:v>
      </x:c>
      <x:c r="B87" s="28" t="str">
        <x:v>Refinancing, hedge, and covenant economics</x:v>
      </x:c>
      <x:c r="C87" s="28" t="str">
        <x:v>Refinancing decision policy</x:v>
      </x:c>
      <x:c r="D87" s="28" t="str">
        <x:v>Alder Ridge</x:v>
      </x:c>
      <x:c r="E87" s="28" t="str">
        <x:v>FY27</x:v>
      </x:c>
      <x:c r="F87" s="28" t="str">
        <x:v>Approved case</x:v>
      </x:c>
      <x:c r="G87" s="28" t="str">
        <x:v>Discount rate</x:v>
      </x:c>
      <x:c r="H87" s="31" t="n">
        <x:v>0.085</x:v>
      </x:c>
      <x:c r="I87" s="28" t="str"/>
      <x:c r="J87" s="28" t="str">
        <x:v>decimal ratio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TRY-00665</x:v>
      </x:c>
      <x:c r="B88" s="28" t="str">
        <x:v>Refinancing, hedge, and covenant economics</x:v>
      </x:c>
      <x:c r="C88" s="28" t="str">
        <x:v>Approved SOFR term curve</x:v>
      </x:c>
      <x:c r="D88" s="28" t="str">
        <x:v>SOFR</x:v>
      </x:c>
      <x:c r="E88" s="28" t="str">
        <x:v>Year 1</x:v>
      </x:c>
      <x:c r="F88" s="28" t="str">
        <x:v>Approved case</x:v>
      </x:c>
      <x:c r="G88" s="28" t="str">
        <x:v>Base forward rate</x:v>
      </x:c>
      <x:c r="H88" s="31" t="n">
        <x:v>0.046</x:v>
      </x:c>
      <x:c r="I88" s="28" t="str"/>
      <x:c r="J88" s="28" t="str">
        <x:v>decimal ratio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TRY-00666</x:v>
      </x:c>
      <x:c r="B89" s="28" t="str">
        <x:v>Refinancing, hedge, and covenant economics</x:v>
      </x:c>
      <x:c r="C89" s="28" t="str">
        <x:v>Approved SOFR term curve</x:v>
      </x:c>
      <x:c r="D89" s="28" t="str">
        <x:v>SOFR</x:v>
      </x:c>
      <x:c r="E89" s="28" t="str">
        <x:v>Year 1</x:v>
      </x:c>
      <x:c r="F89" s="28" t="str">
        <x:v>Approved case</x:v>
      </x:c>
      <x:c r="G89" s="28" t="str">
        <x:v>Downside forward rate</x:v>
      </x:c>
      <x:c r="H89" s="31" t="n">
        <x:v>0.0635</x:v>
      </x:c>
      <x:c r="I89" s="28" t="str"/>
      <x:c r="J89" s="28" t="str">
        <x:v>decimal ratio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TRY-00667</x:v>
      </x:c>
      <x:c r="B90" s="28" t="str">
        <x:v>Refinancing, hedge, and covenant economics</x:v>
      </x:c>
      <x:c r="C90" s="28" t="str">
        <x:v>Approved SOFR term curve</x:v>
      </x:c>
      <x:c r="D90" s="28" t="str">
        <x:v>SOFR</x:v>
      </x:c>
      <x:c r="E90" s="28" t="str">
        <x:v>Year 2</x:v>
      </x:c>
      <x:c r="F90" s="28" t="str">
        <x:v>Approved case</x:v>
      </x:c>
      <x:c r="G90" s="28" t="str">
        <x:v>Base forward rate</x:v>
      </x:c>
      <x:c r="H90" s="31" t="n">
        <x:v>0.0435</x:v>
      </x:c>
      <x:c r="I90" s="28" t="str"/>
      <x:c r="J90" s="28" t="str">
        <x:v>decimal ratio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TRY-00668</x:v>
      </x:c>
      <x:c r="B91" s="28" t="str">
        <x:v>Refinancing, hedge, and covenant economics</x:v>
      </x:c>
      <x:c r="C91" s="28" t="str">
        <x:v>Approved SOFR term curve</x:v>
      </x:c>
      <x:c r="D91" s="28" t="str">
        <x:v>SOFR</x:v>
      </x:c>
      <x:c r="E91" s="28" t="str">
        <x:v>Year 2</x:v>
      </x:c>
      <x:c r="F91" s="28" t="str">
        <x:v>Approved case</x:v>
      </x:c>
      <x:c r="G91" s="28" t="str">
        <x:v>Downside forward rate</x:v>
      </x:c>
      <x:c r="H91" s="31" t="n">
        <x:v>0.059</x:v>
      </x:c>
      <x:c r="I91" s="28" t="str"/>
      <x:c r="J91" s="28" t="str">
        <x:v>decimal ratio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TRY-00669</x:v>
      </x:c>
      <x:c r="B92" s="28" t="str">
        <x:v>Refinancing, hedge, and covenant economics</x:v>
      </x:c>
      <x:c r="C92" s="28" t="str">
        <x:v>Approved SOFR term curve</x:v>
      </x:c>
      <x:c r="D92" s="28" t="str">
        <x:v>SOFR</x:v>
      </x:c>
      <x:c r="E92" s="28" t="str">
        <x:v>Year 3</x:v>
      </x:c>
      <x:c r="F92" s="28" t="str">
        <x:v>Approved case</x:v>
      </x:c>
      <x:c r="G92" s="28" t="str">
        <x:v>Base forward rate</x:v>
      </x:c>
      <x:c r="H92" s="31" t="n">
        <x:v>0.041</x:v>
      </x:c>
      <x:c r="I92" s="28" t="str"/>
      <x:c r="J92" s="28" t="str">
        <x:v>decimal ratio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TRY-00670</x:v>
      </x:c>
      <x:c r="B93" s="28" t="str">
        <x:v>Refinancing, hedge, and covenant economics</x:v>
      </x:c>
      <x:c r="C93" s="28" t="str">
        <x:v>Approved SOFR term curve</x:v>
      </x:c>
      <x:c r="D93" s="28" t="str">
        <x:v>SOFR</x:v>
      </x:c>
      <x:c r="E93" s="28" t="str">
        <x:v>Year 3</x:v>
      </x:c>
      <x:c r="F93" s="28" t="str">
        <x:v>Approved case</x:v>
      </x:c>
      <x:c r="G93" s="28" t="str">
        <x:v>Downside forward rate</x:v>
      </x:c>
      <x:c r="H93" s="31" t="n">
        <x:v>0.055</x:v>
      </x:c>
      <x:c r="I93" s="28" t="str"/>
      <x:c r="J93" s="28" t="str">
        <x:v>decimal ratio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7" t="str">
        <x:v>TRY-00671</x:v>
      </x:c>
      <x:c r="B94" s="28" t="str">
        <x:v>Refinancing, hedge, and covenant economics</x:v>
      </x:c>
      <x:c r="C94" s="28" t="str">
        <x:v>Approved SOFR term curve</x:v>
      </x:c>
      <x:c r="D94" s="28" t="str">
        <x:v>SOFR</x:v>
      </x:c>
      <x:c r="E94" s="28" t="str">
        <x:v>Year 4</x:v>
      </x:c>
      <x:c r="F94" s="28" t="str">
        <x:v>Approved case</x:v>
      </x:c>
      <x:c r="G94" s="28" t="str">
        <x:v>Base forward rate</x:v>
      </x:c>
      <x:c r="H94" s="31" t="n">
        <x:v>0.0395</x:v>
      </x:c>
      <x:c r="I94" s="28" t="str"/>
      <x:c r="J94" s="28" t="str">
        <x:v>decimal ratio</x:v>
      </x:c>
      <x:c r="K94" s="28" t="str">
        <x:v>Finance operating schedule</x:v>
      </x:c>
      <x:c r="L94" s="34" t="str">
        <x:v>2026-06-30</x:v>
      </x:c>
      <x:c r="M94" s="28" t="str"/>
    </x:row>
    <x:row r="95">
      <x:c r="A95" s="37" t="str">
        <x:v>TRY-00672</x:v>
      </x:c>
      <x:c r="B95" s="28" t="str">
        <x:v>Refinancing, hedge, and covenant economics</x:v>
      </x:c>
      <x:c r="C95" s="28" t="str">
        <x:v>Approved SOFR term curve</x:v>
      </x:c>
      <x:c r="D95" s="28" t="str">
        <x:v>SOFR</x:v>
      </x:c>
      <x:c r="E95" s="28" t="str">
        <x:v>Year 4</x:v>
      </x:c>
      <x:c r="F95" s="28" t="str">
        <x:v>Approved case</x:v>
      </x:c>
      <x:c r="G95" s="28" t="str">
        <x:v>Downside forward rate</x:v>
      </x:c>
      <x:c r="H95" s="31" t="n">
        <x:v>0.0515</x:v>
      </x:c>
      <x:c r="I95" s="28" t="str"/>
      <x:c r="J95" s="28" t="str">
        <x:v>decimal ratio</x:v>
      </x:c>
      <x:c r="K95" s="28" t="str">
        <x:v>Finance operating schedule</x:v>
      </x:c>
      <x:c r="L95" s="34" t="str">
        <x:v>2026-06-30</x:v>
      </x:c>
      <x:c r="M95" s="28" t="str"/>
    </x:row>
    <x:row r="96">
      <x:c r="A96" s="37" t="str">
        <x:v>TRY-00673</x:v>
      </x:c>
      <x:c r="B96" s="28" t="str">
        <x:v>Refinancing, hedge, and covenant economics</x:v>
      </x:c>
      <x:c r="C96" s="28" t="str">
        <x:v>Approved SOFR term curve</x:v>
      </x:c>
      <x:c r="D96" s="28" t="str">
        <x:v>SOFR</x:v>
      </x:c>
      <x:c r="E96" s="28" t="str">
        <x:v>Year 5</x:v>
      </x:c>
      <x:c r="F96" s="28" t="str">
        <x:v>Approved case</x:v>
      </x:c>
      <x:c r="G96" s="28" t="str">
        <x:v>Base forward rate</x:v>
      </x:c>
      <x:c r="H96" s="31" t="n">
        <x:v>0.038</x:v>
      </x:c>
      <x:c r="I96" s="28" t="str"/>
      <x:c r="J96" s="28" t="str">
        <x:v>decimal ratio</x:v>
      </x:c>
      <x:c r="K96" s="28" t="str">
        <x:v>Finance operating schedule</x:v>
      </x:c>
      <x:c r="L96" s="34" t="str">
        <x:v>2026-06-30</x:v>
      </x:c>
      <x:c r="M96" s="28" t="str"/>
    </x:row>
    <x:row r="97">
      <x:c r="A97" s="37" t="str">
        <x:v>TRY-00674</x:v>
      </x:c>
      <x:c r="B97" s="28" t="str">
        <x:v>Refinancing, hedge, and covenant economics</x:v>
      </x:c>
      <x:c r="C97" s="28" t="str">
        <x:v>Approved SOFR term curve</x:v>
      </x:c>
      <x:c r="D97" s="28" t="str">
        <x:v>SOFR</x:v>
      </x:c>
      <x:c r="E97" s="28" t="str">
        <x:v>Year 5</x:v>
      </x:c>
      <x:c r="F97" s="28" t="str">
        <x:v>Approved case</x:v>
      </x:c>
      <x:c r="G97" s="28" t="str">
        <x:v>Downside forward rate</x:v>
      </x:c>
      <x:c r="H97" s="31" t="n">
        <x:v>0.049</x:v>
      </x:c>
      <x:c r="I97" s="28" t="str"/>
      <x:c r="J97" s="28" t="str">
        <x:v>decimal ratio</x:v>
      </x:c>
      <x:c r="K97" s="28" t="str">
        <x:v>Finance operating schedule</x:v>
      </x:c>
      <x:c r="L97" s="34" t="str">
        <x:v>2026-06-30</x:v>
      </x:c>
      <x:c r="M97" s="28" t="str"/>
    </x:row>
    <x:row r="98">
      <x:c r="A98" s="37" t="str">
        <x:v>TRY-00675</x:v>
      </x:c>
      <x:c r="B98" s="28" t="str">
        <x:v>Refinancing, hedge, and covenant economics</x:v>
      </x:c>
      <x:c r="C98" s="28" t="str">
        <x:v>Rate cap term sheet</x:v>
      </x:c>
      <x:c r="D98" s="28" t="str">
        <x:v>Term loan A</x:v>
      </x:c>
      <x:c r="E98" s="28" t="str">
        <x:v>Closing</x:v>
      </x:c>
      <x:c r="F98" s="28" t="str">
        <x:v>Approved case</x:v>
      </x:c>
      <x:c r="G98" s="28" t="str">
        <x:v>Term loan A cap strike</x:v>
      </x:c>
      <x:c r="H98" s="31" t="n">
        <x:v>0.055</x:v>
      </x:c>
      <x:c r="I98" s="28" t="str"/>
      <x:c r="J98" s="28" t="str">
        <x:v>decimal ratio</x:v>
      </x:c>
      <x:c r="K98" s="28" t="str">
        <x:v>Finance operating schedule</x:v>
      </x:c>
      <x:c r="L98" s="34" t="str">
        <x:v>2026-06-30</x:v>
      </x:c>
      <x:c r="M98" s="28" t="str"/>
    </x:row>
    <x:row r="99">
      <x:c r="A99" s="37" t="str">
        <x:v>TRY-00676</x:v>
      </x:c>
      <x:c r="B99" s="28" t="str">
        <x:v>Refinancing, hedge, and covenant economics</x:v>
      </x:c>
      <x:c r="C99" s="28" t="str">
        <x:v>Rate cap term sheet</x:v>
      </x:c>
      <x:c r="D99" s="28" t="str">
        <x:v>Term loan A</x:v>
      </x:c>
      <x:c r="E99" s="28" t="str">
        <x:v>Closing</x:v>
      </x:c>
      <x:c r="F99" s="28" t="str">
        <x:v>Approved case</x:v>
      </x:c>
      <x:c r="G99" s="28" t="str">
        <x:v>Cap premium</x:v>
      </x:c>
      <x:c r="H99" s="31" t="n">
        <x:v>118</x:v>
      </x:c>
      <x:c r="I99" s="28" t="str"/>
      <x:c r="J99" s="28" t="str">
        <x:v>USD thousands</x:v>
      </x:c>
      <x:c r="K99" s="28" t="str">
        <x:v>Finance operating schedule</x:v>
      </x:c>
      <x:c r="L99" s="34" t="str">
        <x:v>2026-06-30</x:v>
      </x:c>
      <x:c r="M99" s="28" t="str"/>
    </x:row>
    <x:row r="100">
      <x:c r="A100" s="37" t="str">
        <x:v>TRY-00677</x:v>
      </x:c>
      <x:c r="B100" s="28" t="str">
        <x:v>Refinancing, hedge, and covenant economics</x:v>
      </x:c>
      <x:c r="C100" s="28" t="str">
        <x:v>Rate cap term sheet</x:v>
      </x:c>
      <x:c r="D100" s="28" t="str">
        <x:v>Term loan A</x:v>
      </x:c>
      <x:c r="E100" s="28" t="str">
        <x:v>Closing</x:v>
      </x:c>
      <x:c r="F100" s="28" t="str">
        <x:v>Approved case</x:v>
      </x:c>
      <x:c r="G100" s="28" t="str">
        <x:v>Cap term years</x:v>
      </x:c>
      <x:c r="H100" s="31" t="n">
        <x:v>3</x:v>
      </x:c>
      <x:c r="I100" s="28" t="str"/>
      <x:c r="J100" s="28" t="str">
        <x:v>years</x:v>
      </x:c>
      <x:c r="K100" s="28" t="str">
        <x:v>Finance operating schedule</x:v>
      </x:c>
      <x:c r="L100" s="34" t="str">
        <x:v>2026-06-30</x:v>
      </x:c>
      <x:c r="M100" s="28" t="str"/>
    </x:row>
    <x:row r="101">
      <x:c r="A101" s="37" t="str">
        <x:v>TRY-00684</x:v>
      </x:c>
      <x:c r="B101" s="28" t="str">
        <x:v>Layered FX hedge plan</x:v>
      </x:c>
      <x:c r="C101" s="28" t="str">
        <x:v>Committed FX exposures</x:v>
      </x:c>
      <x:c r="D101" s="28" t="str">
        <x:v>EUR equipment</x:v>
      </x:c>
      <x:c r="E101" s="28" t="str">
        <x:v>FY27</x:v>
      </x:c>
      <x:c r="F101" s="28" t="str">
        <x:v>Approved case</x:v>
      </x:c>
      <x:c r="G101" s="28" t="str">
        <x:v>Foreign currency payable</x:v>
      </x:c>
      <x:c r="H101" s="31" t="n">
        <x:v>3200000</x:v>
      </x:c>
      <x:c r="I101" s="28" t="str"/>
      <x:c r="J101" s="28" t="str">
        <x:v>foreign currency</x:v>
      </x:c>
      <x:c r="K101" s="28" t="str">
        <x:v>Finance operating schedule</x:v>
      </x:c>
      <x:c r="L101" s="34" t="str">
        <x:v>2026-06-30</x:v>
      </x:c>
      <x:c r="M101" s="28" t="str"/>
    </x:row>
    <x:row r="102">
      <x:c r="A102" s="37" t="str">
        <x:v>TRY-00685</x:v>
      </x:c>
      <x:c r="B102" s="28" t="str">
        <x:v>Layered FX hedge plan</x:v>
      </x:c>
      <x:c r="C102" s="28" t="str">
        <x:v>Committed FX exposures</x:v>
      </x:c>
      <x:c r="D102" s="28" t="str">
        <x:v>EUR equipment</x:v>
      </x:c>
      <x:c r="E102" s="28" t="str">
        <x:v>FY27</x:v>
      </x:c>
      <x:c r="F102" s="28" t="str">
        <x:v>Approved case</x:v>
      </x:c>
      <x:c r="G102" s="28" t="str">
        <x:v>Budget USD rate</x:v>
      </x:c>
      <x:c r="H102" s="31" t="n">
        <x:v>1.095</x:v>
      </x:c>
      <x:c r="I102" s="28" t="str"/>
      <x:c r="J102" s="28" t="str">
        <x:v>USD per foreign unit</x:v>
      </x:c>
      <x:c r="K102" s="28" t="str">
        <x:v>Finance operating schedule</x:v>
      </x:c>
      <x:c r="L102" s="34" t="str">
        <x:v>2026-06-30</x:v>
      </x:c>
      <x:c r="M102" s="28" t="str"/>
    </x:row>
    <x:row r="103">
      <x:c r="A103" s="37" t="str">
        <x:v>TRY-00686</x:v>
      </x:c>
      <x:c r="B103" s="28" t="str">
        <x:v>Layered FX hedge plan</x:v>
      </x:c>
      <x:c r="C103" s="28" t="str">
        <x:v>Committed FX exposures</x:v>
      </x:c>
      <x:c r="D103" s="28" t="str">
        <x:v>EUR equipment</x:v>
      </x:c>
      <x:c r="E103" s="28" t="str">
        <x:v>FY27</x:v>
      </x:c>
      <x:c r="F103" s="28" t="str">
        <x:v>Approved case</x:v>
      </x:c>
      <x:c r="G103" s="28" t="str">
        <x:v>Forward USD rate</x:v>
      </x:c>
      <x:c r="H103" s="31" t="n">
        <x:v>1.135</x:v>
      </x:c>
      <x:c r="I103" s="28" t="str"/>
      <x:c r="J103" s="28" t="str">
        <x:v>USD per foreign unit</x:v>
      </x:c>
      <x:c r="K103" s="28" t="str">
        <x:v>Finance operating schedule</x:v>
      </x:c>
      <x:c r="L103" s="34" t="str">
        <x:v>2026-06-30</x:v>
      </x:c>
      <x:c r="M103" s="28" t="str"/>
    </x:row>
    <x:row r="104">
      <x:c r="A104" s="37" t="str">
        <x:v>TRY-00687</x:v>
      </x:c>
      <x:c r="B104" s="28" t="str">
        <x:v>Layered FX hedge plan</x:v>
      </x:c>
      <x:c r="C104" s="28" t="str">
        <x:v>Committed FX exposures</x:v>
      </x:c>
      <x:c r="D104" s="28" t="str">
        <x:v>EUR equipment</x:v>
      </x:c>
      <x:c r="E104" s="28" t="str">
        <x:v>FY27</x:v>
      </x:c>
      <x:c r="F104" s="28" t="str">
        <x:v>Approved case</x:v>
      </x:c>
      <x:c r="G104" s="28" t="str">
        <x:v>Downside USD rate</x:v>
      </x:c>
      <x:c r="H104" s="31" t="n">
        <x:v>1.04</x:v>
      </x:c>
      <x:c r="I104" s="28" t="str"/>
      <x:c r="J104" s="28" t="str">
        <x:v>USD per foreign unit</x:v>
      </x:c>
      <x:c r="K104" s="28" t="str">
        <x:v>Finance operating schedule</x:v>
      </x:c>
      <x:c r="L104" s="34" t="str">
        <x:v>2026-06-30</x:v>
      </x:c>
      <x:c r="M104" s="28" t="str"/>
    </x:row>
    <x:row r="105">
      <x:c r="A105" s="37" t="str">
        <x:v>TRY-00688</x:v>
      </x:c>
      <x:c r="B105" s="28" t="str">
        <x:v>Layered FX hedge plan</x:v>
      </x:c>
      <x:c r="C105" s="28" t="str">
        <x:v>Committed FX exposures</x:v>
      </x:c>
      <x:c r="D105" s="28" t="str">
        <x:v>EUR equipment</x:v>
      </x:c>
      <x:c r="E105" s="28" t="str">
        <x:v>FY27</x:v>
      </x:c>
      <x:c r="F105" s="28" t="str">
        <x:v>Approved case</x:v>
      </x:c>
      <x:c r="G105" s="28" t="str">
        <x:v>Currency</x:v>
      </x:c>
      <x:c r="H105" s="31" t="str"/>
      <x:c r="I105" s="28" t="str">
        <x:v>EUR</x:v>
      </x:c>
      <x:c r="J105" s="28" t="str">
        <x:v>classification</x:v>
      </x:c>
      <x:c r="K105" s="28" t="str">
        <x:v>Finance operating schedule</x:v>
      </x:c>
      <x:c r="L105" s="34" t="str">
        <x:v>2026-06-30</x:v>
      </x:c>
      <x:c r="M105" s="28" t="str"/>
    </x:row>
    <x:row r="106">
      <x:c r="A106" s="37" t="str">
        <x:v>TRY-00689</x:v>
      </x:c>
      <x:c r="B106" s="28" t="str">
        <x:v>Layered FX hedge plan</x:v>
      </x:c>
      <x:c r="C106" s="28" t="str">
        <x:v>Committed FX exposures</x:v>
      </x:c>
      <x:c r="D106" s="28" t="str">
        <x:v>CAD components</x:v>
      </x:c>
      <x:c r="E106" s="28" t="str">
        <x:v>FY27</x:v>
      </x:c>
      <x:c r="F106" s="28" t="str">
        <x:v>Approved case</x:v>
      </x:c>
      <x:c r="G106" s="28" t="str">
        <x:v>Foreign currency payable</x:v>
      </x:c>
      <x:c r="H106" s="31" t="n">
        <x:v>2450000</x:v>
      </x:c>
      <x:c r="I106" s="28" t="str"/>
      <x:c r="J106" s="28" t="str">
        <x:v>foreign currency</x:v>
      </x:c>
      <x:c r="K106" s="28" t="str">
        <x:v>Finance operating schedule</x:v>
      </x:c>
      <x:c r="L106" s="34" t="str">
        <x:v>2026-06-30</x:v>
      </x:c>
      <x:c r="M106" s="28" t="str"/>
    </x:row>
    <x:row r="107">
      <x:c r="A107" s="37" t="str">
        <x:v>TRY-00690</x:v>
      </x:c>
      <x:c r="B107" s="28" t="str">
        <x:v>Layered FX hedge plan</x:v>
      </x:c>
      <x:c r="C107" s="28" t="str">
        <x:v>Committed FX exposures</x:v>
      </x:c>
      <x:c r="D107" s="28" t="str">
        <x:v>CAD components</x:v>
      </x:c>
      <x:c r="E107" s="28" t="str">
        <x:v>FY27</x:v>
      </x:c>
      <x:c r="F107" s="28" t="str">
        <x:v>Approved case</x:v>
      </x:c>
      <x:c r="G107" s="28" t="str">
        <x:v>Budget USD rate</x:v>
      </x:c>
      <x:c r="H107" s="31" t="n">
        <x:v>0.735</x:v>
      </x:c>
      <x:c r="I107" s="28" t="str"/>
      <x:c r="J107" s="28" t="str">
        <x:v>USD per foreign unit</x:v>
      </x:c>
      <x:c r="K107" s="28" t="str">
        <x:v>Finance operating schedule</x:v>
      </x:c>
      <x:c r="L107" s="34" t="str">
        <x:v>2026-06-30</x:v>
      </x:c>
      <x:c r="M107" s="28" t="str"/>
    </x:row>
    <x:row r="108">
      <x:c r="A108" s="37" t="str">
        <x:v>TRY-00691</x:v>
      </x:c>
      <x:c r="B108" s="28" t="str">
        <x:v>Layered FX hedge plan</x:v>
      </x:c>
      <x:c r="C108" s="28" t="str">
        <x:v>Committed FX exposures</x:v>
      </x:c>
      <x:c r="D108" s="28" t="str">
        <x:v>CAD components</x:v>
      </x:c>
      <x:c r="E108" s="28" t="str">
        <x:v>FY27</x:v>
      </x:c>
      <x:c r="F108" s="28" t="str">
        <x:v>Approved case</x:v>
      </x:c>
      <x:c r="G108" s="28" t="str">
        <x:v>Forward USD rate</x:v>
      </x:c>
      <x:c r="H108" s="31" t="n">
        <x:v>0.76</x:v>
      </x:c>
      <x:c r="I108" s="28" t="str"/>
      <x:c r="J108" s="28" t="str">
        <x:v>USD per foreign unit</x:v>
      </x:c>
      <x:c r="K108" s="28" t="str">
        <x:v>Finance operating schedule</x:v>
      </x:c>
      <x:c r="L108" s="34" t="str">
        <x:v>2026-06-30</x:v>
      </x:c>
      <x:c r="M108" s="28" t="str"/>
    </x:row>
    <x:row r="109">
      <x:c r="A109" s="37" t="str">
        <x:v>TRY-00692</x:v>
      </x:c>
      <x:c r="B109" s="28" t="str">
        <x:v>Layered FX hedge plan</x:v>
      </x:c>
      <x:c r="C109" s="28" t="str">
        <x:v>Committed FX exposures</x:v>
      </x:c>
      <x:c r="D109" s="28" t="str">
        <x:v>CAD components</x:v>
      </x:c>
      <x:c r="E109" s="28" t="str">
        <x:v>FY27</x:v>
      </x:c>
      <x:c r="F109" s="28" t="str">
        <x:v>Approved case</x:v>
      </x:c>
      <x:c r="G109" s="28" t="str">
        <x:v>Downside USD rate</x:v>
      </x:c>
      <x:c r="H109" s="31" t="n">
        <x:v>0.695</x:v>
      </x:c>
      <x:c r="I109" s="28" t="str"/>
      <x:c r="J109" s="28" t="str">
        <x:v>USD per foreign unit</x:v>
      </x:c>
      <x:c r="K109" s="28" t="str">
        <x:v>Finance operating schedule</x:v>
      </x:c>
      <x:c r="L109" s="34" t="str">
        <x:v>2026-06-30</x:v>
      </x:c>
      <x:c r="M109" s="28" t="str"/>
    </x:row>
    <x:row r="110">
      <x:c r="A110" s="37" t="str">
        <x:v>TRY-00693</x:v>
      </x:c>
      <x:c r="B110" s="28" t="str">
        <x:v>Layered FX hedge plan</x:v>
      </x:c>
      <x:c r="C110" s="28" t="str">
        <x:v>Committed FX exposures</x:v>
      </x:c>
      <x:c r="D110" s="28" t="str">
        <x:v>CAD components</x:v>
      </x:c>
      <x:c r="E110" s="28" t="str">
        <x:v>FY27</x:v>
      </x:c>
      <x:c r="F110" s="28" t="str">
        <x:v>Approved case</x:v>
      </x:c>
      <x:c r="G110" s="28" t="str">
        <x:v>Currency</x:v>
      </x:c>
      <x:c r="H110" s="31" t="str"/>
      <x:c r="I110" s="28" t="str">
        <x:v>CAD</x:v>
      </x:c>
      <x:c r="J110" s="28" t="str">
        <x:v>classification</x:v>
      </x:c>
      <x:c r="K110" s="28" t="str">
        <x:v>Finance operating schedule</x:v>
      </x:c>
      <x:c r="L110" s="34" t="str">
        <x:v>2026-06-30</x:v>
      </x:c>
      <x:c r="M110" s="28" t="str"/>
    </x:row>
    <x:row r="111">
      <x:c r="A111" s="37" t="str">
        <x:v>TRY-00694</x:v>
      </x:c>
      <x:c r="B111" s="28" t="str">
        <x:v>Layered FX hedge plan</x:v>
      </x:c>
      <x:c r="C111" s="28" t="str">
        <x:v>Committed FX exposures</x:v>
      </x:c>
      <x:c r="D111" s="28" t="str">
        <x:v>GBP software</x:v>
      </x:c>
      <x:c r="E111" s="28" t="str">
        <x:v>FY27</x:v>
      </x:c>
      <x:c r="F111" s="28" t="str">
        <x:v>Approved case</x:v>
      </x:c>
      <x:c r="G111" s="28" t="str">
        <x:v>Foreign currency payable</x:v>
      </x:c>
      <x:c r="H111" s="31" t="n">
        <x:v>820000</x:v>
      </x:c>
      <x:c r="I111" s="28" t="str"/>
      <x:c r="J111" s="28" t="str">
        <x:v>foreign currency</x:v>
      </x:c>
      <x:c r="K111" s="28" t="str">
        <x:v>Finance operating schedule</x:v>
      </x:c>
      <x:c r="L111" s="34" t="str">
        <x:v>2026-06-30</x:v>
      </x:c>
      <x:c r="M111" s="28" t="str"/>
    </x:row>
    <x:row r="112">
      <x:c r="A112" s="37" t="str">
        <x:v>TRY-00695</x:v>
      </x:c>
      <x:c r="B112" s="28" t="str">
        <x:v>Layered FX hedge plan</x:v>
      </x:c>
      <x:c r="C112" s="28" t="str">
        <x:v>Committed FX exposures</x:v>
      </x:c>
      <x:c r="D112" s="28" t="str">
        <x:v>GBP software</x:v>
      </x:c>
      <x:c r="E112" s="28" t="str">
        <x:v>FY27</x:v>
      </x:c>
      <x:c r="F112" s="28" t="str">
        <x:v>Approved case</x:v>
      </x:c>
      <x:c r="G112" s="28" t="str">
        <x:v>Budget USD rate</x:v>
      </x:c>
      <x:c r="H112" s="31" t="n">
        <x:v>1.275</x:v>
      </x:c>
      <x:c r="I112" s="28" t="str"/>
      <x:c r="J112" s="28" t="str">
        <x:v>USD per foreign unit</x:v>
      </x:c>
      <x:c r="K112" s="28" t="str">
        <x:v>Finance operating schedule</x:v>
      </x:c>
      <x:c r="L112" s="34" t="str">
        <x:v>2026-06-30</x:v>
      </x:c>
      <x:c r="M112" s="28" t="str"/>
    </x:row>
    <x:row r="113">
      <x:c r="A113" s="37" t="str">
        <x:v>TRY-00696</x:v>
      </x:c>
      <x:c r="B113" s="28" t="str">
        <x:v>Layered FX hedge plan</x:v>
      </x:c>
      <x:c r="C113" s="28" t="str">
        <x:v>Committed FX exposures</x:v>
      </x:c>
      <x:c r="D113" s="28" t="str">
        <x:v>GBP software</x:v>
      </x:c>
      <x:c r="E113" s="28" t="str">
        <x:v>FY27</x:v>
      </x:c>
      <x:c r="F113" s="28" t="str">
        <x:v>Approved case</x:v>
      </x:c>
      <x:c r="G113" s="28" t="str">
        <x:v>Forward USD rate</x:v>
      </x:c>
      <x:c r="H113" s="31" t="n">
        <x:v>1.32</x:v>
      </x:c>
      <x:c r="I113" s="28" t="str"/>
      <x:c r="J113" s="28" t="str">
        <x:v>USD per foreign unit</x:v>
      </x:c>
      <x:c r="K113" s="28" t="str">
        <x:v>Finance operating schedule</x:v>
      </x:c>
      <x:c r="L113" s="34" t="str">
        <x:v>2026-06-30</x:v>
      </x:c>
      <x:c r="M113" s="28" t="str"/>
    </x:row>
    <x:row r="114">
      <x:c r="A114" s="37" t="str">
        <x:v>TRY-00697</x:v>
      </x:c>
      <x:c r="B114" s="28" t="str">
        <x:v>Layered FX hedge plan</x:v>
      </x:c>
      <x:c r="C114" s="28" t="str">
        <x:v>Committed FX exposures</x:v>
      </x:c>
      <x:c r="D114" s="28" t="str">
        <x:v>GBP software</x:v>
      </x:c>
      <x:c r="E114" s="28" t="str">
        <x:v>FY27</x:v>
      </x:c>
      <x:c r="F114" s="28" t="str">
        <x:v>Approved case</x:v>
      </x:c>
      <x:c r="G114" s="28" t="str">
        <x:v>Downside USD rate</x:v>
      </x:c>
      <x:c r="H114" s="31" t="n">
        <x:v>1.205</x:v>
      </x:c>
      <x:c r="I114" s="28" t="str"/>
      <x:c r="J114" s="28" t="str">
        <x:v>USD per foreign unit</x:v>
      </x:c>
      <x:c r="K114" s="28" t="str">
        <x:v>Finance operating schedule</x:v>
      </x:c>
      <x:c r="L114" s="34" t="str">
        <x:v>2026-06-30</x:v>
      </x:c>
      <x:c r="M114" s="28" t="str"/>
    </x:row>
    <x:row r="115">
      <x:c r="A115" s="37" t="str">
        <x:v>TRY-00698</x:v>
      </x:c>
      <x:c r="B115" s="28" t="str">
        <x:v>Layered FX hedge plan</x:v>
      </x:c>
      <x:c r="C115" s="28" t="str">
        <x:v>Committed FX exposures</x:v>
      </x:c>
      <x:c r="D115" s="28" t="str">
        <x:v>GBP software</x:v>
      </x:c>
      <x:c r="E115" s="28" t="str">
        <x:v>FY27</x:v>
      </x:c>
      <x:c r="F115" s="28" t="str">
        <x:v>Approved case</x:v>
      </x:c>
      <x:c r="G115" s="28" t="str">
        <x:v>Currency</x:v>
      </x:c>
      <x:c r="H115" s="31" t="str"/>
      <x:c r="I115" s="28" t="str">
        <x:v>GBP</x:v>
      </x:c>
      <x:c r="J115" s="28" t="str">
        <x:v>classification</x:v>
      </x:c>
      <x:c r="K115" s="28" t="str">
        <x:v>Finance operating schedule</x:v>
      </x:c>
      <x:c r="L115" s="34" t="str">
        <x:v>2026-06-30</x:v>
      </x:c>
      <x:c r="M115" s="28" t="str"/>
    </x:row>
    <x:row r="116">
      <x:c r="A116" s="37" t="str">
        <x:v>TRY-00699</x:v>
      </x:c>
      <x:c r="B116" s="28" t="str">
        <x:v>Layered FX hedge plan</x:v>
      </x:c>
      <x:c r="C116" s="28" t="str">
        <x:v>Approved layered hedge plan</x:v>
      </x:c>
      <x:c r="D116" s="28" t="str">
        <x:v>EUR equipment</x:v>
      </x:c>
      <x:c r="E116" s="28" t="str">
        <x:v>FY27</x:v>
      </x:c>
      <x:c r="F116" s="28" t="str">
        <x:v>Approved case</x:v>
      </x:c>
      <x:c r="G116" s="28" t="str">
        <x:v>Forward hedge percent</x:v>
      </x:c>
      <x:c r="H116" s="31" t="n">
        <x:v>0.6</x:v>
      </x:c>
      <x:c r="I116" s="28" t="str"/>
      <x:c r="J116" s="28" t="str">
        <x:v>decimal ratio</x:v>
      </x:c>
      <x:c r="K116" s="28" t="str">
        <x:v>Finance operating schedule</x:v>
      </x:c>
      <x:c r="L116" s="34" t="str">
        <x:v>2026-06-30</x:v>
      </x:c>
      <x:c r="M116" s="28" t="str"/>
    </x:row>
    <x:row r="117">
      <x:c r="A117" s="37" t="str">
        <x:v>TRY-00700</x:v>
      </x:c>
      <x:c r="B117" s="28" t="str">
        <x:v>Layered FX hedge plan</x:v>
      </x:c>
      <x:c r="C117" s="28" t="str">
        <x:v>Approved layered hedge plan</x:v>
      </x:c>
      <x:c r="D117" s="28" t="str">
        <x:v>EUR equipment</x:v>
      </x:c>
      <x:c r="E117" s="28" t="str">
        <x:v>FY27</x:v>
      </x:c>
      <x:c r="F117" s="28" t="str">
        <x:v>Approved case</x:v>
      </x:c>
      <x:c r="G117" s="28" t="str">
        <x:v>Option hedge percent</x:v>
      </x:c>
      <x:c r="H117" s="31" t="n">
        <x:v>0.2</x:v>
      </x:c>
      <x:c r="I117" s="28" t="str"/>
      <x:c r="J117" s="28" t="str">
        <x:v>decimal ratio</x:v>
      </x:c>
      <x:c r="K117" s="28" t="str">
        <x:v>Finance operating schedule</x:v>
      </x:c>
      <x:c r="L117" s="34" t="str">
        <x:v>2026-06-30</x:v>
      </x:c>
      <x:c r="M117" s="28" t="str"/>
    </x:row>
    <x:row r="118">
      <x:c r="A118" s="37" t="str">
        <x:v>TRY-00701</x:v>
      </x:c>
      <x:c r="B118" s="28" t="str">
        <x:v>Layered FX hedge plan</x:v>
      </x:c>
      <x:c r="C118" s="28" t="str">
        <x:v>Approved layered hedge plan</x:v>
      </x:c>
      <x:c r="D118" s="28" t="str">
        <x:v>EUR equipment</x:v>
      </x:c>
      <x:c r="E118" s="28" t="str">
        <x:v>FY27</x:v>
      </x:c>
      <x:c r="F118" s="28" t="str">
        <x:v>Approved case</x:v>
      </x:c>
      <x:c r="G118" s="28" t="str">
        <x:v>Option premium</x:v>
      </x:c>
      <x:c r="H118" s="31" t="n">
        <x:v>38000</x:v>
      </x:c>
      <x:c r="I118" s="28" t="str"/>
      <x:c r="J118" s="28" t="str">
        <x:v>USD</x:v>
      </x:c>
      <x:c r="K118" s="28" t="str">
        <x:v>Finance operating schedule</x:v>
      </x:c>
      <x:c r="L118" s="34" t="str">
        <x:v>2026-06-30</x:v>
      </x:c>
      <x:c r="M118" s="28" t="str"/>
    </x:row>
    <x:row r="119">
      <x:c r="A119" s="37" t="str">
        <x:v>TRY-00702</x:v>
      </x:c>
      <x:c r="B119" s="28" t="str">
        <x:v>Layered FX hedge plan</x:v>
      </x:c>
      <x:c r="C119" s="28" t="str">
        <x:v>Approved layered hedge plan</x:v>
      </x:c>
      <x:c r="D119" s="28" t="str">
        <x:v>EUR equipment</x:v>
      </x:c>
      <x:c r="E119" s="28" t="str">
        <x:v>FY27</x:v>
      </x:c>
      <x:c r="F119" s="28" t="str">
        <x:v>Approved case</x:v>
      </x:c>
      <x:c r="G119" s="28" t="str">
        <x:v>Option strike</x:v>
      </x:c>
      <x:c r="H119" s="31" t="n">
        <x:v>1.09</x:v>
      </x:c>
      <x:c r="I119" s="28" t="str"/>
      <x:c r="J119" s="28" t="str">
        <x:v>USD per foreign unit</x:v>
      </x:c>
      <x:c r="K119" s="28" t="str">
        <x:v>Finance operating schedule</x:v>
      </x:c>
      <x:c r="L119" s="34" t="str">
        <x:v>2026-06-30</x:v>
      </x:c>
      <x:c r="M119" s="28" t="str"/>
    </x:row>
    <x:row r="120">
      <x:c r="A120" s="37" t="str">
        <x:v>TRY-00703</x:v>
      </x:c>
      <x:c r="B120" s="28" t="str">
        <x:v>Layered FX hedge plan</x:v>
      </x:c>
      <x:c r="C120" s="28" t="str">
        <x:v>Approved layered hedge plan</x:v>
      </x:c>
      <x:c r="D120" s="28" t="str">
        <x:v>CAD components</x:v>
      </x:c>
      <x:c r="E120" s="28" t="str">
        <x:v>FY27</x:v>
      </x:c>
      <x:c r="F120" s="28" t="str">
        <x:v>Approved case</x:v>
      </x:c>
      <x:c r="G120" s="28" t="str">
        <x:v>Forward hedge percent</x:v>
      </x:c>
      <x:c r="H120" s="31" t="n">
        <x:v>0.45</x:v>
      </x:c>
      <x:c r="I120" s="28" t="str"/>
      <x:c r="J120" s="28" t="str">
        <x:v>decimal ratio</x:v>
      </x:c>
      <x:c r="K120" s="28" t="str">
        <x:v>Finance operating schedule</x:v>
      </x:c>
      <x:c r="L120" s="34" t="str">
        <x:v>2026-06-30</x:v>
      </x:c>
      <x:c r="M120" s="28" t="str"/>
    </x:row>
    <x:row r="121">
      <x:c r="A121" s="37" t="str">
        <x:v>TRY-00704</x:v>
      </x:c>
      <x:c r="B121" s="28" t="str">
        <x:v>Layered FX hedge plan</x:v>
      </x:c>
      <x:c r="C121" s="28" t="str">
        <x:v>Approved layered hedge plan</x:v>
      </x:c>
      <x:c r="D121" s="28" t="str">
        <x:v>CAD components</x:v>
      </x:c>
      <x:c r="E121" s="28" t="str">
        <x:v>FY27</x:v>
      </x:c>
      <x:c r="F121" s="28" t="str">
        <x:v>Approved case</x:v>
      </x:c>
      <x:c r="G121" s="28" t="str">
        <x:v>Option hedge percent</x:v>
      </x:c>
      <x:c r="H121" s="31" t="n">
        <x:v>0.25</x:v>
      </x:c>
      <x:c r="I121" s="28" t="str"/>
      <x:c r="J121" s="28" t="str">
        <x:v>decimal ratio</x:v>
      </x:c>
      <x:c r="K121" s="28" t="str">
        <x:v>Finance operating schedule</x:v>
      </x:c>
      <x:c r="L121" s="34" t="str">
        <x:v>2026-06-30</x:v>
      </x:c>
      <x:c r="M121" s="28" t="str"/>
    </x:row>
    <x:row r="122">
      <x:c r="A122" s="37" t="str">
        <x:v>TRY-00705</x:v>
      </x:c>
      <x:c r="B122" s="28" t="str">
        <x:v>Layered FX hedge plan</x:v>
      </x:c>
      <x:c r="C122" s="28" t="str">
        <x:v>Approved layered hedge plan</x:v>
      </x:c>
      <x:c r="D122" s="28" t="str">
        <x:v>CAD components</x:v>
      </x:c>
      <x:c r="E122" s="28" t="str">
        <x:v>FY27</x:v>
      </x:c>
      <x:c r="F122" s="28" t="str">
        <x:v>Approved case</x:v>
      </x:c>
      <x:c r="G122" s="28" t="str">
        <x:v>Option premium</x:v>
      </x:c>
      <x:c r="H122" s="31" t="n">
        <x:v>24000</x:v>
      </x:c>
      <x:c r="I122" s="28" t="str"/>
      <x:c r="J122" s="28" t="str">
        <x:v>USD</x:v>
      </x:c>
      <x:c r="K122" s="28" t="str">
        <x:v>Finance operating schedule</x:v>
      </x:c>
      <x:c r="L122" s="34" t="str">
        <x:v>2026-06-30</x:v>
      </x:c>
      <x:c r="M122" s="28" t="str"/>
    </x:row>
    <x:row r="123">
      <x:c r="A123" s="37" t="str">
        <x:v>TRY-00706</x:v>
      </x:c>
      <x:c r="B123" s="28" t="str">
        <x:v>Layered FX hedge plan</x:v>
      </x:c>
      <x:c r="C123" s="28" t="str">
        <x:v>Approved layered hedge plan</x:v>
      </x:c>
      <x:c r="D123" s="28" t="str">
        <x:v>CAD components</x:v>
      </x:c>
      <x:c r="E123" s="28" t="str">
        <x:v>FY27</x:v>
      </x:c>
      <x:c r="F123" s="28" t="str">
        <x:v>Approved case</x:v>
      </x:c>
      <x:c r="G123" s="28" t="str">
        <x:v>Option strike</x:v>
      </x:c>
      <x:c r="H123" s="31" t="n">
        <x:v>0.728</x:v>
      </x:c>
      <x:c r="I123" s="28" t="str"/>
      <x:c r="J123" s="28" t="str">
        <x:v>USD per foreign unit</x:v>
      </x:c>
      <x:c r="K123" s="28" t="str">
        <x:v>Finance operating schedule</x:v>
      </x:c>
      <x:c r="L123" s="34" t="str">
        <x:v>2026-06-30</x:v>
      </x:c>
      <x:c r="M123" s="28" t="str"/>
    </x:row>
    <x:row r="124">
      <x:c r="A124" s="37" t="str">
        <x:v>TRY-00707</x:v>
      </x:c>
      <x:c r="B124" s="28" t="str">
        <x:v>Layered FX hedge plan</x:v>
      </x:c>
      <x:c r="C124" s="28" t="str">
        <x:v>Approved layered hedge plan</x:v>
      </x:c>
      <x:c r="D124" s="28" t="str">
        <x:v>GBP software</x:v>
      </x:c>
      <x:c r="E124" s="28" t="str">
        <x:v>FY27</x:v>
      </x:c>
      <x:c r="F124" s="28" t="str">
        <x:v>Approved case</x:v>
      </x:c>
      <x:c r="G124" s="28" t="str">
        <x:v>Forward hedge percent</x:v>
      </x:c>
      <x:c r="H124" s="31" t="n">
        <x:v>0.5</x:v>
      </x:c>
      <x:c r="I124" s="28" t="str"/>
      <x:c r="J124" s="28" t="str">
        <x:v>decimal ratio</x:v>
      </x:c>
      <x:c r="K124" s="28" t="str">
        <x:v>Finance operating schedule</x:v>
      </x:c>
      <x:c r="L124" s="34" t="str">
        <x:v>2026-06-30</x:v>
      </x:c>
      <x:c r="M124" s="28" t="str"/>
    </x:row>
    <x:row r="125">
      <x:c r="A125" s="37" t="str">
        <x:v>TRY-00708</x:v>
      </x:c>
      <x:c r="B125" s="28" t="str">
        <x:v>Layered FX hedge plan</x:v>
      </x:c>
      <x:c r="C125" s="28" t="str">
        <x:v>Approved layered hedge plan</x:v>
      </x:c>
      <x:c r="D125" s="28" t="str">
        <x:v>GBP software</x:v>
      </x:c>
      <x:c r="E125" s="28" t="str">
        <x:v>FY27</x:v>
      </x:c>
      <x:c r="F125" s="28" t="str">
        <x:v>Approved case</x:v>
      </x:c>
      <x:c r="G125" s="28" t="str">
        <x:v>Option hedge percent</x:v>
      </x:c>
      <x:c r="H125" s="31" t="n">
        <x:v>0.25</x:v>
      </x:c>
      <x:c r="I125" s="28" t="str"/>
      <x:c r="J125" s="28" t="str">
        <x:v>decimal ratio</x:v>
      </x:c>
      <x:c r="K125" s="28" t="str">
        <x:v>Finance operating schedule</x:v>
      </x:c>
      <x:c r="L125" s="34" t="str">
        <x:v>2026-06-30</x:v>
      </x:c>
      <x:c r="M125" s="28" t="str"/>
    </x:row>
    <x:row r="126">
      <x:c r="A126" s="37" t="str">
        <x:v>TRY-00709</x:v>
      </x:c>
      <x:c r="B126" s="28" t="str">
        <x:v>Layered FX hedge plan</x:v>
      </x:c>
      <x:c r="C126" s="28" t="str">
        <x:v>Approved layered hedge plan</x:v>
      </x:c>
      <x:c r="D126" s="28" t="str">
        <x:v>GBP software</x:v>
      </x:c>
      <x:c r="E126" s="28" t="str">
        <x:v>FY27</x:v>
      </x:c>
      <x:c r="F126" s="28" t="str">
        <x:v>Approved case</x:v>
      </x:c>
      <x:c r="G126" s="28" t="str">
        <x:v>Option premium</x:v>
      </x:c>
      <x:c r="H126" s="31" t="n">
        <x:v>15000</x:v>
      </x:c>
      <x:c r="I126" s="28" t="str"/>
      <x:c r="J126" s="28" t="str">
        <x:v>USD</x:v>
      </x:c>
      <x:c r="K126" s="28" t="str">
        <x:v>Finance operating schedule</x:v>
      </x:c>
      <x:c r="L126" s="34" t="str">
        <x:v>2026-06-30</x:v>
      </x:c>
      <x:c r="M126" s="28" t="str"/>
    </x:row>
    <x:row r="127">
      <x:c r="A127" s="37" t="str">
        <x:v>TRY-00710</x:v>
      </x:c>
      <x:c r="B127" s="28" t="str">
        <x:v>Layered FX hedge plan</x:v>
      </x:c>
      <x:c r="C127" s="28" t="str">
        <x:v>Approved layered hedge plan</x:v>
      </x:c>
      <x:c r="D127" s="28" t="str">
        <x:v>GBP software</x:v>
      </x:c>
      <x:c r="E127" s="28" t="str">
        <x:v>FY27</x:v>
      </x:c>
      <x:c r="F127" s="28" t="str">
        <x:v>Approved case</x:v>
      </x:c>
      <x:c r="G127" s="28" t="str">
        <x:v>Option strike</x:v>
      </x:c>
      <x:c r="H127" s="31" t="n">
        <x:v>1.265</x:v>
      </x:c>
      <x:c r="I127" s="28" t="str"/>
      <x:c r="J127" s="28" t="str">
        <x:v>USD per foreign unit</x:v>
      </x:c>
      <x:c r="K127" s="28" t="str">
        <x:v>Finance operating schedule</x:v>
      </x:c>
      <x:c r="L127" s="34" t="str">
        <x:v>2026-06-30</x:v>
      </x:c>
      <x:c r="M127" s="28" t="str"/>
    </x:row>
    <x:row r="128">
      <x:c r="A128" s="37" t="str">
        <x:v>TRY-00711</x:v>
      </x:c>
      <x:c r="B128" s="28" t="str">
        <x:v>Layered FX hedge plan</x:v>
      </x:c>
      <x:c r="C128" s="28" t="str">
        <x:v>FX risk policy</x:v>
      </x:c>
      <x:c r="D128" s="28" t="str">
        <x:v>Alder Ridge</x:v>
      </x:c>
      <x:c r="E128" s="28" t="str">
        <x:v>FY27</x:v>
      </x:c>
      <x:c r="F128" s="28" t="str">
        <x:v>Approved case</x:v>
      </x:c>
      <x:c r="G128" s="28" t="str">
        <x:v>Maximum unhedged percent</x:v>
      </x:c>
      <x:c r="H128" s="31" t="n">
        <x:v>0.2</x:v>
      </x:c>
      <x:c r="I128" s="28" t="str"/>
      <x:c r="J128" s="28" t="str">
        <x:v>decimal ratio</x:v>
      </x:c>
      <x:c r="K128" s="28" t="str">
        <x:v>Finance operating schedule</x:v>
      </x:c>
      <x:c r="L128" s="34" t="str">
        <x:v>2026-06-30</x:v>
      </x:c>
      <x:c r="M128" s="28" t="str"/>
    </x:row>
    <x:row r="129">
      <x:c r="A129" s="37" t="str">
        <x:v>TRY-00712</x:v>
      </x:c>
      <x:c r="B129" s="28" t="str">
        <x:v>Layered FX hedge plan</x:v>
      </x:c>
      <x:c r="C129" s="28" t="str">
        <x:v>FX risk policy</x:v>
      </x:c>
      <x:c r="D129" s="28" t="str">
        <x:v>Alder Ridge</x:v>
      </x:c>
      <x:c r="E129" s="28" t="str">
        <x:v>FY27</x:v>
      </x:c>
      <x:c r="F129" s="28" t="str">
        <x:v>Approved case</x:v>
      </x:c>
      <x:c r="G129" s="28" t="str">
        <x:v>Budget variance alert</x:v>
      </x:c>
      <x:c r="H129" s="31" t="n">
        <x:v>175000</x:v>
      </x:c>
      <x:c r="I129" s="28" t="str"/>
      <x:c r="J129" s="28" t="str">
        <x:v>USD</x:v>
      </x:c>
      <x:c r="K129" s="28" t="str">
        <x:v>Finance operating schedule</x:v>
      </x:c>
      <x:c r="L129" s="34" t="str">
        <x:v>2026-06-30</x:v>
      </x:c>
      <x:c r="M129" s="28" t="str"/>
    </x:row>
    <x:row r="130">
      <x:c r="A130" s="37" t="str">
        <x:v>TRY-00725</x:v>
      </x:c>
      <x:c r="B130" s="28" t="str">
        <x:v>Layered FX hedge plan</x:v>
      </x:c>
      <x:c r="C130" s="28" t="str">
        <x:v>Approved natural FX offsets</x:v>
      </x:c>
      <x:c r="D130" s="28" t="str">
        <x:v>EUR equipment</x:v>
      </x:c>
      <x:c r="E130" s="28" t="str">
        <x:v>FY27</x:v>
      </x:c>
      <x:c r="F130" s="28" t="str">
        <x:v>Approved case</x:v>
      </x:c>
      <x:c r="G130" s="28" t="str">
        <x:v>Same-currency operating receipt</x:v>
      </x:c>
      <x:c r="H130" s="31" t="n">
        <x:v>480000</x:v>
      </x:c>
      <x:c r="I130" s="28" t="str"/>
      <x:c r="J130" s="28" t="str">
        <x:v>foreign currency</x:v>
      </x:c>
      <x:c r="K130" s="28" t="str">
        <x:v>Finance operating schedule</x:v>
      </x:c>
      <x:c r="L130" s="34" t="str">
        <x:v>2026-06-30</x:v>
      </x:c>
      <x:c r="M130" s="28" t="str"/>
    </x:row>
    <x:row r="131">
      <x:c r="A131" s="37" t="str">
        <x:v>TRY-00726</x:v>
      </x:c>
      <x:c r="B131" s="28" t="str">
        <x:v>Layered FX hedge plan</x:v>
      </x:c>
      <x:c r="C131" s="28" t="str">
        <x:v>Approved natural FX offsets</x:v>
      </x:c>
      <x:c r="D131" s="28" t="str">
        <x:v>EUR equipment</x:v>
      </x:c>
      <x:c r="E131" s="28" t="str">
        <x:v>FY27</x:v>
      </x:c>
      <x:c r="F131" s="28" t="str">
        <x:v>Approved case</x:v>
      </x:c>
      <x:c r="G131" s="28" t="str">
        <x:v>Hedge counterparty</x:v>
      </x:c>
      <x:c r="H131" s="31" t="str"/>
      <x:c r="I131" s="28" t="str">
        <x:v>Bank A</x:v>
      </x:c>
      <x:c r="J131" s="28" t="str">
        <x:v>classification</x:v>
      </x:c>
      <x:c r="K131" s="28" t="str">
        <x:v>Finance operating schedule</x:v>
      </x:c>
      <x:c r="L131" s="34" t="str">
        <x:v>2026-06-30</x:v>
      </x:c>
      <x:c r="M131" s="28" t="str"/>
    </x:row>
    <x:row r="132">
      <x:c r="A132" s="37" t="str">
        <x:v>TRY-00727</x:v>
      </x:c>
      <x:c r="B132" s="28" t="str">
        <x:v>Layered FX hedge plan</x:v>
      </x:c>
      <x:c r="C132" s="28" t="str">
        <x:v>Approved natural FX offsets</x:v>
      </x:c>
      <x:c r="D132" s="28" t="str">
        <x:v>CAD components</x:v>
      </x:c>
      <x:c r="E132" s="28" t="str">
        <x:v>FY27</x:v>
      </x:c>
      <x:c r="F132" s="28" t="str">
        <x:v>Approved case</x:v>
      </x:c>
      <x:c r="G132" s="28" t="str">
        <x:v>Same-currency operating receipt</x:v>
      </x:c>
      <x:c r="H132" s="31" t="n">
        <x:v>710000</x:v>
      </x:c>
      <x:c r="I132" s="28" t="str"/>
      <x:c r="J132" s="28" t="str">
        <x:v>foreign currency</x:v>
      </x:c>
      <x:c r="K132" s="28" t="str">
        <x:v>Finance operating schedule</x:v>
      </x:c>
      <x:c r="L132" s="34" t="str">
        <x:v>2026-06-30</x:v>
      </x:c>
      <x:c r="M132" s="28" t="str"/>
    </x:row>
    <x:row r="133">
      <x:c r="A133" s="37" t="str">
        <x:v>TRY-00728</x:v>
      </x:c>
      <x:c r="B133" s="28" t="str">
        <x:v>Layered FX hedge plan</x:v>
      </x:c>
      <x:c r="C133" s="28" t="str">
        <x:v>Approved natural FX offsets</x:v>
      </x:c>
      <x:c r="D133" s="28" t="str">
        <x:v>CAD components</x:v>
      </x:c>
      <x:c r="E133" s="28" t="str">
        <x:v>FY27</x:v>
      </x:c>
      <x:c r="F133" s="28" t="str">
        <x:v>Approved case</x:v>
      </x:c>
      <x:c r="G133" s="28" t="str">
        <x:v>Hedge counterparty</x:v>
      </x:c>
      <x:c r="H133" s="31" t="str"/>
      <x:c r="I133" s="28" t="str">
        <x:v>Bank A</x:v>
      </x:c>
      <x:c r="J133" s="28" t="str">
        <x:v>classification</x:v>
      </x:c>
      <x:c r="K133" s="28" t="str">
        <x:v>Finance operating schedule</x:v>
      </x:c>
      <x:c r="L133" s="34" t="str">
        <x:v>2026-06-30</x:v>
      </x:c>
      <x:c r="M133" s="28" t="str"/>
    </x:row>
    <x:row r="134">
      <x:c r="A134" s="37" t="str">
        <x:v>TRY-00729</x:v>
      </x:c>
      <x:c r="B134" s="28" t="str">
        <x:v>Layered FX hedge plan</x:v>
      </x:c>
      <x:c r="C134" s="28" t="str">
        <x:v>Approved natural FX offsets</x:v>
      </x:c>
      <x:c r="D134" s="28" t="str">
        <x:v>GBP software</x:v>
      </x:c>
      <x:c r="E134" s="28" t="str">
        <x:v>FY27</x:v>
      </x:c>
      <x:c r="F134" s="28" t="str">
        <x:v>Approved case</x:v>
      </x:c>
      <x:c r="G134" s="28" t="str">
        <x:v>Same-currency operating receipt</x:v>
      </x:c>
      <x:c r="H134" s="31" t="n">
        <x:v>95000</x:v>
      </x:c>
      <x:c r="I134" s="28" t="str"/>
      <x:c r="J134" s="28" t="str">
        <x:v>foreign currency</x:v>
      </x:c>
      <x:c r="K134" s="28" t="str">
        <x:v>Finance operating schedule</x:v>
      </x:c>
      <x:c r="L134" s="34" t="str">
        <x:v>2026-06-30</x:v>
      </x:c>
      <x:c r="M134" s="28" t="str"/>
    </x:row>
    <x:row r="135">
      <x:c r="A135" s="37" t="str">
        <x:v>TRY-00730</x:v>
      </x:c>
      <x:c r="B135" s="28" t="str">
        <x:v>Layered FX hedge plan</x:v>
      </x:c>
      <x:c r="C135" s="28" t="str">
        <x:v>Approved natural FX offsets</x:v>
      </x:c>
      <x:c r="D135" s="28" t="str">
        <x:v>GBP software</x:v>
      </x:c>
      <x:c r="E135" s="28" t="str">
        <x:v>FY27</x:v>
      </x:c>
      <x:c r="F135" s="28" t="str">
        <x:v>Approved case</x:v>
      </x:c>
      <x:c r="G135" s="28" t="str">
        <x:v>Hedge counterparty</x:v>
      </x:c>
      <x:c r="H135" s="31" t="str"/>
      <x:c r="I135" s="28" t="str">
        <x:v>Bank B</x:v>
      </x:c>
      <x:c r="J135" s="28" t="str">
        <x:v>classification</x:v>
      </x:c>
      <x:c r="K135" s="28" t="str">
        <x:v>Finance operating schedule</x:v>
      </x:c>
      <x:c r="L135" s="34" t="str">
        <x:v>2026-06-30</x:v>
      </x:c>
      <x:c r="M135" s="28" t="str"/>
    </x:row>
    <x:row r="136">
      <x:c r="A136" s="38" t="str">
        <x:v>TRY-00731</x:v>
      </x:c>
      <x:c r="B136" s="29" t="str">
        <x:v>Layered FX hedge plan</x:v>
      </x:c>
      <x:c r="C136" s="29" t="str">
        <x:v>FX risk policy</x:v>
      </x:c>
      <x:c r="D136" s="29" t="str">
        <x:v>Alder Ridge</x:v>
      </x:c>
      <x:c r="E136" s="29" t="str">
        <x:v>FY27</x:v>
      </x:c>
      <x:c r="F136" s="29" t="str">
        <x:v>Approved case</x:v>
      </x:c>
      <x:c r="G136" s="29" t="str">
        <x:v>Maximum Bank A hedge notional at budget USD</x:v>
      </x:c>
      <x:c r="H136" s="32" t="n">
        <x:v>3250000</x:v>
      </x:c>
      <x:c r="I136" s="29" t="str"/>
      <x:c r="J136" s="29" t="str">
        <x:v>USD</x:v>
      </x:c>
      <x:c r="K136" s="29" t="str">
        <x:v>Finance operating schedule</x:v>
      </x:c>
      <x:c r="L136" s="35" t="str">
        <x:v>2026-06-30</x:v>
      </x:c>
      <x:c r="M136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Bank Economics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TRY-00233</x:v>
      </x:c>
      <x:c r="B5" s="27" t="str">
        <x:v>Bank RFP economics and relationship recommendation</x:v>
      </x:c>
      <x:c r="C5" s="27" t="str">
        <x:v>Bank proposals</x:v>
      </x:c>
      <x:c r="D5" s="27" t="str">
        <x:v>Bank A</x:v>
      </x:c>
      <x:c r="E5" s="27" t="str">
        <x:v>FY27</x:v>
      </x:c>
      <x:c r="F5" s="27" t="str">
        <x:v>Approved case</x:v>
      </x:c>
      <x:c r="G5" s="27" t="str">
        <x:v>Annual treasury service fees</x:v>
      </x:c>
      <x:c r="H5" s="30" t="n">
        <x:v>82000</x:v>
      </x:c>
      <x:c r="I5" s="27" t="str"/>
      <x:c r="J5" s="27" t="str">
        <x:v>USD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TRY-00234</x:v>
      </x:c>
      <x:c r="B6" s="28" t="str">
        <x:v>Bank RFP economics and relationship recommendation</x:v>
      </x:c>
      <x:c r="C6" s="28" t="str">
        <x:v>Bank proposals</x:v>
      </x:c>
      <x:c r="D6" s="28" t="str">
        <x:v>Bank A</x:v>
      </x:c>
      <x:c r="E6" s="28" t="str">
        <x:v>FY27</x:v>
      </x:c>
      <x:c r="F6" s="28" t="str">
        <x:v>Approved case</x:v>
      </x:c>
      <x:c r="G6" s="28" t="str">
        <x:v>Earnings credit rate</x:v>
      </x:c>
      <x:c r="H6" s="31" t="n">
        <x:v>0.018</x:v>
      </x:c>
      <x:c r="I6" s="28" t="str"/>
      <x:c r="J6" s="28" t="str">
        <x:v>decimal ratio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TRY-00235</x:v>
      </x:c>
      <x:c r="B7" s="28" t="str">
        <x:v>Bank RFP economics and relationship recommendation</x:v>
      </x:c>
      <x:c r="C7" s="28" t="str">
        <x:v>Bank proposals</x:v>
      </x:c>
      <x:c r="D7" s="28" t="str">
        <x:v>Bank A</x:v>
      </x:c>
      <x:c r="E7" s="28" t="str">
        <x:v>FY27</x:v>
      </x:c>
      <x:c r="F7" s="28" t="str">
        <x:v>Approved case</x:v>
      </x:c>
      <x:c r="G7" s="28" t="str">
        <x:v>Annual card rebate</x:v>
      </x:c>
      <x:c r="H7" s="31" t="n">
        <x:v>12000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TRY-00236</x:v>
      </x:c>
      <x:c r="B8" s="28" t="str">
        <x:v>Bank RFP economics and relationship recommendation</x:v>
      </x:c>
      <x:c r="C8" s="28" t="str">
        <x:v>Bank proposals</x:v>
      </x:c>
      <x:c r="D8" s="28" t="str">
        <x:v>Bank A</x:v>
      </x:c>
      <x:c r="E8" s="28" t="str">
        <x:v>FY27</x:v>
      </x:c>
      <x:c r="F8" s="28" t="str">
        <x:v>Approved case</x:v>
      </x:c>
      <x:c r="G8" s="28" t="str">
        <x:v>Revolver all-in rate</x:v>
      </x:c>
      <x:c r="H8" s="31" t="n">
        <x:v>0.071</x:v>
      </x:c>
      <x:c r="I8" s="28" t="str"/>
      <x:c r="J8" s="28" t="str">
        <x:v>decimal ratio</x:v>
      </x:c>
      <x:c r="K8" s="28" t="str">
        <x:v>Finance operating schedule</x:v>
      </x:c>
      <x:c r="L8" s="34" t="str">
        <x:v>2026-06-30</x:v>
      </x:c>
      <x:c r="M8" s="28" t="str"/>
    </x:row>
    <x:row r="9">
      <x:c r="A9" s="37" t="str">
        <x:v>TRY-00237</x:v>
      </x:c>
      <x:c r="B9" s="28" t="str">
        <x:v>Bank RFP economics and relationship recommendation</x:v>
      </x:c>
      <x:c r="C9" s="28" t="str">
        <x:v>Bank proposals</x:v>
      </x:c>
      <x:c r="D9" s="28" t="str">
        <x:v>Bank A</x:v>
      </x:c>
      <x:c r="E9" s="28" t="str">
        <x:v>FY27</x:v>
      </x:c>
      <x:c r="F9" s="28" t="str">
        <x:v>Approved case</x:v>
      </x:c>
      <x:c r="G9" s="28" t="str">
        <x:v>Unused commitment fee</x:v>
      </x:c>
      <x:c r="H9" s="31" t="n">
        <x:v>0.004</x:v>
      </x:c>
      <x:c r="I9" s="28" t="str"/>
      <x:c r="J9" s="28" t="str">
        <x:v>decimal ratio</x:v>
      </x:c>
      <x:c r="K9" s="28" t="str">
        <x:v>Finance operating schedule</x:v>
      </x:c>
      <x:c r="L9" s="34" t="str">
        <x:v>2026-06-30</x:v>
      </x:c>
      <x:c r="M9" s="28" t="str"/>
    </x:row>
    <x:row r="10">
      <x:c r="A10" s="37" t="str">
        <x:v>TRY-00238</x:v>
      </x:c>
      <x:c r="B10" s="28" t="str">
        <x:v>Bank RFP economics and relationship recommendation</x:v>
      </x:c>
      <x:c r="C10" s="28" t="str">
        <x:v>Bank proposals</x:v>
      </x:c>
      <x:c r="D10" s="28" t="str">
        <x:v>Bank A</x:v>
      </x:c>
      <x:c r="E10" s="28" t="str">
        <x:v>FY27</x:v>
      </x:c>
      <x:c r="F10" s="28" t="str">
        <x:v>Approved case</x:v>
      </x:c>
      <x:c r="G10" s="28" t="str">
        <x:v>Implementation cost</x:v>
      </x:c>
      <x:c r="H10" s="31" t="n">
        <x:v>0</x:v>
      </x:c>
      <x:c r="I10" s="28" t="str"/>
      <x:c r="J10" s="28" t="str">
        <x:v>USD</x:v>
      </x:c>
      <x:c r="K10" s="28" t="str">
        <x:v>Finance operating schedule</x:v>
      </x:c>
      <x:c r="L10" s="34" t="str">
        <x:v>2026-06-30</x:v>
      </x:c>
      <x:c r="M10" s="28" t="str"/>
    </x:row>
    <x:row r="11">
      <x:c r="A11" s="37" t="str">
        <x:v>TRY-00239</x:v>
      </x:c>
      <x:c r="B11" s="28" t="str">
        <x:v>Bank RFP economics and relationship recommendation</x:v>
      </x:c>
      <x:c r="C11" s="28" t="str">
        <x:v>Bank proposals</x:v>
      </x:c>
      <x:c r="D11" s="28" t="str">
        <x:v>Bank A</x:v>
      </x:c>
      <x:c r="E11" s="28" t="str">
        <x:v>FY27</x:v>
      </x:c>
      <x:c r="F11" s="28" t="str">
        <x:v>Approved case</x:v>
      </x:c>
      <x:c r="G11" s="28" t="str">
        <x:v>Lockbox capability</x:v>
      </x:c>
      <x:c r="H11" s="31" t="n">
        <x:v>1</x:v>
      </x:c>
      <x:c r="I11" s="28" t="str"/>
      <x:c r="J11" s="28" t="str">
        <x:v>boolean</x:v>
      </x:c>
      <x:c r="K11" s="28" t="str">
        <x:v>Finance operating schedule</x:v>
      </x:c>
      <x:c r="L11" s="34" t="str">
        <x:v>2026-06-30</x:v>
      </x:c>
      <x:c r="M11" s="28" t="str"/>
    </x:row>
    <x:row r="12">
      <x:c r="A12" s="37" t="str">
        <x:v>TRY-00240</x:v>
      </x:c>
      <x:c r="B12" s="28" t="str">
        <x:v>Bank RFP economics and relationship recommendation</x:v>
      </x:c>
      <x:c r="C12" s="28" t="str">
        <x:v>Bank proposals</x:v>
      </x:c>
      <x:c r="D12" s="28" t="str">
        <x:v>Bank A</x:v>
      </x:c>
      <x:c r="E12" s="28" t="str">
        <x:v>FY27</x:v>
      </x:c>
      <x:c r="F12" s="28" t="str">
        <x:v>Approved case</x:v>
      </x:c>
      <x:c r="G12" s="28" t="str">
        <x:v>Positive pay capability</x:v>
      </x:c>
      <x:c r="H12" s="31" t="n">
        <x:v>1</x:v>
      </x:c>
      <x:c r="I12" s="28" t="str"/>
      <x:c r="J12" s="28" t="str">
        <x:v>boolean</x:v>
      </x:c>
      <x:c r="K12" s="28" t="str">
        <x:v>Finance operating schedule</x:v>
      </x:c>
      <x:c r="L12" s="34" t="str">
        <x:v>2026-06-30</x:v>
      </x:c>
      <x:c r="M12" s="28" t="str"/>
    </x:row>
    <x:row r="13">
      <x:c r="A13" s="37" t="str">
        <x:v>TRY-00241</x:v>
      </x:c>
      <x:c r="B13" s="28" t="str">
        <x:v>Bank RFP economics and relationship recommendation</x:v>
      </x:c>
      <x:c r="C13" s="28" t="str">
        <x:v>Bank proposals</x:v>
      </x:c>
      <x:c r="D13" s="28" t="str">
        <x:v>Bank B</x:v>
      </x:c>
      <x:c r="E13" s="28" t="str">
        <x:v>FY27</x:v>
      </x:c>
      <x:c r="F13" s="28" t="str">
        <x:v>Approved case</x:v>
      </x:c>
      <x:c r="G13" s="28" t="str">
        <x:v>Annual treasury service fees</x:v>
      </x:c>
      <x:c r="H13" s="31" t="n">
        <x:v>54000</x:v>
      </x:c>
      <x:c r="I13" s="28" t="str"/>
      <x:c r="J13" s="28" t="str">
        <x:v>USD</x:v>
      </x:c>
      <x:c r="K13" s="28" t="str">
        <x:v>Finance operating schedule</x:v>
      </x:c>
      <x:c r="L13" s="34" t="str">
        <x:v>2026-06-30</x:v>
      </x:c>
      <x:c r="M13" s="28" t="str"/>
    </x:row>
    <x:row r="14">
      <x:c r="A14" s="37" t="str">
        <x:v>TRY-00242</x:v>
      </x:c>
      <x:c r="B14" s="28" t="str">
        <x:v>Bank RFP economics and relationship recommendation</x:v>
      </x:c>
      <x:c r="C14" s="28" t="str">
        <x:v>Bank proposals</x:v>
      </x:c>
      <x:c r="D14" s="28" t="str">
        <x:v>Bank B</x:v>
      </x:c>
      <x:c r="E14" s="28" t="str">
        <x:v>FY27</x:v>
      </x:c>
      <x:c r="F14" s="28" t="str">
        <x:v>Approved case</x:v>
      </x:c>
      <x:c r="G14" s="28" t="str">
        <x:v>Earnings credit rate</x:v>
      </x:c>
      <x:c r="H14" s="31" t="n">
        <x:v>0.024</x:v>
      </x:c>
      <x:c r="I14" s="28" t="str"/>
      <x:c r="J14" s="28" t="str">
        <x:v>decimal ratio</x:v>
      </x:c>
      <x:c r="K14" s="28" t="str">
        <x:v>Finance operating schedule</x:v>
      </x:c>
      <x:c r="L14" s="34" t="str">
        <x:v>2026-06-30</x:v>
      </x:c>
      <x:c r="M14" s="28" t="str"/>
    </x:row>
    <x:row r="15">
      <x:c r="A15" s="37" t="str">
        <x:v>TRY-00243</x:v>
      </x:c>
      <x:c r="B15" s="28" t="str">
        <x:v>Bank RFP economics and relationship recommendation</x:v>
      </x:c>
      <x:c r="C15" s="28" t="str">
        <x:v>Bank proposals</x:v>
      </x:c>
      <x:c r="D15" s="28" t="str">
        <x:v>Bank B</x:v>
      </x:c>
      <x:c r="E15" s="28" t="str">
        <x:v>FY27</x:v>
      </x:c>
      <x:c r="F15" s="28" t="str">
        <x:v>Approved case</x:v>
      </x:c>
      <x:c r="G15" s="28" t="str">
        <x:v>Annual card rebate</x:v>
      </x:c>
      <x:c r="H15" s="31" t="n">
        <x:v>18500</x:v>
      </x:c>
      <x:c r="I15" s="28" t="str"/>
      <x:c r="J15" s="28" t="str">
        <x:v>USD</x:v>
      </x:c>
      <x:c r="K15" s="28" t="str">
        <x:v>Finance operating schedule</x:v>
      </x:c>
      <x:c r="L15" s="34" t="str">
        <x:v>2026-06-30</x:v>
      </x:c>
      <x:c r="M15" s="28" t="str"/>
    </x:row>
    <x:row r="16">
      <x:c r="A16" s="37" t="str">
        <x:v>TRY-00244</x:v>
      </x:c>
      <x:c r="B16" s="28" t="str">
        <x:v>Bank RFP economics and relationship recommendation</x:v>
      </x:c>
      <x:c r="C16" s="28" t="str">
        <x:v>Bank proposals</x:v>
      </x:c>
      <x:c r="D16" s="28" t="str">
        <x:v>Bank B</x:v>
      </x:c>
      <x:c r="E16" s="28" t="str">
        <x:v>FY27</x:v>
      </x:c>
      <x:c r="F16" s="28" t="str">
        <x:v>Approved case</x:v>
      </x:c>
      <x:c r="G16" s="28" t="str">
        <x:v>Revolver all-in rate</x:v>
      </x:c>
      <x:c r="H16" s="31" t="n">
        <x:v>0.061</x:v>
      </x:c>
      <x:c r="I16" s="28" t="str"/>
      <x:c r="J16" s="28" t="str">
        <x:v>decimal ratio</x:v>
      </x:c>
      <x:c r="K16" s="28" t="str">
        <x:v>Finance operating schedule</x:v>
      </x:c>
      <x:c r="L16" s="34" t="str">
        <x:v>2026-06-30</x:v>
      </x:c>
      <x:c r="M16" s="28" t="str"/>
    </x:row>
    <x:row r="17">
      <x:c r="A17" s="37" t="str">
        <x:v>TRY-00245</x:v>
      </x:c>
      <x:c r="B17" s="28" t="str">
        <x:v>Bank RFP economics and relationship recommendation</x:v>
      </x:c>
      <x:c r="C17" s="28" t="str">
        <x:v>Bank proposals</x:v>
      </x:c>
      <x:c r="D17" s="28" t="str">
        <x:v>Bank B</x:v>
      </x:c>
      <x:c r="E17" s="28" t="str">
        <x:v>FY27</x:v>
      </x:c>
      <x:c r="F17" s="28" t="str">
        <x:v>Approved case</x:v>
      </x:c>
      <x:c r="G17" s="28" t="str">
        <x:v>Unused commitment fee</x:v>
      </x:c>
      <x:c r="H17" s="31" t="n">
        <x:v>0.0025</x:v>
      </x:c>
      <x:c r="I17" s="28" t="str"/>
      <x:c r="J17" s="28" t="str">
        <x:v>decimal ratio</x:v>
      </x:c>
      <x:c r="K17" s="28" t="str">
        <x:v>Finance operating schedule</x:v>
      </x:c>
      <x:c r="L17" s="34" t="str">
        <x:v>2026-06-30</x:v>
      </x:c>
      <x:c r="M17" s="28" t="str"/>
    </x:row>
    <x:row r="18">
      <x:c r="A18" s="37" t="str">
        <x:v>TRY-00246</x:v>
      </x:c>
      <x:c r="B18" s="28" t="str">
        <x:v>Bank RFP economics and relationship recommendation</x:v>
      </x:c>
      <x:c r="C18" s="28" t="str">
        <x:v>Bank proposals</x:v>
      </x:c>
      <x:c r="D18" s="28" t="str">
        <x:v>Bank B</x:v>
      </x:c>
      <x:c r="E18" s="28" t="str">
        <x:v>FY27</x:v>
      </x:c>
      <x:c r="F18" s="28" t="str">
        <x:v>Approved case</x:v>
      </x:c>
      <x:c r="G18" s="28" t="str">
        <x:v>Implementation cost</x:v>
      </x:c>
      <x:c r="H18" s="31" t="n">
        <x:v>95000</x:v>
      </x:c>
      <x:c r="I18" s="28" t="str"/>
      <x:c r="J18" s="28" t="str">
        <x:v>USD</x:v>
      </x:c>
      <x:c r="K18" s="28" t="str">
        <x:v>Finance operating schedule</x:v>
      </x:c>
      <x:c r="L18" s="34" t="str">
        <x:v>2026-06-30</x:v>
      </x:c>
      <x:c r="M18" s="28" t="str"/>
    </x:row>
    <x:row r="19">
      <x:c r="A19" s="37" t="str">
        <x:v>TRY-00247</x:v>
      </x:c>
      <x:c r="B19" s="28" t="str">
        <x:v>Bank RFP economics and relationship recommendation</x:v>
      </x:c>
      <x:c r="C19" s="28" t="str">
        <x:v>Bank proposals</x:v>
      </x:c>
      <x:c r="D19" s="28" t="str">
        <x:v>Bank B</x:v>
      </x:c>
      <x:c r="E19" s="28" t="str">
        <x:v>FY27</x:v>
      </x:c>
      <x:c r="F19" s="28" t="str">
        <x:v>Approved case</x:v>
      </x:c>
      <x:c r="G19" s="28" t="str">
        <x:v>Lockbox capability</x:v>
      </x:c>
      <x:c r="H19" s="31" t="n">
        <x:v>1</x:v>
      </x:c>
      <x:c r="I19" s="28" t="str"/>
      <x:c r="J19" s="28" t="str">
        <x:v>boolean</x:v>
      </x:c>
      <x:c r="K19" s="28" t="str">
        <x:v>Finance operating schedule</x:v>
      </x:c>
      <x:c r="L19" s="34" t="str">
        <x:v>2026-06-30</x:v>
      </x:c>
      <x:c r="M19" s="28" t="str"/>
    </x:row>
    <x:row r="20">
      <x:c r="A20" s="37" t="str">
        <x:v>TRY-00248</x:v>
      </x:c>
      <x:c r="B20" s="28" t="str">
        <x:v>Bank RFP economics and relationship recommendation</x:v>
      </x:c>
      <x:c r="C20" s="28" t="str">
        <x:v>Bank proposals</x:v>
      </x:c>
      <x:c r="D20" s="28" t="str">
        <x:v>Bank B</x:v>
      </x:c>
      <x:c r="E20" s="28" t="str">
        <x:v>FY27</x:v>
      </x:c>
      <x:c r="F20" s="28" t="str">
        <x:v>Approved case</x:v>
      </x:c>
      <x:c r="G20" s="28" t="str">
        <x:v>Positive pay capability</x:v>
      </x:c>
      <x:c r="H20" s="31" t="n">
        <x:v>1</x:v>
      </x:c>
      <x:c r="I20" s="28" t="str"/>
      <x:c r="J20" s="28" t="str">
        <x:v>boolean</x:v>
      </x:c>
      <x:c r="K20" s="28" t="str">
        <x:v>Finance operating schedule</x:v>
      </x:c>
      <x:c r="L20" s="34" t="str">
        <x:v>2026-06-30</x:v>
      </x:c>
      <x:c r="M20" s="28" t="str"/>
    </x:row>
    <x:row r="21">
      <x:c r="A21" s="37" t="str">
        <x:v>TRY-00249</x:v>
      </x:c>
      <x:c r="B21" s="28" t="str">
        <x:v>Bank RFP economics and relationship recommendation</x:v>
      </x:c>
      <x:c r="C21" s="28" t="str">
        <x:v>Bank proposals</x:v>
      </x:c>
      <x:c r="D21" s="28" t="str">
        <x:v>Bank C</x:v>
      </x:c>
      <x:c r="E21" s="28" t="str">
        <x:v>FY27</x:v>
      </x:c>
      <x:c r="F21" s="28" t="str">
        <x:v>Approved case</x:v>
      </x:c>
      <x:c r="G21" s="28" t="str">
        <x:v>Annual treasury service fees</x:v>
      </x:c>
      <x:c r="H21" s="31" t="n">
        <x:v>58000</x:v>
      </x:c>
      <x:c r="I21" s="28" t="str"/>
      <x:c r="J21" s="28" t="str">
        <x:v>USD</x:v>
      </x:c>
      <x:c r="K21" s="28" t="str">
        <x:v>Finance operating schedule</x:v>
      </x:c>
      <x:c r="L21" s="34" t="str">
        <x:v>2026-06-30</x:v>
      </x:c>
      <x:c r="M21" s="28" t="str"/>
    </x:row>
    <x:row r="22">
      <x:c r="A22" s="37" t="str">
        <x:v>TRY-00250</x:v>
      </x:c>
      <x:c r="B22" s="28" t="str">
        <x:v>Bank RFP economics and relationship recommendation</x:v>
      </x:c>
      <x:c r="C22" s="28" t="str">
        <x:v>Bank proposals</x:v>
      </x:c>
      <x:c r="D22" s="28" t="str">
        <x:v>Bank C</x:v>
      </x:c>
      <x:c r="E22" s="28" t="str">
        <x:v>FY27</x:v>
      </x:c>
      <x:c r="F22" s="28" t="str">
        <x:v>Approved case</x:v>
      </x:c>
      <x:c r="G22" s="28" t="str">
        <x:v>Earnings credit rate</x:v>
      </x:c>
      <x:c r="H22" s="31" t="n">
        <x:v>0.021</x:v>
      </x:c>
      <x:c r="I22" s="28" t="str"/>
      <x:c r="J22" s="28" t="str">
        <x:v>decimal ratio</x:v>
      </x:c>
      <x:c r="K22" s="28" t="str">
        <x:v>Finance operating schedule</x:v>
      </x:c>
      <x:c r="L22" s="34" t="str">
        <x:v>2026-06-30</x:v>
      </x:c>
      <x:c r="M22" s="28" t="str"/>
    </x:row>
    <x:row r="23">
      <x:c r="A23" s="37" t="str">
        <x:v>TRY-00251</x:v>
      </x:c>
      <x:c r="B23" s="28" t="str">
        <x:v>Bank RFP economics and relationship recommendation</x:v>
      </x:c>
      <x:c r="C23" s="28" t="str">
        <x:v>Bank proposals</x:v>
      </x:c>
      <x:c r="D23" s="28" t="str">
        <x:v>Bank C</x:v>
      </x:c>
      <x:c r="E23" s="28" t="str">
        <x:v>FY27</x:v>
      </x:c>
      <x:c r="F23" s="28" t="str">
        <x:v>Approved case</x:v>
      </x:c>
      <x:c r="G23" s="28" t="str">
        <x:v>Annual card rebate</x:v>
      </x:c>
      <x:c r="H23" s="31" t="n">
        <x:v>14000</x:v>
      </x:c>
      <x:c r="I23" s="28" t="str"/>
      <x:c r="J23" s="28" t="str">
        <x:v>USD</x:v>
      </x:c>
      <x:c r="K23" s="28" t="str">
        <x:v>Finance operating schedule</x:v>
      </x:c>
      <x:c r="L23" s="34" t="str">
        <x:v>2026-06-30</x:v>
      </x:c>
      <x:c r="M23" s="28" t="str"/>
    </x:row>
    <x:row r="24">
      <x:c r="A24" s="37" t="str">
        <x:v>TRY-00252</x:v>
      </x:c>
      <x:c r="B24" s="28" t="str">
        <x:v>Bank RFP economics and relationship recommendation</x:v>
      </x:c>
      <x:c r="C24" s="28" t="str">
        <x:v>Bank proposals</x:v>
      </x:c>
      <x:c r="D24" s="28" t="str">
        <x:v>Bank C</x:v>
      </x:c>
      <x:c r="E24" s="28" t="str">
        <x:v>FY27</x:v>
      </x:c>
      <x:c r="F24" s="28" t="str">
        <x:v>Approved case</x:v>
      </x:c>
      <x:c r="G24" s="28" t="str">
        <x:v>Revolver all-in rate</x:v>
      </x:c>
      <x:c r="H24" s="31" t="n">
        <x:v>0.064</x:v>
      </x:c>
      <x:c r="I24" s="28" t="str"/>
      <x:c r="J24" s="28" t="str">
        <x:v>decimal ratio</x:v>
      </x:c>
      <x:c r="K24" s="28" t="str">
        <x:v>Finance operating schedule</x:v>
      </x:c>
      <x:c r="L24" s="34" t="str">
        <x:v>2026-06-30</x:v>
      </x:c>
      <x:c r="M24" s="28" t="str"/>
    </x:row>
    <x:row r="25">
      <x:c r="A25" s="37" t="str">
        <x:v>TRY-00253</x:v>
      </x:c>
      <x:c r="B25" s="28" t="str">
        <x:v>Bank RFP economics and relationship recommendation</x:v>
      </x:c>
      <x:c r="C25" s="28" t="str">
        <x:v>Bank proposals</x:v>
      </x:c>
      <x:c r="D25" s="28" t="str">
        <x:v>Bank C</x:v>
      </x:c>
      <x:c r="E25" s="28" t="str">
        <x:v>FY27</x:v>
      </x:c>
      <x:c r="F25" s="28" t="str">
        <x:v>Approved case</x:v>
      </x:c>
      <x:c r="G25" s="28" t="str">
        <x:v>Unused commitment fee</x:v>
      </x:c>
      <x:c r="H25" s="31" t="n">
        <x:v>0.0025</x:v>
      </x:c>
      <x:c r="I25" s="28" t="str"/>
      <x:c r="J25" s="28" t="str">
        <x:v>decimal ratio</x:v>
      </x:c>
      <x:c r="K25" s="28" t="str">
        <x:v>Finance operating schedule</x:v>
      </x:c>
      <x:c r="L25" s="34" t="str">
        <x:v>2026-06-30</x:v>
      </x:c>
      <x:c r="M25" s="28" t="str"/>
    </x:row>
    <x:row r="26">
      <x:c r="A26" s="37" t="str">
        <x:v>TRY-00254</x:v>
      </x:c>
      <x:c r="B26" s="28" t="str">
        <x:v>Bank RFP economics and relationship recommendation</x:v>
      </x:c>
      <x:c r="C26" s="28" t="str">
        <x:v>Bank proposals</x:v>
      </x:c>
      <x:c r="D26" s="28" t="str">
        <x:v>Bank C</x:v>
      </x:c>
      <x:c r="E26" s="28" t="str">
        <x:v>FY27</x:v>
      </x:c>
      <x:c r="F26" s="28" t="str">
        <x:v>Approved case</x:v>
      </x:c>
      <x:c r="G26" s="28" t="str">
        <x:v>Implementation cost</x:v>
      </x:c>
      <x:c r="H26" s="31" t="n">
        <x:v>140000</x:v>
      </x:c>
      <x:c r="I26" s="28" t="str"/>
      <x:c r="J26" s="28" t="str">
        <x:v>USD</x:v>
      </x:c>
      <x:c r="K26" s="28" t="str">
        <x:v>Finance operating schedule</x:v>
      </x:c>
      <x:c r="L26" s="34" t="str">
        <x:v>2026-06-30</x:v>
      </x:c>
      <x:c r="M26" s="28" t="str"/>
    </x:row>
    <x:row r="27">
      <x:c r="A27" s="37" t="str">
        <x:v>TRY-00255</x:v>
      </x:c>
      <x:c r="B27" s="28" t="str">
        <x:v>Bank RFP economics and relationship recommendation</x:v>
      </x:c>
      <x:c r="C27" s="28" t="str">
        <x:v>Bank proposals</x:v>
      </x:c>
      <x:c r="D27" s="28" t="str">
        <x:v>Bank C</x:v>
      </x:c>
      <x:c r="E27" s="28" t="str">
        <x:v>FY27</x:v>
      </x:c>
      <x:c r="F27" s="28" t="str">
        <x:v>Approved case</x:v>
      </x:c>
      <x:c r="G27" s="28" t="str">
        <x:v>Lockbox capability</x:v>
      </x:c>
      <x:c r="H27" s="31" t="n">
        <x:v>1</x:v>
      </x:c>
      <x:c r="I27" s="28" t="str"/>
      <x:c r="J27" s="28" t="str">
        <x:v>boolean</x:v>
      </x:c>
      <x:c r="K27" s="28" t="str">
        <x:v>Finance operating schedule</x:v>
      </x:c>
      <x:c r="L27" s="34" t="str">
        <x:v>2026-06-30</x:v>
      </x:c>
      <x:c r="M27" s="28" t="str"/>
    </x:row>
    <x:row r="28">
      <x:c r="A28" s="37" t="str">
        <x:v>TRY-00256</x:v>
      </x:c>
      <x:c r="B28" s="28" t="str">
        <x:v>Bank RFP economics and relationship recommendation</x:v>
      </x:c>
      <x:c r="C28" s="28" t="str">
        <x:v>Bank proposals</x:v>
      </x:c>
      <x:c r="D28" s="28" t="str">
        <x:v>Bank C</x:v>
      </x:c>
      <x:c r="E28" s="28" t="str">
        <x:v>FY27</x:v>
      </x:c>
      <x:c r="F28" s="28" t="str">
        <x:v>Approved case</x:v>
      </x:c>
      <x:c r="G28" s="28" t="str">
        <x:v>Positive pay capability</x:v>
      </x:c>
      <x:c r="H28" s="31" t="n">
        <x:v>0</x:v>
      </x:c>
      <x:c r="I28" s="28" t="str"/>
      <x:c r="J28" s="28" t="str">
        <x:v>boolean</x:v>
      </x:c>
      <x:c r="K28" s="28" t="str">
        <x:v>Finance operating schedule</x:v>
      </x:c>
      <x:c r="L28" s="34" t="str">
        <x:v>2026-06-30</x:v>
      </x:c>
      <x:c r="M28" s="28" t="str"/>
    </x:row>
    <x:row r="29">
      <x:c r="A29" s="37" t="str">
        <x:v>TRY-00257</x:v>
      </x:c>
      <x:c r="B29" s="28" t="str">
        <x:v>Bank RFP economics and relationship recommendation</x:v>
      </x:c>
      <x:c r="C29" s="28" t="str">
        <x:v>Forecast relationship volumes</x:v>
      </x:c>
      <x:c r="D29" s="28" t="str">
        <x:v>Consolidated</x:v>
      </x:c>
      <x:c r="E29" s="28" t="str">
        <x:v>FY27</x:v>
      </x:c>
      <x:c r="F29" s="28" t="str">
        <x:v>Approved case</x:v>
      </x:c>
      <x:c r="G29" s="28" t="str">
        <x:v>Forecast collected deposit balance</x:v>
      </x:c>
      <x:c r="H29" s="31" t="n">
        <x:v>4200000</x:v>
      </x:c>
      <x:c r="I29" s="28" t="str"/>
      <x:c r="J29" s="28" t="str">
        <x:v>USD</x:v>
      </x:c>
      <x:c r="K29" s="28" t="str">
        <x:v>Finance operating schedule</x:v>
      </x:c>
      <x:c r="L29" s="34" t="str">
        <x:v>2026-06-30</x:v>
      </x:c>
      <x:c r="M29" s="28" t="str"/>
    </x:row>
    <x:row r="30">
      <x:c r="A30" s="37" t="str">
        <x:v>TRY-00258</x:v>
      </x:c>
      <x:c r="B30" s="28" t="str">
        <x:v>Bank RFP economics and relationship recommendation</x:v>
      </x:c>
      <x:c r="C30" s="28" t="str">
        <x:v>Forecast relationship volumes</x:v>
      </x:c>
      <x:c r="D30" s="28" t="str">
        <x:v>Consolidated</x:v>
      </x:c>
      <x:c r="E30" s="28" t="str">
        <x:v>FY27</x:v>
      </x:c>
      <x:c r="F30" s="28" t="str">
        <x:v>Approved case</x:v>
      </x:c>
      <x:c r="G30" s="28" t="str">
        <x:v>Forecast average revolver borrowings</x:v>
      </x:c>
      <x:c r="H30" s="31" t="n">
        <x:v>2750000</x:v>
      </x:c>
      <x:c r="I30" s="28" t="str"/>
      <x:c r="J30" s="28" t="str">
        <x:v>USD</x:v>
      </x:c>
      <x:c r="K30" s="28" t="str">
        <x:v>Finance operating schedule</x:v>
      </x:c>
      <x:c r="L30" s="34" t="str">
        <x:v>2026-06-30</x:v>
      </x:c>
      <x:c r="M30" s="28" t="str"/>
    </x:row>
    <x:row r="31">
      <x:c r="A31" s="37" t="str">
        <x:v>TRY-00259</x:v>
      </x:c>
      <x:c r="B31" s="28" t="str">
        <x:v>Bank RFP economics and relationship recommendation</x:v>
      </x:c>
      <x:c r="C31" s="28" t="str">
        <x:v>Forecast relationship volumes</x:v>
      </x:c>
      <x:c r="D31" s="28" t="str">
        <x:v>Consolidated</x:v>
      </x:c>
      <x:c r="E31" s="28" t="str">
        <x:v>FY27</x:v>
      </x:c>
      <x:c r="F31" s="28" t="str">
        <x:v>Approved case</x:v>
      </x:c>
      <x:c r="G31" s="28" t="str">
        <x:v>Revolver commitment</x:v>
      </x:c>
      <x:c r="H31" s="31" t="n">
        <x:v>8000000</x:v>
      </x:c>
      <x:c r="I31" s="28" t="str"/>
      <x:c r="J31" s="28" t="str">
        <x:v>USD</x:v>
      </x:c>
      <x:c r="K31" s="28" t="str">
        <x:v>Finance operating schedule</x:v>
      </x:c>
      <x:c r="L31" s="34" t="str">
        <x:v>2026-06-30</x:v>
      </x:c>
      <x:c r="M31" s="28" t="str"/>
    </x:row>
    <x:row r="32">
      <x:c r="A32" s="37" t="str">
        <x:v>TRY-00260</x:v>
      </x:c>
      <x:c r="B32" s="28" t="str">
        <x:v>Bank RFP economics and relationship recommendation</x:v>
      </x:c>
      <x:c r="C32" s="28" t="str">
        <x:v>Forecast relationship volumes</x:v>
      </x:c>
      <x:c r="D32" s="28" t="str">
        <x:v>Consolidated</x:v>
      </x:c>
      <x:c r="E32" s="28" t="str">
        <x:v>FY27</x:v>
      </x:c>
      <x:c r="F32" s="28" t="str">
        <x:v>Approved case</x:v>
      </x:c>
      <x:c r="G32" s="28" t="str">
        <x:v>Transition-risk reserve</x:v>
      </x:c>
      <x:c r="H32" s="31" t="n">
        <x:v>35</x:v>
      </x:c>
      <x:c r="I32" s="28" t="str"/>
      <x:c r="J32" s="28" t="str">
        <x:v>USD thousands</x:v>
      </x:c>
      <x:c r="K32" s="28" t="str">
        <x:v>Finance operating schedule</x:v>
      </x:c>
      <x:c r="L32" s="34" t="str">
        <x:v>2026-06-30</x:v>
      </x:c>
      <x:c r="M32" s="28" t="str"/>
    </x:row>
    <x:row r="33">
      <x:c r="A33" s="37" t="str">
        <x:v>TRY-00466</x:v>
      </x:c>
      <x:c r="B33" s="28" t="str">
        <x:v>Bank relationship profitability scorecard</x:v>
      </x:c>
      <x:c r="C33" s="28" t="str">
        <x:v>Bank relationship economics</x:v>
      </x:c>
      <x:c r="D33" s="28" t="str">
        <x:v>Bank A</x:v>
      </x:c>
      <x:c r="E33" s="28" t="str">
        <x:v>FY27</x:v>
      </x:c>
      <x:c r="F33" s="28" t="str">
        <x:v>Approved case</x:v>
      </x:c>
      <x:c r="G33" s="28" t="str">
        <x:v>Average deposits</x:v>
      </x:c>
      <x:c r="H33" s="31" t="n">
        <x:v>5100000</x:v>
      </x:c>
      <x:c r="I33" s="28" t="str"/>
      <x:c r="J33" s="28" t="str">
        <x:v>USD</x:v>
      </x:c>
      <x:c r="K33" s="28" t="str">
        <x:v>Finance operating schedule</x:v>
      </x:c>
      <x:c r="L33" s="34" t="str">
        <x:v>2026-06-30</x:v>
      </x:c>
      <x:c r="M33" s="28" t="str"/>
    </x:row>
    <x:row r="34">
      <x:c r="A34" s="37" t="str">
        <x:v>TRY-00467</x:v>
      </x:c>
      <x:c r="B34" s="28" t="str">
        <x:v>Bank relationship profitability scorecard</x:v>
      </x:c>
      <x:c r="C34" s="28" t="str">
        <x:v>Bank relationship economics</x:v>
      </x:c>
      <x:c r="D34" s="28" t="str">
        <x:v>Bank A</x:v>
      </x:c>
      <x:c r="E34" s="28" t="str">
        <x:v>FY27</x:v>
      </x:c>
      <x:c r="F34" s="28" t="str">
        <x:v>Approved case</x:v>
      </x:c>
      <x:c r="G34" s="28" t="str">
        <x:v>Committed credit</x:v>
      </x:c>
      <x:c r="H34" s="31" t="n">
        <x:v>7500000</x:v>
      </x:c>
      <x:c r="I34" s="28" t="str"/>
      <x:c r="J34" s="28" t="str">
        <x:v>USD</x:v>
      </x:c>
      <x:c r="K34" s="28" t="str">
        <x:v>Finance operating schedule</x:v>
      </x:c>
      <x:c r="L34" s="34" t="str">
        <x:v>2026-06-30</x:v>
      </x:c>
      <x:c r="M34" s="28" t="str"/>
    </x:row>
    <x:row r="35">
      <x:c r="A35" s="37" t="str">
        <x:v>TRY-00468</x:v>
      </x:c>
      <x:c r="B35" s="28" t="str">
        <x:v>Bank relationship profitability scorecard</x:v>
      </x:c>
      <x:c r="C35" s="28" t="str">
        <x:v>Bank relationship economics</x:v>
      </x:c>
      <x:c r="D35" s="28" t="str">
        <x:v>Bank A</x:v>
      </x:c>
      <x:c r="E35" s="28" t="str">
        <x:v>FY27</x:v>
      </x:c>
      <x:c r="F35" s="28" t="str">
        <x:v>Approved case</x:v>
      </x:c>
      <x:c r="G35" s="28" t="str">
        <x:v>Credit economics</x:v>
      </x:c>
      <x:c r="H35" s="31" t="n">
        <x:v>285000</x:v>
      </x:c>
      <x:c r="I35" s="28" t="str"/>
      <x:c r="J35" s="28" t="str">
        <x:v>USD</x:v>
      </x:c>
      <x:c r="K35" s="28" t="str">
        <x:v>Finance operating schedule</x:v>
      </x:c>
      <x:c r="L35" s="34" t="str">
        <x:v>2026-06-30</x:v>
      </x:c>
      <x:c r="M35" s="28" t="str"/>
    </x:row>
    <x:row r="36">
      <x:c r="A36" s="37" t="str">
        <x:v>TRY-00469</x:v>
      </x:c>
      <x:c r="B36" s="28" t="str">
        <x:v>Bank relationship profitability scorecard</x:v>
      </x:c>
      <x:c r="C36" s="28" t="str">
        <x:v>Bank relationship economics</x:v>
      </x:c>
      <x:c r="D36" s="28" t="str">
        <x:v>Bank A</x:v>
      </x:c>
      <x:c r="E36" s="28" t="str">
        <x:v>FY27</x:v>
      </x:c>
      <x:c r="F36" s="28" t="str">
        <x:v>Approved case</x:v>
      </x:c>
      <x:c r="G36" s="28" t="str">
        <x:v>Treasury fee revenue</x:v>
      </x:c>
      <x:c r="H36" s="31" t="n">
        <x:v>160</x:v>
      </x:c>
      <x:c r="I36" s="28" t="str"/>
      <x:c r="J36" s="28" t="str">
        <x:v>USD thousands</x:v>
      </x:c>
      <x:c r="K36" s="28" t="str">
        <x:v>Finance operating schedule</x:v>
      </x:c>
      <x:c r="L36" s="34" t="str">
        <x:v>2026-06-30</x:v>
      </x:c>
      <x:c r="M36" s="28" t="str"/>
    </x:row>
    <x:row r="37">
      <x:c r="A37" s="37" t="str">
        <x:v>TRY-00470</x:v>
      </x:c>
      <x:c r="B37" s="28" t="str">
        <x:v>Bank relationship profitability scorecard</x:v>
      </x:c>
      <x:c r="C37" s="28" t="str">
        <x:v>Bank relationship economics</x:v>
      </x:c>
      <x:c r="D37" s="28" t="str">
        <x:v>Bank A</x:v>
      </x:c>
      <x:c r="E37" s="28" t="str">
        <x:v>FY27</x:v>
      </x:c>
      <x:c r="F37" s="28" t="str">
        <x:v>Approved case</x:v>
      </x:c>
      <x:c r="G37" s="28" t="str">
        <x:v>Relationship risk cost</x:v>
      </x:c>
      <x:c r="H37" s="31" t="n">
        <x:v>95000</x:v>
      </x:c>
      <x:c r="I37" s="28" t="str"/>
      <x:c r="J37" s="28" t="str">
        <x:v>USD</x:v>
      </x:c>
      <x:c r="K37" s="28" t="str">
        <x:v>Finance operating schedule</x:v>
      </x:c>
      <x:c r="L37" s="34" t="str">
        <x:v>2026-06-30</x:v>
      </x:c>
      <x:c r="M37" s="28" t="str"/>
    </x:row>
    <x:row r="38">
      <x:c r="A38" s="37" t="str">
        <x:v>TRY-00471</x:v>
      </x:c>
      <x:c r="B38" s="28" t="str">
        <x:v>Bank relationship profitability scorecard</x:v>
      </x:c>
      <x:c r="C38" s="28" t="str">
        <x:v>Bank relationship economics</x:v>
      </x:c>
      <x:c r="D38" s="28" t="str">
        <x:v>Bank B</x:v>
      </x:c>
      <x:c r="E38" s="28" t="str">
        <x:v>FY27</x:v>
      </x:c>
      <x:c r="F38" s="28" t="str">
        <x:v>Approved case</x:v>
      </x:c>
      <x:c r="G38" s="28" t="str">
        <x:v>Average deposits</x:v>
      </x:c>
      <x:c r="H38" s="31" t="n">
        <x:v>2800000</x:v>
      </x:c>
      <x:c r="I38" s="28" t="str"/>
      <x:c r="J38" s="28" t="str">
        <x:v>USD</x:v>
      </x:c>
      <x:c r="K38" s="28" t="str">
        <x:v>Finance operating schedule</x:v>
      </x:c>
      <x:c r="L38" s="34" t="str">
        <x:v>2026-06-30</x:v>
      </x:c>
      <x:c r="M38" s="28" t="str"/>
    </x:row>
    <x:row r="39">
      <x:c r="A39" s="37" t="str">
        <x:v>TRY-00472</x:v>
      </x:c>
      <x:c r="B39" s="28" t="str">
        <x:v>Bank relationship profitability scorecard</x:v>
      </x:c>
      <x:c r="C39" s="28" t="str">
        <x:v>Bank relationship economics</x:v>
      </x:c>
      <x:c r="D39" s="28" t="str">
        <x:v>Bank B</x:v>
      </x:c>
      <x:c r="E39" s="28" t="str">
        <x:v>FY27</x:v>
      </x:c>
      <x:c r="F39" s="28" t="str">
        <x:v>Approved case</x:v>
      </x:c>
      <x:c r="G39" s="28" t="str">
        <x:v>Committed credit</x:v>
      </x:c>
      <x:c r="H39" s="31" t="n">
        <x:v>12500000</x:v>
      </x:c>
      <x:c r="I39" s="28" t="str"/>
      <x:c r="J39" s="28" t="str">
        <x:v>USD</x:v>
      </x:c>
      <x:c r="K39" s="28" t="str">
        <x:v>Finance operating schedule</x:v>
      </x:c>
      <x:c r="L39" s="34" t="str">
        <x:v>2026-06-30</x:v>
      </x:c>
      <x:c r="M39" s="28" t="str"/>
    </x:row>
    <x:row r="40">
      <x:c r="A40" s="37" t="str">
        <x:v>TRY-00473</x:v>
      </x:c>
      <x:c r="B40" s="28" t="str">
        <x:v>Bank relationship profitability scorecard</x:v>
      </x:c>
      <x:c r="C40" s="28" t="str">
        <x:v>Bank relationship economics</x:v>
      </x:c>
      <x:c r="D40" s="28" t="str">
        <x:v>Bank B</x:v>
      </x:c>
      <x:c r="E40" s="28" t="str">
        <x:v>FY27</x:v>
      </x:c>
      <x:c r="F40" s="28" t="str">
        <x:v>Approved case</x:v>
      </x:c>
      <x:c r="G40" s="28" t="str">
        <x:v>Credit economics</x:v>
      </x:c>
      <x:c r="H40" s="31" t="n">
        <x:v>340</x:v>
      </x:c>
      <x:c r="I40" s="28" t="str"/>
      <x:c r="J40" s="28" t="str">
        <x:v>USD thousands</x:v>
      </x:c>
      <x:c r="K40" s="28" t="str">
        <x:v>Finance operating schedule</x:v>
      </x:c>
      <x:c r="L40" s="34" t="str">
        <x:v>2026-06-30</x:v>
      </x:c>
      <x:c r="M40" s="28" t="str"/>
    </x:row>
    <x:row r="41">
      <x:c r="A41" s="37" t="str">
        <x:v>TRY-00474</x:v>
      </x:c>
      <x:c r="B41" s="28" t="str">
        <x:v>Bank relationship profitability scorecard</x:v>
      </x:c>
      <x:c r="C41" s="28" t="str">
        <x:v>Bank relationship economics</x:v>
      </x:c>
      <x:c r="D41" s="28" t="str">
        <x:v>Bank B</x:v>
      </x:c>
      <x:c r="E41" s="28" t="str">
        <x:v>FY27</x:v>
      </x:c>
      <x:c r="F41" s="28" t="str">
        <x:v>Approved case</x:v>
      </x:c>
      <x:c r="G41" s="28" t="str">
        <x:v>Treasury fee revenue</x:v>
      </x:c>
      <x:c r="H41" s="31" t="n">
        <x:v>145000</x:v>
      </x:c>
      <x:c r="I41" s="28" t="str"/>
      <x:c r="J41" s="28" t="str">
        <x:v>USD</x:v>
      </x:c>
      <x:c r="K41" s="28" t="str">
        <x:v>Finance operating schedule</x:v>
      </x:c>
      <x:c r="L41" s="34" t="str">
        <x:v>2026-06-30</x:v>
      </x:c>
      <x:c r="M41" s="28" t="str"/>
    </x:row>
    <x:row r="42">
      <x:c r="A42" s="37" t="str">
        <x:v>TRY-00475</x:v>
      </x:c>
      <x:c r="B42" s="28" t="str">
        <x:v>Bank relationship profitability scorecard</x:v>
      </x:c>
      <x:c r="C42" s="28" t="str">
        <x:v>Bank relationship economics</x:v>
      </x:c>
      <x:c r="D42" s="28" t="str">
        <x:v>Bank B</x:v>
      </x:c>
      <x:c r="E42" s="28" t="str">
        <x:v>FY27</x:v>
      </x:c>
      <x:c r="F42" s="28" t="str">
        <x:v>Approved case</x:v>
      </x:c>
      <x:c r="G42" s="28" t="str">
        <x:v>Relationship risk cost</x:v>
      </x:c>
      <x:c r="H42" s="31" t="n">
        <x:v>120000</x:v>
      </x:c>
      <x:c r="I42" s="28" t="str"/>
      <x:c r="J42" s="28" t="str">
        <x:v>USD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TRY-00476</x:v>
      </x:c>
      <x:c r="B43" s="28" t="str">
        <x:v>Bank relationship profitability scorecard</x:v>
      </x:c>
      <x:c r="C43" s="28" t="str">
        <x:v>Bank relationship economics</x:v>
      </x:c>
      <x:c r="D43" s="28" t="str">
        <x:v>Bank C</x:v>
      </x:c>
      <x:c r="E43" s="28" t="str">
        <x:v>FY27</x:v>
      </x:c>
      <x:c r="F43" s="28" t="str">
        <x:v>Approved case</x:v>
      </x:c>
      <x:c r="G43" s="28" t="str">
        <x:v>Average deposits</x:v>
      </x:c>
      <x:c r="H43" s="31" t="n">
        <x:v>1550000</x:v>
      </x:c>
      <x:c r="I43" s="28" t="str"/>
      <x:c r="J43" s="28" t="str">
        <x:v>USD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TRY-00477</x:v>
      </x:c>
      <x:c r="B44" s="28" t="str">
        <x:v>Bank relationship profitability scorecard</x:v>
      </x:c>
      <x:c r="C44" s="28" t="str">
        <x:v>Bank relationship economics</x:v>
      </x:c>
      <x:c r="D44" s="28" t="str">
        <x:v>Bank C</x:v>
      </x:c>
      <x:c r="E44" s="28" t="str">
        <x:v>FY27</x:v>
      </x:c>
      <x:c r="F44" s="28" t="str">
        <x:v>Approved case</x:v>
      </x:c>
      <x:c r="G44" s="28" t="str">
        <x:v>Committed credit</x:v>
      </x:c>
      <x:c r="H44" s="31" t="n">
        <x:v>3300</x:v>
      </x:c>
      <x:c r="I44" s="28" t="str"/>
      <x:c r="J44" s="28" t="str">
        <x:v>USD thousands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TRY-00478</x:v>
      </x:c>
      <x:c r="B45" s="28" t="str">
        <x:v>Bank relationship profitability scorecard</x:v>
      </x:c>
      <x:c r="C45" s="28" t="str">
        <x:v>Bank relationship economics</x:v>
      </x:c>
      <x:c r="D45" s="28" t="str">
        <x:v>Bank C</x:v>
      </x:c>
      <x:c r="E45" s="28" t="str">
        <x:v>FY27</x:v>
      </x:c>
      <x:c r="F45" s="28" t="str">
        <x:v>Approved case</x:v>
      </x:c>
      <x:c r="G45" s="28" t="str">
        <x:v>Credit economics</x:v>
      </x:c>
      <x:c r="H45" s="31" t="n">
        <x:v>118000</x:v>
      </x:c>
      <x:c r="I45" s="28" t="str"/>
      <x:c r="J45" s="28" t="str">
        <x:v>USD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TRY-00479</x:v>
      </x:c>
      <x:c r="B46" s="28" t="str">
        <x:v>Bank relationship profitability scorecard</x:v>
      </x:c>
      <x:c r="C46" s="28" t="str">
        <x:v>Bank relationship economics</x:v>
      </x:c>
      <x:c r="D46" s="28" t="str">
        <x:v>Bank C</x:v>
      </x:c>
      <x:c r="E46" s="28" t="str">
        <x:v>FY27</x:v>
      </x:c>
      <x:c r="F46" s="28" t="str">
        <x:v>Approved case</x:v>
      </x:c>
      <x:c r="G46" s="28" t="str">
        <x:v>Treasury fee revenue</x:v>
      </x:c>
      <x:c r="H46" s="31" t="n">
        <x:v>92000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TRY-00480</x:v>
      </x:c>
      <x:c r="B47" s="28" t="str">
        <x:v>Bank relationship profitability scorecard</x:v>
      </x:c>
      <x:c r="C47" s="28" t="str">
        <x:v>Bank relationship economics</x:v>
      </x:c>
      <x:c r="D47" s="28" t="str">
        <x:v>Bank C</x:v>
      </x:c>
      <x:c r="E47" s="28" t="str">
        <x:v>FY27</x:v>
      </x:c>
      <x:c r="F47" s="28" t="str">
        <x:v>Approved case</x:v>
      </x:c>
      <x:c r="G47" s="28" t="str">
        <x:v>Relationship risk cost</x:v>
      </x:c>
      <x:c r="H47" s="31" t="n">
        <x:v>35000</x:v>
      </x:c>
      <x:c r="I47" s="28" t="str"/>
      <x:c r="J47" s="28" t="str">
        <x:v>USD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TRY-00481</x:v>
      </x:c>
      <x:c r="B48" s="28" t="str">
        <x:v>Bank relationship profitability scorecard</x:v>
      </x:c>
      <x:c r="C48" s="28" t="str">
        <x:v>Treasury concentration policy</x:v>
      </x:c>
      <x:c r="D48" s="28" t="str">
        <x:v>Portfolio</x:v>
      </x:c>
      <x:c r="E48" s="28" t="str">
        <x:v>FY27</x:v>
      </x:c>
      <x:c r="F48" s="28" t="str">
        <x:v>Approved case</x:v>
      </x:c>
      <x:c r="G48" s="28" t="str">
        <x:v>Maximum deposit concentration</x:v>
      </x:c>
      <x:c r="H48" s="31" t="n">
        <x:v>0.45</x:v>
      </x:c>
      <x:c r="I48" s="28" t="str"/>
      <x:c r="J48" s="28" t="str">
        <x:v>decimal ratio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TRY-00482</x:v>
      </x:c>
      <x:c r="B49" s="28" t="str">
        <x:v>Bank relationship profitability scorecard</x:v>
      </x:c>
      <x:c r="C49" s="28" t="str">
        <x:v>Treasury concentration policy</x:v>
      </x:c>
      <x:c r="D49" s="28" t="str">
        <x:v>Portfolio</x:v>
      </x:c>
      <x:c r="E49" s="28" t="str">
        <x:v>FY27</x:v>
      </x:c>
      <x:c r="F49" s="28" t="str">
        <x:v>Approved case</x:v>
      </x:c>
      <x:c r="G49" s="28" t="str">
        <x:v>Maximum credit concentration</x:v>
      </x:c>
      <x:c r="H49" s="31" t="n">
        <x:v>0.5</x:v>
      </x:c>
      <x:c r="I49" s="28" t="str"/>
      <x:c r="J49" s="28" t="str">
        <x:v>decimal ratio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TRY-00483</x:v>
      </x:c>
      <x:c r="B50" s="28" t="str">
        <x:v>Bank relationship profitability scorecard</x:v>
      </x:c>
      <x:c r="C50" s="28" t="str">
        <x:v>Treasury concentration policy</x:v>
      </x:c>
      <x:c r="D50" s="28" t="str">
        <x:v>Portfolio</x:v>
      </x:c>
      <x:c r="E50" s="28" t="str">
        <x:v>FY27</x:v>
      </x:c>
      <x:c r="F50" s="28" t="str">
        <x:v>Approved case</x:v>
      </x:c>
      <x:c r="G50" s="28" t="str">
        <x:v>Deposit move increment</x:v>
      </x:c>
      <x:c r="H50" s="31" t="n">
        <x:v>1250000</x:v>
      </x:c>
      <x:c r="I50" s="28" t="str"/>
      <x:c r="J50" s="28" t="str">
        <x:v>USD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8" t="str">
        <x:v>TRY-00484</x:v>
      </x:c>
      <x:c r="B51" s="29" t="str">
        <x:v>Bank relationship profitability scorecard</x:v>
      </x:c>
      <x:c r="C51" s="29" t="str">
        <x:v>Treasury concentration policy</x:v>
      </x:c>
      <x:c r="D51" s="29" t="str">
        <x:v>Portfolio</x:v>
      </x:c>
      <x:c r="E51" s="29" t="str">
        <x:v>FY27</x:v>
      </x:c>
      <x:c r="F51" s="29" t="str">
        <x:v>Approved case</x:v>
      </x:c>
      <x:c r="G51" s="29" t="str">
        <x:v>Credit move increment</x:v>
      </x:c>
      <x:c r="H51" s="32" t="n">
        <x:v>2000000</x:v>
      </x:c>
      <x:c r="I51" s="29" t="str"/>
      <x:c r="J51" s="29" t="str">
        <x:v>USD</x:v>
      </x:c>
      <x:c r="K51" s="29" t="str">
        <x:v>Finance operating schedule</x:v>
      </x:c>
      <x:c r="L51" s="35" t="str">
        <x:v>2026-06-30</x:v>
      </x:c>
      <x:c r="M51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Credit Outlook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CURRENT WORKING SOURCE - controller tie completed 2026-07-03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TRY-00395</x:v>
      </x:c>
      <x:c r="B5" s="27" t="str">
        <x:v>FY27 covenant outlook</x:v>
      </x:c>
      <x:c r="C5" s="27" t="str">
        <x:v>Covenant policy</x:v>
      </x:c>
      <x:c r="D5" s="27" t="str">
        <x:v>Credit agreement</x:v>
      </x:c>
      <x:c r="E5" s="27" t="str">
        <x:v>Forecast horizon</x:v>
      </x:c>
      <x:c r="F5" s="27" t="str">
        <x:v>Approved case</x:v>
      </x:c>
      <x:c r="G5" s="27" t="str">
        <x:v>Maximum funded-debt leverage</x:v>
      </x:c>
      <x:c r="H5" s="30" t="n">
        <x:v>3.25</x:v>
      </x:c>
      <x:c r="I5" s="27" t="str"/>
      <x:c r="J5" s="27" t="str">
        <x:v>multiple</x:v>
      </x:c>
      <x:c r="K5" s="27" t="str">
        <x:v>Finance operating schedule</x:v>
      </x:c>
      <x:c r="L5" s="33" t="str">
        <x:v>2026-06-30</x:v>
      </x:c>
      <x:c r="M5" s="27" t="str"/>
    </x:row>
    <x:row r="6">
      <x:c r="A6" s="37" t="str">
        <x:v>TRY-00396</x:v>
      </x:c>
      <x:c r="B6" s="28" t="str">
        <x:v>FY27 covenant outlook</x:v>
      </x:c>
      <x:c r="C6" s="28" t="str">
        <x:v>Covenant policy</x:v>
      </x:c>
      <x:c r="D6" s="28" t="str">
        <x:v>Credit agreement</x:v>
      </x:c>
      <x:c r="E6" s="28" t="str">
        <x:v>Forecast horizon</x:v>
      </x:c>
      <x:c r="F6" s="28" t="str">
        <x:v>Approved case</x:v>
      </x:c>
      <x:c r="G6" s="28" t="str">
        <x:v>Minimum fixed-charge coverage</x:v>
      </x:c>
      <x:c r="H6" s="31" t="n">
        <x:v>1.2</x:v>
      </x:c>
      <x:c r="I6" s="28" t="str"/>
      <x:c r="J6" s="28" t="str">
        <x:v>multiple</x:v>
      </x:c>
      <x:c r="K6" s="28" t="str">
        <x:v>Finance operating schedule</x:v>
      </x:c>
      <x:c r="L6" s="34" t="str">
        <x:v>2026-06-30</x:v>
      </x:c>
      <x:c r="M6" s="28" t="str"/>
    </x:row>
    <x:row r="7">
      <x:c r="A7" s="37" t="str">
        <x:v>TRY-00397</x:v>
      </x:c>
      <x:c r="B7" s="28" t="str">
        <x:v>FY27 covenant outlook</x:v>
      </x:c>
      <x:c r="C7" s="28" t="str">
        <x:v>Covenant policy</x:v>
      </x:c>
      <x:c r="D7" s="28" t="str">
        <x:v>Credit agreement</x:v>
      </x:c>
      <x:c r="E7" s="28" t="str">
        <x:v>Forecast horizon</x:v>
      </x:c>
      <x:c r="F7" s="28" t="str">
        <x:v>Approved case</x:v>
      </x:c>
      <x:c r="G7" s="28" t="str">
        <x:v>Minimum quarterly capex deduction</x:v>
      </x:c>
      <x:c r="H7" s="31" t="n">
        <x:v>0</x:v>
      </x:c>
      <x:c r="I7" s="28" t="str"/>
      <x:c r="J7" s="28" t="str">
        <x:v>USD</x:v>
      </x:c>
      <x:c r="K7" s="28" t="str">
        <x:v>Finance operating schedule</x:v>
      </x:c>
      <x:c r="L7" s="34" t="str">
        <x:v>2026-06-30</x:v>
      </x:c>
      <x:c r="M7" s="28" t="str"/>
    </x:row>
    <x:row r="8">
      <x:c r="A8" s="37" t="str">
        <x:v>TRY-00398</x:v>
      </x:c>
      <x:c r="B8" s="28" t="str">
        <x:v>FY27 covenant outlook</x:v>
      </x:c>
      <x:c r="C8" s="28" t="str">
        <x:v>Covenant Downside</x:v>
      </x:c>
      <x:c r="D8" s="28" t="str">
        <x:v>Consolidated</x:v>
      </x:c>
      <x:c r="E8" s="28" t="str">
        <x:v>Forecast horizon</x:v>
      </x:c>
      <x:c r="F8" s="28" t="str">
        <x:v>Downside</x:v>
      </x:c>
      <x:c r="G8" s="28" t="str">
        <x:v>Covenant EBITDA reduction</x:v>
      </x:c>
      <x:c r="H8" s="31" t="n">
        <x:v>0.12</x:v>
      </x:c>
      <x:c r="I8" s="28" t="str"/>
      <x:c r="J8" s="28" t="str">
        <x:v>decimal ratio</x:v>
      </x:c>
      <x:c r="K8" s="28" t="str">
        <x:v>July treasury downside review</x:v>
      </x:c>
      <x:c r="L8" s="34" t="str">
        <x:v>2026-06-30</x:v>
      </x:c>
      <x:c r="M8" s="28" t="str"/>
    </x:row>
    <x:row r="9">
      <x:c r="A9" s="37" t="str">
        <x:v>TRY-00399</x:v>
      </x:c>
      <x:c r="B9" s="28" t="str">
        <x:v>FY27 covenant outlook</x:v>
      </x:c>
      <x:c r="C9" s="28" t="str">
        <x:v>Covenant Downside</x:v>
      </x:c>
      <x:c r="D9" s="28" t="str">
        <x:v>Consolidated</x:v>
      </x:c>
      <x:c r="E9" s="28" t="str">
        <x:v>Forecast horizon</x:v>
      </x:c>
      <x:c r="F9" s="28" t="str">
        <x:v>Downside</x:v>
      </x:c>
      <x:c r="G9" s="28" t="str">
        <x:v>Cash tax factor</x:v>
      </x:c>
      <x:c r="H9" s="31" t="n">
        <x:v>0.9</x:v>
      </x:c>
      <x:c r="I9" s="28" t="str"/>
      <x:c r="J9" s="28" t="str">
        <x:v>decimal ratio</x:v>
      </x:c>
      <x:c r="K9" s="28" t="str">
        <x:v>July treasury downside review</x:v>
      </x:c>
      <x:c r="L9" s="34" t="str">
        <x:v>2026-06-30</x:v>
      </x:c>
      <x:c r="M9" s="28" t="str"/>
    </x:row>
    <x:row r="10">
      <x:c r="A10" s="37" t="str">
        <x:v>TRY-00400</x:v>
      </x:c>
      <x:c r="B10" s="28" t="str">
        <x:v>FY27 covenant outlook</x:v>
      </x:c>
      <x:c r="C10" s="28" t="str">
        <x:v>Covenant Downside</x:v>
      </x:c>
      <x:c r="D10" s="28" t="str">
        <x:v>Consolidated</x:v>
      </x:c>
      <x:c r="E10" s="28" t="str">
        <x:v>2026-Q3</x:v>
      </x:c>
      <x:c r="F10" s="28" t="str">
        <x:v>Downside</x:v>
      </x:c>
      <x:c r="G10" s="28" t="str">
        <x:v>Cash interest increment</x:v>
      </x:c>
      <x:c r="H10" s="31" t="n">
        <x:v>0</x:v>
      </x:c>
      <x:c r="I10" s="28" t="str"/>
      <x:c r="J10" s="28" t="str">
        <x:v>USD</x:v>
      </x:c>
      <x:c r="K10" s="28" t="str">
        <x:v>July treasury downside review</x:v>
      </x:c>
      <x:c r="L10" s="34" t="str">
        <x:v>2026-06-30</x:v>
      </x:c>
      <x:c r="M10" s="28" t="str"/>
    </x:row>
    <x:row r="11">
      <x:c r="A11" s="37" t="str">
        <x:v>TRY-00401</x:v>
      </x:c>
      <x:c r="B11" s="28" t="str">
        <x:v>FY27 covenant outlook</x:v>
      </x:c>
      <x:c r="C11" s="28" t="str">
        <x:v>Covenant Downside</x:v>
      </x:c>
      <x:c r="D11" s="28" t="str">
        <x:v>Consolidated</x:v>
      </x:c>
      <x:c r="E11" s="28" t="str">
        <x:v>2026-Q3</x:v>
      </x:c>
      <x:c r="F11" s="28" t="str">
        <x:v>Downside</x:v>
      </x:c>
      <x:c r="G11" s="28" t="str">
        <x:v>Unfunded capex increment</x:v>
      </x:c>
      <x:c r="H11" s="31" t="n">
        <x:v>0</x:v>
      </x:c>
      <x:c r="I11" s="28" t="str"/>
      <x:c r="J11" s="28" t="str">
        <x:v>USD</x:v>
      </x:c>
      <x:c r="K11" s="28" t="str">
        <x:v>July treasury downside review</x:v>
      </x:c>
      <x:c r="L11" s="34" t="str">
        <x:v>2026-06-30</x:v>
      </x:c>
      <x:c r="M11" s="28" t="str"/>
    </x:row>
    <x:row r="12">
      <x:c r="A12" s="37" t="str">
        <x:v>TRY-00402</x:v>
      </x:c>
      <x:c r="B12" s="28" t="str">
        <x:v>FY27 covenant outlook</x:v>
      </x:c>
      <x:c r="C12" s="28" t="str">
        <x:v>Covenant Downside</x:v>
      </x:c>
      <x:c r="D12" s="28" t="str">
        <x:v>Consolidated</x:v>
      </x:c>
      <x:c r="E12" s="28" t="str">
        <x:v>2026-Q4</x:v>
      </x:c>
      <x:c r="F12" s="28" t="str">
        <x:v>Downside</x:v>
      </x:c>
      <x:c r="G12" s="28" t="str">
        <x:v>Cash interest increment</x:v>
      </x:c>
      <x:c r="H12" s="31" t="n">
        <x:v>75000</x:v>
      </x:c>
      <x:c r="I12" s="28" t="str"/>
      <x:c r="J12" s="28" t="str">
        <x:v>USD</x:v>
      </x:c>
      <x:c r="K12" s="28" t="str">
        <x:v>July treasury downside review</x:v>
      </x:c>
      <x:c r="L12" s="34" t="str">
        <x:v>2026-06-30</x:v>
      </x:c>
      <x:c r="M12" s="28" t="str"/>
    </x:row>
    <x:row r="13">
      <x:c r="A13" s="37" t="str">
        <x:v>TRY-00403</x:v>
      </x:c>
      <x:c r="B13" s="28" t="str">
        <x:v>FY27 covenant outlook</x:v>
      </x:c>
      <x:c r="C13" s="28" t="str">
        <x:v>Covenant Downside</x:v>
      </x:c>
      <x:c r="D13" s="28" t="str">
        <x:v>Consolidated</x:v>
      </x:c>
      <x:c r="E13" s="28" t="str">
        <x:v>2026-Q4</x:v>
      </x:c>
      <x:c r="F13" s="28" t="str">
        <x:v>Downside</x:v>
      </x:c>
      <x:c r="G13" s="28" t="str">
        <x:v>Unfunded capex increment</x:v>
      </x:c>
      <x:c r="H13" s="31" t="n">
        <x:v>0</x:v>
      </x:c>
      <x:c r="I13" s="28" t="str"/>
      <x:c r="J13" s="28" t="str">
        <x:v>USD</x:v>
      </x:c>
      <x:c r="K13" s="28" t="str">
        <x:v>July treasury downside review</x:v>
      </x:c>
      <x:c r="L13" s="34" t="str">
        <x:v>2026-06-30</x:v>
      </x:c>
      <x:c r="M13" s="28" t="str"/>
    </x:row>
    <x:row r="14">
      <x:c r="A14" s="37" t="str">
        <x:v>TRY-00404</x:v>
      </x:c>
      <x:c r="B14" s="28" t="str">
        <x:v>FY27 covenant outlook</x:v>
      </x:c>
      <x:c r="C14" s="28" t="str">
        <x:v>Covenant Downside</x:v>
      </x:c>
      <x:c r="D14" s="28" t="str">
        <x:v>Consolidated</x:v>
      </x:c>
      <x:c r="E14" s="28" t="str">
        <x:v>2027-Q1</x:v>
      </x:c>
      <x:c r="F14" s="28" t="str">
        <x:v>Downside</x:v>
      </x:c>
      <x:c r="G14" s="28" t="str">
        <x:v>Cash interest increment</x:v>
      </x:c>
      <x:c r="H14" s="31" t="n">
        <x:v>75</x:v>
      </x:c>
      <x:c r="I14" s="28" t="str"/>
      <x:c r="J14" s="28" t="str">
        <x:v>USD thousands</x:v>
      </x:c>
      <x:c r="K14" s="28" t="str">
        <x:v>July treasury downside review</x:v>
      </x:c>
      <x:c r="L14" s="34" t="str">
        <x:v>2026-06-30</x:v>
      </x:c>
      <x:c r="M14" s="28" t="str"/>
    </x:row>
    <x:row r="15">
      <x:c r="A15" s="37" t="str">
        <x:v>TRY-00405</x:v>
      </x:c>
      <x:c r="B15" s="28" t="str">
        <x:v>FY27 covenant outlook</x:v>
      </x:c>
      <x:c r="C15" s="28" t="str">
        <x:v>Covenant Downside</x:v>
      </x:c>
      <x:c r="D15" s="28" t="str">
        <x:v>Consolidated</x:v>
      </x:c>
      <x:c r="E15" s="28" t="str">
        <x:v>2027-Q1</x:v>
      </x:c>
      <x:c r="F15" s="28" t="str">
        <x:v>Downside</x:v>
      </x:c>
      <x:c r="G15" s="28" t="str">
        <x:v>Unfunded capex increment</x:v>
      </x:c>
      <x:c r="H15" s="31" t="n">
        <x:v>0</x:v>
      </x:c>
      <x:c r="I15" s="28" t="str"/>
      <x:c r="J15" s="28" t="str">
        <x:v>USD</x:v>
      </x:c>
      <x:c r="K15" s="28" t="str">
        <x:v>July treasury downside review</x:v>
      </x:c>
      <x:c r="L15" s="34" t="str">
        <x:v>2026-06-30</x:v>
      </x:c>
      <x:c r="M15" s="28" t="str"/>
    </x:row>
    <x:row r="16">
      <x:c r="A16" s="37" t="str">
        <x:v>TRY-00406</x:v>
      </x:c>
      <x:c r="B16" s="28" t="str">
        <x:v>FY27 covenant outlook</x:v>
      </x:c>
      <x:c r="C16" s="28" t="str">
        <x:v>Covenant Downside</x:v>
      </x:c>
      <x:c r="D16" s="28" t="str">
        <x:v>Consolidated</x:v>
      </x:c>
      <x:c r="E16" s="28" t="str">
        <x:v>2027-Q2</x:v>
      </x:c>
      <x:c r="F16" s="28" t="str">
        <x:v>Downside</x:v>
      </x:c>
      <x:c r="G16" s="28" t="str">
        <x:v>Cash interest increment</x:v>
      </x:c>
      <x:c r="H16" s="31" t="n">
        <x:v>75000</x:v>
      </x:c>
      <x:c r="I16" s="28" t="str"/>
      <x:c r="J16" s="28" t="str">
        <x:v>USD</x:v>
      </x:c>
      <x:c r="K16" s="28" t="str">
        <x:v>July treasury downside review</x:v>
      </x:c>
      <x:c r="L16" s="34" t="str">
        <x:v>2026-06-30</x:v>
      </x:c>
      <x:c r="M16" s="28" t="str"/>
    </x:row>
    <x:row r="17">
      <x:c r="A17" s="37" t="str">
        <x:v>TRY-00407</x:v>
      </x:c>
      <x:c r="B17" s="28" t="str">
        <x:v>FY27 covenant outlook</x:v>
      </x:c>
      <x:c r="C17" s="28" t="str">
        <x:v>Covenant Downside</x:v>
      </x:c>
      <x:c r="D17" s="28" t="str">
        <x:v>Consolidated</x:v>
      </x:c>
      <x:c r="E17" s="28" t="str">
        <x:v>2027-Q2</x:v>
      </x:c>
      <x:c r="F17" s="28" t="str">
        <x:v>Downside</x:v>
      </x:c>
      <x:c r="G17" s="28" t="str">
        <x:v>Unfunded capex increment</x:v>
      </x:c>
      <x:c r="H17" s="31" t="n">
        <x:v>250000</x:v>
      </x:c>
      <x:c r="I17" s="28" t="str"/>
      <x:c r="J17" s="28" t="str">
        <x:v>USD</x:v>
      </x:c>
      <x:c r="K17" s="28" t="str">
        <x:v>July treasury downside review</x:v>
      </x:c>
      <x:c r="L17" s="34" t="str">
        <x:v>2026-06-30</x:v>
      </x:c>
      <x:c r="M17" s="28" t="str"/>
    </x:row>
    <x:row r="18">
      <x:c r="A18" s="37" t="str">
        <x:v>TRY-00408</x:v>
      </x:c>
      <x:c r="B18" s="28" t="str">
        <x:v>FY27 covenant outlook</x:v>
      </x:c>
      <x:c r="C18" s="28" t="str">
        <x:v>Covenant Downside</x:v>
      </x:c>
      <x:c r="D18" s="28" t="str">
        <x:v>Consolidated</x:v>
      </x:c>
      <x:c r="E18" s="28" t="str">
        <x:v>2027-Q3</x:v>
      </x:c>
      <x:c r="F18" s="28" t="str">
        <x:v>Downside</x:v>
      </x:c>
      <x:c r="G18" s="28" t="str">
        <x:v>Cash interest increment</x:v>
      </x:c>
      <x:c r="H18" s="31" t="n">
        <x:v>75</x:v>
      </x:c>
      <x:c r="I18" s="28" t="str"/>
      <x:c r="J18" s="28" t="str">
        <x:v>USD thousands</x:v>
      </x:c>
      <x:c r="K18" s="28" t="str">
        <x:v>July treasury downside review</x:v>
      </x:c>
      <x:c r="L18" s="34" t="str">
        <x:v>2026-06-30</x:v>
      </x:c>
      <x:c r="M18" s="28" t="str"/>
    </x:row>
    <x:row r="19">
      <x:c r="A19" s="37" t="str">
        <x:v>TRY-00409</x:v>
      </x:c>
      <x:c r="B19" s="28" t="str">
        <x:v>FY27 covenant outlook</x:v>
      </x:c>
      <x:c r="C19" s="28" t="str">
        <x:v>Covenant Downside</x:v>
      </x:c>
      <x:c r="D19" s="28" t="str">
        <x:v>Consolidated</x:v>
      </x:c>
      <x:c r="E19" s="28" t="str">
        <x:v>2027-Q3</x:v>
      </x:c>
      <x:c r="F19" s="28" t="str">
        <x:v>Downside</x:v>
      </x:c>
      <x:c r="G19" s="28" t="str">
        <x:v>Unfunded capex increment</x:v>
      </x:c>
      <x:c r="H19" s="31" t="n">
        <x:v>0</x:v>
      </x:c>
      <x:c r="I19" s="28" t="str"/>
      <x:c r="J19" s="28" t="str">
        <x:v>USD</x:v>
      </x:c>
      <x:c r="K19" s="28" t="str">
        <x:v>July treasury downside review</x:v>
      </x:c>
      <x:c r="L19" s="34" t="str">
        <x:v>2026-06-30</x:v>
      </x:c>
      <x:c r="M19" s="28" t="str"/>
    </x:row>
    <x:row r="20">
      <x:c r="A20" s="37" t="str">
        <x:v>TRY-00410</x:v>
      </x:c>
      <x:c r="B20" s="28" t="str">
        <x:v>FY27 covenant outlook</x:v>
      </x:c>
      <x:c r="C20" s="28" t="str">
        <x:v>Covenant Downside</x:v>
      </x:c>
      <x:c r="D20" s="28" t="str">
        <x:v>Consolidated</x:v>
      </x:c>
      <x:c r="E20" s="28" t="str">
        <x:v>2027-Q4</x:v>
      </x:c>
      <x:c r="F20" s="28" t="str">
        <x:v>Downside</x:v>
      </x:c>
      <x:c r="G20" s="28" t="str">
        <x:v>Cash interest increment</x:v>
      </x:c>
      <x:c r="H20" s="31" t="n">
        <x:v>75000</x:v>
      </x:c>
      <x:c r="I20" s="28" t="str"/>
      <x:c r="J20" s="28" t="str">
        <x:v>USD</x:v>
      </x:c>
      <x:c r="K20" s="28" t="str">
        <x:v>July treasury downside review</x:v>
      </x:c>
      <x:c r="L20" s="34" t="str">
        <x:v>2026-06-30</x:v>
      </x:c>
      <x:c r="M20" s="28" t="str"/>
    </x:row>
    <x:row r="21">
      <x:c r="A21" s="37" t="str">
        <x:v>TRY-00411</x:v>
      </x:c>
      <x:c r="B21" s="28" t="str">
        <x:v>FY27 covenant outlook</x:v>
      </x:c>
      <x:c r="C21" s="28" t="str">
        <x:v>Covenant Downside</x:v>
      </x:c>
      <x:c r="D21" s="28" t="str">
        <x:v>Consolidated</x:v>
      </x:c>
      <x:c r="E21" s="28" t="str">
        <x:v>2027-Q4</x:v>
      </x:c>
      <x:c r="F21" s="28" t="str">
        <x:v>Downside</x:v>
      </x:c>
      <x:c r="G21" s="28" t="str">
        <x:v>Unfunded capex increment</x:v>
      </x:c>
      <x:c r="H21" s="31" t="n">
        <x:v>0</x:v>
      </x:c>
      <x:c r="I21" s="28" t="str"/>
      <x:c r="J21" s="28" t="str">
        <x:v>USD</x:v>
      </x:c>
      <x:c r="K21" s="28" t="str">
        <x:v>July treasury downside review</x:v>
      </x:c>
      <x:c r="L21" s="34" t="str">
        <x:v>2026-06-30</x:v>
      </x:c>
      <x:c r="M21" s="28" t="str"/>
    </x:row>
    <x:row r="22">
      <x:c r="A22" s="37" t="str">
        <x:v>TRY-00412</x:v>
      </x:c>
      <x:c r="B22" s="28" t="str">
        <x:v>FY27 covenant outlook</x:v>
      </x:c>
      <x:c r="C22" s="28" t="str">
        <x:v>Covenant Downside</x:v>
      </x:c>
      <x:c r="D22" s="28" t="str">
        <x:v>Consolidated</x:v>
      </x:c>
      <x:c r="E22" s="28" t="str">
        <x:v>2028-Q1</x:v>
      </x:c>
      <x:c r="F22" s="28" t="str">
        <x:v>Downside</x:v>
      </x:c>
      <x:c r="G22" s="28" t="str">
        <x:v>Cash interest increment</x:v>
      </x:c>
      <x:c r="H22" s="31" t="n">
        <x:v>75</x:v>
      </x:c>
      <x:c r="I22" s="28" t="str"/>
      <x:c r="J22" s="28" t="str">
        <x:v>USD thousands</x:v>
      </x:c>
      <x:c r="K22" s="28" t="str">
        <x:v>July treasury downside review</x:v>
      </x:c>
      <x:c r="L22" s="34" t="str">
        <x:v>2026-06-30</x:v>
      </x:c>
      <x:c r="M22" s="28" t="str"/>
    </x:row>
    <x:row r="23">
      <x:c r="A23" s="37" t="str">
        <x:v>TRY-00413</x:v>
      </x:c>
      <x:c r="B23" s="28" t="str">
        <x:v>FY27 covenant outlook</x:v>
      </x:c>
      <x:c r="C23" s="28" t="str">
        <x:v>Covenant Downside</x:v>
      </x:c>
      <x:c r="D23" s="28" t="str">
        <x:v>Consolidated</x:v>
      </x:c>
      <x:c r="E23" s="28" t="str">
        <x:v>2028-Q1</x:v>
      </x:c>
      <x:c r="F23" s="28" t="str">
        <x:v>Downside</x:v>
      </x:c>
      <x:c r="G23" s="28" t="str">
        <x:v>Unfunded capex increment</x:v>
      </x:c>
      <x:c r="H23" s="31" t="n">
        <x:v>0</x:v>
      </x:c>
      <x:c r="I23" s="28" t="str"/>
      <x:c r="J23" s="28" t="str">
        <x:v>USD</x:v>
      </x:c>
      <x:c r="K23" s="28" t="str">
        <x:v>July treasury downside review</x:v>
      </x:c>
      <x:c r="L23" s="34" t="str">
        <x:v>2026-06-30</x:v>
      </x:c>
      <x:c r="M23" s="28" t="str"/>
    </x:row>
    <x:row r="24">
      <x:c r="A24" s="37" t="str">
        <x:v>TRY-00414</x:v>
      </x:c>
      <x:c r="B24" s="28" t="str">
        <x:v>FY27 covenant outlook</x:v>
      </x:c>
      <x:c r="C24" s="28" t="str">
        <x:v>Covenant Downside</x:v>
      </x:c>
      <x:c r="D24" s="28" t="str">
        <x:v>Consolidated</x:v>
      </x:c>
      <x:c r="E24" s="28" t="str">
        <x:v>2028-Q2</x:v>
      </x:c>
      <x:c r="F24" s="28" t="str">
        <x:v>Downside</x:v>
      </x:c>
      <x:c r="G24" s="28" t="str">
        <x:v>Cash interest increment</x:v>
      </x:c>
      <x:c r="H24" s="31" t="n">
        <x:v>75000</x:v>
      </x:c>
      <x:c r="I24" s="28" t="str"/>
      <x:c r="J24" s="28" t="str">
        <x:v>USD</x:v>
      </x:c>
      <x:c r="K24" s="28" t="str">
        <x:v>July treasury downside review</x:v>
      </x:c>
      <x:c r="L24" s="34" t="str">
        <x:v>2026-06-30</x:v>
      </x:c>
      <x:c r="M24" s="28" t="str"/>
    </x:row>
    <x:row r="25">
      <x:c r="A25" s="37" t="str">
        <x:v>TRY-00415</x:v>
      </x:c>
      <x:c r="B25" s="28" t="str">
        <x:v>FY27 covenant outlook</x:v>
      </x:c>
      <x:c r="C25" s="28" t="str">
        <x:v>Covenant Downside</x:v>
      </x:c>
      <x:c r="D25" s="28" t="str">
        <x:v>Consolidated</x:v>
      </x:c>
      <x:c r="E25" s="28" t="str">
        <x:v>2028-Q2</x:v>
      </x:c>
      <x:c r="F25" s="28" t="str">
        <x:v>Downside</x:v>
      </x:c>
      <x:c r="G25" s="28" t="str">
        <x:v>Unfunded capex increment</x:v>
      </x:c>
      <x:c r="H25" s="31" t="n">
        <x:v>250000</x:v>
      </x:c>
      <x:c r="I25" s="28" t="str"/>
      <x:c r="J25" s="28" t="str">
        <x:v>USD</x:v>
      </x:c>
      <x:c r="K25" s="28" t="str">
        <x:v>July treasury downside review</x:v>
      </x:c>
      <x:c r="L25" s="34" t="str">
        <x:v>2026-06-30</x:v>
      </x:c>
      <x:c r="M25" s="28" t="str"/>
    </x:row>
    <x:row r="26">
      <x:c r="A26" s="37" t="str">
        <x:v>TRY-00416</x:v>
      </x:c>
      <x:c r="B26" s="28" t="str">
        <x:v>FY27 covenant outlook</x:v>
      </x:c>
      <x:c r="C26" s="28" t="str">
        <x:v>Historical Covenant Inputs</x:v>
      </x:c>
      <x:c r="D26" s="28" t="str">
        <x:v>Consolidated</x:v>
      </x:c>
      <x:c r="E26" s="28" t="str">
        <x:v>2025-Q4</x:v>
      </x:c>
      <x:c r="F26" s="28" t="str">
        <x:v>Actual</x:v>
      </x:c>
      <x:c r="G26" s="28" t="str">
        <x:v>Quarterly covenant EBITDA</x:v>
      </x:c>
      <x:c r="H26" s="31" t="n">
        <x:v>2850</x:v>
      </x:c>
      <x:c r="I26" s="28" t="str"/>
      <x:c r="J26" s="28" t="str">
        <x:v>USD thousands</x:v>
      </x:c>
      <x:c r="K26" s="28" t="str">
        <x:v>Q2 lender covenant workpaper, controller tie</x:v>
      </x:c>
      <x:c r="L26" s="34" t="str">
        <x:v>2026-06-30</x:v>
      </x:c>
      <x:c r="M26" s="28" t="str"/>
    </x:row>
    <x:row r="27">
      <x:c r="A27" s="37" t="str">
        <x:v>TRY-00417</x:v>
      </x:c>
      <x:c r="B27" s="28" t="str">
        <x:v>FY27 covenant outlook</x:v>
      </x:c>
      <x:c r="C27" s="28" t="str">
        <x:v>Historical Covenant Inputs</x:v>
      </x:c>
      <x:c r="D27" s="28" t="str">
        <x:v>Consolidated</x:v>
      </x:c>
      <x:c r="E27" s="28" t="str">
        <x:v>2025-Q4</x:v>
      </x:c>
      <x:c r="F27" s="28" t="str">
        <x:v>Actual</x:v>
      </x:c>
      <x:c r="G27" s="28" t="str">
        <x:v>Cash interest</x:v>
      </x:c>
      <x:c r="H27" s="31" t="n">
        <x:v>416000</x:v>
      </x:c>
      <x:c r="I27" s="28" t="str"/>
      <x:c r="J27" s="28" t="str">
        <x:v>USD</x:v>
      </x:c>
      <x:c r="K27" s="28" t="str">
        <x:v>Q2 lender covenant workpaper, controller tie</x:v>
      </x:c>
      <x:c r="L27" s="34" t="str">
        <x:v>2026-06-30</x:v>
      </x:c>
      <x:c r="M27" s="28" t="str"/>
    </x:row>
    <x:row r="28">
      <x:c r="A28" s="37" t="str">
        <x:v>TRY-00418</x:v>
      </x:c>
      <x:c r="B28" s="28" t="str">
        <x:v>FY27 covenant outlook</x:v>
      </x:c>
      <x:c r="C28" s="28" t="str">
        <x:v>Historical Covenant Inputs</x:v>
      </x:c>
      <x:c r="D28" s="28" t="str">
        <x:v>Consolidated</x:v>
      </x:c>
      <x:c r="E28" s="28" t="str">
        <x:v>2025-Q4</x:v>
      </x:c>
      <x:c r="F28" s="28" t="str">
        <x:v>Actual</x:v>
      </x:c>
      <x:c r="G28" s="28" t="str">
        <x:v>Unfunded capital expenditures</x:v>
      </x:c>
      <x:c r="H28" s="31" t="n">
        <x:v>600000</x:v>
      </x:c>
      <x:c r="I28" s="28" t="str"/>
      <x:c r="J28" s="28" t="str">
        <x:v>USD</x:v>
      </x:c>
      <x:c r="K28" s="28" t="str">
        <x:v>Q2 lender covenant workpaper, controller tie</x:v>
      </x:c>
      <x:c r="L28" s="34" t="str">
        <x:v>2026-06-30</x:v>
      </x:c>
      <x:c r="M28" s="28" t="str"/>
    </x:row>
    <x:row r="29">
      <x:c r="A29" s="37" t="str">
        <x:v>TRY-00419</x:v>
      </x:c>
      <x:c r="B29" s="28" t="str">
        <x:v>FY27 covenant outlook</x:v>
      </x:c>
      <x:c r="C29" s="28" t="str">
        <x:v>Historical Covenant Inputs</x:v>
      </x:c>
      <x:c r="D29" s="28" t="str">
        <x:v>Consolidated</x:v>
      </x:c>
      <x:c r="E29" s="28" t="str">
        <x:v>2025-Q4</x:v>
      </x:c>
      <x:c r="F29" s="28" t="str">
        <x:v>Actual</x:v>
      </x:c>
      <x:c r="G29" s="28" t="str">
        <x:v>Cash taxes</x:v>
      </x:c>
      <x:c r="H29" s="31" t="n">
        <x:v>280000</x:v>
      </x:c>
      <x:c r="I29" s="28" t="str"/>
      <x:c r="J29" s="28" t="str">
        <x:v>USD</x:v>
      </x:c>
      <x:c r="K29" s="28" t="str">
        <x:v>Q2 lender covenant workpaper, controller tie</x:v>
      </x:c>
      <x:c r="L29" s="34" t="str">
        <x:v>2026-06-30</x:v>
      </x:c>
      <x:c r="M29" s="28" t="str"/>
    </x:row>
    <x:row r="30">
      <x:c r="A30" s="37" t="str">
        <x:v>TRY-00420</x:v>
      </x:c>
      <x:c r="B30" s="28" t="str">
        <x:v>FY27 covenant outlook</x:v>
      </x:c>
      <x:c r="C30" s="28" t="str">
        <x:v>Historical Covenant Inputs</x:v>
      </x:c>
      <x:c r="D30" s="28" t="str">
        <x:v>Consolidated</x:v>
      </x:c>
      <x:c r="E30" s="28" t="str">
        <x:v>2025-Q4</x:v>
      </x:c>
      <x:c r="F30" s="28" t="str">
        <x:v>Actual</x:v>
      </x:c>
      <x:c r="G30" s="28" t="str">
        <x:v>Scheduled debt repayment</x:v>
      </x:c>
      <x:c r="H30" s="31" t="n">
        <x:v>650</x:v>
      </x:c>
      <x:c r="I30" s="28" t="str"/>
      <x:c r="J30" s="28" t="str">
        <x:v>USD thousands</x:v>
      </x:c>
      <x:c r="K30" s="28" t="str">
        <x:v>Q2 lender covenant workpaper, controller tie</x:v>
      </x:c>
      <x:c r="L30" s="34" t="str">
        <x:v>2026-06-30</x:v>
      </x:c>
      <x:c r="M30" s="28" t="str"/>
    </x:row>
    <x:row r="31">
      <x:c r="A31" s="37" t="str">
        <x:v>TRY-00421</x:v>
      </x:c>
      <x:c r="B31" s="28" t="str">
        <x:v>FY27 covenant outlook</x:v>
      </x:c>
      <x:c r="C31" s="28" t="str">
        <x:v>Historical Covenant Inputs</x:v>
      </x:c>
      <x:c r="D31" s="28" t="str">
        <x:v>Consolidated</x:v>
      </x:c>
      <x:c r="E31" s="28" t="str">
        <x:v>2026-Q1</x:v>
      </x:c>
      <x:c r="F31" s="28" t="str">
        <x:v>Actual</x:v>
      </x:c>
      <x:c r="G31" s="28" t="str">
        <x:v>Quarterly covenant EBITDA</x:v>
      </x:c>
      <x:c r="H31" s="31" t="n">
        <x:v>2920000</x:v>
      </x:c>
      <x:c r="I31" s="28" t="str"/>
      <x:c r="J31" s="28" t="str">
        <x:v>USD</x:v>
      </x:c>
      <x:c r="K31" s="28" t="str">
        <x:v>Q2 lender covenant workpaper, controller tie</x:v>
      </x:c>
      <x:c r="L31" s="34" t="str">
        <x:v>2026-06-30</x:v>
      </x:c>
      <x:c r="M31" s="28" t="str"/>
    </x:row>
    <x:row r="32">
      <x:c r="A32" s="37" t="str">
        <x:v>TRY-00422</x:v>
      </x:c>
      <x:c r="B32" s="28" t="str">
        <x:v>FY27 covenant outlook</x:v>
      </x:c>
      <x:c r="C32" s="28" t="str">
        <x:v>Historical Covenant Inputs</x:v>
      </x:c>
      <x:c r="D32" s="28" t="str">
        <x:v>Consolidated</x:v>
      </x:c>
      <x:c r="E32" s="28" t="str">
        <x:v>2026-Q1</x:v>
      </x:c>
      <x:c r="F32" s="28" t="str">
        <x:v>Actual</x:v>
      </x:c>
      <x:c r="G32" s="28" t="str">
        <x:v>Cash interest</x:v>
      </x:c>
      <x:c r="H32" s="31" t="n">
        <x:v>434000</x:v>
      </x:c>
      <x:c r="I32" s="28" t="str"/>
      <x:c r="J32" s="28" t="str">
        <x:v>USD</x:v>
      </x:c>
      <x:c r="K32" s="28" t="str">
        <x:v>Q2 lender covenant workpaper, controller tie</x:v>
      </x:c>
      <x:c r="L32" s="34" t="str">
        <x:v>2026-06-30</x:v>
      </x:c>
      <x:c r="M32" s="28" t="str"/>
    </x:row>
    <x:row r="33">
      <x:c r="A33" s="37" t="str">
        <x:v>TRY-00423</x:v>
      </x:c>
      <x:c r="B33" s="28" t="str">
        <x:v>FY27 covenant outlook</x:v>
      </x:c>
      <x:c r="C33" s="28" t="str">
        <x:v>Historical Covenant Inputs</x:v>
      </x:c>
      <x:c r="D33" s="28" t="str">
        <x:v>Consolidated</x:v>
      </x:c>
      <x:c r="E33" s="28" t="str">
        <x:v>2026-Q1</x:v>
      </x:c>
      <x:c r="F33" s="28" t="str">
        <x:v>Actual</x:v>
      </x:c>
      <x:c r="G33" s="28" t="str">
        <x:v>Unfunded capital expenditures</x:v>
      </x:c>
      <x:c r="H33" s="31" t="n">
        <x:v>610000</x:v>
      </x:c>
      <x:c r="I33" s="28" t="str"/>
      <x:c r="J33" s="28" t="str">
        <x:v>USD</x:v>
      </x:c>
      <x:c r="K33" s="28" t="str">
        <x:v>Q2 lender covenant workpaper, controller tie</x:v>
      </x:c>
      <x:c r="L33" s="34" t="str">
        <x:v>2026-06-30</x:v>
      </x:c>
      <x:c r="M33" s="28" t="str"/>
    </x:row>
    <x:row r="34">
      <x:c r="A34" s="37" t="str">
        <x:v>TRY-00424</x:v>
      </x:c>
      <x:c r="B34" s="28" t="str">
        <x:v>FY27 covenant outlook</x:v>
      </x:c>
      <x:c r="C34" s="28" t="str">
        <x:v>Historical Covenant Inputs</x:v>
      </x:c>
      <x:c r="D34" s="28" t="str">
        <x:v>Consolidated</x:v>
      </x:c>
      <x:c r="E34" s="28" t="str">
        <x:v>2026-Q1</x:v>
      </x:c>
      <x:c r="F34" s="28" t="str">
        <x:v>Actual</x:v>
      </x:c>
      <x:c r="G34" s="28" t="str">
        <x:v>Cash taxes</x:v>
      </x:c>
      <x:c r="H34" s="31" t="n">
        <x:v>290</x:v>
      </x:c>
      <x:c r="I34" s="28" t="str"/>
      <x:c r="J34" s="28" t="str">
        <x:v>USD thousands</x:v>
      </x:c>
      <x:c r="K34" s="28" t="str">
        <x:v>Q2 lender covenant workpaper, controller tie</x:v>
      </x:c>
      <x:c r="L34" s="34" t="str">
        <x:v>2026-06-30</x:v>
      </x:c>
      <x:c r="M34" s="28" t="str"/>
    </x:row>
    <x:row r="35">
      <x:c r="A35" s="37" t="str">
        <x:v>TRY-00425</x:v>
      </x:c>
      <x:c r="B35" s="28" t="str">
        <x:v>FY27 covenant outlook</x:v>
      </x:c>
      <x:c r="C35" s="28" t="str">
        <x:v>Historical Covenant Inputs</x:v>
      </x:c>
      <x:c r="D35" s="28" t="str">
        <x:v>Consolidated</x:v>
      </x:c>
      <x:c r="E35" s="28" t="str">
        <x:v>2026-Q1</x:v>
      </x:c>
      <x:c r="F35" s="28" t="str">
        <x:v>Actual</x:v>
      </x:c>
      <x:c r="G35" s="28" t="str">
        <x:v>Scheduled debt repayment</x:v>
      </x:c>
      <x:c r="H35" s="31" t="n">
        <x:v>650000</x:v>
      </x:c>
      <x:c r="I35" s="28" t="str"/>
      <x:c r="J35" s="28" t="str">
        <x:v>USD</x:v>
      </x:c>
      <x:c r="K35" s="28" t="str">
        <x:v>Q2 lender covenant workpaper, controller tie</x:v>
      </x:c>
      <x:c r="L35" s="34" t="str">
        <x:v>2026-06-30</x:v>
      </x:c>
      <x:c r="M35" s="28" t="str"/>
    </x:row>
    <x:row r="36">
      <x:c r="A36" s="37" t="str">
        <x:v>TRY-00426</x:v>
      </x:c>
      <x:c r="B36" s="28" t="str">
        <x:v>FY27 covenant outlook</x:v>
      </x:c>
      <x:c r="C36" s="28" t="str">
        <x:v>Historical Covenant Inputs</x:v>
      </x:c>
      <x:c r="D36" s="28" t="str">
        <x:v>Consolidated</x:v>
      </x:c>
      <x:c r="E36" s="28" t="str">
        <x:v>2026-Q2</x:v>
      </x:c>
      <x:c r="F36" s="28" t="str">
        <x:v>Actual</x:v>
      </x:c>
      <x:c r="G36" s="28" t="str">
        <x:v>Quarterly covenant EBITDA</x:v>
      </x:c>
      <x:c r="H36" s="31" t="n">
        <x:v>3010000</x:v>
      </x:c>
      <x:c r="I36" s="28" t="str"/>
      <x:c r="J36" s="28" t="str">
        <x:v>USD</x:v>
      </x:c>
      <x:c r="K36" s="28" t="str">
        <x:v>Q2 lender covenant workpaper, controller tie</x:v>
      </x:c>
      <x:c r="L36" s="34" t="str">
        <x:v>2026-06-30</x:v>
      </x:c>
      <x:c r="M36" s="28" t="str"/>
    </x:row>
    <x:row r="37">
      <x:c r="A37" s="37" t="str">
        <x:v>TRY-00427</x:v>
      </x:c>
      <x:c r="B37" s="28" t="str">
        <x:v>FY27 covenant outlook</x:v>
      </x:c>
      <x:c r="C37" s="28" t="str">
        <x:v>Historical Covenant Inputs</x:v>
      </x:c>
      <x:c r="D37" s="28" t="str">
        <x:v>Consolidated</x:v>
      </x:c>
      <x:c r="E37" s="28" t="str">
        <x:v>2026-Q2</x:v>
      </x:c>
      <x:c r="F37" s="28" t="str">
        <x:v>Actual</x:v>
      </x:c>
      <x:c r="G37" s="28" t="str">
        <x:v>Cash interest</x:v>
      </x:c>
      <x:c r="H37" s="31" t="n">
        <x:v>452000</x:v>
      </x:c>
      <x:c r="I37" s="28" t="str"/>
      <x:c r="J37" s="28" t="str">
        <x:v>USD</x:v>
      </x:c>
      <x:c r="K37" s="28" t="str">
        <x:v>Q2 lender covenant workpaper, controller tie</x:v>
      </x:c>
      <x:c r="L37" s="34" t="str">
        <x:v>2026-06-30</x:v>
      </x:c>
      <x:c r="M37" s="28" t="str"/>
    </x:row>
    <x:row r="38">
      <x:c r="A38" s="37" t="str">
        <x:v>TRY-00428</x:v>
      </x:c>
      <x:c r="B38" s="28" t="str">
        <x:v>FY27 covenant outlook</x:v>
      </x:c>
      <x:c r="C38" s="28" t="str">
        <x:v>Historical Covenant Inputs</x:v>
      </x:c>
      <x:c r="D38" s="28" t="str">
        <x:v>Consolidated</x:v>
      </x:c>
      <x:c r="E38" s="28" t="str">
        <x:v>2026-Q2</x:v>
      </x:c>
      <x:c r="F38" s="28" t="str">
        <x:v>Actual</x:v>
      </x:c>
      <x:c r="G38" s="28" t="str">
        <x:v>Unfunded capital expenditures</x:v>
      </x:c>
      <x:c r="H38" s="31" t="n">
        <x:v>620</x:v>
      </x:c>
      <x:c r="I38" s="28" t="str"/>
      <x:c r="J38" s="28" t="str">
        <x:v>USD thousands</x:v>
      </x:c>
      <x:c r="K38" s="28" t="str">
        <x:v>Q2 lender covenant workpaper, controller tie</x:v>
      </x:c>
      <x:c r="L38" s="34" t="str">
        <x:v>2026-06-30</x:v>
      </x:c>
      <x:c r="M38" s="28" t="str"/>
    </x:row>
    <x:row r="39">
      <x:c r="A39" s="37" t="str">
        <x:v>TRY-00429</x:v>
      </x:c>
      <x:c r="B39" s="28" t="str">
        <x:v>FY27 covenant outlook</x:v>
      </x:c>
      <x:c r="C39" s="28" t="str">
        <x:v>Historical Covenant Inputs</x:v>
      </x:c>
      <x:c r="D39" s="28" t="str">
        <x:v>Consolidated</x:v>
      </x:c>
      <x:c r="E39" s="28" t="str">
        <x:v>2026-Q2</x:v>
      </x:c>
      <x:c r="F39" s="28" t="str">
        <x:v>Actual</x:v>
      </x:c>
      <x:c r="G39" s="28" t="str">
        <x:v>Cash taxes</x:v>
      </x:c>
      <x:c r="H39" s="31" t="n">
        <x:v>300000</x:v>
      </x:c>
      <x:c r="I39" s="28" t="str"/>
      <x:c r="J39" s="28" t="str">
        <x:v>USD</x:v>
      </x:c>
      <x:c r="K39" s="28" t="str">
        <x:v>Q2 lender covenant workpaper, controller tie</x:v>
      </x:c>
      <x:c r="L39" s="34" t="str">
        <x:v>2026-06-30</x:v>
      </x:c>
      <x:c r="M39" s="28" t="str"/>
    </x:row>
    <x:row r="40">
      <x:c r="A40" s="37" t="str">
        <x:v>TRY-00430</x:v>
      </x:c>
      <x:c r="B40" s="28" t="str">
        <x:v>FY27 covenant outlook</x:v>
      </x:c>
      <x:c r="C40" s="28" t="str">
        <x:v>Historical Covenant Inputs</x:v>
      </x:c>
      <x:c r="D40" s="28" t="str">
        <x:v>Consolidated</x:v>
      </x:c>
      <x:c r="E40" s="28" t="str">
        <x:v>2026-Q2</x:v>
      </x:c>
      <x:c r="F40" s="28" t="str">
        <x:v>Actual</x:v>
      </x:c>
      <x:c r="G40" s="28" t="str">
        <x:v>Scheduled debt repayment</x:v>
      </x:c>
      <x:c r="H40" s="31" t="n">
        <x:v>650000</x:v>
      </x:c>
      <x:c r="I40" s="28" t="str"/>
      <x:c r="J40" s="28" t="str">
        <x:v>USD</x:v>
      </x:c>
      <x:c r="K40" s="28" t="str">
        <x:v>Q2 lender covenant workpaper, controller tie</x:v>
      </x:c>
      <x:c r="L40" s="34" t="str">
        <x:v>2026-06-30</x:v>
      </x:c>
      <x:c r="M40" s="28" t="str"/>
    </x:row>
    <x:row r="41">
      <x:c r="A41" s="37" t="str">
        <x:v>TRY-00443</x:v>
      </x:c>
      <x:c r="B41" s="28" t="str">
        <x:v>Credit metrics and incremental debt capacity</x:v>
      </x:c>
      <x:c r="C41" s="28" t="str">
        <x:v>Credit population</x:v>
      </x:c>
      <x:c r="D41" s="28" t="str">
        <x:v>Funded debt</x:v>
      </x:c>
      <x:c r="E41" s="28" t="str">
        <x:v>2026-06-30</x:v>
      </x:c>
      <x:c r="F41" s="28" t="str">
        <x:v>Approved case</x:v>
      </x:c>
      <x:c r="G41" s="28" t="str">
        <x:v>Posted debt</x:v>
      </x:c>
      <x:c r="H41" s="31" t="n">
        <x:v>1</x:v>
      </x:c>
      <x:c r="I41" s="28" t="str"/>
      <x:c r="J41" s="28" t="str">
        <x:v>ledger allocation factor</x:v>
      </x:c>
      <x:c r="K41" s="28" t="str">
        <x:v>Finance operating schedule</x:v>
      </x:c>
      <x:c r="L41" s="34" t="str">
        <x:v>2026-06-30</x:v>
      </x:c>
      <x:c r="M41" s="28" t="str">
        <x:v>Vista ERP balance sheet as of 2026-06-30; accounts 2200, 2210, and 2300</x:v>
      </x:c>
    </x:row>
    <x:row r="42">
      <x:c r="A42" s="37" t="str">
        <x:v>TRY-00444</x:v>
      </x:c>
      <x:c r="B42" s="28" t="str">
        <x:v>Credit metrics and incremental debt capacity</x:v>
      </x:c>
      <x:c r="C42" s="28" t="str">
        <x:v>Credit population</x:v>
      </x:c>
      <x:c r="D42" s="28" t="str">
        <x:v>Committed acquisition facility</x:v>
      </x:c>
      <x:c r="E42" s="28" t="str">
        <x:v>2026-07-15</x:v>
      </x:c>
      <x:c r="F42" s="28" t="str">
        <x:v>Approved case</x:v>
      </x:c>
      <x:c r="G42" s="28" t="str">
        <x:v>Pro forma funded draw</x:v>
      </x:c>
      <x:c r="H42" s="31" t="n">
        <x:v>24000000</x:v>
      </x:c>
      <x:c r="I42" s="28" t="str"/>
      <x:c r="J42" s="28" t="str">
        <x:v>USD</x:v>
      </x:c>
      <x:c r="K42" s="28" t="str">
        <x:v>Finance operating schedule</x:v>
      </x:c>
      <x:c r="L42" s="34" t="str">
        <x:v>2026-06-30</x:v>
      </x:c>
      <x:c r="M42" s="28" t="str"/>
    </x:row>
    <x:row r="43">
      <x:c r="A43" s="37" t="str">
        <x:v>TRY-00445</x:v>
      </x:c>
      <x:c r="B43" s="28" t="str">
        <x:v>Credit metrics and incremental debt capacity</x:v>
      </x:c>
      <x:c r="C43" s="28" t="str">
        <x:v>Credit policy</x:v>
      </x:c>
      <x:c r="D43" s="28" t="str">
        <x:v>Alder Ridge</x:v>
      </x:c>
      <x:c r="E43" s="28" t="str">
        <x:v>LTM 2026-06-30</x:v>
      </x:c>
      <x:c r="F43" s="28" t="str">
        <x:v>Approved case</x:v>
      </x:c>
      <x:c r="G43" s="28" t="str">
        <x:v>Covenant EBITDA</x:v>
      </x:c>
      <x:c r="H43" s="31" t="n">
        <x:v>7850000</x:v>
      </x:c>
      <x:c r="I43" s="28" t="str"/>
      <x:c r="J43" s="28" t="str">
        <x:v>USD</x:v>
      </x:c>
      <x:c r="K43" s="28" t="str">
        <x:v>Finance operating schedule</x:v>
      </x:c>
      <x:c r="L43" s="34" t="str">
        <x:v>2026-06-30</x:v>
      </x:c>
      <x:c r="M43" s="28" t="str"/>
    </x:row>
    <x:row r="44">
      <x:c r="A44" s="37" t="str">
        <x:v>TRY-00446</x:v>
      </x:c>
      <x:c r="B44" s="28" t="str">
        <x:v>Credit metrics and incremental debt capacity</x:v>
      </x:c>
      <x:c r="C44" s="28" t="str">
        <x:v>Credit policy</x:v>
      </x:c>
      <x:c r="D44" s="28" t="str">
        <x:v>Alder Ridge</x:v>
      </x:c>
      <x:c r="E44" s="28" t="str">
        <x:v>LTM 2026-06-30</x:v>
      </x:c>
      <x:c r="F44" s="28" t="str">
        <x:v>Approved case</x:v>
      </x:c>
      <x:c r="G44" s="28" t="str">
        <x:v>Cash</x:v>
      </x:c>
      <x:c r="H44" s="31" t="n">
        <x:v>3743.1197599999996</x:v>
      </x:c>
      <x:c r="I44" s="28" t="str"/>
      <x:c r="J44" s="28" t="str">
        <x:v>USD thousands</x:v>
      </x:c>
      <x:c r="K44" s="28" t="str">
        <x:v>Finance operating schedule</x:v>
      </x:c>
      <x:c r="L44" s="34" t="str">
        <x:v>2026-06-30</x:v>
      </x:c>
      <x:c r="M44" s="28" t="str"/>
    </x:row>
    <x:row r="45">
      <x:c r="A45" s="37" t="str">
        <x:v>TRY-00447</x:v>
      </x:c>
      <x:c r="B45" s="28" t="str">
        <x:v>Credit metrics and incremental debt capacity</x:v>
      </x:c>
      <x:c r="C45" s="28" t="str">
        <x:v>Credit policy</x:v>
      </x:c>
      <x:c r="D45" s="28" t="str">
        <x:v>Alder Ridge</x:v>
      </x:c>
      <x:c r="E45" s="28" t="str">
        <x:v>LTM 2026-06-30</x:v>
      </x:c>
      <x:c r="F45" s="28" t="str">
        <x:v>Approved case</x:v>
      </x:c>
      <x:c r="G45" s="28" t="str">
        <x:v>Cash interest</x:v>
      </x:c>
      <x:c r="H45" s="31" t="n">
        <x:v>1280000</x:v>
      </x:c>
      <x:c r="I45" s="28" t="str"/>
      <x:c r="J45" s="28" t="str">
        <x:v>USD</x:v>
      </x:c>
      <x:c r="K45" s="28" t="str">
        <x:v>Finance operating schedule</x:v>
      </x:c>
      <x:c r="L45" s="34" t="str">
        <x:v>2026-06-30</x:v>
      </x:c>
      <x:c r="M45" s="28" t="str"/>
    </x:row>
    <x:row r="46">
      <x:c r="A46" s="37" t="str">
        <x:v>TRY-00448</x:v>
      </x:c>
      <x:c r="B46" s="28" t="str">
        <x:v>Credit metrics and incremental debt capacity</x:v>
      </x:c>
      <x:c r="C46" s="28" t="str">
        <x:v>Credit policy</x:v>
      </x:c>
      <x:c r="D46" s="28" t="str">
        <x:v>Alder Ridge</x:v>
      </x:c>
      <x:c r="E46" s="28" t="str">
        <x:v>LTM 2026-06-30</x:v>
      </x:c>
      <x:c r="F46" s="28" t="str">
        <x:v>Approved case</x:v>
      </x:c>
      <x:c r="G46" s="28" t="str">
        <x:v>Cash taxes</x:v>
      </x:c>
      <x:c r="H46" s="31" t="n">
        <x:v>920000</x:v>
      </x:c>
      <x:c r="I46" s="28" t="str"/>
      <x:c r="J46" s="28" t="str">
        <x:v>USD</x:v>
      </x:c>
      <x:c r="K46" s="28" t="str">
        <x:v>Finance operating schedule</x:v>
      </x:c>
      <x:c r="L46" s="34" t="str">
        <x:v>2026-06-30</x:v>
      </x:c>
      <x:c r="M46" s="28" t="str"/>
    </x:row>
    <x:row r="47">
      <x:c r="A47" s="37" t="str">
        <x:v>TRY-00449</x:v>
      </x:c>
      <x:c r="B47" s="28" t="str">
        <x:v>Credit metrics and incremental debt capacity</x:v>
      </x:c>
      <x:c r="C47" s="28" t="str">
        <x:v>Credit policy</x:v>
      </x:c>
      <x:c r="D47" s="28" t="str">
        <x:v>Alder Ridge</x:v>
      </x:c>
      <x:c r="E47" s="28" t="str">
        <x:v>LTM 2026-06-30</x:v>
      </x:c>
      <x:c r="F47" s="28" t="str">
        <x:v>Approved case</x:v>
      </x:c>
      <x:c r="G47" s="28" t="str">
        <x:v>Maintenance capex</x:v>
      </x:c>
      <x:c r="H47" s="31" t="n">
        <x:v>1350000</x:v>
      </x:c>
      <x:c r="I47" s="28" t="str"/>
      <x:c r="J47" s="28" t="str">
        <x:v>USD</x:v>
      </x:c>
      <x:c r="K47" s="28" t="str">
        <x:v>Finance operating schedule</x:v>
      </x:c>
      <x:c r="L47" s="34" t="str">
        <x:v>2026-06-30</x:v>
      </x:c>
      <x:c r="M47" s="28" t="str"/>
    </x:row>
    <x:row r="48">
      <x:c r="A48" s="37" t="str">
        <x:v>TRY-00450</x:v>
      </x:c>
      <x:c r="B48" s="28" t="str">
        <x:v>Credit metrics and incremental debt capacity</x:v>
      </x:c>
      <x:c r="C48" s="28" t="str">
        <x:v>Credit policy</x:v>
      </x:c>
      <x:c r="D48" s="28" t="str">
        <x:v>Alder Ridge</x:v>
      </x:c>
      <x:c r="E48" s="28" t="str">
        <x:v>LTM 2026-06-30</x:v>
      </x:c>
      <x:c r="F48" s="28" t="str">
        <x:v>Approved case</x:v>
      </x:c>
      <x:c r="G48" s="28" t="str">
        <x:v>Distributions</x:v>
      </x:c>
      <x:c r="H48" s="31" t="n">
        <x:v>450</x:v>
      </x:c>
      <x:c r="I48" s="28" t="str"/>
      <x:c r="J48" s="28" t="str">
        <x:v>USD thousands</x:v>
      </x:c>
      <x:c r="K48" s="28" t="str">
        <x:v>Finance operating schedule</x:v>
      </x:c>
      <x:c r="L48" s="34" t="str">
        <x:v>2026-06-30</x:v>
      </x:c>
      <x:c r="M48" s="28" t="str"/>
    </x:row>
    <x:row r="49">
      <x:c r="A49" s="37" t="str">
        <x:v>TRY-00451</x:v>
      </x:c>
      <x:c r="B49" s="28" t="str">
        <x:v>Credit metrics and incremental debt capacity</x:v>
      </x:c>
      <x:c r="C49" s="28" t="str">
        <x:v>Credit policy</x:v>
      </x:c>
      <x:c r="D49" s="28" t="str">
        <x:v>Alder Ridge</x:v>
      </x:c>
      <x:c r="E49" s="28" t="str">
        <x:v>LTM 2026-06-30</x:v>
      </x:c>
      <x:c r="F49" s="28" t="str">
        <x:v>Approved case</x:v>
      </x:c>
      <x:c r="G49" s="28" t="str">
        <x:v>Tangible net worth</x:v>
      </x:c>
      <x:c r="H49" s="31" t="n">
        <x:v>23100000</x:v>
      </x:c>
      <x:c r="I49" s="28" t="str"/>
      <x:c r="J49" s="28" t="str">
        <x:v>USD</x:v>
      </x:c>
      <x:c r="K49" s="28" t="str">
        <x:v>Finance operating schedule</x:v>
      </x:c>
      <x:c r="L49" s="34" t="str">
        <x:v>2026-06-30</x:v>
      </x:c>
      <x:c r="M49" s="28" t="str"/>
    </x:row>
    <x:row r="50">
      <x:c r="A50" s="37" t="str">
        <x:v>TRY-00452</x:v>
      </x:c>
      <x:c r="B50" s="28" t="str">
        <x:v>Credit metrics and incremental debt capacity</x:v>
      </x:c>
      <x:c r="C50" s="28" t="str">
        <x:v>Credit policy</x:v>
      </x:c>
      <x:c r="D50" s="28" t="str">
        <x:v>Alder Ridge</x:v>
      </x:c>
      <x:c r="E50" s="28" t="str">
        <x:v>LTM 2026-06-30</x:v>
      </x:c>
      <x:c r="F50" s="28" t="str">
        <x:v>Approved case</x:v>
      </x:c>
      <x:c r="G50" s="28" t="str">
        <x:v>Minimum tangible net worth</x:v>
      </x:c>
      <x:c r="H50" s="31" t="n">
        <x:v>18500000</x:v>
      </x:c>
      <x:c r="I50" s="28" t="str"/>
      <x:c r="J50" s="28" t="str">
        <x:v>USD</x:v>
      </x:c>
      <x:c r="K50" s="28" t="str">
        <x:v>Finance operating schedule</x:v>
      </x:c>
      <x:c r="L50" s="34" t="str">
        <x:v>2026-06-30</x:v>
      </x:c>
      <x:c r="M50" s="28" t="str"/>
    </x:row>
    <x:row r="51">
      <x:c r="A51" s="37" t="str">
        <x:v>TRY-00453</x:v>
      </x:c>
      <x:c r="B51" s="28" t="str">
        <x:v>Credit metrics and incremental debt capacity</x:v>
      </x:c>
      <x:c r="C51" s="28" t="str">
        <x:v>Credit policy</x:v>
      </x:c>
      <x:c r="D51" s="28" t="str">
        <x:v>Alder Ridge</x:v>
      </x:c>
      <x:c r="E51" s="28" t="str">
        <x:v>LTM 2026-06-30</x:v>
      </x:c>
      <x:c r="F51" s="28" t="str">
        <x:v>Approved case</x:v>
      </x:c>
      <x:c r="G51" s="28" t="str">
        <x:v>Maximum gross leverage</x:v>
      </x:c>
      <x:c r="H51" s="31" t="n">
        <x:v>3.25</x:v>
      </x:c>
      <x:c r="I51" s="28" t="str"/>
      <x:c r="J51" s="28" t="str">
        <x:v>multiple</x:v>
      </x:c>
      <x:c r="K51" s="28" t="str">
        <x:v>Finance operating schedule</x:v>
      </x:c>
      <x:c r="L51" s="34" t="str">
        <x:v>2026-06-30</x:v>
      </x:c>
      <x:c r="M51" s="28" t="str"/>
    </x:row>
    <x:row r="52">
      <x:c r="A52" s="37" t="str">
        <x:v>TRY-00454</x:v>
      </x:c>
      <x:c r="B52" s="28" t="str">
        <x:v>Credit metrics and incremental debt capacity</x:v>
      </x:c>
      <x:c r="C52" s="28" t="str">
        <x:v>Credit policy</x:v>
      </x:c>
      <x:c r="D52" s="28" t="str">
        <x:v>Alder Ridge</x:v>
      </x:c>
      <x:c r="E52" s="28" t="str">
        <x:v>LTM 2026-06-30</x:v>
      </x:c>
      <x:c r="F52" s="28" t="str">
        <x:v>Approved case</x:v>
      </x:c>
      <x:c r="G52" s="28" t="str">
        <x:v>Minimum interest coverage</x:v>
      </x:c>
      <x:c r="H52" s="31" t="n">
        <x:v>3</x:v>
      </x:c>
      <x:c r="I52" s="28" t="str"/>
      <x:c r="J52" s="28" t="str">
        <x:v>multiple</x:v>
      </x:c>
      <x:c r="K52" s="28" t="str">
        <x:v>Finance operating schedule</x:v>
      </x:c>
      <x:c r="L52" s="34" t="str">
        <x:v>2026-06-30</x:v>
      </x:c>
      <x:c r="M52" s="28" t="str"/>
    </x:row>
    <x:row r="53">
      <x:c r="A53" s="37" t="str">
        <x:v>TRY-00455</x:v>
      </x:c>
      <x:c r="B53" s="28" t="str">
        <x:v>Credit metrics and incremental debt capacity</x:v>
      </x:c>
      <x:c r="C53" s="28" t="str">
        <x:v>Credit policy</x:v>
      </x:c>
      <x:c r="D53" s="28" t="str">
        <x:v>Alder Ridge</x:v>
      </x:c>
      <x:c r="E53" s="28" t="str">
        <x:v>LTM 2026-06-30</x:v>
      </x:c>
      <x:c r="F53" s="28" t="str">
        <x:v>Approved case</x:v>
      </x:c>
      <x:c r="G53" s="28" t="str">
        <x:v>Minimum fixed-charge coverage</x:v>
      </x:c>
      <x:c r="H53" s="31" t="n">
        <x:v>1.35</x:v>
      </x:c>
      <x:c r="I53" s="28" t="str"/>
      <x:c r="J53" s="28" t="str">
        <x:v>multiple</x:v>
      </x:c>
      <x:c r="K53" s="28" t="str">
        <x:v>Finance operating schedule</x:v>
      </x:c>
      <x:c r="L53" s="34" t="str">
        <x:v>2026-06-30</x:v>
      </x:c>
      <x:c r="M53" s="28" t="str"/>
    </x:row>
    <x:row r="54">
      <x:c r="A54" s="37" t="str">
        <x:v>TRY-00456</x:v>
      </x:c>
      <x:c r="B54" s="28" t="str">
        <x:v>Credit metrics and incremental debt capacity</x:v>
      </x:c>
      <x:c r="C54" s="28" t="str">
        <x:v>Credit policy</x:v>
      </x:c>
      <x:c r="D54" s="28" t="str">
        <x:v>Alder Ridge</x:v>
      </x:c>
      <x:c r="E54" s="28" t="str">
        <x:v>LTM 2026-06-30</x:v>
      </x:c>
      <x:c r="F54" s="28" t="str">
        <x:v>Approved case</x:v>
      </x:c>
      <x:c r="G54" s="28" t="str">
        <x:v>Internal ratings debt cap</x:v>
      </x:c>
      <x:c r="H54" s="31" t="n">
        <x:v>12000000</x:v>
      </x:c>
      <x:c r="I54" s="28" t="str"/>
      <x:c r="J54" s="28" t="str">
        <x:v>USD</x:v>
      </x:c>
      <x:c r="K54" s="28" t="str">
        <x:v>Finance operating schedule</x:v>
      </x:c>
      <x:c r="L54" s="34" t="str">
        <x:v>2026-06-30</x:v>
      </x:c>
      <x:c r="M54" s="28" t="str"/>
    </x:row>
    <x:row r="55">
      <x:c r="A55" s="37" t="str">
        <x:v>TRY-00457</x:v>
      </x:c>
      <x:c r="B55" s="28" t="str">
        <x:v>Credit metrics and incremental debt capacity</x:v>
      </x:c>
      <x:c r="C55" s="28" t="str">
        <x:v>Credit policy</x:v>
      </x:c>
      <x:c r="D55" s="28" t="str">
        <x:v>Alder Ridge</x:v>
      </x:c>
      <x:c r="E55" s="28" t="str">
        <x:v>LTM 2026-06-30</x:v>
      </x:c>
      <x:c r="F55" s="28" t="str">
        <x:v>Approved case</x:v>
      </x:c>
      <x:c r="G55" s="28" t="str">
        <x:v>Incremental debt interest rate</x:v>
      </x:c>
      <x:c r="H55" s="31" t="n">
        <x:v>0.075</x:v>
      </x:c>
      <x:c r="I55" s="28" t="str"/>
      <x:c r="J55" s="28" t="str">
        <x:v>decimal ratio</x:v>
      </x:c>
      <x:c r="K55" s="28" t="str">
        <x:v>Finance operating schedule</x:v>
      </x:c>
      <x:c r="L55" s="34" t="str">
        <x:v>2026-06-30</x:v>
      </x:c>
      <x:c r="M55" s="28" t="str"/>
    </x:row>
    <x:row r="56">
      <x:c r="A56" s="37" t="str">
        <x:v>TRY-00738</x:v>
      </x:c>
      <x:c r="B56" s="28" t="str">
        <x:v>ABL borrowing base and covenant cure</x:v>
      </x:c>
      <x:c r="C56" s="28" t="str">
        <x:v>ABL borrowing base</x:v>
      </x:c>
      <x:c r="D56" s="28" t="str">
        <x:v>Eligible accounts receivable</x:v>
      </x:c>
      <x:c r="E56" s="28" t="str">
        <x:v>2026-06-30</x:v>
      </x:c>
      <x:c r="F56" s="28" t="str">
        <x:v>Approved case</x:v>
      </x:c>
      <x:c r="G56" s="28" t="str">
        <x:v>Gross eligible collateral</x:v>
      </x:c>
      <x:c r="H56" s="31" t="n">
        <x:v>11850000</x:v>
      </x:c>
      <x:c r="I56" s="28" t="str"/>
      <x:c r="J56" s="28" t="str">
        <x:v>USD</x:v>
      </x:c>
      <x:c r="K56" s="28" t="str">
        <x:v>Finance operating schedule</x:v>
      </x:c>
      <x:c r="L56" s="34" t="str">
        <x:v>2026-06-30</x:v>
      </x:c>
      <x:c r="M56" s="28" t="str"/>
    </x:row>
    <x:row r="57">
      <x:c r="A57" s="37" t="str">
        <x:v>TRY-00739</x:v>
      </x:c>
      <x:c r="B57" s="28" t="str">
        <x:v>ABL borrowing base and covenant cure</x:v>
      </x:c>
      <x:c r="C57" s="28" t="str">
        <x:v>ABL borrowing base</x:v>
      </x:c>
      <x:c r="D57" s="28" t="str">
        <x:v>Eligible accounts receivable</x:v>
      </x:c>
      <x:c r="E57" s="28" t="str">
        <x:v>2026-06-30</x:v>
      </x:c>
      <x:c r="F57" s="28" t="str">
        <x:v>Approved case</x:v>
      </x:c>
      <x:c r="G57" s="28" t="str">
        <x:v>Advance rate</x:v>
      </x:c>
      <x:c r="H57" s="31" t="n">
        <x:v>0.85</x:v>
      </x:c>
      <x:c r="I57" s="28" t="str"/>
      <x:c r="J57" s="28" t="str">
        <x:v>decimal ratio</x:v>
      </x:c>
      <x:c r="K57" s="28" t="str">
        <x:v>Finance operating schedule</x:v>
      </x:c>
      <x:c r="L57" s="34" t="str">
        <x:v>2026-06-30</x:v>
      </x:c>
      <x:c r="M57" s="28" t="str"/>
    </x:row>
    <x:row r="58">
      <x:c r="A58" s="37" t="str">
        <x:v>TRY-00740</x:v>
      </x:c>
      <x:c r="B58" s="28" t="str">
        <x:v>ABL borrowing base and covenant cure</x:v>
      </x:c>
      <x:c r="C58" s="28" t="str">
        <x:v>ABL borrowing base</x:v>
      </x:c>
      <x:c r="D58" s="28" t="str">
        <x:v>Eligible accounts receivable</x:v>
      </x:c>
      <x:c r="E58" s="28" t="str">
        <x:v>2026-06-30</x:v>
      </x:c>
      <x:c r="F58" s="28" t="str">
        <x:v>Approved case</x:v>
      </x:c>
      <x:c r="G58" s="28" t="str">
        <x:v>Specific reserve</x:v>
      </x:c>
      <x:c r="H58" s="31" t="n">
        <x:v>1420000</x:v>
      </x:c>
      <x:c r="I58" s="28" t="str"/>
      <x:c r="J58" s="28" t="str">
        <x:v>USD</x:v>
      </x:c>
      <x:c r="K58" s="28" t="str">
        <x:v>Finance operating schedule</x:v>
      </x:c>
      <x:c r="L58" s="34" t="str">
        <x:v>2026-06-30</x:v>
      </x:c>
      <x:c r="M58" s="28" t="str"/>
    </x:row>
    <x:row r="59">
      <x:c r="A59" s="37" t="str">
        <x:v>TRY-00741</x:v>
      </x:c>
      <x:c r="B59" s="28" t="str">
        <x:v>ABL borrowing base and covenant cure</x:v>
      </x:c>
      <x:c r="C59" s="28" t="str">
        <x:v>ABL borrowing base</x:v>
      </x:c>
      <x:c r="D59" s="28" t="str">
        <x:v>Eligible inventory</x:v>
      </x:c>
      <x:c r="E59" s="28" t="str">
        <x:v>2026-06-30</x:v>
      </x:c>
      <x:c r="F59" s="28" t="str">
        <x:v>Approved case</x:v>
      </x:c>
      <x:c r="G59" s="28" t="str">
        <x:v>Gross eligible collateral</x:v>
      </x:c>
      <x:c r="H59" s="31" t="n">
        <x:v>3600</x:v>
      </x:c>
      <x:c r="I59" s="28" t="str"/>
      <x:c r="J59" s="28" t="str">
        <x:v>USD thousands</x:v>
      </x:c>
      <x:c r="K59" s="28" t="str">
        <x:v>Finance operating schedule</x:v>
      </x:c>
      <x:c r="L59" s="34" t="str">
        <x:v>2026-06-30</x:v>
      </x:c>
      <x:c r="M59" s="28" t="str"/>
    </x:row>
    <x:row r="60">
      <x:c r="A60" s="37" t="str">
        <x:v>TRY-00742</x:v>
      </x:c>
      <x:c r="B60" s="28" t="str">
        <x:v>ABL borrowing base and covenant cure</x:v>
      </x:c>
      <x:c r="C60" s="28" t="str">
        <x:v>ABL borrowing base</x:v>
      </x:c>
      <x:c r="D60" s="28" t="str">
        <x:v>Eligible inventory</x:v>
      </x:c>
      <x:c r="E60" s="28" t="str">
        <x:v>2026-06-30</x:v>
      </x:c>
      <x:c r="F60" s="28" t="str">
        <x:v>Approved case</x:v>
      </x:c>
      <x:c r="G60" s="28" t="str">
        <x:v>Advance rate</x:v>
      </x:c>
      <x:c r="H60" s="31" t="n">
        <x:v>0.5</x:v>
      </x:c>
      <x:c r="I60" s="28" t="str"/>
      <x:c r="J60" s="28" t="str">
        <x:v>decimal ratio</x:v>
      </x:c>
      <x:c r="K60" s="28" t="str">
        <x:v>Finance operating schedule</x:v>
      </x:c>
      <x:c r="L60" s="34" t="str">
        <x:v>2026-06-30</x:v>
      </x:c>
      <x:c r="M60" s="28" t="str"/>
    </x:row>
    <x:row r="61">
      <x:c r="A61" s="37" t="str">
        <x:v>TRY-00743</x:v>
      </x:c>
      <x:c r="B61" s="28" t="str">
        <x:v>ABL borrowing base and covenant cure</x:v>
      </x:c>
      <x:c r="C61" s="28" t="str">
        <x:v>ABL borrowing base</x:v>
      </x:c>
      <x:c r="D61" s="28" t="str">
        <x:v>Eligible inventory</x:v>
      </x:c>
      <x:c r="E61" s="28" t="str">
        <x:v>2026-06-30</x:v>
      </x:c>
      <x:c r="F61" s="28" t="str">
        <x:v>Approved case</x:v>
      </x:c>
      <x:c r="G61" s="28" t="str">
        <x:v>Specific reserve</x:v>
      </x:c>
      <x:c r="H61" s="31" t="n">
        <x:v>440000</x:v>
      </x:c>
      <x:c r="I61" s="28" t="str"/>
      <x:c r="J61" s="28" t="str">
        <x:v>USD</x:v>
      </x:c>
      <x:c r="K61" s="28" t="str">
        <x:v>Finance operating schedule</x:v>
      </x:c>
      <x:c r="L61" s="34" t="str">
        <x:v>2026-06-30</x:v>
      </x:c>
      <x:c r="M61" s="28" t="str"/>
    </x:row>
    <x:row r="62">
      <x:c r="A62" s="37" t="str">
        <x:v>TRY-00744</x:v>
      </x:c>
      <x:c r="B62" s="28" t="str">
        <x:v>ABL borrowing base and covenant cure</x:v>
      </x:c>
      <x:c r="C62" s="28" t="str">
        <x:v>ABL borrowing base</x:v>
      </x:c>
      <x:c r="D62" s="28" t="str">
        <x:v>Eligible equipment</x:v>
      </x:c>
      <x:c r="E62" s="28" t="str">
        <x:v>2026-06-30</x:v>
      </x:c>
      <x:c r="F62" s="28" t="str">
        <x:v>Approved case</x:v>
      </x:c>
      <x:c r="G62" s="28" t="str">
        <x:v>Gross eligible collateral</x:v>
      </x:c>
      <x:c r="H62" s="31" t="n">
        <x:v>5200000</x:v>
      </x:c>
      <x:c r="I62" s="28" t="str"/>
      <x:c r="J62" s="28" t="str">
        <x:v>USD</x:v>
      </x:c>
      <x:c r="K62" s="28" t="str">
        <x:v>Finance operating schedule</x:v>
      </x:c>
      <x:c r="L62" s="34" t="str">
        <x:v>2026-06-30</x:v>
      </x:c>
      <x:c r="M62" s="28" t="str"/>
    </x:row>
    <x:row r="63">
      <x:c r="A63" s="37" t="str">
        <x:v>TRY-00745</x:v>
      </x:c>
      <x:c r="B63" s="28" t="str">
        <x:v>ABL borrowing base and covenant cure</x:v>
      </x:c>
      <x:c r="C63" s="28" t="str">
        <x:v>ABL borrowing base</x:v>
      </x:c>
      <x:c r="D63" s="28" t="str">
        <x:v>Eligible equipment</x:v>
      </x:c>
      <x:c r="E63" s="28" t="str">
        <x:v>2026-06-30</x:v>
      </x:c>
      <x:c r="F63" s="28" t="str">
        <x:v>Approved case</x:v>
      </x:c>
      <x:c r="G63" s="28" t="str">
        <x:v>Advance rate</x:v>
      </x:c>
      <x:c r="H63" s="31" t="n">
        <x:v>0.35</x:v>
      </x:c>
      <x:c r="I63" s="28" t="str"/>
      <x:c r="J63" s="28" t="str">
        <x:v>decimal ratio</x:v>
      </x:c>
      <x:c r="K63" s="28" t="str">
        <x:v>Finance operating schedule</x:v>
      </x:c>
      <x:c r="L63" s="34" t="str">
        <x:v>2026-06-30</x:v>
      </x:c>
      <x:c r="M63" s="28" t="str"/>
    </x:row>
    <x:row r="64">
      <x:c r="A64" s="37" t="str">
        <x:v>TRY-00746</x:v>
      </x:c>
      <x:c r="B64" s="28" t="str">
        <x:v>ABL borrowing base and covenant cure</x:v>
      </x:c>
      <x:c r="C64" s="28" t="str">
        <x:v>ABL borrowing base</x:v>
      </x:c>
      <x:c r="D64" s="28" t="str">
        <x:v>Eligible equipment</x:v>
      </x:c>
      <x:c r="E64" s="28" t="str">
        <x:v>2026-06-30</x:v>
      </x:c>
      <x:c r="F64" s="28" t="str">
        <x:v>Approved case</x:v>
      </x:c>
      <x:c r="G64" s="28" t="str">
        <x:v>Specific reserve</x:v>
      </x:c>
      <x:c r="H64" s="31" t="n">
        <x:v>0</x:v>
      </x:c>
      <x:c r="I64" s="28" t="str"/>
      <x:c r="J64" s="28" t="str">
        <x:v>USD</x:v>
      </x:c>
      <x:c r="K64" s="28" t="str">
        <x:v>Finance operating schedule</x:v>
      </x:c>
      <x:c r="L64" s="34" t="str">
        <x:v>2026-06-30</x:v>
      </x:c>
      <x:c r="M64" s="28" t="str"/>
    </x:row>
    <x:row r="65">
      <x:c r="A65" s="37" t="str">
        <x:v>TRY-00747</x:v>
      </x:c>
      <x:c r="B65" s="28" t="str">
        <x:v>ABL borrowing base and covenant cure</x:v>
      </x:c>
      <x:c r="C65" s="28" t="str">
        <x:v>ABL eligibility exclusions</x:v>
      </x:c>
      <x:c r="D65" s="28" t="str">
        <x:v>AR over 90 days</x:v>
      </x:c>
      <x:c r="E65" s="28" t="str">
        <x:v>2026-06-30</x:v>
      </x:c>
      <x:c r="F65" s="28" t="str">
        <x:v>Approved case</x:v>
      </x:c>
      <x:c r="G65" s="28" t="str">
        <x:v>Excluded amount</x:v>
      </x:c>
      <x:c r="H65" s="31" t="n">
        <x:v>760000</x:v>
      </x:c>
      <x:c r="I65" s="28" t="str"/>
      <x:c r="J65" s="28" t="str">
        <x:v>USD</x:v>
      </x:c>
      <x:c r="K65" s="28" t="str">
        <x:v>Finance operating schedule</x:v>
      </x:c>
      <x:c r="L65" s="34" t="str">
        <x:v>2026-06-30</x:v>
      </x:c>
      <x:c r="M65" s="28" t="str"/>
    </x:row>
    <x:row r="66">
      <x:c r="A66" s="37" t="str">
        <x:v>TRY-00748</x:v>
      </x:c>
      <x:c r="B66" s="28" t="str">
        <x:v>ABL borrowing base and covenant cure</x:v>
      </x:c>
      <x:c r="C66" s="28" t="str">
        <x:v>ABL eligibility exclusions</x:v>
      </x:c>
      <x:c r="D66" s="28" t="str">
        <x:v>Cross-aged customers</x:v>
      </x:c>
      <x:c r="E66" s="28" t="str">
        <x:v>2026-06-30</x:v>
      </x:c>
      <x:c r="F66" s="28" t="str">
        <x:v>Approved case</x:v>
      </x:c>
      <x:c r="G66" s="28" t="str">
        <x:v>Excluded amount</x:v>
      </x:c>
      <x:c r="H66" s="31" t="n">
        <x:v>540000</x:v>
      </x:c>
      <x:c r="I66" s="28" t="str"/>
      <x:c r="J66" s="28" t="str">
        <x:v>USD</x:v>
      </x:c>
      <x:c r="K66" s="28" t="str">
        <x:v>Finance operating schedule</x:v>
      </x:c>
      <x:c r="L66" s="34" t="str">
        <x:v>2026-06-30</x:v>
      </x:c>
      <x:c r="M66" s="28" t="str"/>
    </x:row>
    <x:row r="67">
      <x:c r="A67" s="37" t="str">
        <x:v>TRY-00749</x:v>
      </x:c>
      <x:c r="B67" s="28" t="str">
        <x:v>ABL borrowing base and covenant cure</x:v>
      </x:c>
      <x:c r="C67" s="28" t="str">
        <x:v>ABL eligibility exclusions</x:v>
      </x:c>
      <x:c r="D67" s="28" t="str">
        <x:v>Related-party AR</x:v>
      </x:c>
      <x:c r="E67" s="28" t="str">
        <x:v>2026-06-30</x:v>
      </x:c>
      <x:c r="F67" s="28" t="str">
        <x:v>Approved case</x:v>
      </x:c>
      <x:c r="G67" s="28" t="str">
        <x:v>Excluded amount</x:v>
      </x:c>
      <x:c r="H67" s="31" t="n">
        <x:v>180</x:v>
      </x:c>
      <x:c r="I67" s="28" t="str"/>
      <x:c r="J67" s="28" t="str">
        <x:v>USD thousands</x:v>
      </x:c>
      <x:c r="K67" s="28" t="str">
        <x:v>Finance operating schedule</x:v>
      </x:c>
      <x:c r="L67" s="34" t="str">
        <x:v>2026-06-30</x:v>
      </x:c>
      <x:c r="M67" s="28" t="str"/>
    </x:row>
    <x:row r="68">
      <x:c r="A68" s="37" t="str">
        <x:v>TRY-00750</x:v>
      </x:c>
      <x:c r="B68" s="28" t="str">
        <x:v>ABL borrowing base and covenant cure</x:v>
      </x:c>
      <x:c r="C68" s="28" t="str">
        <x:v>ABL eligibility exclusions</x:v>
      </x:c>
      <x:c r="D68" s="28" t="str">
        <x:v>Obsolete inventory</x:v>
      </x:c>
      <x:c r="E68" s="28" t="str">
        <x:v>2026-06-30</x:v>
      </x:c>
      <x:c r="F68" s="28" t="str">
        <x:v>Approved case</x:v>
      </x:c>
      <x:c r="G68" s="28" t="str">
        <x:v>Excluded amount</x:v>
      </x:c>
      <x:c r="H68" s="31" t="n">
        <x:v>390000</x:v>
      </x:c>
      <x:c r="I68" s="28" t="str"/>
      <x:c r="J68" s="28" t="str">
        <x:v>USD</x:v>
      </x:c>
      <x:c r="K68" s="28" t="str">
        <x:v>Finance operating schedule</x:v>
      </x:c>
      <x:c r="L68" s="34" t="str">
        <x:v>2026-06-30</x:v>
      </x:c>
      <x:c r="M68" s="28" t="str"/>
    </x:row>
    <x:row r="69">
      <x:c r="A69" s="37" t="str">
        <x:v>TRY-00751</x:v>
      </x:c>
      <x:c r="B69" s="28" t="str">
        <x:v>ABL borrowing base and covenant cure</x:v>
      </x:c>
      <x:c r="C69" s="28" t="str">
        <x:v>ABL covenant inputs</x:v>
      </x:c>
      <x:c r="D69" s="28" t="str">
        <x:v>Alder Ridge</x:v>
      </x:c>
      <x:c r="E69" s="28" t="str">
        <x:v>2026-06-30</x:v>
      </x:c>
      <x:c r="F69" s="28" t="str">
        <x:v>Approved case</x:v>
      </x:c>
      <x:c r="G69" s="28" t="str">
        <x:v>Facility commitment</x:v>
      </x:c>
      <x:c r="H69" s="31" t="n">
        <x:v>12000000</x:v>
      </x:c>
      <x:c r="I69" s="28" t="str"/>
      <x:c r="J69" s="28" t="str">
        <x:v>USD</x:v>
      </x:c>
      <x:c r="K69" s="28" t="str">
        <x:v>Finance operating schedule</x:v>
      </x:c>
      <x:c r="L69" s="34" t="str">
        <x:v>2026-06-30</x:v>
      </x:c>
      <x:c r="M69" s="28" t="str"/>
    </x:row>
    <x:row r="70">
      <x:c r="A70" s="37" t="str">
        <x:v>TRY-00752</x:v>
      </x:c>
      <x:c r="B70" s="28" t="str">
        <x:v>ABL borrowing base and covenant cure</x:v>
      </x:c>
      <x:c r="C70" s="28" t="str">
        <x:v>ABL covenant inputs</x:v>
      </x:c>
      <x:c r="D70" s="28" t="str">
        <x:v>Alder Ridge</x:v>
      </x:c>
      <x:c r="E70" s="28" t="str">
        <x:v>2026-06-30</x:v>
      </x:c>
      <x:c r="F70" s="28" t="str">
        <x:v>Approved case</x:v>
      </x:c>
      <x:c r="G70" s="28" t="str">
        <x:v>Existing letters of credit</x:v>
      </x:c>
      <x:c r="H70" s="31" t="n">
        <x:v>850000</x:v>
      </x:c>
      <x:c r="I70" s="28" t="str"/>
      <x:c r="J70" s="28" t="str">
        <x:v>USD</x:v>
      </x:c>
      <x:c r="K70" s="28" t="str">
        <x:v>Finance operating schedule</x:v>
      </x:c>
      <x:c r="L70" s="34" t="str">
        <x:v>2026-06-30</x:v>
      </x:c>
      <x:c r="M70" s="28" t="str"/>
    </x:row>
    <x:row r="71">
      <x:c r="A71" s="37" t="str">
        <x:v>TRY-00753</x:v>
      </x:c>
      <x:c r="B71" s="28" t="str">
        <x:v>ABL borrowing base and covenant cure</x:v>
      </x:c>
      <x:c r="C71" s="28" t="str">
        <x:v>ABL covenant inputs</x:v>
      </x:c>
      <x:c r="D71" s="28" t="str">
        <x:v>Alder Ridge</x:v>
      </x:c>
      <x:c r="E71" s="28" t="str">
        <x:v>2026-06-30</x:v>
      </x:c>
      <x:c r="F71" s="28" t="str">
        <x:v>Approved case</x:v>
      </x:c>
      <x:c r="G71" s="28" t="str">
        <x:v>Existing revolver</x:v>
      </x:c>
      <x:c r="H71" s="31" t="n">
        <x:v>4900</x:v>
      </x:c>
      <x:c r="I71" s="28" t="str"/>
      <x:c r="J71" s="28" t="str">
        <x:v>USD thousands</x:v>
      </x:c>
      <x:c r="K71" s="28" t="str">
        <x:v>Finance operating schedule</x:v>
      </x:c>
      <x:c r="L71" s="34" t="str">
        <x:v>2026-06-30</x:v>
      </x:c>
      <x:c r="M71" s="28" t="str"/>
    </x:row>
    <x:row r="72">
      <x:c r="A72" s="37" t="str">
        <x:v>TRY-00754</x:v>
      </x:c>
      <x:c r="B72" s="28" t="str">
        <x:v>ABL borrowing base and covenant cure</x:v>
      </x:c>
      <x:c r="C72" s="28" t="str">
        <x:v>ABL covenant inputs</x:v>
      </x:c>
      <x:c r="D72" s="28" t="str">
        <x:v>Alder Ridge</x:v>
      </x:c>
      <x:c r="E72" s="28" t="str">
        <x:v>2026-06-30</x:v>
      </x:c>
      <x:c r="F72" s="28" t="str">
        <x:v>Approved case</x:v>
      </x:c>
      <x:c r="G72" s="28" t="str">
        <x:v>Availability block</x:v>
      </x:c>
      <x:c r="H72" s="31" t="n">
        <x:v>750000</x:v>
      </x:c>
      <x:c r="I72" s="28" t="str"/>
      <x:c r="J72" s="28" t="str">
        <x:v>USD</x:v>
      </x:c>
      <x:c r="K72" s="28" t="str">
        <x:v>Finance operating schedule</x:v>
      </x:c>
      <x:c r="L72" s="34" t="str">
        <x:v>2026-06-30</x:v>
      </x:c>
      <x:c r="M72" s="28" t="str"/>
    </x:row>
    <x:row r="73">
      <x:c r="A73" s="37" t="str">
        <x:v>TRY-00755</x:v>
      </x:c>
      <x:c r="B73" s="28" t="str">
        <x:v>ABL borrowing base and covenant cure</x:v>
      </x:c>
      <x:c r="C73" s="28" t="str">
        <x:v>ABL covenant inputs</x:v>
      </x:c>
      <x:c r="D73" s="28" t="str">
        <x:v>Alder Ridge</x:v>
      </x:c>
      <x:c r="E73" s="28" t="str">
        <x:v>2026-06-30</x:v>
      </x:c>
      <x:c r="F73" s="28" t="str">
        <x:v>Approved case</x:v>
      </x:c>
      <x:c r="G73" s="28" t="str">
        <x:v>Minimum excess availability</x:v>
      </x:c>
      <x:c r="H73" s="31" t="n">
        <x:v>1500000</x:v>
      </x:c>
      <x:c r="I73" s="28" t="str"/>
      <x:c r="J73" s="28" t="str">
        <x:v>USD</x:v>
      </x:c>
      <x:c r="K73" s="28" t="str">
        <x:v>Finance operating schedule</x:v>
      </x:c>
      <x:c r="L73" s="34" t="str">
        <x:v>2026-06-30</x:v>
      </x:c>
      <x:c r="M73" s="28" t="str"/>
    </x:row>
    <x:row r="74">
      <x:c r="A74" s="37" t="str">
        <x:v>TRY-00756</x:v>
      </x:c>
      <x:c r="B74" s="28" t="str">
        <x:v>ABL borrowing base and covenant cure</x:v>
      </x:c>
      <x:c r="C74" s="28" t="str">
        <x:v>ABL covenant inputs</x:v>
      </x:c>
      <x:c r="D74" s="28" t="str">
        <x:v>Alder Ridge</x:v>
      </x:c>
      <x:c r="E74" s="28" t="str">
        <x:v>2026-06-30</x:v>
      </x:c>
      <x:c r="F74" s="28" t="str">
        <x:v>Approved case</x:v>
      </x:c>
      <x:c r="G74" s="28" t="str">
        <x:v>Minimum fixed charge coverage</x:v>
      </x:c>
      <x:c r="H74" s="31" t="n">
        <x:v>1.2</x:v>
      </x:c>
      <x:c r="I74" s="28" t="str"/>
      <x:c r="J74" s="28" t="str">
        <x:v>multiple</x:v>
      </x:c>
      <x:c r="K74" s="28" t="str">
        <x:v>Finance operating schedule</x:v>
      </x:c>
      <x:c r="L74" s="34" t="str">
        <x:v>2026-06-30</x:v>
      </x:c>
      <x:c r="M74" s="28" t="str"/>
    </x:row>
    <x:row r="75">
      <x:c r="A75" s="37" t="str">
        <x:v>TRY-00757</x:v>
      </x:c>
      <x:c r="B75" s="28" t="str">
        <x:v>ABL borrowing base and covenant cure</x:v>
      </x:c>
      <x:c r="C75" s="28" t="str">
        <x:v>ABL covenant inputs</x:v>
      </x:c>
      <x:c r="D75" s="28" t="str">
        <x:v>Alder Ridge</x:v>
      </x:c>
      <x:c r="E75" s="28" t="str">
        <x:v>2026-06-30</x:v>
      </x:c>
      <x:c r="F75" s="28" t="str">
        <x:v>Approved case</x:v>
      </x:c>
      <x:c r="G75" s="28" t="str">
        <x:v>EBITDA</x:v>
      </x:c>
      <x:c r="H75" s="31" t="n">
        <x:v>5100</x:v>
      </x:c>
      <x:c r="I75" s="28" t="str"/>
      <x:c r="J75" s="28" t="str">
        <x:v>USD thousands</x:v>
      </x:c>
      <x:c r="K75" s="28" t="str">
        <x:v>Finance operating schedule</x:v>
      </x:c>
      <x:c r="L75" s="34" t="str">
        <x:v>2026-06-30</x:v>
      </x:c>
      <x:c r="M75" s="28" t="str"/>
    </x:row>
    <x:row r="76">
      <x:c r="A76" s="37" t="str">
        <x:v>TRY-00758</x:v>
      </x:c>
      <x:c r="B76" s="28" t="str">
        <x:v>ABL borrowing base and covenant cure</x:v>
      </x:c>
      <x:c r="C76" s="28" t="str">
        <x:v>ABL covenant inputs</x:v>
      </x:c>
      <x:c r="D76" s="28" t="str">
        <x:v>Alder Ridge</x:v>
      </x:c>
      <x:c r="E76" s="28" t="str">
        <x:v>2026-06-30</x:v>
      </x:c>
      <x:c r="F76" s="28" t="str">
        <x:v>Approved case</x:v>
      </x:c>
      <x:c r="G76" s="28" t="str">
        <x:v>Cash interest</x:v>
      </x:c>
      <x:c r="H76" s="31" t="n">
        <x:v>660000</x:v>
      </x:c>
      <x:c r="I76" s="28" t="str"/>
      <x:c r="J76" s="28" t="str">
        <x:v>USD</x:v>
      </x:c>
      <x:c r="K76" s="28" t="str">
        <x:v>Finance operating schedule</x:v>
      </x:c>
      <x:c r="L76" s="34" t="str">
        <x:v>2026-06-30</x:v>
      </x:c>
      <x:c r="M76" s="28" t="str"/>
    </x:row>
    <x:row r="77">
      <x:c r="A77" s="37" t="str">
        <x:v>TRY-00759</x:v>
      </x:c>
      <x:c r="B77" s="28" t="str">
        <x:v>ABL borrowing base and covenant cure</x:v>
      </x:c>
      <x:c r="C77" s="28" t="str">
        <x:v>ABL covenant inputs</x:v>
      </x:c>
      <x:c r="D77" s="28" t="str">
        <x:v>Alder Ridge</x:v>
      </x:c>
      <x:c r="E77" s="28" t="str">
        <x:v>2026-06-30</x:v>
      </x:c>
      <x:c r="F77" s="28" t="str">
        <x:v>Approved case</x:v>
      </x:c>
      <x:c r="G77" s="28" t="str">
        <x:v>Scheduled principal</x:v>
      </x:c>
      <x:c r="H77" s="31" t="n">
        <x:v>820000</x:v>
      </x:c>
      <x:c r="I77" s="28" t="str"/>
      <x:c r="J77" s="28" t="str">
        <x:v>USD</x:v>
      </x:c>
      <x:c r="K77" s="28" t="str">
        <x:v>Finance operating schedule</x:v>
      </x:c>
      <x:c r="L77" s="34" t="str">
        <x:v>2026-06-30</x:v>
      </x:c>
      <x:c r="M77" s="28" t="str"/>
    </x:row>
    <x:row r="78">
      <x:c r="A78" s="37" t="str">
        <x:v>TRY-00760</x:v>
      </x:c>
      <x:c r="B78" s="28" t="str">
        <x:v>ABL borrowing base and covenant cure</x:v>
      </x:c>
      <x:c r="C78" s="28" t="str">
        <x:v>ABL covenant inputs</x:v>
      </x:c>
      <x:c r="D78" s="28" t="str">
        <x:v>Alder Ridge</x:v>
      </x:c>
      <x:c r="E78" s="28" t="str">
        <x:v>2026-06-30</x:v>
      </x:c>
      <x:c r="F78" s="28" t="str">
        <x:v>Approved case</x:v>
      </x:c>
      <x:c r="G78" s="28" t="str">
        <x:v>Cash taxes</x:v>
      </x:c>
      <x:c r="H78" s="31" t="n">
        <x:v>520000</x:v>
      </x:c>
      <x:c r="I78" s="28" t="str"/>
      <x:c r="J78" s="28" t="str">
        <x:v>USD</x:v>
      </x:c>
      <x:c r="K78" s="28" t="str">
        <x:v>Finance operating schedule</x:v>
      </x:c>
      <x:c r="L78" s="34" t="str">
        <x:v>2026-06-30</x:v>
      </x:c>
      <x:c r="M78" s="28" t="str"/>
    </x:row>
    <x:row r="79">
      <x:c r="A79" s="37" t="str">
        <x:v>TRY-00761</x:v>
      </x:c>
      <x:c r="B79" s="28" t="str">
        <x:v>ABL borrowing base and covenant cure</x:v>
      </x:c>
      <x:c r="C79" s="28" t="str">
        <x:v>ABL covenant inputs</x:v>
      </x:c>
      <x:c r="D79" s="28" t="str">
        <x:v>Alder Ridge</x:v>
      </x:c>
      <x:c r="E79" s="28" t="str">
        <x:v>2026-06-30</x:v>
      </x:c>
      <x:c r="F79" s="28" t="str">
        <x:v>Approved case</x:v>
      </x:c>
      <x:c r="G79" s="28" t="str">
        <x:v>Unfinanced capex</x:v>
      </x:c>
      <x:c r="H79" s="31" t="n">
        <x:v>3200</x:v>
      </x:c>
      <x:c r="I79" s="28" t="str"/>
      <x:c r="J79" s="28" t="str">
        <x:v>USD thousands</x:v>
      </x:c>
      <x:c r="K79" s="28" t="str">
        <x:v>Finance operating schedule</x:v>
      </x:c>
      <x:c r="L79" s="34" t="str">
        <x:v>2026-06-30</x:v>
      </x:c>
      <x:c r="M79" s="28" t="str"/>
    </x:row>
    <x:row r="80">
      <x:c r="A80" s="37" t="str">
        <x:v>TRY-00762</x:v>
      </x:c>
      <x:c r="B80" s="28" t="str">
        <x:v>ABL borrowing base and covenant cure</x:v>
      </x:c>
      <x:c r="C80" s="28" t="str">
        <x:v>ABL covenant inputs</x:v>
      </x:c>
      <x:c r="D80" s="28" t="str">
        <x:v>Alder Ridge</x:v>
      </x:c>
      <x:c r="E80" s="28" t="str">
        <x:v>2026-06-30</x:v>
      </x:c>
      <x:c r="F80" s="28" t="str">
        <x:v>Approved case</x:v>
      </x:c>
      <x:c r="G80" s="28" t="str">
        <x:v>Approved equity cure</x:v>
      </x:c>
      <x:c r="H80" s="31" t="n">
        <x:v>625000</x:v>
      </x:c>
      <x:c r="I80" s="28" t="str"/>
      <x:c r="J80" s="28" t="str">
        <x:v>USD</x:v>
      </x:c>
      <x:c r="K80" s="28" t="str">
        <x:v>Finance operating schedule</x:v>
      </x:c>
      <x:c r="L80" s="34" t="str">
        <x:v>2026-06-30</x:v>
      </x:c>
      <x:c r="M80" s="28" t="str"/>
    </x:row>
    <x:row r="81">
      <x:c r="A81" s="37" t="str">
        <x:v>TRY-00777</x:v>
      </x:c>
      <x:c r="B81" s="28" t="str">
        <x:v>ABL borrowing base and covenant cure</x:v>
      </x:c>
      <x:c r="C81" s="28" t="str">
        <x:v>Detailed AR collateral control</x:v>
      </x:c>
      <x:c r="D81" s="28" t="str">
        <x:v>Cedar Medical</x:v>
      </x:c>
      <x:c r="E81" s="28" t="str">
        <x:v>2026-06-30</x:v>
      </x:c>
      <x:c r="F81" s="28" t="str">
        <x:v>Approved case</x:v>
      </x:c>
      <x:c r="G81" s="28" t="str">
        <x:v>Gross receivable</x:v>
      </x:c>
      <x:c r="H81" s="31" t="n">
        <x:v>2400000</x:v>
      </x:c>
      <x:c r="I81" s="28" t="str"/>
      <x:c r="J81" s="28" t="str">
        <x:v>USD</x:v>
      </x:c>
      <x:c r="K81" s="28" t="str">
        <x:v>Finance operating schedule</x:v>
      </x:c>
      <x:c r="L81" s="34" t="str">
        <x:v>2026-06-30</x:v>
      </x:c>
      <x:c r="M81" s="28" t="str"/>
    </x:row>
    <x:row r="82">
      <x:c r="A82" s="37" t="str">
        <x:v>TRY-00778</x:v>
      </x:c>
      <x:c r="B82" s="28" t="str">
        <x:v>ABL borrowing base and covenant cure</x:v>
      </x:c>
      <x:c r="C82" s="28" t="str">
        <x:v>Detailed AR collateral control</x:v>
      </x:c>
      <x:c r="D82" s="28" t="str">
        <x:v>Cedar Medical</x:v>
      </x:c>
      <x:c r="E82" s="28" t="str">
        <x:v>2026-06-30</x:v>
      </x:c>
      <x:c r="F82" s="28" t="str">
        <x:v>Approved case</x:v>
      </x:c>
      <x:c r="G82" s="28" t="str">
        <x:v>Over 90 days</x:v>
      </x:c>
      <x:c r="H82" s="31" t="n">
        <x:v>100000</x:v>
      </x:c>
      <x:c r="I82" s="28" t="str"/>
      <x:c r="J82" s="28" t="str">
        <x:v>USD</x:v>
      </x:c>
      <x:c r="K82" s="28" t="str">
        <x:v>Finance operating schedule</x:v>
      </x:c>
      <x:c r="L82" s="34" t="str">
        <x:v>2026-06-30</x:v>
      </x:c>
      <x:c r="M82" s="28" t="str"/>
    </x:row>
    <x:row r="83">
      <x:c r="A83" s="37" t="str">
        <x:v>TRY-00779</x:v>
      </x:c>
      <x:c r="B83" s="28" t="str">
        <x:v>ABL borrowing base and covenant cure</x:v>
      </x:c>
      <x:c r="C83" s="28" t="str">
        <x:v>Detailed AR collateral control</x:v>
      </x:c>
      <x:c r="D83" s="28" t="str">
        <x:v>Cedar Medical</x:v>
      </x:c>
      <x:c r="E83" s="28" t="str">
        <x:v>2026-06-30</x:v>
      </x:c>
      <x:c r="F83" s="28" t="str">
        <x:v>Approved case</x:v>
      </x:c>
      <x:c r="G83" s="28" t="str">
        <x:v>Cross-aged exclusion</x:v>
      </x:c>
      <x:c r="H83" s="31" t="n">
        <x:v>0</x:v>
      </x:c>
      <x:c r="I83" s="28" t="str"/>
      <x:c r="J83" s="28" t="str">
        <x:v>USD</x:v>
      </x:c>
      <x:c r="K83" s="28" t="str">
        <x:v>Finance operating schedule</x:v>
      </x:c>
      <x:c r="L83" s="34" t="str">
        <x:v>2026-06-30</x:v>
      </x:c>
      <x:c r="M83" s="28" t="str"/>
    </x:row>
    <x:row r="84">
      <x:c r="A84" s="37" t="str">
        <x:v>TRY-00780</x:v>
      </x:c>
      <x:c r="B84" s="28" t="str">
        <x:v>ABL borrowing base and covenant cure</x:v>
      </x:c>
      <x:c r="C84" s="28" t="str">
        <x:v>Detailed AR collateral control</x:v>
      </x:c>
      <x:c r="D84" s="28" t="str">
        <x:v>Cedar Medical</x:v>
      </x:c>
      <x:c r="E84" s="28" t="str">
        <x:v>2026-06-30</x:v>
      </x:c>
      <x:c r="F84" s="28" t="str">
        <x:v>Approved case</x:v>
      </x:c>
      <x:c r="G84" s="28" t="str">
        <x:v>Related-party exclusion</x:v>
      </x:c>
      <x:c r="H84" s="31" t="n">
        <x:v>0</x:v>
      </x:c>
      <x:c r="I84" s="28" t="str"/>
      <x:c r="J84" s="28" t="str">
        <x:v>USD</x:v>
      </x:c>
      <x:c r="K84" s="28" t="str">
        <x:v>Finance operating schedule</x:v>
      </x:c>
      <x:c r="L84" s="34" t="str">
        <x:v>2026-06-30</x:v>
      </x:c>
      <x:c r="M84" s="28" t="str"/>
    </x:row>
    <x:row r="85">
      <x:c r="A85" s="37" t="str">
        <x:v>TRY-00781</x:v>
      </x:c>
      <x:c r="B85" s="28" t="str">
        <x:v>ABL borrowing base and covenant cure</x:v>
      </x:c>
      <x:c r="C85" s="28" t="str">
        <x:v>Detailed AR collateral control</x:v>
      </x:c>
      <x:c r="D85" s="28" t="str">
        <x:v>Helix Data Center</x:v>
      </x:c>
      <x:c r="E85" s="28" t="str">
        <x:v>2026-06-30</x:v>
      </x:c>
      <x:c r="F85" s="28" t="str">
        <x:v>Approved case</x:v>
      </x:c>
      <x:c r="G85" s="28" t="str">
        <x:v>Gross receivable</x:v>
      </x:c>
      <x:c r="H85" s="31" t="n">
        <x:v>3100000</x:v>
      </x:c>
      <x:c r="I85" s="28" t="str"/>
      <x:c r="J85" s="28" t="str">
        <x:v>USD</x:v>
      </x:c>
      <x:c r="K85" s="28" t="str">
        <x:v>Finance operating schedule</x:v>
      </x:c>
      <x:c r="L85" s="34" t="str">
        <x:v>2026-06-30</x:v>
      </x:c>
      <x:c r="M85" s="28" t="str"/>
    </x:row>
    <x:row r="86">
      <x:c r="A86" s="37" t="str">
        <x:v>TRY-00782</x:v>
      </x:c>
      <x:c r="B86" s="28" t="str">
        <x:v>ABL borrowing base and covenant cure</x:v>
      </x:c>
      <x:c r="C86" s="28" t="str">
        <x:v>Detailed AR collateral control</x:v>
      </x:c>
      <x:c r="D86" s="28" t="str">
        <x:v>Helix Data Center</x:v>
      </x:c>
      <x:c r="E86" s="28" t="str">
        <x:v>2026-06-30</x:v>
      </x:c>
      <x:c r="F86" s="28" t="str">
        <x:v>Approved case</x:v>
      </x:c>
      <x:c r="G86" s="28" t="str">
        <x:v>Over 90 days</x:v>
      </x:c>
      <x:c r="H86" s="31" t="n">
        <x:v>650000</x:v>
      </x:c>
      <x:c r="I86" s="28" t="str"/>
      <x:c r="J86" s="28" t="str">
        <x:v>USD</x:v>
      </x:c>
      <x:c r="K86" s="28" t="str">
        <x:v>Finance operating schedule</x:v>
      </x:c>
      <x:c r="L86" s="34" t="str">
        <x:v>2026-06-30</x:v>
      </x:c>
      <x:c r="M86" s="28" t="str"/>
    </x:row>
    <x:row r="87">
      <x:c r="A87" s="37" t="str">
        <x:v>TRY-00783</x:v>
      </x:c>
      <x:c r="B87" s="28" t="str">
        <x:v>ABL borrowing base and covenant cure</x:v>
      </x:c>
      <x:c r="C87" s="28" t="str">
        <x:v>Detailed AR collateral control</x:v>
      </x:c>
      <x:c r="D87" s="28" t="str">
        <x:v>Helix Data Center</x:v>
      </x:c>
      <x:c r="E87" s="28" t="str">
        <x:v>2026-06-30</x:v>
      </x:c>
      <x:c r="F87" s="28" t="str">
        <x:v>Approved case</x:v>
      </x:c>
      <x:c r="G87" s="28" t="str">
        <x:v>Cross-aged exclusion</x:v>
      </x:c>
      <x:c r="H87" s="31" t="n">
        <x:v>0</x:v>
      </x:c>
      <x:c r="I87" s="28" t="str"/>
      <x:c r="J87" s="28" t="str">
        <x:v>USD</x:v>
      </x:c>
      <x:c r="K87" s="28" t="str">
        <x:v>Finance operating schedule</x:v>
      </x:c>
      <x:c r="L87" s="34" t="str">
        <x:v>2026-06-30</x:v>
      </x:c>
      <x:c r="M87" s="28" t="str"/>
    </x:row>
    <x:row r="88">
      <x:c r="A88" s="37" t="str">
        <x:v>TRY-00784</x:v>
      </x:c>
      <x:c r="B88" s="28" t="str">
        <x:v>ABL borrowing base and covenant cure</x:v>
      </x:c>
      <x:c r="C88" s="28" t="str">
        <x:v>Detailed AR collateral control</x:v>
      </x:c>
      <x:c r="D88" s="28" t="str">
        <x:v>Helix Data Center</x:v>
      </x:c>
      <x:c r="E88" s="28" t="str">
        <x:v>2026-06-30</x:v>
      </x:c>
      <x:c r="F88" s="28" t="str">
        <x:v>Approved case</x:v>
      </x:c>
      <x:c r="G88" s="28" t="str">
        <x:v>Related-party exclusion</x:v>
      </x:c>
      <x:c r="H88" s="31" t="n">
        <x:v>0</x:v>
      </x:c>
      <x:c r="I88" s="28" t="str"/>
      <x:c r="J88" s="28" t="str">
        <x:v>USD</x:v>
      </x:c>
      <x:c r="K88" s="28" t="str">
        <x:v>Finance operating schedule</x:v>
      </x:c>
      <x:c r="L88" s="34" t="str">
        <x:v>2026-06-30</x:v>
      </x:c>
      <x:c r="M88" s="28" t="str"/>
    </x:row>
    <x:row r="89">
      <x:c r="A89" s="37" t="str">
        <x:v>TRY-00785</x:v>
      </x:c>
      <x:c r="B89" s="28" t="str">
        <x:v>ABL borrowing base and covenant cure</x:v>
      </x:c>
      <x:c r="C89" s="28" t="str">
        <x:v>Detailed AR collateral control</x:v>
      </x:c>
      <x:c r="D89" s="28" t="str">
        <x:v>Portland Schools</x:v>
      </x:c>
      <x:c r="E89" s="28" t="str">
        <x:v>2026-06-30</x:v>
      </x:c>
      <x:c r="F89" s="28" t="str">
        <x:v>Approved case</x:v>
      </x:c>
      <x:c r="G89" s="28" t="str">
        <x:v>Gross receivable</x:v>
      </x:c>
      <x:c r="H89" s="31" t="n">
        <x:v>2200000</x:v>
      </x:c>
      <x:c r="I89" s="28" t="str"/>
      <x:c r="J89" s="28" t="str">
        <x:v>USD</x:v>
      </x:c>
      <x:c r="K89" s="28" t="str">
        <x:v>Finance operating schedule</x:v>
      </x:c>
      <x:c r="L89" s="34" t="str">
        <x:v>2026-06-30</x:v>
      </x:c>
      <x:c r="M89" s="28" t="str"/>
    </x:row>
    <x:row r="90">
      <x:c r="A90" s="37" t="str">
        <x:v>TRY-00786</x:v>
      </x:c>
      <x:c r="B90" s="28" t="str">
        <x:v>ABL borrowing base and covenant cure</x:v>
      </x:c>
      <x:c r="C90" s="28" t="str">
        <x:v>Detailed AR collateral control</x:v>
      </x:c>
      <x:c r="D90" s="28" t="str">
        <x:v>Portland Schools</x:v>
      </x:c>
      <x:c r="E90" s="28" t="str">
        <x:v>2026-06-30</x:v>
      </x:c>
      <x:c r="F90" s="28" t="str">
        <x:v>Approved case</x:v>
      </x:c>
      <x:c r="G90" s="28" t="str">
        <x:v>Over 90 days</x:v>
      </x:c>
      <x:c r="H90" s="31" t="n">
        <x:v>0</x:v>
      </x:c>
      <x:c r="I90" s="28" t="str"/>
      <x:c r="J90" s="28" t="str">
        <x:v>USD</x:v>
      </x:c>
      <x:c r="K90" s="28" t="str">
        <x:v>Finance operating schedule</x:v>
      </x:c>
      <x:c r="L90" s="34" t="str">
        <x:v>2026-06-30</x:v>
      </x:c>
      <x:c r="M90" s="28" t="str"/>
    </x:row>
    <x:row r="91">
      <x:c r="A91" s="37" t="str">
        <x:v>TRY-00787</x:v>
      </x:c>
      <x:c r="B91" s="28" t="str">
        <x:v>ABL borrowing base and covenant cure</x:v>
      </x:c>
      <x:c r="C91" s="28" t="str">
        <x:v>Detailed AR collateral control</x:v>
      </x:c>
      <x:c r="D91" s="28" t="str">
        <x:v>Portland Schools</x:v>
      </x:c>
      <x:c r="E91" s="28" t="str">
        <x:v>2026-06-30</x:v>
      </x:c>
      <x:c r="F91" s="28" t="str">
        <x:v>Approved case</x:v>
      </x:c>
      <x:c r="G91" s="28" t="str">
        <x:v>Cross-aged exclusion</x:v>
      </x:c>
      <x:c r="H91" s="31" t="n">
        <x:v>0</x:v>
      </x:c>
      <x:c r="I91" s="28" t="str"/>
      <x:c r="J91" s="28" t="str">
        <x:v>USD</x:v>
      </x:c>
      <x:c r="K91" s="28" t="str">
        <x:v>Finance operating schedule</x:v>
      </x:c>
      <x:c r="L91" s="34" t="str">
        <x:v>2026-06-30</x:v>
      </x:c>
      <x:c r="M91" s="28" t="str"/>
    </x:row>
    <x:row r="92">
      <x:c r="A92" s="37" t="str">
        <x:v>TRY-00788</x:v>
      </x:c>
      <x:c r="B92" s="28" t="str">
        <x:v>ABL borrowing base and covenant cure</x:v>
      </x:c>
      <x:c r="C92" s="28" t="str">
        <x:v>Detailed AR collateral control</x:v>
      </x:c>
      <x:c r="D92" s="28" t="str">
        <x:v>Portland Schools</x:v>
      </x:c>
      <x:c r="E92" s="28" t="str">
        <x:v>2026-06-30</x:v>
      </x:c>
      <x:c r="F92" s="28" t="str">
        <x:v>Approved case</x:v>
      </x:c>
      <x:c r="G92" s="28" t="str">
        <x:v>Related-party exclusion</x:v>
      </x:c>
      <x:c r="H92" s="31" t="n">
        <x:v>0</x:v>
      </x:c>
      <x:c r="I92" s="28" t="str"/>
      <x:c r="J92" s="28" t="str">
        <x:v>USD</x:v>
      </x:c>
      <x:c r="K92" s="28" t="str">
        <x:v>Finance operating schedule</x:v>
      </x:c>
      <x:c r="L92" s="34" t="str">
        <x:v>2026-06-30</x:v>
      </x:c>
      <x:c r="M92" s="28" t="str"/>
    </x:row>
    <x:row r="93">
      <x:c r="A93" s="37" t="str">
        <x:v>TRY-00789</x:v>
      </x:c>
      <x:c r="B93" s="28" t="str">
        <x:v>ABL borrowing base and covenant cure</x:v>
      </x:c>
      <x:c r="C93" s="28" t="str">
        <x:v>Detailed AR collateral control</x:v>
      </x:c>
      <x:c r="D93" s="28" t="str">
        <x:v>Juniper Offices</x:v>
      </x:c>
      <x:c r="E93" s="28" t="str">
        <x:v>2026-06-30</x:v>
      </x:c>
      <x:c r="F93" s="28" t="str">
        <x:v>Approved case</x:v>
      </x:c>
      <x:c r="G93" s="28" t="str">
        <x:v>Gross receivable</x:v>
      </x:c>
      <x:c r="H93" s="31" t="n">
        <x:v>1800000</x:v>
      </x:c>
      <x:c r="I93" s="28" t="str"/>
      <x:c r="J93" s="28" t="str">
        <x:v>USD</x:v>
      </x:c>
      <x:c r="K93" s="28" t="str">
        <x:v>Finance operating schedule</x:v>
      </x:c>
      <x:c r="L93" s="34" t="str">
        <x:v>2026-06-30</x:v>
      </x:c>
      <x:c r="M93" s="28" t="str"/>
    </x:row>
    <x:row r="94">
      <x:c r="A94" s="37" t="str">
        <x:v>TRY-00790</x:v>
      </x:c>
      <x:c r="B94" s="28" t="str">
        <x:v>ABL borrowing base and covenant cure</x:v>
      </x:c>
      <x:c r="C94" s="28" t="str">
        <x:v>Detailed AR collateral control</x:v>
      </x:c>
      <x:c r="D94" s="28" t="str">
        <x:v>Juniper Offices</x:v>
      </x:c>
      <x:c r="E94" s="28" t="str">
        <x:v>2026-06-30</x:v>
      </x:c>
      <x:c r="F94" s="28" t="str">
        <x:v>Approved case</x:v>
      </x:c>
      <x:c r="G94" s="28" t="str">
        <x:v>Over 90 days</x:v>
      </x:c>
      <x:c r="H94" s="31" t="n">
        <x:v>300000</x:v>
      </x:c>
      <x:c r="I94" s="28" t="str"/>
      <x:c r="J94" s="28" t="str">
        <x:v>USD</x:v>
      </x:c>
      <x:c r="K94" s="28" t="str">
        <x:v>Finance operating schedule</x:v>
      </x:c>
      <x:c r="L94" s="34" t="str">
        <x:v>2026-06-30</x:v>
      </x:c>
      <x:c r="M94" s="28" t="str"/>
    </x:row>
    <x:row r="95">
      <x:c r="A95" s="37" t="str">
        <x:v>TRY-00791</x:v>
      </x:c>
      <x:c r="B95" s="28" t="str">
        <x:v>ABL borrowing base and covenant cure</x:v>
      </x:c>
      <x:c r="C95" s="28" t="str">
        <x:v>Detailed AR collateral control</x:v>
      </x:c>
      <x:c r="D95" s="28" t="str">
        <x:v>Juniper Offices</x:v>
      </x:c>
      <x:c r="E95" s="28" t="str">
        <x:v>2026-06-30</x:v>
      </x:c>
      <x:c r="F95" s="28" t="str">
        <x:v>Approved case</x:v>
      </x:c>
      <x:c r="G95" s="28" t="str">
        <x:v>Cross-aged exclusion</x:v>
      </x:c>
      <x:c r="H95" s="31" t="n">
        <x:v>0</x:v>
      </x:c>
      <x:c r="I95" s="28" t="str"/>
      <x:c r="J95" s="28" t="str">
        <x:v>USD</x:v>
      </x:c>
      <x:c r="K95" s="28" t="str">
        <x:v>Finance operating schedule</x:v>
      </x:c>
      <x:c r="L95" s="34" t="str">
        <x:v>2026-06-30</x:v>
      </x:c>
      <x:c r="M95" s="28" t="str"/>
    </x:row>
    <x:row r="96">
      <x:c r="A96" s="37" t="str">
        <x:v>TRY-00792</x:v>
      </x:c>
      <x:c r="B96" s="28" t="str">
        <x:v>ABL borrowing base and covenant cure</x:v>
      </x:c>
      <x:c r="C96" s="28" t="str">
        <x:v>Detailed AR collateral control</x:v>
      </x:c>
      <x:c r="D96" s="28" t="str">
        <x:v>Juniper Offices</x:v>
      </x:c>
      <x:c r="E96" s="28" t="str">
        <x:v>2026-06-30</x:v>
      </x:c>
      <x:c r="F96" s="28" t="str">
        <x:v>Approved case</x:v>
      </x:c>
      <x:c r="G96" s="28" t="str">
        <x:v>Related-party exclusion</x:v>
      </x:c>
      <x:c r="H96" s="31" t="n">
        <x:v>0</x:v>
      </x:c>
      <x:c r="I96" s="28" t="str"/>
      <x:c r="J96" s="28" t="str">
        <x:v>USD</x:v>
      </x:c>
      <x:c r="K96" s="28" t="str">
        <x:v>Finance operating schedule</x:v>
      </x:c>
      <x:c r="L96" s="34" t="str">
        <x:v>2026-06-30</x:v>
      </x:c>
      <x:c r="M96" s="28" t="str"/>
    </x:row>
    <x:row r="97">
      <x:c r="A97" s="37" t="str">
        <x:v>TRY-00793</x:v>
      </x:c>
      <x:c r="B97" s="28" t="str">
        <x:v>ABL borrowing base and covenant cure</x:v>
      </x:c>
      <x:c r="C97" s="28" t="str">
        <x:v>Detailed AR collateral control</x:v>
      </x:c>
      <x:c r="D97" s="28" t="str">
        <x:v>Cascade Retail</x:v>
      </x:c>
      <x:c r="E97" s="28" t="str">
        <x:v>2026-06-30</x:v>
      </x:c>
      <x:c r="F97" s="28" t="str">
        <x:v>Approved case</x:v>
      </x:c>
      <x:c r="G97" s="28" t="str">
        <x:v>Gross receivable</x:v>
      </x:c>
      <x:c r="H97" s="31" t="n">
        <x:v>1600000</x:v>
      </x:c>
      <x:c r="I97" s="28" t="str"/>
      <x:c r="J97" s="28" t="str">
        <x:v>USD</x:v>
      </x:c>
      <x:c r="K97" s="28" t="str">
        <x:v>Finance operating schedule</x:v>
      </x:c>
      <x:c r="L97" s="34" t="str">
        <x:v>2026-06-30</x:v>
      </x:c>
      <x:c r="M97" s="28" t="str"/>
    </x:row>
    <x:row r="98">
      <x:c r="A98" s="37" t="str">
        <x:v>TRY-00794</x:v>
      </x:c>
      <x:c r="B98" s="28" t="str">
        <x:v>ABL borrowing base and covenant cure</x:v>
      </x:c>
      <x:c r="C98" s="28" t="str">
        <x:v>Detailed AR collateral control</x:v>
      </x:c>
      <x:c r="D98" s="28" t="str">
        <x:v>Cascade Retail</x:v>
      </x:c>
      <x:c r="E98" s="28" t="str">
        <x:v>2026-06-30</x:v>
      </x:c>
      <x:c r="F98" s="28" t="str">
        <x:v>Approved case</x:v>
      </x:c>
      <x:c r="G98" s="28" t="str">
        <x:v>Over 90 days</x:v>
      </x:c>
      <x:c r="H98" s="31" t="n">
        <x:v>0</x:v>
      </x:c>
      <x:c r="I98" s="28" t="str"/>
      <x:c r="J98" s="28" t="str">
        <x:v>USD</x:v>
      </x:c>
      <x:c r="K98" s="28" t="str">
        <x:v>Finance operating schedule</x:v>
      </x:c>
      <x:c r="L98" s="34" t="str">
        <x:v>2026-06-30</x:v>
      </x:c>
      <x:c r="M98" s="28" t="str"/>
    </x:row>
    <x:row r="99">
      <x:c r="A99" s="37" t="str">
        <x:v>TRY-00795</x:v>
      </x:c>
      <x:c r="B99" s="28" t="str">
        <x:v>ABL borrowing base and covenant cure</x:v>
      </x:c>
      <x:c r="C99" s="28" t="str">
        <x:v>Detailed AR collateral control</x:v>
      </x:c>
      <x:c r="D99" s="28" t="str">
        <x:v>Cascade Retail</x:v>
      </x:c>
      <x:c r="E99" s="28" t="str">
        <x:v>2026-06-30</x:v>
      </x:c>
      <x:c r="F99" s="28" t="str">
        <x:v>Approved case</x:v>
      </x:c>
      <x:c r="G99" s="28" t="str">
        <x:v>Cross-aged exclusion</x:v>
      </x:c>
      <x:c r="H99" s="31" t="n">
        <x:v>500000</x:v>
      </x:c>
      <x:c r="I99" s="28" t="str"/>
      <x:c r="J99" s="28" t="str">
        <x:v>USD</x:v>
      </x:c>
      <x:c r="K99" s="28" t="str">
        <x:v>Finance operating schedule</x:v>
      </x:c>
      <x:c r="L99" s="34" t="str">
        <x:v>2026-06-30</x:v>
      </x:c>
      <x:c r="M99" s="28" t="str"/>
    </x:row>
    <x:row r="100">
      <x:c r="A100" s="37" t="str">
        <x:v>TRY-00796</x:v>
      </x:c>
      <x:c r="B100" s="28" t="str">
        <x:v>ABL borrowing base and covenant cure</x:v>
      </x:c>
      <x:c r="C100" s="28" t="str">
        <x:v>Detailed AR collateral control</x:v>
      </x:c>
      <x:c r="D100" s="28" t="str">
        <x:v>Cascade Retail</x:v>
      </x:c>
      <x:c r="E100" s="28" t="str">
        <x:v>2026-06-30</x:v>
      </x:c>
      <x:c r="F100" s="28" t="str">
        <x:v>Approved case</x:v>
      </x:c>
      <x:c r="G100" s="28" t="str">
        <x:v>Related-party exclusion</x:v>
      </x:c>
      <x:c r="H100" s="31" t="n">
        <x:v>0</x:v>
      </x:c>
      <x:c r="I100" s="28" t="str"/>
      <x:c r="J100" s="28" t="str">
        <x:v>USD</x:v>
      </x:c>
      <x:c r="K100" s="28" t="str">
        <x:v>Finance operating schedule</x:v>
      </x:c>
      <x:c r="L100" s="34" t="str">
        <x:v>2026-06-30</x:v>
      </x:c>
      <x:c r="M100" s="28" t="str"/>
    </x:row>
    <x:row r="101">
      <x:c r="A101" s="37" t="str">
        <x:v>TRY-00797</x:v>
      </x:c>
      <x:c r="B101" s="28" t="str">
        <x:v>ABL borrowing base and covenant cure</x:v>
      </x:c>
      <x:c r="C101" s="28" t="str">
        <x:v>Detailed AR collateral control</x:v>
      </x:c>
      <x:c r="D101" s="28" t="str">
        <x:v>Other and affiliate</x:v>
      </x:c>
      <x:c r="E101" s="28" t="str">
        <x:v>2026-06-30</x:v>
      </x:c>
      <x:c r="F101" s="28" t="str">
        <x:v>Approved case</x:v>
      </x:c>
      <x:c r="G101" s="28" t="str">
        <x:v>Gross receivable</x:v>
      </x:c>
      <x:c r="H101" s="31" t="n">
        <x:v>1400000</x:v>
      </x:c>
      <x:c r="I101" s="28" t="str"/>
      <x:c r="J101" s="28" t="str">
        <x:v>USD</x:v>
      </x:c>
      <x:c r="K101" s="28" t="str">
        <x:v>Finance operating schedule</x:v>
      </x:c>
      <x:c r="L101" s="34" t="str">
        <x:v>2026-06-30</x:v>
      </x:c>
      <x:c r="M101" s="28" t="str"/>
    </x:row>
    <x:row r="102">
      <x:c r="A102" s="37" t="str">
        <x:v>TRY-00798</x:v>
      </x:c>
      <x:c r="B102" s="28" t="str">
        <x:v>ABL borrowing base and covenant cure</x:v>
      </x:c>
      <x:c r="C102" s="28" t="str">
        <x:v>Detailed AR collateral control</x:v>
      </x:c>
      <x:c r="D102" s="28" t="str">
        <x:v>Other and affiliate</x:v>
      </x:c>
      <x:c r="E102" s="28" t="str">
        <x:v>2026-06-30</x:v>
      </x:c>
      <x:c r="F102" s="28" t="str">
        <x:v>Approved case</x:v>
      </x:c>
      <x:c r="G102" s="28" t="str">
        <x:v>Over 90 days</x:v>
      </x:c>
      <x:c r="H102" s="31" t="n">
        <x:v>0</x:v>
      </x:c>
      <x:c r="I102" s="28" t="str"/>
      <x:c r="J102" s="28" t="str">
        <x:v>USD</x:v>
      </x:c>
      <x:c r="K102" s="28" t="str">
        <x:v>Finance operating schedule</x:v>
      </x:c>
      <x:c r="L102" s="34" t="str">
        <x:v>2026-06-30</x:v>
      </x:c>
      <x:c r="M102" s="28" t="str"/>
    </x:row>
    <x:row r="103">
      <x:c r="A103" s="37" t="str">
        <x:v>TRY-00799</x:v>
      </x:c>
      <x:c r="B103" s="28" t="str">
        <x:v>ABL borrowing base and covenant cure</x:v>
      </x:c>
      <x:c r="C103" s="28" t="str">
        <x:v>Detailed AR collateral control</x:v>
      </x:c>
      <x:c r="D103" s="28" t="str">
        <x:v>Other and affiliate</x:v>
      </x:c>
      <x:c r="E103" s="28" t="str">
        <x:v>2026-06-30</x:v>
      </x:c>
      <x:c r="F103" s="28" t="str">
        <x:v>Approved case</x:v>
      </x:c>
      <x:c r="G103" s="28" t="str">
        <x:v>Cross-aged exclusion</x:v>
      </x:c>
      <x:c r="H103" s="31" t="n">
        <x:v>0</x:v>
      </x:c>
      <x:c r="I103" s="28" t="str"/>
      <x:c r="J103" s="28" t="str">
        <x:v>USD</x:v>
      </x:c>
      <x:c r="K103" s="28" t="str">
        <x:v>Finance operating schedule</x:v>
      </x:c>
      <x:c r="L103" s="34" t="str">
        <x:v>2026-06-30</x:v>
      </x:c>
      <x:c r="M103" s="28" t="str"/>
    </x:row>
    <x:row r="104">
      <x:c r="A104" s="37" t="str">
        <x:v>TRY-00800</x:v>
      </x:c>
      <x:c r="B104" s="28" t="str">
        <x:v>ABL borrowing base and covenant cure</x:v>
      </x:c>
      <x:c r="C104" s="28" t="str">
        <x:v>Detailed AR collateral control</x:v>
      </x:c>
      <x:c r="D104" s="28" t="str">
        <x:v>Other and affiliate</x:v>
      </x:c>
      <x:c r="E104" s="28" t="str">
        <x:v>2026-06-30</x:v>
      </x:c>
      <x:c r="F104" s="28" t="str">
        <x:v>Approved case</x:v>
      </x:c>
      <x:c r="G104" s="28" t="str">
        <x:v>Related-party exclusion</x:v>
      </x:c>
      <x:c r="H104" s="31" t="n">
        <x:v>220</x:v>
      </x:c>
      <x:c r="I104" s="28" t="str"/>
      <x:c r="J104" s="28" t="str">
        <x:v>USD thousands</x:v>
      </x:c>
      <x:c r="K104" s="28" t="str">
        <x:v>Finance operating schedule</x:v>
      </x:c>
      <x:c r="L104" s="34" t="str">
        <x:v>2026-06-30</x:v>
      </x:c>
      <x:c r="M104" s="28" t="str"/>
    </x:row>
    <x:row r="105">
      <x:c r="A105" s="37" t="str">
        <x:v>TRY-00801</x:v>
      </x:c>
      <x:c r="B105" s="28" t="str">
        <x:v>ABL borrowing base and covenant cure</x:v>
      </x:c>
      <x:c r="C105" s="28" t="str">
        <x:v>Detailed inventory collateral control</x:v>
      </x:c>
      <x:c r="D105" s="28" t="str">
        <x:v>Raw material</x:v>
      </x:c>
      <x:c r="E105" s="28" t="str">
        <x:v>2026-06-30</x:v>
      </x:c>
      <x:c r="F105" s="28" t="str">
        <x:v>Approved case</x:v>
      </x:c>
      <x:c r="G105" s="28" t="str">
        <x:v>Gross inventory</x:v>
      </x:c>
      <x:c r="H105" s="31" t="n">
        <x:v>3000000</x:v>
      </x:c>
      <x:c r="I105" s="28" t="str"/>
      <x:c r="J105" s="28" t="str">
        <x:v>USD</x:v>
      </x:c>
      <x:c r="K105" s="28" t="str">
        <x:v>Finance operating schedule</x:v>
      </x:c>
      <x:c r="L105" s="34" t="str">
        <x:v>2026-06-30</x:v>
      </x:c>
      <x:c r="M105" s="28" t="str"/>
    </x:row>
    <x:row r="106">
      <x:c r="A106" s="37" t="str">
        <x:v>TRY-00802</x:v>
      </x:c>
      <x:c r="B106" s="28" t="str">
        <x:v>ABL borrowing base and covenant cure</x:v>
      </x:c>
      <x:c r="C106" s="28" t="str">
        <x:v>Detailed inventory collateral control</x:v>
      </x:c>
      <x:c r="D106" s="28" t="str">
        <x:v>Raw material</x:v>
      </x:c>
      <x:c r="E106" s="28" t="str">
        <x:v>2026-06-30</x:v>
      </x:c>
      <x:c r="F106" s="28" t="str">
        <x:v>Approved case</x:v>
      </x:c>
      <x:c r="G106" s="28" t="str">
        <x:v>Eligibility factor</x:v>
      </x:c>
      <x:c r="H106" s="31" t="n">
        <x:v>0.95</x:v>
      </x:c>
      <x:c r="I106" s="28" t="str"/>
      <x:c r="J106" s="28" t="str">
        <x:v>decimal ratio</x:v>
      </x:c>
      <x:c r="K106" s="28" t="str">
        <x:v>Finance operating schedule</x:v>
      </x:c>
      <x:c r="L106" s="34" t="str">
        <x:v>2026-06-30</x:v>
      </x:c>
      <x:c r="M106" s="28" t="str"/>
    </x:row>
    <x:row r="107">
      <x:c r="A107" s="37" t="str">
        <x:v>TRY-00803</x:v>
      </x:c>
      <x:c r="B107" s="28" t="str">
        <x:v>ABL borrowing base and covenant cure</x:v>
      </x:c>
      <x:c r="C107" s="28" t="str">
        <x:v>Detailed inventory collateral control</x:v>
      </x:c>
      <x:c r="D107" s="28" t="str">
        <x:v>Work in process</x:v>
      </x:c>
      <x:c r="E107" s="28" t="str">
        <x:v>2026-06-30</x:v>
      </x:c>
      <x:c r="F107" s="28" t="str">
        <x:v>Approved case</x:v>
      </x:c>
      <x:c r="G107" s="28" t="str">
        <x:v>Gross inventory</x:v>
      </x:c>
      <x:c r="H107" s="31" t="n">
        <x:v>1400000</x:v>
      </x:c>
      <x:c r="I107" s="28" t="str"/>
      <x:c r="J107" s="28" t="str">
        <x:v>USD</x:v>
      </x:c>
      <x:c r="K107" s="28" t="str">
        <x:v>Finance operating schedule</x:v>
      </x:c>
      <x:c r="L107" s="34" t="str">
        <x:v>2026-06-30</x:v>
      </x:c>
      <x:c r="M107" s="28" t="str"/>
    </x:row>
    <x:row r="108">
      <x:c r="A108" s="37" t="str">
        <x:v>TRY-00804</x:v>
      </x:c>
      <x:c r="B108" s="28" t="str">
        <x:v>ABL borrowing base and covenant cure</x:v>
      </x:c>
      <x:c r="C108" s="28" t="str">
        <x:v>Detailed inventory collateral control</x:v>
      </x:c>
      <x:c r="D108" s="28" t="str">
        <x:v>Work in process</x:v>
      </x:c>
      <x:c r="E108" s="28" t="str">
        <x:v>2026-06-30</x:v>
      </x:c>
      <x:c r="F108" s="28" t="str">
        <x:v>Approved case</x:v>
      </x:c>
      <x:c r="G108" s="28" t="str">
        <x:v>Eligibility factor</x:v>
      </x:c>
      <x:c r="H108" s="31" t="n">
        <x:v>0.8</x:v>
      </x:c>
      <x:c r="I108" s="28" t="str"/>
      <x:c r="J108" s="28" t="str">
        <x:v>decimal ratio</x:v>
      </x:c>
      <x:c r="K108" s="28" t="str">
        <x:v>Finance operating schedule</x:v>
      </x:c>
      <x:c r="L108" s="34" t="str">
        <x:v>2026-06-30</x:v>
      </x:c>
      <x:c r="M108" s="28" t="str"/>
    </x:row>
    <x:row r="109">
      <x:c r="A109" s="37" t="str">
        <x:v>TRY-00805</x:v>
      </x:c>
      <x:c r="B109" s="28" t="str">
        <x:v>ABL borrowing base and covenant cure</x:v>
      </x:c>
      <x:c r="C109" s="28" t="str">
        <x:v>Detailed inventory collateral control</x:v>
      </x:c>
      <x:c r="D109" s="28" t="str">
        <x:v>Finished goods</x:v>
      </x:c>
      <x:c r="E109" s="28" t="str">
        <x:v>2026-06-30</x:v>
      </x:c>
      <x:c r="F109" s="28" t="str">
        <x:v>Approved case</x:v>
      </x:c>
      <x:c r="G109" s="28" t="str">
        <x:v>Gross inventory</x:v>
      </x:c>
      <x:c r="H109" s="31" t="n">
        <x:v>1100000</x:v>
      </x:c>
      <x:c r="I109" s="28" t="str"/>
      <x:c r="J109" s="28" t="str">
        <x:v>USD</x:v>
      </x:c>
      <x:c r="K109" s="28" t="str">
        <x:v>Finance operating schedule</x:v>
      </x:c>
      <x:c r="L109" s="34" t="str">
        <x:v>2026-06-30</x:v>
      </x:c>
      <x:c r="M109" s="28" t="str"/>
    </x:row>
    <x:row r="110">
      <x:c r="A110" s="37" t="str">
        <x:v>TRY-00806</x:v>
      </x:c>
      <x:c r="B110" s="28" t="str">
        <x:v>ABL borrowing base and covenant cure</x:v>
      </x:c>
      <x:c r="C110" s="28" t="str">
        <x:v>Detailed inventory collateral control</x:v>
      </x:c>
      <x:c r="D110" s="28" t="str">
        <x:v>Finished goods</x:v>
      </x:c>
      <x:c r="E110" s="28" t="str">
        <x:v>2026-06-30</x:v>
      </x:c>
      <x:c r="F110" s="28" t="str">
        <x:v>Approved case</x:v>
      </x:c>
      <x:c r="G110" s="28" t="str">
        <x:v>Eligibility factor</x:v>
      </x:c>
      <x:c r="H110" s="31" t="n">
        <x:v>0.7</x:v>
      </x:c>
      <x:c r="I110" s="28" t="str"/>
      <x:c r="J110" s="28" t="str">
        <x:v>decimal ratio</x:v>
      </x:c>
      <x:c r="K110" s="28" t="str">
        <x:v>Finance operating schedule</x:v>
      </x:c>
      <x:c r="L110" s="34" t="str">
        <x:v>2026-06-30</x:v>
      </x:c>
      <x:c r="M110" s="28" t="str"/>
    </x:row>
    <x:row r="111">
      <x:c r="A111" s="37" t="str">
        <x:v>TRY-00807</x:v>
      </x:c>
      <x:c r="B111" s="28" t="str">
        <x:v>ABL borrowing base and covenant cure</x:v>
      </x:c>
      <x:c r="C111" s="28" t="str">
        <x:v>Detailed ABL policy</x:v>
      </x:c>
      <x:c r="D111" s="28" t="str">
        <x:v>Alder Ridge</x:v>
      </x:c>
      <x:c r="E111" s="28" t="str">
        <x:v>2026-06-30</x:v>
      </x:c>
      <x:c r="F111" s="28" t="str">
        <x:v>Approved case</x:v>
      </x:c>
      <x:c r="G111" s="28" t="str">
        <x:v>Single customer concentration cap</x:v>
      </x:c>
      <x:c r="H111" s="31" t="n">
        <x:v>0.2</x:v>
      </x:c>
      <x:c r="I111" s="28" t="str"/>
      <x:c r="J111" s="28" t="str">
        <x:v>decimal ratio</x:v>
      </x:c>
      <x:c r="K111" s="28" t="str">
        <x:v>Finance operating schedule</x:v>
      </x:c>
      <x:c r="L111" s="34" t="str">
        <x:v>2026-06-30</x:v>
      </x:c>
      <x:c r="M111" s="28" t="str"/>
    </x:row>
    <x:row r="112">
      <x:c r="A112" s="38" t="str">
        <x:v>TRY-00808</x:v>
      </x:c>
      <x:c r="B112" s="29" t="str">
        <x:v>ABL borrowing base and covenant cure</x:v>
      </x:c>
      <x:c r="C112" s="29" t="str">
        <x:v>Detailed ABL policy</x:v>
      </x:c>
      <x:c r="D112" s="29" t="str">
        <x:v>Alder Ridge</x:v>
      </x:c>
      <x:c r="E112" s="29" t="str">
        <x:v>2026-06-30</x:v>
      </x:c>
      <x:c r="F112" s="29" t="str">
        <x:v>Approved case</x:v>
      </x:c>
      <x:c r="G112" s="29" t="str">
        <x:v>Facility basis</x:v>
      </x:c>
      <x:c r="H112" s="32" t="str"/>
      <x:c r="I112" s="29" t="str">
        <x:v>Controller-approved pro forma ABL alternative; not the executed current revolver</x:v>
      </x:c>
      <x:c r="J112" s="29" t="str">
        <x:v>classification</x:v>
      </x:c>
      <x:c r="K112" s="29" t="str">
        <x:v>Finance operating schedule</x:v>
      </x:c>
      <x:c r="L112" s="35" t="str">
        <x:v>2026-06-30</x:v>
      </x:c>
      <x:c r="M11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4" hidden="0" customWidth="1"/>
  </x:cols>
  <x:sheetData>
    <x:row r="1" ht="25" customHeight="1">
      <x:c r="A1" s="9" t="str">
        <x:v>treasury, banking, and credit outlook | data checks</x:v>
      </x:c>
      <x:c r="B1" s="9"/>
      <x:c r="C1" s="9"/>
      <x:c r="D1" s="9"/>
      <x:c r="E1" s="9"/>
      <x:c r="F1" s="9"/>
    </x:row>
    <x:row r="2" ht="25" customHeight="1">
      <x:c r="A2" s="11" t="str">
        <x:v>Row-count and version checks; investigate any unexpected change before using the book</x:v>
      </x:c>
      <x:c r="B2" s="11"/>
      <x:c r="C2" s="11"/>
      <x:c r="D2" s="11"/>
      <x:c r="E2" s="11"/>
      <x:c r="F2" s="11"/>
    </x:row>
    <x:row r="4" ht="30" customHeight="1">
      <x:c r="A4" s="20" t="str">
        <x:v>Data sheet</x:v>
      </x:c>
      <x:c r="B4" s="21" t="str">
        <x:v>Expected rows</x:v>
      </x:c>
      <x:c r="C4" s="21" t="str">
        <x:v>Workbook rows</x:v>
      </x:c>
      <x:c r="D4" s="21" t="str">
        <x:v>Difference</x:v>
      </x:c>
      <x:c r="E4" s="21" t="str">
        <x:v>Status</x:v>
      </x:c>
      <x:c r="F4" s="22" t="str">
        <x:v>Version note</x:v>
      </x:c>
    </x:row>
    <x:row r="5">
      <x:c r="A5" s="40" t="str">
        <x:v>Cash and Liquidity</x:v>
      </x:c>
      <x:c r="B5" s="40" t="n">
        <x:v>208</x:v>
      </x:c>
      <x:c r="C5" s="40" t="n">
        <x:f>COUNTA('Cash and Liquidity'!$A$5:$A$212)</x:f>
        <x:v>208</x:v>
      </x:c>
      <x:c r="D5" s="40" t="n">
        <x:f>C5-B5</x:f>
        <x:v>0</x:v>
      </x:c>
      <x:c r="E5" s="43" t="str">
        <x:f>IF(D5=0,"OK","CHECK")</x:f>
        <x:v>OK</x:v>
      </x:c>
      <x:c r="F5" s="40" t="str">
        <x:v>CURRENT • CONTROLLER REVIEW COMPLETE</x:v>
      </x:c>
    </x:row>
    <x:row r="6">
      <x:c r="A6" s="41" t="str">
        <x:v>Debt and Hedges</x:v>
      </x:c>
      <x:c r="B6" s="41" t="n">
        <x:v>132</x:v>
      </x:c>
      <x:c r="C6" s="41" t="n">
        <x:f>COUNTA('Debt and Hedges'!$A$5:$A$136)</x:f>
        <x:v>132</x:v>
      </x:c>
      <x:c r="D6" s="41" t="n">
        <x:f>C6-B6</x:f>
        <x:v>0</x:v>
      </x:c>
      <x:c r="E6" s="44" t="str">
        <x:f>IF(D6=0,"OK","CHECK")</x:f>
        <x:v>OK</x:v>
      </x:c>
      <x:c r="F6" s="41" t="str">
        <x:v>CURRENT • CONTROLLER REVIEW COMPLETE</x:v>
      </x:c>
    </x:row>
    <x:row r="7">
      <x:c r="A7" s="41" t="str">
        <x:v>Bank Economics</x:v>
      </x:c>
      <x:c r="B7" s="41" t="n">
        <x:v>47</x:v>
      </x:c>
      <x:c r="C7" s="41" t="n">
        <x:f>COUNTA('Bank Economics'!$A$5:$A$51)</x:f>
        <x:v>47</x:v>
      </x:c>
      <x:c r="D7" s="41" t="n">
        <x:f>C7-B7</x:f>
        <x:v>0</x:v>
      </x:c>
      <x:c r="E7" s="44" t="str">
        <x:f>IF(D7=0,"OK","CHECK")</x:f>
        <x:v>OK</x:v>
      </x:c>
      <x:c r="F7" s="41" t="str">
        <x:v>CURRENT • CONTROLLER REVIEW COMPLETE</x:v>
      </x:c>
    </x:row>
    <x:row r="8">
      <x:c r="A8" s="42" t="str">
        <x:v>Credit Outlook</x:v>
      </x:c>
      <x:c r="B8" s="42" t="n">
        <x:v>108</x:v>
      </x:c>
      <x:c r="C8" s="42" t="n">
        <x:f>COUNTA('Credit Outlook'!$A$5:$A$112)</x:f>
        <x:v>108</x:v>
      </x:c>
      <x:c r="D8" s="42" t="n">
        <x:f>C8-B8</x:f>
        <x:v>0</x:v>
      </x:c>
      <x:c r="E8" s="45" t="str">
        <x:f>IF(D8=0,"OK","CHECK")</x:f>
        <x:v>OK</x:v>
      </x:c>
      <x:c r="F8" s="42" t="str">
        <x:v>CURRENT • CONTROLLER REVIEW COMPLETE</x:v>
      </x:c>
    </x:row>
  </x:sheetData>
  <x:mergeCells>
    <x:mergeCell ref="A1:F1"/>
    <x:mergeCell ref="A2:F2"/>
  </x:mergeCells>
  <x:pageMargins left="0.7" right="0.7" top="0.75" bottom="0.75" header="0.3" footer="0.3"/>
</x:worksheet>
</file>