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Cash and Liquidity" sheetId="2" state="visible" r:id="rId2"/>
    <sheet xmlns:r="http://schemas.openxmlformats.org/officeDocument/2006/relationships" name="Debt and Hedges" sheetId="3" state="visible" r:id="rId3"/>
    <sheet xmlns:r="http://schemas.openxmlformats.org/officeDocument/2006/relationships" name="Bank Economics" sheetId="4" state="visible" r:id="rId4"/>
    <sheet xmlns:r="http://schemas.openxmlformats.org/officeDocument/2006/relationships" name="Credit Outlook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'Cash and Liquidity'!$A$4:$M$212</definedName>
    <definedName name="_xlnm._FilterDatabase" localSheetId="2" hidden="1">'Debt and Hedges'!$A$4:$M$136</definedName>
    <definedName name="_xlnm._FilterDatabase" localSheetId="3" hidden="1">'Bank Economics'!$A$4:$M$51</definedName>
    <definedName name="_xlnm._FilterDatabase" localSheetId="4" hidden="1">'Credit Outlook'!$A$4:$M$79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Cash and Liquidity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TRY-00067</t>
        </is>
      </c>
      <c r="B5" s="27" t="inlineStr">
        <is>
          <t>Complete the 30-day daily cash-position model</t>
        </is>
      </c>
      <c r="C5" s="27" t="inlineStr">
        <is>
          <t>Treasury policy</t>
        </is>
      </c>
      <c r="D5" s="27" t="inlineStr">
        <is>
          <t>Consolidated</t>
        </is>
      </c>
      <c r="E5" s="27" t="inlineStr">
        <is>
          <t>July 2026</t>
        </is>
      </c>
      <c r="F5" s="27" t="inlineStr">
        <is>
          <t>Approved case</t>
        </is>
      </c>
      <c r="G5" s="27" t="inlineStr">
        <is>
          <t>Consolidated minimum available cash</t>
        </is>
      </c>
      <c r="H5" s="46" t="n">
        <v>2250000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TRY-00068</t>
        </is>
      </c>
      <c r="B6" s="27" t="inlineStr">
        <is>
          <t>Complete the 30-day daily cash-position model</t>
        </is>
      </c>
      <c r="C6" s="27" t="inlineStr">
        <is>
          <t>Treasury policy</t>
        </is>
      </c>
      <c r="D6" s="27" t="inlineStr">
        <is>
          <t>Revolver</t>
        </is>
      </c>
      <c r="E6" s="27" t="inlineStr">
        <is>
          <t>July 2026</t>
        </is>
      </c>
      <c r="F6" s="27" t="inlineStr">
        <is>
          <t>Approved case</t>
        </is>
      </c>
      <c r="G6" s="27" t="inlineStr">
        <is>
          <t>Commitment</t>
        </is>
      </c>
      <c r="H6" s="46" t="n">
        <v>5000</v>
      </c>
      <c r="I6" s="27" t="inlineStr"/>
      <c r="J6" s="27" t="inlineStr">
        <is>
          <t>USD thousands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TRY-00069</t>
        </is>
      </c>
      <c r="B7" s="27" t="inlineStr">
        <is>
          <t>Complete the 30-day daily cash-position model</t>
        </is>
      </c>
      <c r="C7" s="27" t="inlineStr">
        <is>
          <t>Treasury policy</t>
        </is>
      </c>
      <c r="D7" s="27" t="inlineStr">
        <is>
          <t>Restricted account</t>
        </is>
      </c>
      <c r="E7" s="27" t="inlineStr">
        <is>
          <t>July 2026</t>
        </is>
      </c>
      <c r="F7" s="27" t="inlineStr">
        <is>
          <t>Approved case</t>
        </is>
      </c>
      <c r="G7" s="27" t="inlineStr">
        <is>
          <t>Restricted cash excluded</t>
        </is>
      </c>
      <c r="H7" s="46" t="n">
        <v>440000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TRY-00084</t>
        </is>
      </c>
      <c r="B8" s="27" t="inlineStr">
        <is>
          <t>Seasonal liquidity and revolver headroom</t>
        </is>
      </c>
      <c r="C8" s="27" t="inlineStr">
        <is>
          <t>Opening liquidity</t>
        </is>
      </c>
      <c r="D8" s="27" t="inlineStr">
        <is>
          <t>Unrestricted cash</t>
        </is>
      </c>
      <c r="E8" s="27" t="inlineStr">
        <is>
          <t>2026-06-30</t>
        </is>
      </c>
      <c r="F8" s="27" t="inlineStr">
        <is>
          <t>Approved case</t>
        </is>
      </c>
      <c r="G8" s="27" t="inlineStr">
        <is>
          <t>Posted balance</t>
        </is>
      </c>
      <c r="H8" s="46" t="n">
        <v>1</v>
      </c>
      <c r="I8" s="27" t="inlineStr"/>
      <c r="J8" s="27" t="inlineStr">
        <is>
          <t>ledger allocation factor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>
        <is>
          <t>Vista ERP cash detail as of 2026-06-30; unrestricted company cash accounts</t>
        </is>
      </c>
    </row>
    <row r="9">
      <c r="A9" s="36" t="inlineStr">
        <is>
          <t>TRY-00090</t>
        </is>
      </c>
      <c r="B9" s="27" t="inlineStr">
        <is>
          <t>Seasonal liquidity and revolver headroom</t>
        </is>
      </c>
      <c r="C9" s="27" t="inlineStr">
        <is>
          <t>Borrowing base</t>
        </is>
      </c>
      <c r="D9" s="27" t="inlineStr">
        <is>
          <t>Revolver</t>
        </is>
      </c>
      <c r="E9" s="27" t="inlineStr">
        <is>
          <t>2026-07</t>
        </is>
      </c>
      <c r="F9" s="27" t="inlineStr">
        <is>
          <t>Approved case</t>
        </is>
      </c>
      <c r="G9" s="27" t="inlineStr">
        <is>
          <t>Eligible borrowing base</t>
        </is>
      </c>
      <c r="H9" s="46" t="n">
        <v>12000000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TRY-00096</t>
        </is>
      </c>
      <c r="B10" s="27" t="inlineStr">
        <is>
          <t>Seasonal liquidity and revolver headroom</t>
        </is>
      </c>
      <c r="C10" s="27" t="inlineStr">
        <is>
          <t>Borrowing base</t>
        </is>
      </c>
      <c r="D10" s="27" t="inlineStr">
        <is>
          <t>Revolver</t>
        </is>
      </c>
      <c r="E10" s="27" t="inlineStr">
        <is>
          <t>2026-08</t>
        </is>
      </c>
      <c r="F10" s="27" t="inlineStr">
        <is>
          <t>Approved case</t>
        </is>
      </c>
      <c r="G10" s="27" t="inlineStr">
        <is>
          <t>Eligible borrowing base</t>
        </is>
      </c>
      <c r="H10" s="46" t="n">
        <v>12000000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TRY-00102</t>
        </is>
      </c>
      <c r="B11" s="27" t="inlineStr">
        <is>
          <t>Seasonal liquidity and revolver headroom</t>
        </is>
      </c>
      <c r="C11" s="27" t="inlineStr">
        <is>
          <t>Borrowing base</t>
        </is>
      </c>
      <c r="D11" s="27" t="inlineStr">
        <is>
          <t>Revolver</t>
        </is>
      </c>
      <c r="E11" s="27" t="inlineStr">
        <is>
          <t>2026-09</t>
        </is>
      </c>
      <c r="F11" s="27" t="inlineStr">
        <is>
          <t>Approved case</t>
        </is>
      </c>
      <c r="G11" s="27" t="inlineStr">
        <is>
          <t>Eligible borrowing base</t>
        </is>
      </c>
      <c r="H11" s="46" t="n">
        <v>12000000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TRY-00108</t>
        </is>
      </c>
      <c r="B12" s="27" t="inlineStr">
        <is>
          <t>Seasonal liquidity and revolver headroom</t>
        </is>
      </c>
      <c r="C12" s="27" t="inlineStr">
        <is>
          <t>Borrowing base</t>
        </is>
      </c>
      <c r="D12" s="27" t="inlineStr">
        <is>
          <t>Revolver</t>
        </is>
      </c>
      <c r="E12" s="27" t="inlineStr">
        <is>
          <t>2026-10</t>
        </is>
      </c>
      <c r="F12" s="27" t="inlineStr">
        <is>
          <t>Approved case</t>
        </is>
      </c>
      <c r="G12" s="27" t="inlineStr">
        <is>
          <t>Eligible borrowing base</t>
        </is>
      </c>
      <c r="H12" s="46" t="n">
        <v>12000000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TRY-00114</t>
        </is>
      </c>
      <c r="B13" s="27" t="inlineStr">
        <is>
          <t>Seasonal liquidity and revolver headroom</t>
        </is>
      </c>
      <c r="C13" s="27" t="inlineStr">
        <is>
          <t>Borrowing base</t>
        </is>
      </c>
      <c r="D13" s="27" t="inlineStr">
        <is>
          <t>Revolver</t>
        </is>
      </c>
      <c r="E13" s="27" t="inlineStr">
        <is>
          <t>2026-11</t>
        </is>
      </c>
      <c r="F13" s="27" t="inlineStr">
        <is>
          <t>Approved case</t>
        </is>
      </c>
      <c r="G13" s="27" t="inlineStr">
        <is>
          <t>Eligible borrowing base</t>
        </is>
      </c>
      <c r="H13" s="46" t="n">
        <v>12000000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TRY-00120</t>
        </is>
      </c>
      <c r="B14" s="27" t="inlineStr">
        <is>
          <t>Seasonal liquidity and revolver headroom</t>
        </is>
      </c>
      <c r="C14" s="27" t="inlineStr">
        <is>
          <t>Borrowing base</t>
        </is>
      </c>
      <c r="D14" s="27" t="inlineStr">
        <is>
          <t>Revolver</t>
        </is>
      </c>
      <c r="E14" s="27" t="inlineStr">
        <is>
          <t>2026-12</t>
        </is>
      </c>
      <c r="F14" s="27" t="inlineStr">
        <is>
          <t>Approved case</t>
        </is>
      </c>
      <c r="G14" s="27" t="inlineStr">
        <is>
          <t>Eligible borrowing base</t>
        </is>
      </c>
      <c r="H14" s="46" t="n">
        <v>12000000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TRY-00126</t>
        </is>
      </c>
      <c r="B15" s="27" t="inlineStr">
        <is>
          <t>Seasonal liquidity and revolver headroom</t>
        </is>
      </c>
      <c r="C15" s="27" t="inlineStr">
        <is>
          <t>Borrowing base</t>
        </is>
      </c>
      <c r="D15" s="27" t="inlineStr">
        <is>
          <t>Revolver</t>
        </is>
      </c>
      <c r="E15" s="27" t="inlineStr">
        <is>
          <t>2027-01</t>
        </is>
      </c>
      <c r="F15" s="27" t="inlineStr">
        <is>
          <t>Approved case</t>
        </is>
      </c>
      <c r="G15" s="27" t="inlineStr">
        <is>
          <t>Eligible borrowing base</t>
        </is>
      </c>
      <c r="H15" s="46" t="n">
        <v>12000000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TRY-00132</t>
        </is>
      </c>
      <c r="B16" s="27" t="inlineStr">
        <is>
          <t>Seasonal liquidity and revolver headroom</t>
        </is>
      </c>
      <c r="C16" s="27" t="inlineStr">
        <is>
          <t>Borrowing base</t>
        </is>
      </c>
      <c r="D16" s="27" t="inlineStr">
        <is>
          <t>Revolver</t>
        </is>
      </c>
      <c r="E16" s="27" t="inlineStr">
        <is>
          <t>2027-02</t>
        </is>
      </c>
      <c r="F16" s="27" t="inlineStr">
        <is>
          <t>Approved case</t>
        </is>
      </c>
      <c r="G16" s="27" t="inlineStr">
        <is>
          <t>Eligible borrowing base</t>
        </is>
      </c>
      <c r="H16" s="46" t="n">
        <v>12000000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TRY-00138</t>
        </is>
      </c>
      <c r="B17" s="27" t="inlineStr">
        <is>
          <t>Seasonal liquidity and revolver headroom</t>
        </is>
      </c>
      <c r="C17" s="27" t="inlineStr">
        <is>
          <t>Borrowing base</t>
        </is>
      </c>
      <c r="D17" s="27" t="inlineStr">
        <is>
          <t>Revolver</t>
        </is>
      </c>
      <c r="E17" s="27" t="inlineStr">
        <is>
          <t>2027-03</t>
        </is>
      </c>
      <c r="F17" s="27" t="inlineStr">
        <is>
          <t>Approved case</t>
        </is>
      </c>
      <c r="G17" s="27" t="inlineStr">
        <is>
          <t>Eligible borrowing base</t>
        </is>
      </c>
      <c r="H17" s="46" t="n">
        <v>10500000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TRY-00144</t>
        </is>
      </c>
      <c r="B18" s="27" t="inlineStr">
        <is>
          <t>Seasonal liquidity and revolver headroom</t>
        </is>
      </c>
      <c r="C18" s="27" t="inlineStr">
        <is>
          <t>Borrowing base</t>
        </is>
      </c>
      <c r="D18" s="27" t="inlineStr">
        <is>
          <t>Revolver</t>
        </is>
      </c>
      <c r="E18" s="27" t="inlineStr">
        <is>
          <t>2027-04</t>
        </is>
      </c>
      <c r="F18" s="27" t="inlineStr">
        <is>
          <t>Approved case</t>
        </is>
      </c>
      <c r="G18" s="27" t="inlineStr">
        <is>
          <t>Eligible borrowing base</t>
        </is>
      </c>
      <c r="H18" s="46" t="n">
        <v>10500000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TRY-00150</t>
        </is>
      </c>
      <c r="B19" s="27" t="inlineStr">
        <is>
          <t>Seasonal liquidity and revolver headroom</t>
        </is>
      </c>
      <c r="C19" s="27" t="inlineStr">
        <is>
          <t>Borrowing base</t>
        </is>
      </c>
      <c r="D19" s="27" t="inlineStr">
        <is>
          <t>Revolver</t>
        </is>
      </c>
      <c r="E19" s="27" t="inlineStr">
        <is>
          <t>2027-05</t>
        </is>
      </c>
      <c r="F19" s="27" t="inlineStr">
        <is>
          <t>Approved case</t>
        </is>
      </c>
      <c r="G19" s="27" t="inlineStr">
        <is>
          <t>Eligible borrowing base</t>
        </is>
      </c>
      <c r="H19" s="46" t="n">
        <v>10500000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TRY-00156</t>
        </is>
      </c>
      <c r="B20" s="27" t="inlineStr">
        <is>
          <t>Seasonal liquidity and revolver headroom</t>
        </is>
      </c>
      <c r="C20" s="27" t="inlineStr">
        <is>
          <t>Borrowing base</t>
        </is>
      </c>
      <c r="D20" s="27" t="inlineStr">
        <is>
          <t>Revolver</t>
        </is>
      </c>
      <c r="E20" s="27" t="inlineStr">
        <is>
          <t>2027-06</t>
        </is>
      </c>
      <c r="F20" s="27" t="inlineStr">
        <is>
          <t>Approved case</t>
        </is>
      </c>
      <c r="G20" s="27" t="inlineStr">
        <is>
          <t>Eligible borrowing base</t>
        </is>
      </c>
      <c r="H20" s="46" t="n">
        <v>10500000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TRY-00157</t>
        </is>
      </c>
      <c r="B21" s="27" t="inlineStr">
        <is>
          <t>Seasonal liquidity and revolver headroom</t>
        </is>
      </c>
      <c r="C21" s="27" t="inlineStr">
        <is>
          <t>Liquidity policy</t>
        </is>
      </c>
      <c r="D21" s="27" t="inlineStr">
        <is>
          <t>Consolidated</t>
        </is>
      </c>
      <c r="E21" s="27" t="inlineStr">
        <is>
          <t>FY27</t>
        </is>
      </c>
      <c r="F21" s="27" t="inlineStr">
        <is>
          <t>Approved case</t>
        </is>
      </c>
      <c r="G21" s="27" t="inlineStr">
        <is>
          <t>Operating cash floor</t>
        </is>
      </c>
      <c r="H21" s="46" t="n">
        <v>2250000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TRY-00158</t>
        </is>
      </c>
      <c r="B22" s="27" t="inlineStr">
        <is>
          <t>Seasonal liquidity and revolver headroom</t>
        </is>
      </c>
      <c r="C22" s="27" t="inlineStr">
        <is>
          <t>Liquidity policy</t>
        </is>
      </c>
      <c r="D22" s="27" t="inlineStr">
        <is>
          <t>Revolver</t>
        </is>
      </c>
      <c r="E22" s="27" t="inlineStr">
        <is>
          <t>FY27</t>
        </is>
      </c>
      <c r="F22" s="27" t="inlineStr">
        <is>
          <t>Approved case</t>
        </is>
      </c>
      <c r="G22" s="27" t="inlineStr">
        <is>
          <t>Commitment</t>
        </is>
      </c>
      <c r="H22" s="46" t="n">
        <v>12000000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TRY-00159</t>
        </is>
      </c>
      <c r="B23" s="27" t="inlineStr">
        <is>
          <t>Seasonal liquidity and revolver headroom</t>
        </is>
      </c>
      <c r="C23" s="27" t="inlineStr">
        <is>
          <t>Liquidity policy</t>
        </is>
      </c>
      <c r="D23" s="27" t="inlineStr">
        <is>
          <t>Restricted cash</t>
        </is>
      </c>
      <c r="E23" s="27" t="inlineStr">
        <is>
          <t>FY27</t>
        </is>
      </c>
      <c r="F23" s="27" t="inlineStr">
        <is>
          <t>Approved case</t>
        </is>
      </c>
      <c r="G23" s="27" t="inlineStr">
        <is>
          <t>Excluded balance</t>
        </is>
      </c>
      <c r="H23" s="46" t="n">
        <v>550</v>
      </c>
      <c r="I23" s="27" t="inlineStr"/>
      <c r="J23" s="27" t="inlineStr">
        <is>
          <t>USD thousands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TRY-00307</t>
        </is>
      </c>
      <c r="B24" s="27" t="inlineStr">
        <is>
          <t>Short-term liquidity investment allocation</t>
        </is>
      </c>
      <c r="C24" s="27" t="inlineStr">
        <is>
          <t>Available cash</t>
        </is>
      </c>
      <c r="D24" s="27" t="inlineStr">
        <is>
          <t>Unrestricted operating cash</t>
        </is>
      </c>
      <c r="E24" s="27" t="inlineStr">
        <is>
          <t>2026-06-30</t>
        </is>
      </c>
      <c r="F24" s="27" t="inlineStr">
        <is>
          <t>Approved case</t>
        </is>
      </c>
      <c r="G24" s="27" t="inlineStr">
        <is>
          <t>Posted cash</t>
        </is>
      </c>
      <c r="H24" s="46" t="n">
        <v>1</v>
      </c>
      <c r="I24" s="27" t="inlineStr"/>
      <c r="J24" s="27" t="inlineStr">
        <is>
          <t>ledger allocation factor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>
        <is>
          <t>Vista ERP cash detail as of 2026-06-30; unrestricted company cash accounts</t>
        </is>
      </c>
    </row>
    <row r="25">
      <c r="A25" s="36" t="inlineStr">
        <is>
          <t>TRY-00308</t>
        </is>
      </c>
      <c r="B25" s="27" t="inlineStr">
        <is>
          <t>Short-term liquidity investment allocation</t>
        </is>
      </c>
      <c r="C25" s="27" t="inlineStr">
        <is>
          <t>Available cash</t>
        </is>
      </c>
      <c r="D25" s="27" t="inlineStr">
        <is>
          <t>Executed asset-sale proceeds</t>
        </is>
      </c>
      <c r="E25" s="27" t="inlineStr">
        <is>
          <t>2026-07-05</t>
        </is>
      </c>
      <c r="F25" s="27" t="inlineStr">
        <is>
          <t>Approved case</t>
        </is>
      </c>
      <c r="G25" s="27" t="inlineStr">
        <is>
          <t>Settling proceeds</t>
        </is>
      </c>
      <c r="H25" s="46" t="n">
        <v>11800000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TRY-00309</t>
        </is>
      </c>
      <c r="B26" s="27" t="inlineStr">
        <is>
          <t>Short-term liquidity investment allocation</t>
        </is>
      </c>
      <c r="C26" s="27" t="inlineStr">
        <is>
          <t>Available cash</t>
        </is>
      </c>
      <c r="D26" s="27" t="inlineStr">
        <is>
          <t>Restricted surety cash</t>
        </is>
      </c>
      <c r="E26" s="27" t="inlineStr">
        <is>
          <t>2026-06-30</t>
        </is>
      </c>
      <c r="F26" s="27" t="inlineStr">
        <is>
          <t>Approved case</t>
        </is>
      </c>
      <c r="G26" s="27" t="inlineStr">
        <is>
          <t>Excluded balance</t>
        </is>
      </c>
      <c r="H26" s="46" t="n">
        <v>620000</v>
      </c>
      <c r="I26" s="27" t="inlineStr"/>
      <c r="J26" s="27" t="inlineStr">
        <is>
          <t>USD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TRY-00310</t>
        </is>
      </c>
      <c r="B27" s="27" t="inlineStr">
        <is>
          <t>Short-term liquidity investment allocation</t>
        </is>
      </c>
      <c r="C27" s="27" t="inlineStr">
        <is>
          <t>Liquidity floors</t>
        </is>
      </c>
      <c r="D27" s="27" t="inlineStr">
        <is>
          <t>Operating</t>
        </is>
      </c>
      <c r="E27" s="27" t="inlineStr">
        <is>
          <t>2026-07-05</t>
        </is>
      </c>
      <c r="F27" s="27" t="inlineStr">
        <is>
          <t>Approved case</t>
        </is>
      </c>
      <c r="G27" s="27" t="inlineStr">
        <is>
          <t>Operating cash floor</t>
        </is>
      </c>
      <c r="H27" s="46" t="n">
        <v>2250</v>
      </c>
      <c r="I27" s="27" t="inlineStr"/>
      <c r="J27" s="27" t="inlineStr">
        <is>
          <t>USD thousands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TRY-00311</t>
        </is>
      </c>
      <c r="B28" s="27" t="inlineStr">
        <is>
          <t>Short-term liquidity investment allocation</t>
        </is>
      </c>
      <c r="C28" s="27" t="inlineStr">
        <is>
          <t>Liquidity floors</t>
        </is>
      </c>
      <c r="D28" s="27" t="inlineStr">
        <is>
          <t>Payroll</t>
        </is>
      </c>
      <c r="E28" s="27" t="inlineStr">
        <is>
          <t>2026-07-05</t>
        </is>
      </c>
      <c r="F28" s="27" t="inlineStr">
        <is>
          <t>Approved case</t>
        </is>
      </c>
      <c r="G28" s="27" t="inlineStr">
        <is>
          <t>Payroll cash floor</t>
        </is>
      </c>
      <c r="H28" s="46" t="n">
        <v>950000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TRY-00312</t>
        </is>
      </c>
      <c r="B29" s="27" t="inlineStr">
        <is>
          <t>Short-term liquidity investment allocation</t>
        </is>
      </c>
      <c r="C29" s="27" t="inlineStr">
        <is>
          <t>Approved investment menu</t>
        </is>
      </c>
      <c r="D29" s="27" t="inlineStr">
        <is>
          <t>Operating money market</t>
        </is>
      </c>
      <c r="E29" s="27" t="inlineStr">
        <is>
          <t>2026-07-05</t>
        </is>
      </c>
      <c r="F29" s="27" t="inlineStr">
        <is>
          <t>Approved case</t>
        </is>
      </c>
      <c r="G29" s="27" t="inlineStr">
        <is>
          <t>Annual yield</t>
        </is>
      </c>
      <c r="H29" s="46" t="n">
        <v>0.0415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TRY-00313</t>
        </is>
      </c>
      <c r="B30" s="27" t="inlineStr">
        <is>
          <t>Short-term liquidity investment allocation</t>
        </is>
      </c>
      <c r="C30" s="27" t="inlineStr">
        <is>
          <t>Approved investment menu</t>
        </is>
      </c>
      <c r="D30" s="27" t="inlineStr">
        <is>
          <t>Operating money market</t>
        </is>
      </c>
      <c r="E30" s="27" t="inlineStr">
        <is>
          <t>2026-07-05</t>
        </is>
      </c>
      <c r="F30" s="27" t="inlineStr">
        <is>
          <t>Approved case</t>
        </is>
      </c>
      <c r="G30" s="27" t="inlineStr">
        <is>
          <t>Weighted-average maturity days</t>
        </is>
      </c>
      <c r="H30" s="46" t="n">
        <v>1</v>
      </c>
      <c r="I30" s="27" t="inlineStr"/>
      <c r="J30" s="27" t="inlineStr">
        <is>
          <t>days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TRY-00314</t>
        </is>
      </c>
      <c r="B31" s="27" t="inlineStr">
        <is>
          <t>Short-term liquidity investment allocation</t>
        </is>
      </c>
      <c r="C31" s="27" t="inlineStr">
        <is>
          <t>Approved investment menu</t>
        </is>
      </c>
      <c r="D31" s="27" t="inlineStr">
        <is>
          <t>Operating money market</t>
        </is>
      </c>
      <c r="E31" s="27" t="inlineStr">
        <is>
          <t>2026-07-05</t>
        </is>
      </c>
      <c r="F31" s="27" t="inlineStr">
        <is>
          <t>Approved case</t>
        </is>
      </c>
      <c r="G31" s="27" t="inlineStr">
        <is>
          <t>Approved capacity</t>
        </is>
      </c>
      <c r="H31" s="46" t="n">
        <v>4000</v>
      </c>
      <c r="I31" s="27" t="inlineStr"/>
      <c r="J31" s="27" t="inlineStr">
        <is>
          <t>USD thousands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TRY-00315</t>
        </is>
      </c>
      <c r="B32" s="27" t="inlineStr">
        <is>
          <t>Short-term liquidity investment allocation</t>
        </is>
      </c>
      <c r="C32" s="27" t="inlineStr">
        <is>
          <t>Approved investment menu</t>
        </is>
      </c>
      <c r="D32" s="27" t="inlineStr">
        <is>
          <t>Operating money market</t>
        </is>
      </c>
      <c r="E32" s="27" t="inlineStr">
        <is>
          <t>2026-07-05</t>
        </is>
      </c>
      <c r="F32" s="27" t="inlineStr">
        <is>
          <t>Approved case</t>
        </is>
      </c>
      <c r="G32" s="27" t="inlineStr">
        <is>
          <t>Same-day liquidity factor</t>
        </is>
      </c>
      <c r="H32" s="46" t="n">
        <v>1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TRY-00316</t>
        </is>
      </c>
      <c r="B33" s="27" t="inlineStr">
        <is>
          <t>Short-term liquidity investment allocation</t>
        </is>
      </c>
      <c r="C33" s="27" t="inlineStr">
        <is>
          <t>Approved investment menu</t>
        </is>
      </c>
      <c r="D33" s="27" t="inlineStr">
        <is>
          <t>Operating money market</t>
        </is>
      </c>
      <c r="E33" s="27" t="inlineStr">
        <is>
          <t>2026-07-05</t>
        </is>
      </c>
      <c r="F33" s="27" t="inlineStr">
        <is>
          <t>Approved case</t>
        </is>
      </c>
      <c r="G33" s="27" t="inlineStr">
        <is>
          <t>Counterparty</t>
        </is>
      </c>
      <c r="H33" s="46" t="inlineStr"/>
      <c r="I33" s="27" t="inlineStr">
        <is>
          <t>Bank A</t>
        </is>
      </c>
      <c r="J33" s="27" t="inlineStr">
        <is>
          <t>classification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TRY-00317</t>
        </is>
      </c>
      <c r="B34" s="27" t="inlineStr">
        <is>
          <t>Short-term liquidity investment allocation</t>
        </is>
      </c>
      <c r="C34" s="27" t="inlineStr">
        <is>
          <t>Approved investment menu</t>
        </is>
      </c>
      <c r="D34" s="27" t="inlineStr">
        <is>
          <t>Treasury bill</t>
        </is>
      </c>
      <c r="E34" s="27" t="inlineStr">
        <is>
          <t>2026-07-05</t>
        </is>
      </c>
      <c r="F34" s="27" t="inlineStr">
        <is>
          <t>Approved case</t>
        </is>
      </c>
      <c r="G34" s="27" t="inlineStr">
        <is>
          <t>Annual yield</t>
        </is>
      </c>
      <c r="H34" s="46" t="n">
        <v>0.0475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TRY-00318</t>
        </is>
      </c>
      <c r="B35" s="27" t="inlineStr">
        <is>
          <t>Short-term liquidity investment allocation</t>
        </is>
      </c>
      <c r="C35" s="27" t="inlineStr">
        <is>
          <t>Approved investment menu</t>
        </is>
      </c>
      <c r="D35" s="27" t="inlineStr">
        <is>
          <t>Treasury bill</t>
        </is>
      </c>
      <c r="E35" s="27" t="inlineStr">
        <is>
          <t>2026-07-05</t>
        </is>
      </c>
      <c r="F35" s="27" t="inlineStr">
        <is>
          <t>Approved case</t>
        </is>
      </c>
      <c r="G35" s="27" t="inlineStr">
        <is>
          <t>Weighted-average maturity days</t>
        </is>
      </c>
      <c r="H35" s="46" t="n">
        <v>91</v>
      </c>
      <c r="I35" s="27" t="inlineStr"/>
      <c r="J35" s="27" t="inlineStr">
        <is>
          <t>days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TRY-00319</t>
        </is>
      </c>
      <c r="B36" s="27" t="inlineStr">
        <is>
          <t>Short-term liquidity investment allocation</t>
        </is>
      </c>
      <c r="C36" s="27" t="inlineStr">
        <is>
          <t>Approved investment menu</t>
        </is>
      </c>
      <c r="D36" s="27" t="inlineStr">
        <is>
          <t>Treasury bill</t>
        </is>
      </c>
      <c r="E36" s="27" t="inlineStr">
        <is>
          <t>2026-07-05</t>
        </is>
      </c>
      <c r="F36" s="27" t="inlineStr">
        <is>
          <t>Approved case</t>
        </is>
      </c>
      <c r="G36" s="27" t="inlineStr">
        <is>
          <t>Approved capacity</t>
        </is>
      </c>
      <c r="H36" s="46" t="n">
        <v>7000000</v>
      </c>
      <c r="I36" s="27" t="inlineStr"/>
      <c r="J36" s="27" t="inlineStr">
        <is>
          <t>USD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TRY-00320</t>
        </is>
      </c>
      <c r="B37" s="27" t="inlineStr">
        <is>
          <t>Short-term liquidity investment allocation</t>
        </is>
      </c>
      <c r="C37" s="27" t="inlineStr">
        <is>
          <t>Approved investment menu</t>
        </is>
      </c>
      <c r="D37" s="27" t="inlineStr">
        <is>
          <t>Treasury bill</t>
        </is>
      </c>
      <c r="E37" s="27" t="inlineStr">
        <is>
          <t>2026-07-05</t>
        </is>
      </c>
      <c r="F37" s="27" t="inlineStr">
        <is>
          <t>Approved case</t>
        </is>
      </c>
      <c r="G37" s="27" t="inlineStr">
        <is>
          <t>Same-day liquidity factor</t>
        </is>
      </c>
      <c r="H37" s="46" t="n">
        <v>0</v>
      </c>
      <c r="I37" s="27" t="inlineStr"/>
      <c r="J37" s="27" t="inlineStr">
        <is>
          <t>decimal ratio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TRY-00321</t>
        </is>
      </c>
      <c r="B38" s="27" t="inlineStr">
        <is>
          <t>Short-term liquidity investment allocation</t>
        </is>
      </c>
      <c r="C38" s="27" t="inlineStr">
        <is>
          <t>Approved investment menu</t>
        </is>
      </c>
      <c r="D38" s="27" t="inlineStr">
        <is>
          <t>Treasury bill</t>
        </is>
      </c>
      <c r="E38" s="27" t="inlineStr">
        <is>
          <t>2026-07-05</t>
        </is>
      </c>
      <c r="F38" s="27" t="inlineStr">
        <is>
          <t>Approved case</t>
        </is>
      </c>
      <c r="G38" s="27" t="inlineStr">
        <is>
          <t>Counterparty</t>
        </is>
      </c>
      <c r="H38" s="46" t="inlineStr"/>
      <c r="I38" s="27" t="inlineStr">
        <is>
          <t>US Treasury</t>
        </is>
      </c>
      <c r="J38" s="27" t="inlineStr">
        <is>
          <t>classification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TRY-00322</t>
        </is>
      </c>
      <c r="B39" s="27" t="inlineStr">
        <is>
          <t>Short-term liquidity investment allocation</t>
        </is>
      </c>
      <c r="C39" s="27" t="inlineStr">
        <is>
          <t>Approved investment menu</t>
        </is>
      </c>
      <c r="D39" s="27" t="inlineStr">
        <is>
          <t>Government fund</t>
        </is>
      </c>
      <c r="E39" s="27" t="inlineStr">
        <is>
          <t>2026-07-05</t>
        </is>
      </c>
      <c r="F39" s="27" t="inlineStr">
        <is>
          <t>Approved case</t>
        </is>
      </c>
      <c r="G39" s="27" t="inlineStr">
        <is>
          <t>Annual yield</t>
        </is>
      </c>
      <c r="H39" s="46" t="n">
        <v>0.044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TRY-00323</t>
        </is>
      </c>
      <c r="B40" s="27" t="inlineStr">
        <is>
          <t>Short-term liquidity investment allocation</t>
        </is>
      </c>
      <c r="C40" s="27" t="inlineStr">
        <is>
          <t>Approved investment menu</t>
        </is>
      </c>
      <c r="D40" s="27" t="inlineStr">
        <is>
          <t>Government fund</t>
        </is>
      </c>
      <c r="E40" s="27" t="inlineStr">
        <is>
          <t>2026-07-05</t>
        </is>
      </c>
      <c r="F40" s="27" t="inlineStr">
        <is>
          <t>Approved case</t>
        </is>
      </c>
      <c r="G40" s="27" t="inlineStr">
        <is>
          <t>Weighted-average maturity days</t>
        </is>
      </c>
      <c r="H40" s="46" t="n">
        <v>1</v>
      </c>
      <c r="I40" s="27" t="inlineStr"/>
      <c r="J40" s="27" t="inlineStr">
        <is>
          <t>days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TRY-00324</t>
        </is>
      </c>
      <c r="B41" s="27" t="inlineStr">
        <is>
          <t>Short-term liquidity investment allocation</t>
        </is>
      </c>
      <c r="C41" s="27" t="inlineStr">
        <is>
          <t>Approved investment menu</t>
        </is>
      </c>
      <c r="D41" s="27" t="inlineStr">
        <is>
          <t>Government fund</t>
        </is>
      </c>
      <c r="E41" s="27" t="inlineStr">
        <is>
          <t>2026-07-05</t>
        </is>
      </c>
      <c r="F41" s="27" t="inlineStr">
        <is>
          <t>Approved case</t>
        </is>
      </c>
      <c r="G41" s="27" t="inlineStr">
        <is>
          <t>Approved capacity</t>
        </is>
      </c>
      <c r="H41" s="46" t="n">
        <v>6000000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TRY-00325</t>
        </is>
      </c>
      <c r="B42" s="27" t="inlineStr">
        <is>
          <t>Short-term liquidity investment allocation</t>
        </is>
      </c>
      <c r="C42" s="27" t="inlineStr">
        <is>
          <t>Approved investment menu</t>
        </is>
      </c>
      <c r="D42" s="27" t="inlineStr">
        <is>
          <t>Government fund</t>
        </is>
      </c>
      <c r="E42" s="27" t="inlineStr">
        <is>
          <t>2026-07-05</t>
        </is>
      </c>
      <c r="F42" s="27" t="inlineStr">
        <is>
          <t>Approved case</t>
        </is>
      </c>
      <c r="G42" s="27" t="inlineStr">
        <is>
          <t>Same-day liquidity factor</t>
        </is>
      </c>
      <c r="H42" s="46" t="n">
        <v>1</v>
      </c>
      <c r="I42" s="27" t="inlineStr"/>
      <c r="J42" s="27" t="inlineStr">
        <is>
          <t>decimal ratio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TRY-00326</t>
        </is>
      </c>
      <c r="B43" s="27" t="inlineStr">
        <is>
          <t>Short-term liquidity investment allocation</t>
        </is>
      </c>
      <c r="C43" s="27" t="inlineStr">
        <is>
          <t>Approved investment menu</t>
        </is>
      </c>
      <c r="D43" s="27" t="inlineStr">
        <is>
          <t>Government fund</t>
        </is>
      </c>
      <c r="E43" s="27" t="inlineStr">
        <is>
          <t>2026-07-05</t>
        </is>
      </c>
      <c r="F43" s="27" t="inlineStr">
        <is>
          <t>Approved case</t>
        </is>
      </c>
      <c r="G43" s="27" t="inlineStr">
        <is>
          <t>Counterparty</t>
        </is>
      </c>
      <c r="H43" s="46" t="inlineStr"/>
      <c r="I43" s="27" t="inlineStr">
        <is>
          <t>Government fund</t>
        </is>
      </c>
      <c r="J43" s="27" t="inlineStr">
        <is>
          <t>classification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TRY-00327</t>
        </is>
      </c>
      <c r="B44" s="27" t="inlineStr">
        <is>
          <t>Short-term liquidity investment allocation</t>
        </is>
      </c>
      <c r="C44" s="27" t="inlineStr">
        <is>
          <t>Approved investment menu</t>
        </is>
      </c>
      <c r="D44" s="27" t="inlineStr">
        <is>
          <t>Insured sweep</t>
        </is>
      </c>
      <c r="E44" s="27" t="inlineStr">
        <is>
          <t>2026-07-05</t>
        </is>
      </c>
      <c r="F44" s="27" t="inlineStr">
        <is>
          <t>Approved case</t>
        </is>
      </c>
      <c r="G44" s="27" t="inlineStr">
        <is>
          <t>Annual yield</t>
        </is>
      </c>
      <c r="H44" s="46" t="n">
        <v>0.0395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TRY-00328</t>
        </is>
      </c>
      <c r="B45" s="27" t="inlineStr">
        <is>
          <t>Short-term liquidity investment allocation</t>
        </is>
      </c>
      <c r="C45" s="27" t="inlineStr">
        <is>
          <t>Approved investment menu</t>
        </is>
      </c>
      <c r="D45" s="27" t="inlineStr">
        <is>
          <t>Insured sweep</t>
        </is>
      </c>
      <c r="E45" s="27" t="inlineStr">
        <is>
          <t>2026-07-05</t>
        </is>
      </c>
      <c r="F45" s="27" t="inlineStr">
        <is>
          <t>Approved case</t>
        </is>
      </c>
      <c r="G45" s="27" t="inlineStr">
        <is>
          <t>Weighted-average maturity days</t>
        </is>
      </c>
      <c r="H45" s="46" t="n">
        <v>2</v>
      </c>
      <c r="I45" s="27" t="inlineStr"/>
      <c r="J45" s="27" t="inlineStr">
        <is>
          <t>days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TRY-00329</t>
        </is>
      </c>
      <c r="B46" s="27" t="inlineStr">
        <is>
          <t>Short-term liquidity investment allocation</t>
        </is>
      </c>
      <c r="C46" s="27" t="inlineStr">
        <is>
          <t>Approved investment menu</t>
        </is>
      </c>
      <c r="D46" s="27" t="inlineStr">
        <is>
          <t>Insured sweep</t>
        </is>
      </c>
      <c r="E46" s="27" t="inlineStr">
        <is>
          <t>2026-07-05</t>
        </is>
      </c>
      <c r="F46" s="27" t="inlineStr">
        <is>
          <t>Approved case</t>
        </is>
      </c>
      <c r="G46" s="27" t="inlineStr">
        <is>
          <t>Approved capacity</t>
        </is>
      </c>
      <c r="H46" s="46" t="n">
        <v>1500000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TRY-00330</t>
        </is>
      </c>
      <c r="B47" s="27" t="inlineStr">
        <is>
          <t>Short-term liquidity investment allocation</t>
        </is>
      </c>
      <c r="C47" s="27" t="inlineStr">
        <is>
          <t>Approved investment menu</t>
        </is>
      </c>
      <c r="D47" s="27" t="inlineStr">
        <is>
          <t>Insured sweep</t>
        </is>
      </c>
      <c r="E47" s="27" t="inlineStr">
        <is>
          <t>2026-07-05</t>
        </is>
      </c>
      <c r="F47" s="27" t="inlineStr">
        <is>
          <t>Approved case</t>
        </is>
      </c>
      <c r="G47" s="27" t="inlineStr">
        <is>
          <t>Same-day liquidity factor</t>
        </is>
      </c>
      <c r="H47" s="46" t="n">
        <v>1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TRY-00331</t>
        </is>
      </c>
      <c r="B48" s="27" t="inlineStr">
        <is>
          <t>Short-term liquidity investment allocation</t>
        </is>
      </c>
      <c r="C48" s="27" t="inlineStr">
        <is>
          <t>Approved investment menu</t>
        </is>
      </c>
      <c r="D48" s="27" t="inlineStr">
        <is>
          <t>Insured sweep</t>
        </is>
      </c>
      <c r="E48" s="27" t="inlineStr">
        <is>
          <t>2026-07-05</t>
        </is>
      </c>
      <c r="F48" s="27" t="inlineStr">
        <is>
          <t>Approved case</t>
        </is>
      </c>
      <c r="G48" s="27" t="inlineStr">
        <is>
          <t>Counterparty</t>
        </is>
      </c>
      <c r="H48" s="46" t="inlineStr"/>
      <c r="I48" s="27" t="inlineStr">
        <is>
          <t>Insured network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TRY-00332</t>
        </is>
      </c>
      <c r="B49" s="27" t="inlineStr">
        <is>
          <t>Short-term liquidity investment allocation</t>
        </is>
      </c>
      <c r="C49" s="27" t="inlineStr">
        <is>
          <t>Investment policy</t>
        </is>
      </c>
      <c r="D49" s="27" t="inlineStr">
        <is>
          <t>Portfolio</t>
        </is>
      </c>
      <c r="E49" s="27" t="inlineStr">
        <is>
          <t>2026-07-05</t>
        </is>
      </c>
      <c r="F49" s="27" t="inlineStr">
        <is>
          <t>Approved case</t>
        </is>
      </c>
      <c r="G49" s="27" t="inlineStr">
        <is>
          <t>Maximum weighted-average maturity</t>
        </is>
      </c>
      <c r="H49" s="46" t="n">
        <v>45</v>
      </c>
      <c r="I49" s="27" t="inlineStr"/>
      <c r="J49" s="27" t="inlineStr">
        <is>
          <t>days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TRY-00333</t>
        </is>
      </c>
      <c r="B50" s="27" t="inlineStr">
        <is>
          <t>Short-term liquidity investment allocation</t>
        </is>
      </c>
      <c r="C50" s="27" t="inlineStr">
        <is>
          <t>Investment policy</t>
        </is>
      </c>
      <c r="D50" s="27" t="inlineStr">
        <is>
          <t>Portfolio</t>
        </is>
      </c>
      <c r="E50" s="27" t="inlineStr">
        <is>
          <t>2026-07-05</t>
        </is>
      </c>
      <c r="F50" s="27" t="inlineStr">
        <is>
          <t>Approved case</t>
        </is>
      </c>
      <c r="G50" s="27" t="inlineStr">
        <is>
          <t>Minimum same-day liquidity percent</t>
        </is>
      </c>
      <c r="H50" s="46" t="n">
        <v>0.42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TRY-00334</t>
        </is>
      </c>
      <c r="B51" s="27" t="inlineStr">
        <is>
          <t>Short-term liquidity investment allocation</t>
        </is>
      </c>
      <c r="C51" s="27" t="inlineStr">
        <is>
          <t>Investment policy</t>
        </is>
      </c>
      <c r="D51" s="27" t="inlineStr">
        <is>
          <t>Bank A</t>
        </is>
      </c>
      <c r="E51" s="27" t="inlineStr">
        <is>
          <t>2026-07-05</t>
        </is>
      </c>
      <c r="F51" s="27" t="inlineStr">
        <is>
          <t>Approved case</t>
        </is>
      </c>
      <c r="G51" s="27" t="inlineStr">
        <is>
          <t>Bank counterparty limit</t>
        </is>
      </c>
      <c r="H51" s="46" t="n">
        <v>3000</v>
      </c>
      <c r="I51" s="27" t="inlineStr"/>
      <c r="J51" s="27" t="inlineStr">
        <is>
          <t>USD thousands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TRY-00460</t>
        </is>
      </c>
      <c r="B52" s="27" t="inlineStr">
        <is>
          <t>Create the dynamic 13-week cash and revolver model</t>
        </is>
      </c>
      <c r="C52" s="27" t="inlineStr">
        <is>
          <t>13-week cash baseline</t>
        </is>
      </c>
      <c r="D52" s="27" t="inlineStr">
        <is>
          <t>Alder Ridge</t>
        </is>
      </c>
      <c r="E52" s="27" t="inlineStr">
        <is>
          <t>2026-07-03</t>
        </is>
      </c>
      <c r="F52" s="27" t="inlineStr">
        <is>
          <t>Approved case</t>
        </is>
      </c>
      <c r="G52" s="27" t="inlineStr">
        <is>
          <t>Opening unrestricted cash</t>
        </is>
      </c>
      <c r="H52" s="46" t="n">
        <v>1</v>
      </c>
      <c r="I52" s="27" t="inlineStr"/>
      <c r="J52" s="27" t="inlineStr">
        <is>
          <t>ledger allocation factor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>
        <is>
          <t>Vista ERP cash detail as of 2026-06-30; unrestricted company cash accounts</t>
        </is>
      </c>
    </row>
    <row r="53">
      <c r="A53" s="36" t="inlineStr">
        <is>
          <t>TRY-00461</t>
        </is>
      </c>
      <c r="B53" s="27" t="inlineStr">
        <is>
          <t>Create the dynamic 13-week cash and revolver model</t>
        </is>
      </c>
      <c r="C53" s="27" t="inlineStr">
        <is>
          <t>13-week direct cash forecast</t>
        </is>
      </c>
      <c r="D53" s="27" t="inlineStr">
        <is>
          <t>Alder Ridge</t>
        </is>
      </c>
      <c r="E53" s="27" t="inlineStr">
        <is>
          <t>2026-07-10</t>
        </is>
      </c>
      <c r="F53" s="27" t="inlineStr">
        <is>
          <t>Approved case</t>
        </is>
      </c>
      <c r="G53" s="27" t="inlineStr">
        <is>
          <t>Customer receipts</t>
        </is>
      </c>
      <c r="H53" s="46" t="n">
        <v>2180000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TRY-00462</t>
        </is>
      </c>
      <c r="B54" s="27" t="inlineStr">
        <is>
          <t>Create the dynamic 13-week cash and revolver model</t>
        </is>
      </c>
      <c r="C54" s="27" t="inlineStr">
        <is>
          <t>13-week direct cash forecast</t>
        </is>
      </c>
      <c r="D54" s="27" t="inlineStr">
        <is>
          <t>Alder Ridge</t>
        </is>
      </c>
      <c r="E54" s="27" t="inlineStr">
        <is>
          <t>2026-07-10</t>
        </is>
      </c>
      <c r="F54" s="27" t="inlineStr">
        <is>
          <t>Approved case</t>
        </is>
      </c>
      <c r="G54" s="27" t="inlineStr">
        <is>
          <t>Operating disbursements</t>
        </is>
      </c>
      <c r="H54" s="46" t="n">
        <v>2760000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TRY-00463</t>
        </is>
      </c>
      <c r="B55" s="27" t="inlineStr">
        <is>
          <t>Create the dynamic 13-week cash and revolver model</t>
        </is>
      </c>
      <c r="C55" s="27" t="inlineStr">
        <is>
          <t>13-week direct cash forecast</t>
        </is>
      </c>
      <c r="D55" s="27" t="inlineStr">
        <is>
          <t>Alder Ridge</t>
        </is>
      </c>
      <c r="E55" s="27" t="inlineStr">
        <is>
          <t>2026-07-10</t>
        </is>
      </c>
      <c r="F55" s="27" t="inlineStr">
        <is>
          <t>Approved case</t>
        </is>
      </c>
      <c r="G55" s="27" t="inlineStr">
        <is>
          <t>Payroll</t>
        </is>
      </c>
      <c r="H55" s="46" t="n">
        <v>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TRY-00464</t>
        </is>
      </c>
      <c r="B56" s="27" t="inlineStr">
        <is>
          <t>Create the dynamic 13-week cash and revolver model</t>
        </is>
      </c>
      <c r="C56" s="27" t="inlineStr">
        <is>
          <t>13-week direct cash forecast</t>
        </is>
      </c>
      <c r="D56" s="27" t="inlineStr">
        <is>
          <t>Alder Ridge</t>
        </is>
      </c>
      <c r="E56" s="27" t="inlineStr">
        <is>
          <t>2026-07-10</t>
        </is>
      </c>
      <c r="F56" s="27" t="inlineStr">
        <is>
          <t>Approved case</t>
        </is>
      </c>
      <c r="G56" s="27" t="inlineStr">
        <is>
          <t>Taxes and capex</t>
        </is>
      </c>
      <c r="H56" s="46" t="n">
        <v>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TRY-00465</t>
        </is>
      </c>
      <c r="B57" s="27" t="inlineStr">
        <is>
          <t>Create the dynamic 13-week cash and revolver model</t>
        </is>
      </c>
      <c r="C57" s="27" t="inlineStr">
        <is>
          <t>13-week direct cash forecast</t>
        </is>
      </c>
      <c r="D57" s="27" t="inlineStr">
        <is>
          <t>Alder Ridge</t>
        </is>
      </c>
      <c r="E57" s="27" t="inlineStr">
        <is>
          <t>2026-07-17</t>
        </is>
      </c>
      <c r="F57" s="27" t="inlineStr">
        <is>
          <t>Approved case</t>
        </is>
      </c>
      <c r="G57" s="27" t="inlineStr">
        <is>
          <t>Customer receipts</t>
        </is>
      </c>
      <c r="H57" s="46" t="n">
        <v>2420000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TRY-00466</t>
        </is>
      </c>
      <c r="B58" s="27" t="inlineStr">
        <is>
          <t>Create the dynamic 13-week cash and revolver model</t>
        </is>
      </c>
      <c r="C58" s="27" t="inlineStr">
        <is>
          <t>13-week direct cash forecast</t>
        </is>
      </c>
      <c r="D58" s="27" t="inlineStr">
        <is>
          <t>Alder Ridge</t>
        </is>
      </c>
      <c r="E58" s="27" t="inlineStr">
        <is>
          <t>2026-07-17</t>
        </is>
      </c>
      <c r="F58" s="27" t="inlineStr">
        <is>
          <t>Approved case</t>
        </is>
      </c>
      <c r="G58" s="27" t="inlineStr">
        <is>
          <t>Operating disbursements</t>
        </is>
      </c>
      <c r="H58" s="46" t="n">
        <v>2190000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TRY-00467</t>
        </is>
      </c>
      <c r="B59" s="27" t="inlineStr">
        <is>
          <t>Create the dynamic 13-week cash and revolver model</t>
        </is>
      </c>
      <c r="C59" s="27" t="inlineStr">
        <is>
          <t>13-week direct cash forecast</t>
        </is>
      </c>
      <c r="D59" s="27" t="inlineStr">
        <is>
          <t>Alder Ridge</t>
        </is>
      </c>
      <c r="E59" s="27" t="inlineStr">
        <is>
          <t>2026-07-17</t>
        </is>
      </c>
      <c r="F59" s="27" t="inlineStr">
        <is>
          <t>Approved case</t>
        </is>
      </c>
      <c r="G59" s="27" t="inlineStr">
        <is>
          <t>Payroll</t>
        </is>
      </c>
      <c r="H59" s="46" t="n">
        <v>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TRY-00468</t>
        </is>
      </c>
      <c r="B60" s="27" t="inlineStr">
        <is>
          <t>Create the dynamic 13-week cash and revolver model</t>
        </is>
      </c>
      <c r="C60" s="27" t="inlineStr">
        <is>
          <t>13-week direct cash forecast</t>
        </is>
      </c>
      <c r="D60" s="27" t="inlineStr">
        <is>
          <t>Alder Ridge</t>
        </is>
      </c>
      <c r="E60" s="27" t="inlineStr">
        <is>
          <t>2026-07-17</t>
        </is>
      </c>
      <c r="F60" s="27" t="inlineStr">
        <is>
          <t>Approved case</t>
        </is>
      </c>
      <c r="G60" s="27" t="inlineStr">
        <is>
          <t>Taxes and capex</t>
        </is>
      </c>
      <c r="H60" s="46" t="n">
        <v>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TRY-00469</t>
        </is>
      </c>
      <c r="B61" s="27" t="inlineStr">
        <is>
          <t>Create the dynamic 13-week cash and revolver model</t>
        </is>
      </c>
      <c r="C61" s="27" t="inlineStr">
        <is>
          <t>13-week direct cash forecast</t>
        </is>
      </c>
      <c r="D61" s="27" t="inlineStr">
        <is>
          <t>Alder Ridge</t>
        </is>
      </c>
      <c r="E61" s="27" t="inlineStr">
        <is>
          <t>2026-07-24</t>
        </is>
      </c>
      <c r="F61" s="27" t="inlineStr">
        <is>
          <t>Approved case</t>
        </is>
      </c>
      <c r="G61" s="27" t="inlineStr">
        <is>
          <t>Customer receipts</t>
        </is>
      </c>
      <c r="H61" s="46" t="n">
        <v>1940000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TRY-00470</t>
        </is>
      </c>
      <c r="B62" s="27" t="inlineStr">
        <is>
          <t>Create the dynamic 13-week cash and revolver model</t>
        </is>
      </c>
      <c r="C62" s="27" t="inlineStr">
        <is>
          <t>13-week direct cash forecast</t>
        </is>
      </c>
      <c r="D62" s="27" t="inlineStr">
        <is>
          <t>Alder Ridge</t>
        </is>
      </c>
      <c r="E62" s="27" t="inlineStr">
        <is>
          <t>2026-07-24</t>
        </is>
      </c>
      <c r="F62" s="27" t="inlineStr">
        <is>
          <t>Approved case</t>
        </is>
      </c>
      <c r="G62" s="27" t="inlineStr">
        <is>
          <t>Operating disbursements</t>
        </is>
      </c>
      <c r="H62" s="46" t="n">
        <v>2880000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TRY-00471</t>
        </is>
      </c>
      <c r="B63" s="27" t="inlineStr">
        <is>
          <t>Create the dynamic 13-week cash and revolver model</t>
        </is>
      </c>
      <c r="C63" s="27" t="inlineStr">
        <is>
          <t>13-week direct cash forecast</t>
        </is>
      </c>
      <c r="D63" s="27" t="inlineStr">
        <is>
          <t>Alder Ridge</t>
        </is>
      </c>
      <c r="E63" s="27" t="inlineStr">
        <is>
          <t>2026-07-24</t>
        </is>
      </c>
      <c r="F63" s="27" t="inlineStr">
        <is>
          <t>Approved case</t>
        </is>
      </c>
      <c r="G63" s="27" t="inlineStr">
        <is>
          <t>Payroll</t>
        </is>
      </c>
      <c r="H63" s="46" t="n">
        <v>940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TRY-00472</t>
        </is>
      </c>
      <c r="B64" s="27" t="inlineStr">
        <is>
          <t>Create the dynamic 13-week cash and revolver model</t>
        </is>
      </c>
      <c r="C64" s="27" t="inlineStr">
        <is>
          <t>13-week direct cash forecast</t>
        </is>
      </c>
      <c r="D64" s="27" t="inlineStr">
        <is>
          <t>Alder Ridge</t>
        </is>
      </c>
      <c r="E64" s="27" t="inlineStr">
        <is>
          <t>2026-07-24</t>
        </is>
      </c>
      <c r="F64" s="27" t="inlineStr">
        <is>
          <t>Approved case</t>
        </is>
      </c>
      <c r="G64" s="27" t="inlineStr">
        <is>
          <t>Taxes and capex</t>
        </is>
      </c>
      <c r="H64" s="46" t="n">
        <v>0</v>
      </c>
      <c r="I64" s="27" t="inlineStr"/>
      <c r="J64" s="27" t="inlineStr">
        <is>
          <t>USD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TRY-00473</t>
        </is>
      </c>
      <c r="B65" s="27" t="inlineStr">
        <is>
          <t>Create the dynamic 13-week cash and revolver model</t>
        </is>
      </c>
      <c r="C65" s="27" t="inlineStr">
        <is>
          <t>13-week direct cash forecast</t>
        </is>
      </c>
      <c r="D65" s="27" t="inlineStr">
        <is>
          <t>Alder Ridge</t>
        </is>
      </c>
      <c r="E65" s="27" t="inlineStr">
        <is>
          <t>2026-07-31</t>
        </is>
      </c>
      <c r="F65" s="27" t="inlineStr">
        <is>
          <t>Approved case</t>
        </is>
      </c>
      <c r="G65" s="27" t="inlineStr">
        <is>
          <t>Customer receipts</t>
        </is>
      </c>
      <c r="H65" s="46" t="n">
        <v>3260000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TRY-00474</t>
        </is>
      </c>
      <c r="B66" s="27" t="inlineStr">
        <is>
          <t>Create the dynamic 13-week cash and revolver model</t>
        </is>
      </c>
      <c r="C66" s="27" t="inlineStr">
        <is>
          <t>13-week direct cash forecast</t>
        </is>
      </c>
      <c r="D66" s="27" t="inlineStr">
        <is>
          <t>Alder Ridge</t>
        </is>
      </c>
      <c r="E66" s="27" t="inlineStr">
        <is>
          <t>2026-07-31</t>
        </is>
      </c>
      <c r="F66" s="27" t="inlineStr">
        <is>
          <t>Approved case</t>
        </is>
      </c>
      <c r="G66" s="27" t="inlineStr">
        <is>
          <t>Operating disbursements</t>
        </is>
      </c>
      <c r="H66" s="46" t="n">
        <v>2340000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TRY-00475</t>
        </is>
      </c>
      <c r="B67" s="27" t="inlineStr">
        <is>
          <t>Create the dynamic 13-week cash and revolver model</t>
        </is>
      </c>
      <c r="C67" s="27" t="inlineStr">
        <is>
          <t>13-week direct cash forecast</t>
        </is>
      </c>
      <c r="D67" s="27" t="inlineStr">
        <is>
          <t>Alder Ridge</t>
        </is>
      </c>
      <c r="E67" s="27" t="inlineStr">
        <is>
          <t>2026-07-31</t>
        </is>
      </c>
      <c r="F67" s="27" t="inlineStr">
        <is>
          <t>Approved case</t>
        </is>
      </c>
      <c r="G67" s="27" t="inlineStr">
        <is>
          <t>Payroll</t>
        </is>
      </c>
      <c r="H67" s="46" t="n">
        <v>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TRY-00476</t>
        </is>
      </c>
      <c r="B68" s="27" t="inlineStr">
        <is>
          <t>Create the dynamic 13-week cash and revolver model</t>
        </is>
      </c>
      <c r="C68" s="27" t="inlineStr">
        <is>
          <t>13-week direct cash forecast</t>
        </is>
      </c>
      <c r="D68" s="27" t="inlineStr">
        <is>
          <t>Alder Ridge</t>
        </is>
      </c>
      <c r="E68" s="27" t="inlineStr">
        <is>
          <t>2026-07-31</t>
        </is>
      </c>
      <c r="F68" s="27" t="inlineStr">
        <is>
          <t>Approved case</t>
        </is>
      </c>
      <c r="G68" s="27" t="inlineStr">
        <is>
          <t>Taxes and capex</t>
        </is>
      </c>
      <c r="H68" s="46" t="n">
        <v>410000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TRY-00477</t>
        </is>
      </c>
      <c r="B69" s="27" t="inlineStr">
        <is>
          <t>Create the dynamic 13-week cash and revolver model</t>
        </is>
      </c>
      <c r="C69" s="27" t="inlineStr">
        <is>
          <t>13-week direct cash forecast</t>
        </is>
      </c>
      <c r="D69" s="27" t="inlineStr">
        <is>
          <t>Alder Ridge</t>
        </is>
      </c>
      <c r="E69" s="27" t="inlineStr">
        <is>
          <t>2026-08-07</t>
        </is>
      </c>
      <c r="F69" s="27" t="inlineStr">
        <is>
          <t>Approved case</t>
        </is>
      </c>
      <c r="G69" s="27" t="inlineStr">
        <is>
          <t>Customer receipts</t>
        </is>
      </c>
      <c r="H69" s="46" t="n">
        <v>2080000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TRY-00478</t>
        </is>
      </c>
      <c r="B70" s="27" t="inlineStr">
        <is>
          <t>Create the dynamic 13-week cash and revolver model</t>
        </is>
      </c>
      <c r="C70" s="27" t="inlineStr">
        <is>
          <t>13-week direct cash forecast</t>
        </is>
      </c>
      <c r="D70" s="27" t="inlineStr">
        <is>
          <t>Alder Ridge</t>
        </is>
      </c>
      <c r="E70" s="27" t="inlineStr">
        <is>
          <t>2026-08-07</t>
        </is>
      </c>
      <c r="F70" s="27" t="inlineStr">
        <is>
          <t>Approved case</t>
        </is>
      </c>
      <c r="G70" s="27" t="inlineStr">
        <is>
          <t>Operating disbursements</t>
        </is>
      </c>
      <c r="H70" s="46" t="n">
        <v>2570000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TRY-00479</t>
        </is>
      </c>
      <c r="B71" s="27" t="inlineStr">
        <is>
          <t>Create the dynamic 13-week cash and revolver model</t>
        </is>
      </c>
      <c r="C71" s="27" t="inlineStr">
        <is>
          <t>13-week direct cash forecast</t>
        </is>
      </c>
      <c r="D71" s="27" t="inlineStr">
        <is>
          <t>Alder Ridge</t>
        </is>
      </c>
      <c r="E71" s="27" t="inlineStr">
        <is>
          <t>2026-08-07</t>
        </is>
      </c>
      <c r="F71" s="27" t="inlineStr">
        <is>
          <t>Approved case</t>
        </is>
      </c>
      <c r="G71" s="27" t="inlineStr">
        <is>
          <t>Payroll</t>
        </is>
      </c>
      <c r="H71" s="46" t="n">
        <v>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TRY-00480</t>
        </is>
      </c>
      <c r="B72" s="27" t="inlineStr">
        <is>
          <t>Create the dynamic 13-week cash and revolver model</t>
        </is>
      </c>
      <c r="C72" s="27" t="inlineStr">
        <is>
          <t>13-week direct cash forecast</t>
        </is>
      </c>
      <c r="D72" s="27" t="inlineStr">
        <is>
          <t>Alder Ridge</t>
        </is>
      </c>
      <c r="E72" s="27" t="inlineStr">
        <is>
          <t>2026-08-07</t>
        </is>
      </c>
      <c r="F72" s="27" t="inlineStr">
        <is>
          <t>Approved case</t>
        </is>
      </c>
      <c r="G72" s="27" t="inlineStr">
        <is>
          <t>Taxes and capex</t>
        </is>
      </c>
      <c r="H72" s="46" t="n">
        <v>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TRY-00481</t>
        </is>
      </c>
      <c r="B73" s="27" t="inlineStr">
        <is>
          <t>Create the dynamic 13-week cash and revolver model</t>
        </is>
      </c>
      <c r="C73" s="27" t="inlineStr">
        <is>
          <t>13-week direct cash forecast</t>
        </is>
      </c>
      <c r="D73" s="27" t="inlineStr">
        <is>
          <t>Alder Ridge</t>
        </is>
      </c>
      <c r="E73" s="27" t="inlineStr">
        <is>
          <t>2026-08-14</t>
        </is>
      </c>
      <c r="F73" s="27" t="inlineStr">
        <is>
          <t>Approved case</t>
        </is>
      </c>
      <c r="G73" s="27" t="inlineStr">
        <is>
          <t>Customer receipts</t>
        </is>
      </c>
      <c r="H73" s="46" t="n">
        <v>2740000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TRY-00482</t>
        </is>
      </c>
      <c r="B74" s="27" t="inlineStr">
        <is>
          <t>Create the dynamic 13-week cash and revolver model</t>
        </is>
      </c>
      <c r="C74" s="27" t="inlineStr">
        <is>
          <t>13-week direct cash forecast</t>
        </is>
      </c>
      <c r="D74" s="27" t="inlineStr">
        <is>
          <t>Alder Ridge</t>
        </is>
      </c>
      <c r="E74" s="27" t="inlineStr">
        <is>
          <t>2026-08-14</t>
        </is>
      </c>
      <c r="F74" s="27" t="inlineStr">
        <is>
          <t>Approved case</t>
        </is>
      </c>
      <c r="G74" s="27" t="inlineStr">
        <is>
          <t>Operating disbursements</t>
        </is>
      </c>
      <c r="H74" s="46" t="n">
        <v>2130000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TRY-00483</t>
        </is>
      </c>
      <c r="B75" s="27" t="inlineStr">
        <is>
          <t>Create the dynamic 13-week cash and revolver model</t>
        </is>
      </c>
      <c r="C75" s="27" t="inlineStr">
        <is>
          <t>13-week direct cash forecast</t>
        </is>
      </c>
      <c r="D75" s="27" t="inlineStr">
        <is>
          <t>Alder Ridge</t>
        </is>
      </c>
      <c r="E75" s="27" t="inlineStr">
        <is>
          <t>2026-08-14</t>
        </is>
      </c>
      <c r="F75" s="27" t="inlineStr">
        <is>
          <t>Approved case</t>
        </is>
      </c>
      <c r="G75" s="27" t="inlineStr">
        <is>
          <t>Payroll</t>
        </is>
      </c>
      <c r="H75" s="46" t="n">
        <v>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TRY-00484</t>
        </is>
      </c>
      <c r="B76" s="27" t="inlineStr">
        <is>
          <t>Create the dynamic 13-week cash and revolver model</t>
        </is>
      </c>
      <c r="C76" s="27" t="inlineStr">
        <is>
          <t>13-week direct cash forecast</t>
        </is>
      </c>
      <c r="D76" s="27" t="inlineStr">
        <is>
          <t>Alder Ridge</t>
        </is>
      </c>
      <c r="E76" s="27" t="inlineStr">
        <is>
          <t>2026-08-14</t>
        </is>
      </c>
      <c r="F76" s="27" t="inlineStr">
        <is>
          <t>Approved case</t>
        </is>
      </c>
      <c r="G76" s="27" t="inlineStr">
        <is>
          <t>Taxes and capex</t>
        </is>
      </c>
      <c r="H76" s="46" t="n">
        <v>0</v>
      </c>
      <c r="I76" s="27" t="inlineStr"/>
      <c r="J76" s="27" t="inlineStr">
        <is>
          <t>USD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TRY-00485</t>
        </is>
      </c>
      <c r="B77" s="27" t="inlineStr">
        <is>
          <t>Create the dynamic 13-week cash and revolver model</t>
        </is>
      </c>
      <c r="C77" s="27" t="inlineStr">
        <is>
          <t>13-week direct cash forecast</t>
        </is>
      </c>
      <c r="D77" s="27" t="inlineStr">
        <is>
          <t>Alder Ridge</t>
        </is>
      </c>
      <c r="E77" s="27" t="inlineStr">
        <is>
          <t>2026-08-21</t>
        </is>
      </c>
      <c r="F77" s="27" t="inlineStr">
        <is>
          <t>Approved case</t>
        </is>
      </c>
      <c r="G77" s="27" t="inlineStr">
        <is>
          <t>Customer receipts</t>
        </is>
      </c>
      <c r="H77" s="46" t="n">
        <v>1860000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TRY-00486</t>
        </is>
      </c>
      <c r="B78" s="27" t="inlineStr">
        <is>
          <t>Create the dynamic 13-week cash and revolver model</t>
        </is>
      </c>
      <c r="C78" s="27" t="inlineStr">
        <is>
          <t>13-week direct cash forecast</t>
        </is>
      </c>
      <c r="D78" s="27" t="inlineStr">
        <is>
          <t>Alder Ridge</t>
        </is>
      </c>
      <c r="E78" s="27" t="inlineStr">
        <is>
          <t>2026-08-21</t>
        </is>
      </c>
      <c r="F78" s="27" t="inlineStr">
        <is>
          <t>Approved case</t>
        </is>
      </c>
      <c r="G78" s="27" t="inlineStr">
        <is>
          <t>Operating disbursements</t>
        </is>
      </c>
      <c r="H78" s="46" t="n">
        <v>2910000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TRY-00487</t>
        </is>
      </c>
      <c r="B79" s="27" t="inlineStr">
        <is>
          <t>Create the dynamic 13-week cash and revolver model</t>
        </is>
      </c>
      <c r="C79" s="27" t="inlineStr">
        <is>
          <t>13-week direct cash forecast</t>
        </is>
      </c>
      <c r="D79" s="27" t="inlineStr">
        <is>
          <t>Alder Ridge</t>
        </is>
      </c>
      <c r="E79" s="27" t="inlineStr">
        <is>
          <t>2026-08-21</t>
        </is>
      </c>
      <c r="F79" s="27" t="inlineStr">
        <is>
          <t>Approved case</t>
        </is>
      </c>
      <c r="G79" s="27" t="inlineStr">
        <is>
          <t>Payroll</t>
        </is>
      </c>
      <c r="H79" s="46" t="n">
        <v>940</v>
      </c>
      <c r="I79" s="27" t="inlineStr"/>
      <c r="J79" s="27" t="inlineStr">
        <is>
          <t>USD thousands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TRY-00488</t>
        </is>
      </c>
      <c r="B80" s="27" t="inlineStr">
        <is>
          <t>Create the dynamic 13-week cash and revolver model</t>
        </is>
      </c>
      <c r="C80" s="27" t="inlineStr">
        <is>
          <t>13-week direct cash forecast</t>
        </is>
      </c>
      <c r="D80" s="27" t="inlineStr">
        <is>
          <t>Alder Ridge</t>
        </is>
      </c>
      <c r="E80" s="27" t="inlineStr">
        <is>
          <t>2026-08-21</t>
        </is>
      </c>
      <c r="F80" s="27" t="inlineStr">
        <is>
          <t>Approved case</t>
        </is>
      </c>
      <c r="G80" s="27" t="inlineStr">
        <is>
          <t>Taxes and capex</t>
        </is>
      </c>
      <c r="H80" s="46" t="n">
        <v>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TRY-00489</t>
        </is>
      </c>
      <c r="B81" s="27" t="inlineStr">
        <is>
          <t>Create the dynamic 13-week cash and revolver model</t>
        </is>
      </c>
      <c r="C81" s="27" t="inlineStr">
        <is>
          <t>13-week direct cash forecast</t>
        </is>
      </c>
      <c r="D81" s="27" t="inlineStr">
        <is>
          <t>Alder Ridge</t>
        </is>
      </c>
      <c r="E81" s="27" t="inlineStr">
        <is>
          <t>2026-08-28</t>
        </is>
      </c>
      <c r="F81" s="27" t="inlineStr">
        <is>
          <t>Approved case</t>
        </is>
      </c>
      <c r="G81" s="27" t="inlineStr">
        <is>
          <t>Customer receipts</t>
        </is>
      </c>
      <c r="H81" s="46" t="n">
        <v>3440000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TRY-00490</t>
        </is>
      </c>
      <c r="B82" s="27" t="inlineStr">
        <is>
          <t>Create the dynamic 13-week cash and revolver model</t>
        </is>
      </c>
      <c r="C82" s="27" t="inlineStr">
        <is>
          <t>13-week direct cash forecast</t>
        </is>
      </c>
      <c r="D82" s="27" t="inlineStr">
        <is>
          <t>Alder Ridge</t>
        </is>
      </c>
      <c r="E82" s="27" t="inlineStr">
        <is>
          <t>2026-08-28</t>
        </is>
      </c>
      <c r="F82" s="27" t="inlineStr">
        <is>
          <t>Approved case</t>
        </is>
      </c>
      <c r="G82" s="27" t="inlineStr">
        <is>
          <t>Operating disbursements</t>
        </is>
      </c>
      <c r="H82" s="46" t="n">
        <v>2280000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TRY-00491</t>
        </is>
      </c>
      <c r="B83" s="27" t="inlineStr">
        <is>
          <t>Create the dynamic 13-week cash and revolver model</t>
        </is>
      </c>
      <c r="C83" s="27" t="inlineStr">
        <is>
          <t>13-week direct cash forecast</t>
        </is>
      </c>
      <c r="D83" s="27" t="inlineStr">
        <is>
          <t>Alder Ridge</t>
        </is>
      </c>
      <c r="E83" s="27" t="inlineStr">
        <is>
          <t>2026-08-28</t>
        </is>
      </c>
      <c r="F83" s="27" t="inlineStr">
        <is>
          <t>Approved case</t>
        </is>
      </c>
      <c r="G83" s="27" t="inlineStr">
        <is>
          <t>Payroll</t>
        </is>
      </c>
      <c r="H83" s="46" t="n">
        <v>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TRY-00492</t>
        </is>
      </c>
      <c r="B84" s="27" t="inlineStr">
        <is>
          <t>Create the dynamic 13-week cash and revolver model</t>
        </is>
      </c>
      <c r="C84" s="27" t="inlineStr">
        <is>
          <t>13-week direct cash forecast</t>
        </is>
      </c>
      <c r="D84" s="27" t="inlineStr">
        <is>
          <t>Alder Ridge</t>
        </is>
      </c>
      <c r="E84" s="27" t="inlineStr">
        <is>
          <t>2026-08-28</t>
        </is>
      </c>
      <c r="F84" s="27" t="inlineStr">
        <is>
          <t>Approved case</t>
        </is>
      </c>
      <c r="G84" s="27" t="inlineStr">
        <is>
          <t>Taxes and capex</t>
        </is>
      </c>
      <c r="H84" s="46" t="n">
        <v>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TRY-00493</t>
        </is>
      </c>
      <c r="B85" s="27" t="inlineStr">
        <is>
          <t>Create the dynamic 13-week cash and revolver model</t>
        </is>
      </c>
      <c r="C85" s="27" t="inlineStr">
        <is>
          <t>13-week direct cash forecast</t>
        </is>
      </c>
      <c r="D85" s="27" t="inlineStr">
        <is>
          <t>Alder Ridge</t>
        </is>
      </c>
      <c r="E85" s="27" t="inlineStr">
        <is>
          <t>2026-09-04</t>
        </is>
      </c>
      <c r="F85" s="27" t="inlineStr">
        <is>
          <t>Approved case</t>
        </is>
      </c>
      <c r="G85" s="27" t="inlineStr">
        <is>
          <t>Customer receipts</t>
        </is>
      </c>
      <c r="H85" s="46" t="n">
        <v>2120000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TRY-00494</t>
        </is>
      </c>
      <c r="B86" s="27" t="inlineStr">
        <is>
          <t>Create the dynamic 13-week cash and revolver model</t>
        </is>
      </c>
      <c r="C86" s="27" t="inlineStr">
        <is>
          <t>13-week direct cash forecast</t>
        </is>
      </c>
      <c r="D86" s="27" t="inlineStr">
        <is>
          <t>Alder Ridge</t>
        </is>
      </c>
      <c r="E86" s="27" t="inlineStr">
        <is>
          <t>2026-09-04</t>
        </is>
      </c>
      <c r="F86" s="27" t="inlineStr">
        <is>
          <t>Approved case</t>
        </is>
      </c>
      <c r="G86" s="27" t="inlineStr">
        <is>
          <t>Operating disbursements</t>
        </is>
      </c>
      <c r="H86" s="46" t="n">
        <v>2510000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TRY-00495</t>
        </is>
      </c>
      <c r="B87" s="27" t="inlineStr">
        <is>
          <t>Create the dynamic 13-week cash and revolver model</t>
        </is>
      </c>
      <c r="C87" s="27" t="inlineStr">
        <is>
          <t>13-week direct cash forecast</t>
        </is>
      </c>
      <c r="D87" s="27" t="inlineStr">
        <is>
          <t>Alder Ridge</t>
        </is>
      </c>
      <c r="E87" s="27" t="inlineStr">
        <is>
          <t>2026-09-04</t>
        </is>
      </c>
      <c r="F87" s="27" t="inlineStr">
        <is>
          <t>Approved case</t>
        </is>
      </c>
      <c r="G87" s="27" t="inlineStr">
        <is>
          <t>Payroll</t>
        </is>
      </c>
      <c r="H87" s="46" t="n">
        <v>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TRY-00496</t>
        </is>
      </c>
      <c r="B88" s="27" t="inlineStr">
        <is>
          <t>Create the dynamic 13-week cash and revolver model</t>
        </is>
      </c>
      <c r="C88" s="27" t="inlineStr">
        <is>
          <t>13-week direct cash forecast</t>
        </is>
      </c>
      <c r="D88" s="27" t="inlineStr">
        <is>
          <t>Alder Ridge</t>
        </is>
      </c>
      <c r="E88" s="27" t="inlineStr">
        <is>
          <t>2026-09-04</t>
        </is>
      </c>
      <c r="F88" s="27" t="inlineStr">
        <is>
          <t>Approved case</t>
        </is>
      </c>
      <c r="G88" s="27" t="inlineStr">
        <is>
          <t>Taxes and capex</t>
        </is>
      </c>
      <c r="H88" s="46" t="n">
        <v>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TRY-00497</t>
        </is>
      </c>
      <c r="B89" s="27" t="inlineStr">
        <is>
          <t>Create the dynamic 13-week cash and revolver model</t>
        </is>
      </c>
      <c r="C89" s="27" t="inlineStr">
        <is>
          <t>13-week direct cash forecast</t>
        </is>
      </c>
      <c r="D89" s="27" t="inlineStr">
        <is>
          <t>Alder Ridge</t>
        </is>
      </c>
      <c r="E89" s="27" t="inlineStr">
        <is>
          <t>2026-09-11</t>
        </is>
      </c>
      <c r="F89" s="27" t="inlineStr">
        <is>
          <t>Approved case</t>
        </is>
      </c>
      <c r="G89" s="27" t="inlineStr">
        <is>
          <t>Customer receipts</t>
        </is>
      </c>
      <c r="H89" s="46" t="n">
        <v>2890000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TRY-00498</t>
        </is>
      </c>
      <c r="B90" s="27" t="inlineStr">
        <is>
          <t>Create the dynamic 13-week cash and revolver model</t>
        </is>
      </c>
      <c r="C90" s="27" t="inlineStr">
        <is>
          <t>13-week direct cash forecast</t>
        </is>
      </c>
      <c r="D90" s="27" t="inlineStr">
        <is>
          <t>Alder Ridge</t>
        </is>
      </c>
      <c r="E90" s="27" t="inlineStr">
        <is>
          <t>2026-09-11</t>
        </is>
      </c>
      <c r="F90" s="27" t="inlineStr">
        <is>
          <t>Approved case</t>
        </is>
      </c>
      <c r="G90" s="27" t="inlineStr">
        <is>
          <t>Operating disbursements</t>
        </is>
      </c>
      <c r="H90" s="46" t="n">
        <v>2260000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TRY-00499</t>
        </is>
      </c>
      <c r="B91" s="27" t="inlineStr">
        <is>
          <t>Create the dynamic 13-week cash and revolver model</t>
        </is>
      </c>
      <c r="C91" s="27" t="inlineStr">
        <is>
          <t>13-week direct cash forecast</t>
        </is>
      </c>
      <c r="D91" s="27" t="inlineStr">
        <is>
          <t>Alder Ridge</t>
        </is>
      </c>
      <c r="E91" s="27" t="inlineStr">
        <is>
          <t>2026-09-11</t>
        </is>
      </c>
      <c r="F91" s="27" t="inlineStr">
        <is>
          <t>Approved case</t>
        </is>
      </c>
      <c r="G91" s="27" t="inlineStr">
        <is>
          <t>Payroll</t>
        </is>
      </c>
      <c r="H91" s="46" t="n">
        <v>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TRY-00500</t>
        </is>
      </c>
      <c r="B92" s="27" t="inlineStr">
        <is>
          <t>Create the dynamic 13-week cash and revolver model</t>
        </is>
      </c>
      <c r="C92" s="27" t="inlineStr">
        <is>
          <t>13-week direct cash forecast</t>
        </is>
      </c>
      <c r="D92" s="27" t="inlineStr">
        <is>
          <t>Alder Ridge</t>
        </is>
      </c>
      <c r="E92" s="27" t="inlineStr">
        <is>
          <t>2026-09-11</t>
        </is>
      </c>
      <c r="F92" s="27" t="inlineStr">
        <is>
          <t>Approved case</t>
        </is>
      </c>
      <c r="G92" s="27" t="inlineStr">
        <is>
          <t>Taxes and capex</t>
        </is>
      </c>
      <c r="H92" s="46" t="n">
        <v>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TRY-00501</t>
        </is>
      </c>
      <c r="B93" s="27" t="inlineStr">
        <is>
          <t>Create the dynamic 13-week cash and revolver model</t>
        </is>
      </c>
      <c r="C93" s="27" t="inlineStr">
        <is>
          <t>13-week direct cash forecast</t>
        </is>
      </c>
      <c r="D93" s="27" t="inlineStr">
        <is>
          <t>Alder Ridge</t>
        </is>
      </c>
      <c r="E93" s="27" t="inlineStr">
        <is>
          <t>2026-09-18</t>
        </is>
      </c>
      <c r="F93" s="27" t="inlineStr">
        <is>
          <t>Approved case</t>
        </is>
      </c>
      <c r="G93" s="27" t="inlineStr">
        <is>
          <t>Customer receipts</t>
        </is>
      </c>
      <c r="H93" s="46" t="n">
        <v>2050000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TRY-00502</t>
        </is>
      </c>
      <c r="B94" s="27" t="inlineStr">
        <is>
          <t>Create the dynamic 13-week cash and revolver model</t>
        </is>
      </c>
      <c r="C94" s="27" t="inlineStr">
        <is>
          <t>13-week direct cash forecast</t>
        </is>
      </c>
      <c r="D94" s="27" t="inlineStr">
        <is>
          <t>Alder Ridge</t>
        </is>
      </c>
      <c r="E94" s="27" t="inlineStr">
        <is>
          <t>2026-09-18</t>
        </is>
      </c>
      <c r="F94" s="27" t="inlineStr">
        <is>
          <t>Approved case</t>
        </is>
      </c>
      <c r="G94" s="27" t="inlineStr">
        <is>
          <t>Operating disbursements</t>
        </is>
      </c>
      <c r="H94" s="46" t="n">
        <v>2790000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TRY-00503</t>
        </is>
      </c>
      <c r="B95" s="27" t="inlineStr">
        <is>
          <t>Create the dynamic 13-week cash and revolver model</t>
        </is>
      </c>
      <c r="C95" s="27" t="inlineStr">
        <is>
          <t>13-week direct cash forecast</t>
        </is>
      </c>
      <c r="D95" s="27" t="inlineStr">
        <is>
          <t>Alder Ridge</t>
        </is>
      </c>
      <c r="E95" s="27" t="inlineStr">
        <is>
          <t>2026-09-18</t>
        </is>
      </c>
      <c r="F95" s="27" t="inlineStr">
        <is>
          <t>Approved case</t>
        </is>
      </c>
      <c r="G95" s="27" t="inlineStr">
        <is>
          <t>Payroll</t>
        </is>
      </c>
      <c r="H95" s="46" t="n">
        <v>940</v>
      </c>
      <c r="I95" s="27" t="inlineStr"/>
      <c r="J95" s="27" t="inlineStr">
        <is>
          <t>USD thousands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TRY-00504</t>
        </is>
      </c>
      <c r="B96" s="27" t="inlineStr">
        <is>
          <t>Create the dynamic 13-week cash and revolver model</t>
        </is>
      </c>
      <c r="C96" s="27" t="inlineStr">
        <is>
          <t>13-week direct cash forecast</t>
        </is>
      </c>
      <c r="D96" s="27" t="inlineStr">
        <is>
          <t>Alder Ridge</t>
        </is>
      </c>
      <c r="E96" s="27" t="inlineStr">
        <is>
          <t>2026-09-18</t>
        </is>
      </c>
      <c r="F96" s="27" t="inlineStr">
        <is>
          <t>Approved case</t>
        </is>
      </c>
      <c r="G96" s="27" t="inlineStr">
        <is>
          <t>Taxes and capex</t>
        </is>
      </c>
      <c r="H96" s="46" t="n">
        <v>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TRY-00505</t>
        </is>
      </c>
      <c r="B97" s="27" t="inlineStr">
        <is>
          <t>Create the dynamic 13-week cash and revolver model</t>
        </is>
      </c>
      <c r="C97" s="27" t="inlineStr">
        <is>
          <t>13-week direct cash forecast</t>
        </is>
      </c>
      <c r="D97" s="27" t="inlineStr">
        <is>
          <t>Alder Ridge</t>
        </is>
      </c>
      <c r="E97" s="27" t="inlineStr">
        <is>
          <t>2026-09-25</t>
        </is>
      </c>
      <c r="F97" s="27" t="inlineStr">
        <is>
          <t>Approved case</t>
        </is>
      </c>
      <c r="G97" s="27" t="inlineStr">
        <is>
          <t>Customer receipts</t>
        </is>
      </c>
      <c r="H97" s="46" t="n">
        <v>3610000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TRY-00506</t>
        </is>
      </c>
      <c r="B98" s="27" t="inlineStr">
        <is>
          <t>Create the dynamic 13-week cash and revolver model</t>
        </is>
      </c>
      <c r="C98" s="27" t="inlineStr">
        <is>
          <t>13-week direct cash forecast</t>
        </is>
      </c>
      <c r="D98" s="27" t="inlineStr">
        <is>
          <t>Alder Ridge</t>
        </is>
      </c>
      <c r="E98" s="27" t="inlineStr">
        <is>
          <t>2026-09-25</t>
        </is>
      </c>
      <c r="F98" s="27" t="inlineStr">
        <is>
          <t>Approved case</t>
        </is>
      </c>
      <c r="G98" s="27" t="inlineStr">
        <is>
          <t>Operating disbursements</t>
        </is>
      </c>
      <c r="H98" s="46" t="n">
        <v>2420000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TRY-00507</t>
        </is>
      </c>
      <c r="B99" s="27" t="inlineStr">
        <is>
          <t>Create the dynamic 13-week cash and revolver model</t>
        </is>
      </c>
      <c r="C99" s="27" t="inlineStr">
        <is>
          <t>13-week direct cash forecast</t>
        </is>
      </c>
      <c r="D99" s="27" t="inlineStr">
        <is>
          <t>Alder Ridge</t>
        </is>
      </c>
      <c r="E99" s="27" t="inlineStr">
        <is>
          <t>2026-09-25</t>
        </is>
      </c>
      <c r="F99" s="27" t="inlineStr">
        <is>
          <t>Approved case</t>
        </is>
      </c>
      <c r="G99" s="27" t="inlineStr">
        <is>
          <t>Payroll</t>
        </is>
      </c>
      <c r="H99" s="46" t="n">
        <v>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TRY-00508</t>
        </is>
      </c>
      <c r="B100" s="27" t="inlineStr">
        <is>
          <t>Create the dynamic 13-week cash and revolver model</t>
        </is>
      </c>
      <c r="C100" s="27" t="inlineStr">
        <is>
          <t>13-week direct cash forecast</t>
        </is>
      </c>
      <c r="D100" s="27" t="inlineStr">
        <is>
          <t>Alder Ridge</t>
        </is>
      </c>
      <c r="E100" s="27" t="inlineStr">
        <is>
          <t>2026-09-25</t>
        </is>
      </c>
      <c r="F100" s="27" t="inlineStr">
        <is>
          <t>Approved case</t>
        </is>
      </c>
      <c r="G100" s="27" t="inlineStr">
        <is>
          <t>Taxes and capex</t>
        </is>
      </c>
      <c r="H100" s="46" t="n">
        <v>680000</v>
      </c>
      <c r="I100" s="27" t="inlineStr"/>
      <c r="J100" s="27" t="inlineStr">
        <is>
          <t>USD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TRY-00509</t>
        </is>
      </c>
      <c r="B101" s="27" t="inlineStr">
        <is>
          <t>Create the dynamic 13-week cash and revolver model</t>
        </is>
      </c>
      <c r="C101" s="27" t="inlineStr">
        <is>
          <t>13-week direct cash forecast</t>
        </is>
      </c>
      <c r="D101" s="27" t="inlineStr">
        <is>
          <t>Alder Ridge</t>
        </is>
      </c>
      <c r="E101" s="27" t="inlineStr">
        <is>
          <t>2026-10-02</t>
        </is>
      </c>
      <c r="F101" s="27" t="inlineStr">
        <is>
          <t>Approved case</t>
        </is>
      </c>
      <c r="G101" s="27" t="inlineStr">
        <is>
          <t>Customer receipts</t>
        </is>
      </c>
      <c r="H101" s="46" t="n">
        <v>2330000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TRY-00510</t>
        </is>
      </c>
      <c r="B102" s="27" t="inlineStr">
        <is>
          <t>Create the dynamic 13-week cash and revolver model</t>
        </is>
      </c>
      <c r="C102" s="27" t="inlineStr">
        <is>
          <t>13-week direct cash forecast</t>
        </is>
      </c>
      <c r="D102" s="27" t="inlineStr">
        <is>
          <t>Alder Ridge</t>
        </is>
      </c>
      <c r="E102" s="27" t="inlineStr">
        <is>
          <t>2026-10-02</t>
        </is>
      </c>
      <c r="F102" s="27" t="inlineStr">
        <is>
          <t>Approved case</t>
        </is>
      </c>
      <c r="G102" s="27" t="inlineStr">
        <is>
          <t>Operating disbursements</t>
        </is>
      </c>
      <c r="H102" s="46" t="n">
        <v>2490000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TRY-00511</t>
        </is>
      </c>
      <c r="B103" s="27" t="inlineStr">
        <is>
          <t>Create the dynamic 13-week cash and revolver model</t>
        </is>
      </c>
      <c r="C103" s="27" t="inlineStr">
        <is>
          <t>13-week direct cash forecast</t>
        </is>
      </c>
      <c r="D103" s="27" t="inlineStr">
        <is>
          <t>Alder Ridge</t>
        </is>
      </c>
      <c r="E103" s="27" t="inlineStr">
        <is>
          <t>2026-10-02</t>
        </is>
      </c>
      <c r="F103" s="27" t="inlineStr">
        <is>
          <t>Approved case</t>
        </is>
      </c>
      <c r="G103" s="27" t="inlineStr">
        <is>
          <t>Payroll</t>
        </is>
      </c>
      <c r="H103" s="46" t="n">
        <v>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TRY-00512</t>
        </is>
      </c>
      <c r="B104" s="27" t="inlineStr">
        <is>
          <t>Create the dynamic 13-week cash and revolver model</t>
        </is>
      </c>
      <c r="C104" s="27" t="inlineStr">
        <is>
          <t>13-week direct cash forecast</t>
        </is>
      </c>
      <c r="D104" s="27" t="inlineStr">
        <is>
          <t>Alder Ridge</t>
        </is>
      </c>
      <c r="E104" s="27" t="inlineStr">
        <is>
          <t>2026-10-02</t>
        </is>
      </c>
      <c r="F104" s="27" t="inlineStr">
        <is>
          <t>Approved case</t>
        </is>
      </c>
      <c r="G104" s="27" t="inlineStr">
        <is>
          <t>Taxes and capex</t>
        </is>
      </c>
      <c r="H104" s="46" t="n">
        <v>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TRY-00513</t>
        </is>
      </c>
      <c r="B105" s="27" t="inlineStr">
        <is>
          <t>Create the dynamic 13-week cash and revolver model</t>
        </is>
      </c>
      <c r="C105" s="27" t="inlineStr">
        <is>
          <t>Weekly funding policy</t>
        </is>
      </c>
      <c r="D105" s="27" t="inlineStr">
        <is>
          <t>Alder Ridge</t>
        </is>
      </c>
      <c r="E105" s="27" t="inlineStr">
        <is>
          <t>FY26 Q3</t>
        </is>
      </c>
      <c r="F105" s="27" t="inlineStr">
        <is>
          <t>Approved case</t>
        </is>
      </c>
      <c r="G105" s="27" t="inlineStr">
        <is>
          <t>Minimum operating cash</t>
        </is>
      </c>
      <c r="H105" s="46" t="n">
        <v>2250000</v>
      </c>
      <c r="I105" s="27" t="inlineStr"/>
      <c r="J105" s="27" t="inlineStr">
        <is>
          <t>USD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TRY-00514</t>
        </is>
      </c>
      <c r="B106" s="27" t="inlineStr">
        <is>
          <t>Create the dynamic 13-week cash and revolver model</t>
        </is>
      </c>
      <c r="C106" s="27" t="inlineStr">
        <is>
          <t>Weekly funding policy</t>
        </is>
      </c>
      <c r="D106" s="27" t="inlineStr">
        <is>
          <t>Alder Ridge</t>
        </is>
      </c>
      <c r="E106" s="27" t="inlineStr">
        <is>
          <t>FY26 Q3</t>
        </is>
      </c>
      <c r="F106" s="27" t="inlineStr">
        <is>
          <t>Approved case</t>
        </is>
      </c>
      <c r="G106" s="27" t="inlineStr">
        <is>
          <t>Revolver commitment</t>
        </is>
      </c>
      <c r="H106" s="46" t="n">
        <v>8000000</v>
      </c>
      <c r="I106" s="27" t="inlineStr"/>
      <c r="J106" s="27" t="inlineStr">
        <is>
          <t>USD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TRY-00515</t>
        </is>
      </c>
      <c r="B107" s="27" t="inlineStr">
        <is>
          <t>Create the dynamic 13-week cash and revolver model</t>
        </is>
      </c>
      <c r="C107" s="27" t="inlineStr">
        <is>
          <t>Weekly funding policy</t>
        </is>
      </c>
      <c r="D107" s="27" t="inlineStr">
        <is>
          <t>Alder Ridge</t>
        </is>
      </c>
      <c r="E107" s="27" t="inlineStr">
        <is>
          <t>FY26 Q3</t>
        </is>
      </c>
      <c r="F107" s="27" t="inlineStr">
        <is>
          <t>Approved case</t>
        </is>
      </c>
      <c r="G107" s="27" t="inlineStr">
        <is>
          <t>SOFR</t>
        </is>
      </c>
      <c r="H107" s="46" t="n">
        <v>0.0525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TRY-00516</t>
        </is>
      </c>
      <c r="B108" s="27" t="inlineStr">
        <is>
          <t>Create the dynamic 13-week cash and revolver model</t>
        </is>
      </c>
      <c r="C108" s="27" t="inlineStr">
        <is>
          <t>Weekly funding policy</t>
        </is>
      </c>
      <c r="D108" s="27" t="inlineStr">
        <is>
          <t>Alder Ridge</t>
        </is>
      </c>
      <c r="E108" s="27" t="inlineStr">
        <is>
          <t>FY26 Q3</t>
        </is>
      </c>
      <c r="F108" s="27" t="inlineStr">
        <is>
          <t>Approved case</t>
        </is>
      </c>
      <c r="G108" s="27" t="inlineStr">
        <is>
          <t>Revolver spread</t>
        </is>
      </c>
      <c r="H108" s="46" t="n">
        <v>0.0275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TRY-00517</t>
        </is>
      </c>
      <c r="B109" s="27" t="inlineStr">
        <is>
          <t>Create the dynamic 13-week cash and revolver model</t>
        </is>
      </c>
      <c r="C109" s="27" t="inlineStr">
        <is>
          <t>Weekly funding policy</t>
        </is>
      </c>
      <c r="D109" s="27" t="inlineStr">
        <is>
          <t>Alder Ridge</t>
        </is>
      </c>
      <c r="E109" s="27" t="inlineStr">
        <is>
          <t>FY26 Q3</t>
        </is>
      </c>
      <c r="F109" s="27" t="inlineStr">
        <is>
          <t>Approved case</t>
        </is>
      </c>
      <c r="G109" s="27" t="inlineStr">
        <is>
          <t>Unused commitment fee</t>
        </is>
      </c>
      <c r="H109" s="46" t="n">
        <v>0.003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TRY-00518</t>
        </is>
      </c>
      <c r="B110" s="27" t="inlineStr">
        <is>
          <t>Create the dynamic 13-week cash and revolver model</t>
        </is>
      </c>
      <c r="C110" s="27" t="inlineStr">
        <is>
          <t>Weekly funding policy</t>
        </is>
      </c>
      <c r="D110" s="27" t="inlineStr">
        <is>
          <t>Alder Ridge</t>
        </is>
      </c>
      <c r="E110" s="27" t="inlineStr">
        <is>
          <t>FY26 Q3</t>
        </is>
      </c>
      <c r="F110" s="27" t="inlineStr">
        <is>
          <t>Approved case</t>
        </is>
      </c>
      <c r="G110" s="27" t="inlineStr">
        <is>
          <t>Day count</t>
        </is>
      </c>
      <c r="H110" s="46" t="n">
        <v>365</v>
      </c>
      <c r="I110" s="27" t="inlineStr"/>
      <c r="J110" s="27" t="inlineStr">
        <is>
          <t>days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TRY-00535</t>
        </is>
      </c>
      <c r="B111" s="27" t="inlineStr">
        <is>
          <t>Create the dynamic 13-week cash and revolver model</t>
        </is>
      </c>
      <c r="C111" s="27" t="inlineStr">
        <is>
          <t>Weekly collection and collateral control</t>
        </is>
      </c>
      <c r="D111" s="27" t="inlineStr">
        <is>
          <t>Alder Ridge</t>
        </is>
      </c>
      <c r="E111" s="27" t="inlineStr">
        <is>
          <t>2026-07-10</t>
        </is>
      </c>
      <c r="F111" s="27" t="inlineStr">
        <is>
          <t>Approved case</t>
        </is>
      </c>
      <c r="G111" s="27" t="inlineStr">
        <is>
          <t>Receipt confidence</t>
        </is>
      </c>
      <c r="H111" s="46" t="n">
        <v>0.96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TRY-00536</t>
        </is>
      </c>
      <c r="B112" s="27" t="inlineStr">
        <is>
          <t>Create the dynamic 13-week cash and revolver model</t>
        </is>
      </c>
      <c r="C112" s="27" t="inlineStr">
        <is>
          <t>Weekly collection and collateral control</t>
        </is>
      </c>
      <c r="D112" s="27" t="inlineStr">
        <is>
          <t>Alder Ridge</t>
        </is>
      </c>
      <c r="E112" s="27" t="inlineStr">
        <is>
          <t>2026-07-10</t>
        </is>
      </c>
      <c r="F112" s="27" t="inlineStr">
        <is>
          <t>Approved case</t>
        </is>
      </c>
      <c r="G112" s="27" t="inlineStr">
        <is>
          <t>Eligible AR</t>
        </is>
      </c>
      <c r="H112" s="46" t="n">
        <v>9800000</v>
      </c>
      <c r="I112" s="27" t="inlineStr"/>
      <c r="J112" s="27" t="inlineStr">
        <is>
          <t>USD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TRY-00537</t>
        </is>
      </c>
      <c r="B113" s="27" t="inlineStr">
        <is>
          <t>Create the dynamic 13-week cash and revolver model</t>
        </is>
      </c>
      <c r="C113" s="27" t="inlineStr">
        <is>
          <t>Weekly collection and collateral control</t>
        </is>
      </c>
      <c r="D113" s="27" t="inlineStr">
        <is>
          <t>Alder Ridge</t>
        </is>
      </c>
      <c r="E113" s="27" t="inlineStr">
        <is>
          <t>2026-07-10</t>
        </is>
      </c>
      <c r="F113" s="27" t="inlineStr">
        <is>
          <t>Approved case</t>
        </is>
      </c>
      <c r="G113" s="27" t="inlineStr">
        <is>
          <t>Eligible inventory</t>
        </is>
      </c>
      <c r="H113" s="46" t="n">
        <v>3400000</v>
      </c>
      <c r="I113" s="27" t="inlineStr"/>
      <c r="J113" s="27" t="inlineStr">
        <is>
          <t>USD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TRY-00538</t>
        </is>
      </c>
      <c r="B114" s="27" t="inlineStr">
        <is>
          <t>Create the dynamic 13-week cash and revolver model</t>
        </is>
      </c>
      <c r="C114" s="27" t="inlineStr">
        <is>
          <t>Weekly collection and collateral control</t>
        </is>
      </c>
      <c r="D114" s="27" t="inlineStr">
        <is>
          <t>Alder Ridge</t>
        </is>
      </c>
      <c r="E114" s="27" t="inlineStr">
        <is>
          <t>2026-07-17</t>
        </is>
      </c>
      <c r="F114" s="27" t="inlineStr">
        <is>
          <t>Approved case</t>
        </is>
      </c>
      <c r="G114" s="27" t="inlineStr">
        <is>
          <t>Receipt confidence</t>
        </is>
      </c>
      <c r="H114" s="46" t="n">
        <v>0.9399999999999999</v>
      </c>
      <c r="I114" s="27" t="inlineStr"/>
      <c r="J114" s="27" t="inlineStr">
        <is>
          <t>decimal ratio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TRY-00539</t>
        </is>
      </c>
      <c r="B115" s="27" t="inlineStr">
        <is>
          <t>Create the dynamic 13-week cash and revolver model</t>
        </is>
      </c>
      <c r="C115" s="27" t="inlineStr">
        <is>
          <t>Weekly collection and collateral control</t>
        </is>
      </c>
      <c r="D115" s="27" t="inlineStr">
        <is>
          <t>Alder Ridge</t>
        </is>
      </c>
      <c r="E115" s="27" t="inlineStr">
        <is>
          <t>2026-07-17</t>
        </is>
      </c>
      <c r="F115" s="27" t="inlineStr">
        <is>
          <t>Approved case</t>
        </is>
      </c>
      <c r="G115" s="27" t="inlineStr">
        <is>
          <t>Eligible AR</t>
        </is>
      </c>
      <c r="H115" s="46" t="n">
        <v>9650000</v>
      </c>
      <c r="I115" s="27" t="inlineStr"/>
      <c r="J115" s="27" t="inlineStr">
        <is>
          <t>USD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TRY-00540</t>
        </is>
      </c>
      <c r="B116" s="27" t="inlineStr">
        <is>
          <t>Create the dynamic 13-week cash and revolver model</t>
        </is>
      </c>
      <c r="C116" s="27" t="inlineStr">
        <is>
          <t>Weekly collection and collateral control</t>
        </is>
      </c>
      <c r="D116" s="27" t="inlineStr">
        <is>
          <t>Alder Ridge</t>
        </is>
      </c>
      <c r="E116" s="27" t="inlineStr">
        <is>
          <t>2026-07-17</t>
        </is>
      </c>
      <c r="F116" s="27" t="inlineStr">
        <is>
          <t>Approved case</t>
        </is>
      </c>
      <c r="G116" s="27" t="inlineStr">
        <is>
          <t>Eligible inventory</t>
        </is>
      </c>
      <c r="H116" s="46" t="n">
        <v>3420000</v>
      </c>
      <c r="I116" s="27" t="inlineStr"/>
      <c r="J116" s="27" t="inlineStr">
        <is>
          <t>USD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TRY-00541</t>
        </is>
      </c>
      <c r="B117" s="27" t="inlineStr">
        <is>
          <t>Create the dynamic 13-week cash and revolver model</t>
        </is>
      </c>
      <c r="C117" s="27" t="inlineStr">
        <is>
          <t>Weekly collection and collateral control</t>
        </is>
      </c>
      <c r="D117" s="27" t="inlineStr">
        <is>
          <t>Alder Ridge</t>
        </is>
      </c>
      <c r="E117" s="27" t="inlineStr">
        <is>
          <t>2026-07-24</t>
        </is>
      </c>
      <c r="F117" s="27" t="inlineStr">
        <is>
          <t>Approved case</t>
        </is>
      </c>
      <c r="G117" s="27" t="inlineStr">
        <is>
          <t>Receipt confidence</t>
        </is>
      </c>
      <c r="H117" s="46" t="n">
        <v>0.88</v>
      </c>
      <c r="I117" s="27" t="inlineStr"/>
      <c r="J117" s="27" t="inlineStr">
        <is>
          <t>decimal ratio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TRY-00542</t>
        </is>
      </c>
      <c r="B118" s="27" t="inlineStr">
        <is>
          <t>Create the dynamic 13-week cash and revolver model</t>
        </is>
      </c>
      <c r="C118" s="27" t="inlineStr">
        <is>
          <t>Weekly collection and collateral control</t>
        </is>
      </c>
      <c r="D118" s="27" t="inlineStr">
        <is>
          <t>Alder Ridge</t>
        </is>
      </c>
      <c r="E118" s="27" t="inlineStr">
        <is>
          <t>2026-07-24</t>
        </is>
      </c>
      <c r="F118" s="27" t="inlineStr">
        <is>
          <t>Approved case</t>
        </is>
      </c>
      <c r="G118" s="27" t="inlineStr">
        <is>
          <t>Eligible AR</t>
        </is>
      </c>
      <c r="H118" s="46" t="n">
        <v>9200</v>
      </c>
      <c r="I118" s="27" t="inlineStr"/>
      <c r="J118" s="27" t="inlineStr">
        <is>
          <t>USD thousands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TRY-00543</t>
        </is>
      </c>
      <c r="B119" s="27" t="inlineStr">
        <is>
          <t>Create the dynamic 13-week cash and revolver model</t>
        </is>
      </c>
      <c r="C119" s="27" t="inlineStr">
        <is>
          <t>Weekly collection and collateral control</t>
        </is>
      </c>
      <c r="D119" s="27" t="inlineStr">
        <is>
          <t>Alder Ridge</t>
        </is>
      </c>
      <c r="E119" s="27" t="inlineStr">
        <is>
          <t>2026-07-24</t>
        </is>
      </c>
      <c r="F119" s="27" t="inlineStr">
        <is>
          <t>Approved case</t>
        </is>
      </c>
      <c r="G119" s="27" t="inlineStr">
        <is>
          <t>Eligible inventory</t>
        </is>
      </c>
      <c r="H119" s="46" t="n">
        <v>3480000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TRY-00544</t>
        </is>
      </c>
      <c r="B120" s="27" t="inlineStr">
        <is>
          <t>Create the dynamic 13-week cash and revolver model</t>
        </is>
      </c>
      <c r="C120" s="27" t="inlineStr">
        <is>
          <t>Weekly collection and collateral control</t>
        </is>
      </c>
      <c r="D120" s="27" t="inlineStr">
        <is>
          <t>Alder Ridge</t>
        </is>
      </c>
      <c r="E120" s="27" t="inlineStr">
        <is>
          <t>2026-07-31</t>
        </is>
      </c>
      <c r="F120" s="27" t="inlineStr">
        <is>
          <t>Approved case</t>
        </is>
      </c>
      <c r="G120" s="27" t="inlineStr">
        <is>
          <t>Receipt confidence</t>
        </is>
      </c>
      <c r="H120" s="46" t="n">
        <v>0.97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TRY-00545</t>
        </is>
      </c>
      <c r="B121" s="27" t="inlineStr">
        <is>
          <t>Create the dynamic 13-week cash and revolver model</t>
        </is>
      </c>
      <c r="C121" s="27" t="inlineStr">
        <is>
          <t>Weekly collection and collateral control</t>
        </is>
      </c>
      <c r="D121" s="27" t="inlineStr">
        <is>
          <t>Alder Ridge</t>
        </is>
      </c>
      <c r="E121" s="27" t="inlineStr">
        <is>
          <t>2026-07-31</t>
        </is>
      </c>
      <c r="F121" s="27" t="inlineStr">
        <is>
          <t>Approved case</t>
        </is>
      </c>
      <c r="G121" s="27" t="inlineStr">
        <is>
          <t>Eligible AR</t>
        </is>
      </c>
      <c r="H121" s="46" t="n">
        <v>9550000</v>
      </c>
      <c r="I121" s="27" t="inlineStr"/>
      <c r="J121" s="27" t="inlineStr">
        <is>
          <t>USD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TRY-00546</t>
        </is>
      </c>
      <c r="B122" s="27" t="inlineStr">
        <is>
          <t>Create the dynamic 13-week cash and revolver model</t>
        </is>
      </c>
      <c r="C122" s="27" t="inlineStr">
        <is>
          <t>Weekly collection and collateral control</t>
        </is>
      </c>
      <c r="D122" s="27" t="inlineStr">
        <is>
          <t>Alder Ridge</t>
        </is>
      </c>
      <c r="E122" s="27" t="inlineStr">
        <is>
          <t>2026-07-31</t>
        </is>
      </c>
      <c r="F122" s="27" t="inlineStr">
        <is>
          <t>Approved case</t>
        </is>
      </c>
      <c r="G122" s="27" t="inlineStr">
        <is>
          <t>Eligible inventory</t>
        </is>
      </c>
      <c r="H122" s="46" t="n">
        <v>3360</v>
      </c>
      <c r="I122" s="27" t="inlineStr"/>
      <c r="J122" s="27" t="inlineStr">
        <is>
          <t>USD thousands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TRY-00547</t>
        </is>
      </c>
      <c r="B123" s="27" t="inlineStr">
        <is>
          <t>Create the dynamic 13-week cash and revolver model</t>
        </is>
      </c>
      <c r="C123" s="27" t="inlineStr">
        <is>
          <t>Weekly collection and collateral control</t>
        </is>
      </c>
      <c r="D123" s="27" t="inlineStr">
        <is>
          <t>Alder Ridge</t>
        </is>
      </c>
      <c r="E123" s="27" t="inlineStr">
        <is>
          <t>2026-08-07</t>
        </is>
      </c>
      <c r="F123" s="27" t="inlineStr">
        <is>
          <t>Approved case</t>
        </is>
      </c>
      <c r="G123" s="27" t="inlineStr">
        <is>
          <t>Receipt confidence</t>
        </is>
      </c>
      <c r="H123" s="46" t="n">
        <v>0.91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TRY-00548</t>
        </is>
      </c>
      <c r="B124" s="27" t="inlineStr">
        <is>
          <t>Create the dynamic 13-week cash and revolver model</t>
        </is>
      </c>
      <c r="C124" s="27" t="inlineStr">
        <is>
          <t>Weekly collection and collateral control</t>
        </is>
      </c>
      <c r="D124" s="27" t="inlineStr">
        <is>
          <t>Alder Ridge</t>
        </is>
      </c>
      <c r="E124" s="27" t="inlineStr">
        <is>
          <t>2026-08-07</t>
        </is>
      </c>
      <c r="F124" s="27" t="inlineStr">
        <is>
          <t>Approved case</t>
        </is>
      </c>
      <c r="G124" s="27" t="inlineStr">
        <is>
          <t>Eligible AR</t>
        </is>
      </c>
      <c r="H124" s="46" t="n">
        <v>9250000</v>
      </c>
      <c r="I124" s="27" t="inlineStr"/>
      <c r="J124" s="27" t="inlineStr">
        <is>
          <t>USD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TRY-00549</t>
        </is>
      </c>
      <c r="B125" s="27" t="inlineStr">
        <is>
          <t>Create the dynamic 13-week cash and revolver model</t>
        </is>
      </c>
      <c r="C125" s="27" t="inlineStr">
        <is>
          <t>Weekly collection and collateral control</t>
        </is>
      </c>
      <c r="D125" s="27" t="inlineStr">
        <is>
          <t>Alder Ridge</t>
        </is>
      </c>
      <c r="E125" s="27" t="inlineStr">
        <is>
          <t>2026-08-07</t>
        </is>
      </c>
      <c r="F125" s="27" t="inlineStr">
        <is>
          <t>Approved case</t>
        </is>
      </c>
      <c r="G125" s="27" t="inlineStr">
        <is>
          <t>Eligible inventory</t>
        </is>
      </c>
      <c r="H125" s="46" t="n">
        <v>3440000</v>
      </c>
      <c r="I125" s="27" t="inlineStr"/>
      <c r="J125" s="27" t="inlineStr">
        <is>
          <t>USD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TRY-00550</t>
        </is>
      </c>
      <c r="B126" s="27" t="inlineStr">
        <is>
          <t>Create the dynamic 13-week cash and revolver model</t>
        </is>
      </c>
      <c r="C126" s="27" t="inlineStr">
        <is>
          <t>Weekly collection and collateral control</t>
        </is>
      </c>
      <c r="D126" s="27" t="inlineStr">
        <is>
          <t>Alder Ridge</t>
        </is>
      </c>
      <c r="E126" s="27" t="inlineStr">
        <is>
          <t>2026-08-14</t>
        </is>
      </c>
      <c r="F126" s="27" t="inlineStr">
        <is>
          <t>Approved case</t>
        </is>
      </c>
      <c r="G126" s="27" t="inlineStr">
        <is>
          <t>Receipt confidence</t>
        </is>
      </c>
      <c r="H126" s="46" t="n">
        <v>0.95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TRY-00551</t>
        </is>
      </c>
      <c r="B127" s="27" t="inlineStr">
        <is>
          <t>Create the dynamic 13-week cash and revolver model</t>
        </is>
      </c>
      <c r="C127" s="27" t="inlineStr">
        <is>
          <t>Weekly collection and collateral control</t>
        </is>
      </c>
      <c r="D127" s="27" t="inlineStr">
        <is>
          <t>Alder Ridge</t>
        </is>
      </c>
      <c r="E127" s="27" t="inlineStr">
        <is>
          <t>2026-08-14</t>
        </is>
      </c>
      <c r="F127" s="27" t="inlineStr">
        <is>
          <t>Approved case</t>
        </is>
      </c>
      <c r="G127" s="27" t="inlineStr">
        <is>
          <t>Eligible AR</t>
        </is>
      </c>
      <c r="H127" s="46" t="n">
        <v>9400000</v>
      </c>
      <c r="I127" s="27" t="inlineStr"/>
      <c r="J127" s="27" t="inlineStr">
        <is>
          <t>USD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TRY-00552</t>
        </is>
      </c>
      <c r="B128" s="27" t="inlineStr">
        <is>
          <t>Create the dynamic 13-week cash and revolver model</t>
        </is>
      </c>
      <c r="C128" s="27" t="inlineStr">
        <is>
          <t>Weekly collection and collateral control</t>
        </is>
      </c>
      <c r="D128" s="27" t="inlineStr">
        <is>
          <t>Alder Ridge</t>
        </is>
      </c>
      <c r="E128" s="27" t="inlineStr">
        <is>
          <t>2026-08-14</t>
        </is>
      </c>
      <c r="F128" s="27" t="inlineStr">
        <is>
          <t>Approved case</t>
        </is>
      </c>
      <c r="G128" s="27" t="inlineStr">
        <is>
          <t>Eligible inventory</t>
        </is>
      </c>
      <c r="H128" s="46" t="n">
        <v>3390000</v>
      </c>
      <c r="I128" s="27" t="inlineStr"/>
      <c r="J128" s="27" t="inlineStr">
        <is>
          <t>USD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TRY-00553</t>
        </is>
      </c>
      <c r="B129" s="27" t="inlineStr">
        <is>
          <t>Create the dynamic 13-week cash and revolver model</t>
        </is>
      </c>
      <c r="C129" s="27" t="inlineStr">
        <is>
          <t>Weekly collection and collateral control</t>
        </is>
      </c>
      <c r="D129" s="27" t="inlineStr">
        <is>
          <t>Alder Ridge</t>
        </is>
      </c>
      <c r="E129" s="27" t="inlineStr">
        <is>
          <t>2026-08-21</t>
        </is>
      </c>
      <c r="F129" s="27" t="inlineStr">
        <is>
          <t>Approved case</t>
        </is>
      </c>
      <c r="G129" s="27" t="inlineStr">
        <is>
          <t>Receipt confidence</t>
        </is>
      </c>
      <c r="H129" s="46" t="n">
        <v>0.86</v>
      </c>
      <c r="I129" s="27" t="inlineStr"/>
      <c r="J129" s="27" t="inlineStr">
        <is>
          <t>decimal ratio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TRY-00554</t>
        </is>
      </c>
      <c r="B130" s="27" t="inlineStr">
        <is>
          <t>Create the dynamic 13-week cash and revolver model</t>
        </is>
      </c>
      <c r="C130" s="27" t="inlineStr">
        <is>
          <t>Weekly collection and collateral control</t>
        </is>
      </c>
      <c r="D130" s="27" t="inlineStr">
        <is>
          <t>Alder Ridge</t>
        </is>
      </c>
      <c r="E130" s="27" t="inlineStr">
        <is>
          <t>2026-08-21</t>
        </is>
      </c>
      <c r="F130" s="27" t="inlineStr">
        <is>
          <t>Approved case</t>
        </is>
      </c>
      <c r="G130" s="27" t="inlineStr">
        <is>
          <t>Eligible AR</t>
        </is>
      </c>
      <c r="H130" s="46" t="n">
        <v>8950</v>
      </c>
      <c r="I130" s="27" t="inlineStr"/>
      <c r="J130" s="27" t="inlineStr">
        <is>
          <t>USD thousands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TRY-00555</t>
        </is>
      </c>
      <c r="B131" s="27" t="inlineStr">
        <is>
          <t>Create the dynamic 13-week cash and revolver model</t>
        </is>
      </c>
      <c r="C131" s="27" t="inlineStr">
        <is>
          <t>Weekly collection and collateral control</t>
        </is>
      </c>
      <c r="D131" s="27" t="inlineStr">
        <is>
          <t>Alder Ridge</t>
        </is>
      </c>
      <c r="E131" s="27" t="inlineStr">
        <is>
          <t>2026-08-21</t>
        </is>
      </c>
      <c r="F131" s="27" t="inlineStr">
        <is>
          <t>Approved case</t>
        </is>
      </c>
      <c r="G131" s="27" t="inlineStr">
        <is>
          <t>Eligible inventory</t>
        </is>
      </c>
      <c r="H131" s="46" t="n">
        <v>3520000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TRY-00556</t>
        </is>
      </c>
      <c r="B132" s="27" t="inlineStr">
        <is>
          <t>Create the dynamic 13-week cash and revolver model</t>
        </is>
      </c>
      <c r="C132" s="27" t="inlineStr">
        <is>
          <t>Weekly collection and collateral control</t>
        </is>
      </c>
      <c r="D132" s="27" t="inlineStr">
        <is>
          <t>Alder Ridge</t>
        </is>
      </c>
      <c r="E132" s="27" t="inlineStr">
        <is>
          <t>2026-08-28</t>
        </is>
      </c>
      <c r="F132" s="27" t="inlineStr">
        <is>
          <t>Approved case</t>
        </is>
      </c>
      <c r="G132" s="27" t="inlineStr">
        <is>
          <t>Receipt confidence</t>
        </is>
      </c>
      <c r="H132" s="46" t="n">
        <v>0.98</v>
      </c>
      <c r="I132" s="27" t="inlineStr"/>
      <c r="J132" s="27" t="inlineStr">
        <is>
          <t>decimal ratio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TRY-00557</t>
        </is>
      </c>
      <c r="B133" s="27" t="inlineStr">
        <is>
          <t>Create the dynamic 13-week cash and revolver model</t>
        </is>
      </c>
      <c r="C133" s="27" t="inlineStr">
        <is>
          <t>Weekly collection and collateral control</t>
        </is>
      </c>
      <c r="D133" s="27" t="inlineStr">
        <is>
          <t>Alder Ridge</t>
        </is>
      </c>
      <c r="E133" s="27" t="inlineStr">
        <is>
          <t>2026-08-28</t>
        </is>
      </c>
      <c r="F133" s="27" t="inlineStr">
        <is>
          <t>Approved case</t>
        </is>
      </c>
      <c r="G133" s="27" t="inlineStr">
        <is>
          <t>Eligible AR</t>
        </is>
      </c>
      <c r="H133" s="46" t="n">
        <v>9350000</v>
      </c>
      <c r="I133" s="27" t="inlineStr"/>
      <c r="J133" s="27" t="inlineStr">
        <is>
          <t>USD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TRY-00558</t>
        </is>
      </c>
      <c r="B134" s="27" t="inlineStr">
        <is>
          <t>Create the dynamic 13-week cash and revolver model</t>
        </is>
      </c>
      <c r="C134" s="27" t="inlineStr">
        <is>
          <t>Weekly collection and collateral control</t>
        </is>
      </c>
      <c r="D134" s="27" t="inlineStr">
        <is>
          <t>Alder Ridge</t>
        </is>
      </c>
      <c r="E134" s="27" t="inlineStr">
        <is>
          <t>2026-08-28</t>
        </is>
      </c>
      <c r="F134" s="27" t="inlineStr">
        <is>
          <t>Approved case</t>
        </is>
      </c>
      <c r="G134" s="27" t="inlineStr">
        <is>
          <t>Eligible inventory</t>
        </is>
      </c>
      <c r="H134" s="46" t="n">
        <v>3310</v>
      </c>
      <c r="I134" s="27" t="inlineStr"/>
      <c r="J134" s="27" t="inlineStr">
        <is>
          <t>USD thousands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TRY-00559</t>
        </is>
      </c>
      <c r="B135" s="27" t="inlineStr">
        <is>
          <t>Create the dynamic 13-week cash and revolver model</t>
        </is>
      </c>
      <c r="C135" s="27" t="inlineStr">
        <is>
          <t>Weekly collection and collateral control</t>
        </is>
      </c>
      <c r="D135" s="27" t="inlineStr">
        <is>
          <t>Alder Ridge</t>
        </is>
      </c>
      <c r="E135" s="27" t="inlineStr">
        <is>
          <t>2026-09-04</t>
        </is>
      </c>
      <c r="F135" s="27" t="inlineStr">
        <is>
          <t>Approved case</t>
        </is>
      </c>
      <c r="G135" s="27" t="inlineStr">
        <is>
          <t>Receipt confidence</t>
        </is>
      </c>
      <c r="H135" s="46" t="n">
        <v>0.9</v>
      </c>
      <c r="I135" s="27" t="inlineStr"/>
      <c r="J135" s="27" t="inlineStr">
        <is>
          <t>decimal ratio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TRY-00560</t>
        </is>
      </c>
      <c r="B136" s="27" t="inlineStr">
        <is>
          <t>Create the dynamic 13-week cash and revolver model</t>
        </is>
      </c>
      <c r="C136" s="27" t="inlineStr">
        <is>
          <t>Weekly collection and collateral control</t>
        </is>
      </c>
      <c r="D136" s="27" t="inlineStr">
        <is>
          <t>Alder Ridge</t>
        </is>
      </c>
      <c r="E136" s="27" t="inlineStr">
        <is>
          <t>2026-09-04</t>
        </is>
      </c>
      <c r="F136" s="27" t="inlineStr">
        <is>
          <t>Approved case</t>
        </is>
      </c>
      <c r="G136" s="27" t="inlineStr">
        <is>
          <t>Eligible AR</t>
        </is>
      </c>
      <c r="H136" s="46" t="n">
        <v>9050000</v>
      </c>
      <c r="I136" s="27" t="inlineStr"/>
      <c r="J136" s="27" t="inlineStr">
        <is>
          <t>USD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TRY-00561</t>
        </is>
      </c>
      <c r="B137" s="27" t="inlineStr">
        <is>
          <t>Create the dynamic 13-week cash and revolver model</t>
        </is>
      </c>
      <c r="C137" s="27" t="inlineStr">
        <is>
          <t>Weekly collection and collateral control</t>
        </is>
      </c>
      <c r="D137" s="27" t="inlineStr">
        <is>
          <t>Alder Ridge</t>
        </is>
      </c>
      <c r="E137" s="27" t="inlineStr">
        <is>
          <t>2026-09-04</t>
        </is>
      </c>
      <c r="F137" s="27" t="inlineStr">
        <is>
          <t>Approved case</t>
        </is>
      </c>
      <c r="G137" s="27" t="inlineStr">
        <is>
          <t>Eligible inventory</t>
        </is>
      </c>
      <c r="H137" s="46" t="n">
        <v>3400000</v>
      </c>
      <c r="I137" s="27" t="inlineStr"/>
      <c r="J137" s="27" t="inlineStr">
        <is>
          <t>USD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TRY-00562</t>
        </is>
      </c>
      <c r="B138" s="27" t="inlineStr">
        <is>
          <t>Create the dynamic 13-week cash and revolver model</t>
        </is>
      </c>
      <c r="C138" s="27" t="inlineStr">
        <is>
          <t>Weekly collection and collateral control</t>
        </is>
      </c>
      <c r="D138" s="27" t="inlineStr">
        <is>
          <t>Alder Ridge</t>
        </is>
      </c>
      <c r="E138" s="27" t="inlineStr">
        <is>
          <t>2026-09-11</t>
        </is>
      </c>
      <c r="F138" s="27" t="inlineStr">
        <is>
          <t>Approved case</t>
        </is>
      </c>
      <c r="G138" s="27" t="inlineStr">
        <is>
          <t>Receipt confidence</t>
        </is>
      </c>
      <c r="H138" s="46" t="n">
        <v>0.96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TRY-00563</t>
        </is>
      </c>
      <c r="B139" s="27" t="inlineStr">
        <is>
          <t>Create the dynamic 13-week cash and revolver model</t>
        </is>
      </c>
      <c r="C139" s="27" t="inlineStr">
        <is>
          <t>Weekly collection and collateral control</t>
        </is>
      </c>
      <c r="D139" s="27" t="inlineStr">
        <is>
          <t>Alder Ridge</t>
        </is>
      </c>
      <c r="E139" s="27" t="inlineStr">
        <is>
          <t>2026-09-11</t>
        </is>
      </c>
      <c r="F139" s="27" t="inlineStr">
        <is>
          <t>Approved case</t>
        </is>
      </c>
      <c r="G139" s="27" t="inlineStr">
        <is>
          <t>Eligible AR</t>
        </is>
      </c>
      <c r="H139" s="46" t="n">
        <v>9300000</v>
      </c>
      <c r="I139" s="27" t="inlineStr"/>
      <c r="J139" s="27" t="inlineStr">
        <is>
          <t>USD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TRY-00564</t>
        </is>
      </c>
      <c r="B140" s="27" t="inlineStr">
        <is>
          <t>Create the dynamic 13-week cash and revolver model</t>
        </is>
      </c>
      <c r="C140" s="27" t="inlineStr">
        <is>
          <t>Weekly collection and collateral control</t>
        </is>
      </c>
      <c r="D140" s="27" t="inlineStr">
        <is>
          <t>Alder Ridge</t>
        </is>
      </c>
      <c r="E140" s="27" t="inlineStr">
        <is>
          <t>2026-09-11</t>
        </is>
      </c>
      <c r="F140" s="27" t="inlineStr">
        <is>
          <t>Approved case</t>
        </is>
      </c>
      <c r="G140" s="27" t="inlineStr">
        <is>
          <t>Eligible inventory</t>
        </is>
      </c>
      <c r="H140" s="46" t="n">
        <v>3340000</v>
      </c>
      <c r="I140" s="27" t="inlineStr"/>
      <c r="J140" s="27" t="inlineStr">
        <is>
          <t>USD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TRY-00565</t>
        </is>
      </c>
      <c r="B141" s="27" t="inlineStr">
        <is>
          <t>Create the dynamic 13-week cash and revolver model</t>
        </is>
      </c>
      <c r="C141" s="27" t="inlineStr">
        <is>
          <t>Weekly collection and collateral control</t>
        </is>
      </c>
      <c r="D141" s="27" t="inlineStr">
        <is>
          <t>Alder Ridge</t>
        </is>
      </c>
      <c r="E141" s="27" t="inlineStr">
        <is>
          <t>2026-09-18</t>
        </is>
      </c>
      <c r="F141" s="27" t="inlineStr">
        <is>
          <t>Approved case</t>
        </is>
      </c>
      <c r="G141" s="27" t="inlineStr">
        <is>
          <t>Receipt confidence</t>
        </is>
      </c>
      <c r="H141" s="46" t="n">
        <v>0.84</v>
      </c>
      <c r="I141" s="27" t="inlineStr"/>
      <c r="J141" s="27" t="inlineStr">
        <is>
          <t>decimal ratio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TRY-00566</t>
        </is>
      </c>
      <c r="B142" s="27" t="inlineStr">
        <is>
          <t>Create the dynamic 13-week cash and revolver model</t>
        </is>
      </c>
      <c r="C142" s="27" t="inlineStr">
        <is>
          <t>Weekly collection and collateral control</t>
        </is>
      </c>
      <c r="D142" s="27" t="inlineStr">
        <is>
          <t>Alder Ridge</t>
        </is>
      </c>
      <c r="E142" s="27" t="inlineStr">
        <is>
          <t>2026-09-18</t>
        </is>
      </c>
      <c r="F142" s="27" t="inlineStr">
        <is>
          <t>Approved case</t>
        </is>
      </c>
      <c r="G142" s="27" t="inlineStr">
        <is>
          <t>Eligible AR</t>
        </is>
      </c>
      <c r="H142" s="46" t="n">
        <v>8800</v>
      </c>
      <c r="I142" s="27" t="inlineStr"/>
      <c r="J142" s="27" t="inlineStr">
        <is>
          <t>USD thousands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TRY-00567</t>
        </is>
      </c>
      <c r="B143" s="27" t="inlineStr">
        <is>
          <t>Create the dynamic 13-week cash and revolver model</t>
        </is>
      </c>
      <c r="C143" s="27" t="inlineStr">
        <is>
          <t>Weekly collection and collateral control</t>
        </is>
      </c>
      <c r="D143" s="27" t="inlineStr">
        <is>
          <t>Alder Ridge</t>
        </is>
      </c>
      <c r="E143" s="27" t="inlineStr">
        <is>
          <t>2026-09-18</t>
        </is>
      </c>
      <c r="F143" s="27" t="inlineStr">
        <is>
          <t>Approved case</t>
        </is>
      </c>
      <c r="G143" s="27" t="inlineStr">
        <is>
          <t>Eligible inventory</t>
        </is>
      </c>
      <c r="H143" s="46" t="n">
        <v>3460000</v>
      </c>
      <c r="I143" s="27" t="inlineStr"/>
      <c r="J143" s="27" t="inlineStr">
        <is>
          <t>USD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TRY-00568</t>
        </is>
      </c>
      <c r="B144" s="27" t="inlineStr">
        <is>
          <t>Create the dynamic 13-week cash and revolver model</t>
        </is>
      </c>
      <c r="C144" s="27" t="inlineStr">
        <is>
          <t>Weekly collection and collateral control</t>
        </is>
      </c>
      <c r="D144" s="27" t="inlineStr">
        <is>
          <t>Alder Ridge</t>
        </is>
      </c>
      <c r="E144" s="27" t="inlineStr">
        <is>
          <t>2026-09-25</t>
        </is>
      </c>
      <c r="F144" s="27" t="inlineStr">
        <is>
          <t>Approved case</t>
        </is>
      </c>
      <c r="G144" s="27" t="inlineStr">
        <is>
          <t>Receipt confidence</t>
        </is>
      </c>
      <c r="H144" s="46" t="n">
        <v>0.97</v>
      </c>
      <c r="I144" s="27" t="inlineStr"/>
      <c r="J144" s="27" t="inlineStr">
        <is>
          <t>decimal ratio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TRY-00569</t>
        </is>
      </c>
      <c r="B145" s="27" t="inlineStr">
        <is>
          <t>Create the dynamic 13-week cash and revolver model</t>
        </is>
      </c>
      <c r="C145" s="27" t="inlineStr">
        <is>
          <t>Weekly collection and collateral control</t>
        </is>
      </c>
      <c r="D145" s="27" t="inlineStr">
        <is>
          <t>Alder Ridge</t>
        </is>
      </c>
      <c r="E145" s="27" t="inlineStr">
        <is>
          <t>2026-09-25</t>
        </is>
      </c>
      <c r="F145" s="27" t="inlineStr">
        <is>
          <t>Approved case</t>
        </is>
      </c>
      <c r="G145" s="27" t="inlineStr">
        <is>
          <t>Eligible AR</t>
        </is>
      </c>
      <c r="H145" s="46" t="n">
        <v>9150000</v>
      </c>
      <c r="I145" s="27" t="inlineStr"/>
      <c r="J145" s="27" t="inlineStr">
        <is>
          <t>USD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TRY-00570</t>
        </is>
      </c>
      <c r="B146" s="27" t="inlineStr">
        <is>
          <t>Create the dynamic 13-week cash and revolver model</t>
        </is>
      </c>
      <c r="C146" s="27" t="inlineStr">
        <is>
          <t>Weekly collection and collateral control</t>
        </is>
      </c>
      <c r="D146" s="27" t="inlineStr">
        <is>
          <t>Alder Ridge</t>
        </is>
      </c>
      <c r="E146" s="27" t="inlineStr">
        <is>
          <t>2026-09-25</t>
        </is>
      </c>
      <c r="F146" s="27" t="inlineStr">
        <is>
          <t>Approved case</t>
        </is>
      </c>
      <c r="G146" s="27" t="inlineStr">
        <is>
          <t>Eligible inventory</t>
        </is>
      </c>
      <c r="H146" s="46" t="n">
        <v>3280</v>
      </c>
      <c r="I146" s="27" t="inlineStr"/>
      <c r="J146" s="27" t="inlineStr">
        <is>
          <t>USD thousands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TRY-00571</t>
        </is>
      </c>
      <c r="B147" s="27" t="inlineStr">
        <is>
          <t>Create the dynamic 13-week cash and revolver model</t>
        </is>
      </c>
      <c r="C147" s="27" t="inlineStr">
        <is>
          <t>Weekly collection and collateral control</t>
        </is>
      </c>
      <c r="D147" s="27" t="inlineStr">
        <is>
          <t>Alder Ridge</t>
        </is>
      </c>
      <c r="E147" s="27" t="inlineStr">
        <is>
          <t>2026-10-02</t>
        </is>
      </c>
      <c r="F147" s="27" t="inlineStr">
        <is>
          <t>Approved case</t>
        </is>
      </c>
      <c r="G147" s="27" t="inlineStr">
        <is>
          <t>Receipt confidence</t>
        </is>
      </c>
      <c r="H147" s="46" t="n">
        <v>0.92</v>
      </c>
      <c r="I147" s="27" t="inlineStr"/>
      <c r="J147" s="27" t="inlineStr">
        <is>
          <t>decimal ratio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TRY-00572</t>
        </is>
      </c>
      <c r="B148" s="27" t="inlineStr">
        <is>
          <t>Create the dynamic 13-week cash and revolver model</t>
        </is>
      </c>
      <c r="C148" s="27" t="inlineStr">
        <is>
          <t>Weekly collection and collateral control</t>
        </is>
      </c>
      <c r="D148" s="27" t="inlineStr">
        <is>
          <t>Alder Ridge</t>
        </is>
      </c>
      <c r="E148" s="27" t="inlineStr">
        <is>
          <t>2026-10-02</t>
        </is>
      </c>
      <c r="F148" s="27" t="inlineStr">
        <is>
          <t>Approved case</t>
        </is>
      </c>
      <c r="G148" s="27" t="inlineStr">
        <is>
          <t>Eligible AR</t>
        </is>
      </c>
      <c r="H148" s="46" t="n">
        <v>8900000</v>
      </c>
      <c r="I148" s="27" t="inlineStr"/>
      <c r="J148" s="27" t="inlineStr">
        <is>
          <t>USD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TRY-00573</t>
        </is>
      </c>
      <c r="B149" s="27" t="inlineStr">
        <is>
          <t>Create the dynamic 13-week cash and revolver model</t>
        </is>
      </c>
      <c r="C149" s="27" t="inlineStr">
        <is>
          <t>Weekly collection and collateral control</t>
        </is>
      </c>
      <c r="D149" s="27" t="inlineStr">
        <is>
          <t>Alder Ridge</t>
        </is>
      </c>
      <c r="E149" s="27" t="inlineStr">
        <is>
          <t>2026-10-02</t>
        </is>
      </c>
      <c r="F149" s="27" t="inlineStr">
        <is>
          <t>Approved case</t>
        </is>
      </c>
      <c r="G149" s="27" t="inlineStr">
        <is>
          <t>Eligible inventory</t>
        </is>
      </c>
      <c r="H149" s="46" t="n">
        <v>3350000</v>
      </c>
      <c r="I149" s="27" t="inlineStr"/>
      <c r="J149" s="27" t="inlineStr">
        <is>
          <t>USD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TRY-00574</t>
        </is>
      </c>
      <c r="B150" s="27" t="inlineStr">
        <is>
          <t>Create the dynamic 13-week cash and revolver model</t>
        </is>
      </c>
      <c r="C150" s="27" t="inlineStr">
        <is>
          <t>Weekly borrowing base policy</t>
        </is>
      </c>
      <c r="D150" s="27" t="inlineStr">
        <is>
          <t>Alder Ridge</t>
        </is>
      </c>
      <c r="E150" s="27" t="inlineStr">
        <is>
          <t>FY26 Q3</t>
        </is>
      </c>
      <c r="F150" s="27" t="inlineStr">
        <is>
          <t>Approved case</t>
        </is>
      </c>
      <c r="G150" s="27" t="inlineStr">
        <is>
          <t>AR advance rate</t>
        </is>
      </c>
      <c r="H150" s="46" t="n">
        <v>0.8</v>
      </c>
      <c r="I150" s="27" t="inlineStr"/>
      <c r="J150" s="27" t="inlineStr">
        <is>
          <t>decimal ratio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TRY-00575</t>
        </is>
      </c>
      <c r="B151" s="27" t="inlineStr">
        <is>
          <t>Create the dynamic 13-week cash and revolver model</t>
        </is>
      </c>
      <c r="C151" s="27" t="inlineStr">
        <is>
          <t>Weekly borrowing base policy</t>
        </is>
      </c>
      <c r="D151" s="27" t="inlineStr">
        <is>
          <t>Alder Ridge</t>
        </is>
      </c>
      <c r="E151" s="27" t="inlineStr">
        <is>
          <t>FY26 Q3</t>
        </is>
      </c>
      <c r="F151" s="27" t="inlineStr">
        <is>
          <t>Approved case</t>
        </is>
      </c>
      <c r="G151" s="27" t="inlineStr">
        <is>
          <t>Inventory advance rate</t>
        </is>
      </c>
      <c r="H151" s="46" t="n">
        <v>0</v>
      </c>
      <c r="I151" s="27" t="inlineStr"/>
      <c r="J151" s="27" t="inlineStr">
        <is>
          <t>decimal ratio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TRY-00576</t>
        </is>
      </c>
      <c r="B152" s="27" t="inlineStr">
        <is>
          <t>Create the dynamic 13-week cash and revolver model</t>
        </is>
      </c>
      <c r="C152" s="27" t="inlineStr">
        <is>
          <t>Weekly borrowing base policy</t>
        </is>
      </c>
      <c r="D152" s="27" t="inlineStr">
        <is>
          <t>Alder Ridge</t>
        </is>
      </c>
      <c r="E152" s="27" t="inlineStr">
        <is>
          <t>FY26 Q3</t>
        </is>
      </c>
      <c r="F152" s="27" t="inlineStr">
        <is>
          <t>Approved case</t>
        </is>
      </c>
      <c r="G152" s="27" t="inlineStr">
        <is>
          <t>Letters of credit</t>
        </is>
      </c>
      <c r="H152" s="46" t="n">
        <v>650000</v>
      </c>
      <c r="I152" s="27" t="inlineStr"/>
      <c r="J152" s="27" t="inlineStr">
        <is>
          <t>USD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TRY-00577</t>
        </is>
      </c>
      <c r="B153" s="27" t="inlineStr">
        <is>
          <t>Create the dynamic 13-week cash and revolver model</t>
        </is>
      </c>
      <c r="C153" s="27" t="inlineStr">
        <is>
          <t>Weekly borrowing base policy</t>
        </is>
      </c>
      <c r="D153" s="27" t="inlineStr">
        <is>
          <t>Alder Ridge</t>
        </is>
      </c>
      <c r="E153" s="27" t="inlineStr">
        <is>
          <t>FY26 Q3</t>
        </is>
      </c>
      <c r="F153" s="27" t="inlineStr">
        <is>
          <t>Approved case</t>
        </is>
      </c>
      <c r="G153" s="27" t="inlineStr">
        <is>
          <t>Availability block</t>
        </is>
      </c>
      <c r="H153" s="46" t="n">
        <v>725000</v>
      </c>
      <c r="I153" s="27" t="inlineStr"/>
      <c r="J153" s="27" t="inlineStr">
        <is>
          <t>USD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TRY-00782</t>
        </is>
      </c>
      <c r="B154" s="27" t="inlineStr">
        <is>
          <t>Cash-investment liquidity ladder</t>
        </is>
      </c>
      <c r="C154" s="27" t="inlineStr">
        <is>
          <t>Permitted cash investments</t>
        </is>
      </c>
      <c r="D154" s="27" t="inlineStr">
        <is>
          <t>Operating deposit</t>
        </is>
      </c>
      <c r="E154" s="27" t="inlineStr">
        <is>
          <t>2026-07-06</t>
        </is>
      </c>
      <c r="F154" s="27" t="inlineStr">
        <is>
          <t>Approved case</t>
        </is>
      </c>
      <c r="G154" s="27" t="inlineStr">
        <is>
          <t>Maximum allocation</t>
        </is>
      </c>
      <c r="H154" s="46" t="n">
        <v>1250000</v>
      </c>
      <c r="I154" s="27" t="inlineStr"/>
      <c r="J154" s="27" t="inlineStr">
        <is>
          <t>USD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TRY-00783</t>
        </is>
      </c>
      <c r="B155" s="27" t="inlineStr">
        <is>
          <t>Cash-investment liquidity ladder</t>
        </is>
      </c>
      <c r="C155" s="27" t="inlineStr">
        <is>
          <t>Permitted cash investments</t>
        </is>
      </c>
      <c r="D155" s="27" t="inlineStr">
        <is>
          <t>Operating deposit</t>
        </is>
      </c>
      <c r="E155" s="27" t="inlineStr">
        <is>
          <t>2026-07-06</t>
        </is>
      </c>
      <c r="F155" s="27" t="inlineStr">
        <is>
          <t>Approved case</t>
        </is>
      </c>
      <c r="G155" s="27" t="inlineStr">
        <is>
          <t>Annual yield</t>
        </is>
      </c>
      <c r="H155" s="46" t="n">
        <v>0.041</v>
      </c>
      <c r="I155" s="27" t="inlineStr"/>
      <c r="J155" s="27" t="inlineStr">
        <is>
          <t>decimal ratio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TRY-00784</t>
        </is>
      </c>
      <c r="B156" s="27" t="inlineStr">
        <is>
          <t>Cash-investment liquidity ladder</t>
        </is>
      </c>
      <c r="C156" s="27" t="inlineStr">
        <is>
          <t>Permitted cash investments</t>
        </is>
      </c>
      <c r="D156" s="27" t="inlineStr">
        <is>
          <t>Operating deposit</t>
        </is>
      </c>
      <c r="E156" s="27" t="inlineStr">
        <is>
          <t>2026-07-06</t>
        </is>
      </c>
      <c r="F156" s="27" t="inlineStr">
        <is>
          <t>Approved case</t>
        </is>
      </c>
      <c r="G156" s="27" t="inlineStr">
        <is>
          <t>Maturity days</t>
        </is>
      </c>
      <c r="H156" s="46" t="n">
        <v>0</v>
      </c>
      <c r="I156" s="27" t="inlineStr"/>
      <c r="J156" s="27" t="inlineStr">
        <is>
          <t>days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TRY-00785</t>
        </is>
      </c>
      <c r="B157" s="27" t="inlineStr">
        <is>
          <t>Cash-investment liquidity ladder</t>
        </is>
      </c>
      <c r="C157" s="27" t="inlineStr">
        <is>
          <t>Permitted cash investments</t>
        </is>
      </c>
      <c r="D157" s="27" t="inlineStr">
        <is>
          <t>Operating deposit</t>
        </is>
      </c>
      <c r="E157" s="27" t="inlineStr">
        <is>
          <t>2026-07-06</t>
        </is>
      </c>
      <c r="F157" s="27" t="inlineStr">
        <is>
          <t>Approved case</t>
        </is>
      </c>
      <c r="G157" s="27" t="inlineStr">
        <is>
          <t>Settlement days</t>
        </is>
      </c>
      <c r="H157" s="46" t="n">
        <v>0</v>
      </c>
      <c r="I157" s="27" t="inlineStr"/>
      <c r="J157" s="27" t="inlineStr">
        <is>
          <t>days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TRY-00786</t>
        </is>
      </c>
      <c r="B158" s="27" t="inlineStr">
        <is>
          <t>Cash-investment liquidity ladder</t>
        </is>
      </c>
      <c r="C158" s="27" t="inlineStr">
        <is>
          <t>Permitted cash investments</t>
        </is>
      </c>
      <c r="D158" s="27" t="inlineStr">
        <is>
          <t>Operating deposit</t>
        </is>
      </c>
      <c r="E158" s="27" t="inlineStr">
        <is>
          <t>2026-07-06</t>
        </is>
      </c>
      <c r="F158" s="27" t="inlineStr">
        <is>
          <t>Approved case</t>
        </is>
      </c>
      <c r="G158" s="27" t="inlineStr">
        <is>
          <t>Same-day value factor</t>
        </is>
      </c>
      <c r="H158" s="46" t="n">
        <v>1</v>
      </c>
      <c r="I158" s="27" t="inlineStr"/>
      <c r="J158" s="27" t="inlineStr">
        <is>
          <t>decimal ratio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TRY-00787</t>
        </is>
      </c>
      <c r="B159" s="27" t="inlineStr">
        <is>
          <t>Cash-investment liquidity ladder</t>
        </is>
      </c>
      <c r="C159" s="27" t="inlineStr">
        <is>
          <t>Permitted cash investments</t>
        </is>
      </c>
      <c r="D159" s="27" t="inlineStr">
        <is>
          <t>Government MMF</t>
        </is>
      </c>
      <c r="E159" s="27" t="inlineStr">
        <is>
          <t>2026-07-06</t>
        </is>
      </c>
      <c r="F159" s="27" t="inlineStr">
        <is>
          <t>Approved case</t>
        </is>
      </c>
      <c r="G159" s="27" t="inlineStr">
        <is>
          <t>Maximum allocation</t>
        </is>
      </c>
      <c r="H159" s="46" t="n">
        <v>1800000</v>
      </c>
      <c r="I159" s="27" t="inlineStr"/>
      <c r="J159" s="27" t="inlineStr">
        <is>
          <t>USD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TRY-00788</t>
        </is>
      </c>
      <c r="B160" s="27" t="inlineStr">
        <is>
          <t>Cash-investment liquidity ladder</t>
        </is>
      </c>
      <c r="C160" s="27" t="inlineStr">
        <is>
          <t>Permitted cash investments</t>
        </is>
      </c>
      <c r="D160" s="27" t="inlineStr">
        <is>
          <t>Government MMF</t>
        </is>
      </c>
      <c r="E160" s="27" t="inlineStr">
        <is>
          <t>2026-07-06</t>
        </is>
      </c>
      <c r="F160" s="27" t="inlineStr">
        <is>
          <t>Approved case</t>
        </is>
      </c>
      <c r="G160" s="27" t="inlineStr">
        <is>
          <t>Annual yield</t>
        </is>
      </c>
      <c r="H160" s="46" t="n">
        <v>0.048</v>
      </c>
      <c r="I160" s="27" t="inlineStr"/>
      <c r="J160" s="27" t="inlineStr">
        <is>
          <t>decimal ratio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TRY-00789</t>
        </is>
      </c>
      <c r="B161" s="27" t="inlineStr">
        <is>
          <t>Cash-investment liquidity ladder</t>
        </is>
      </c>
      <c r="C161" s="27" t="inlineStr">
        <is>
          <t>Permitted cash investments</t>
        </is>
      </c>
      <c r="D161" s="27" t="inlineStr">
        <is>
          <t>Government MMF</t>
        </is>
      </c>
      <c r="E161" s="27" t="inlineStr">
        <is>
          <t>2026-07-06</t>
        </is>
      </c>
      <c r="F161" s="27" t="inlineStr">
        <is>
          <t>Approved case</t>
        </is>
      </c>
      <c r="G161" s="27" t="inlineStr">
        <is>
          <t>Maturity days</t>
        </is>
      </c>
      <c r="H161" s="46" t="n">
        <v>0</v>
      </c>
      <c r="I161" s="27" t="inlineStr"/>
      <c r="J161" s="27" t="inlineStr">
        <is>
          <t>days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TRY-00790</t>
        </is>
      </c>
      <c r="B162" s="27" t="inlineStr">
        <is>
          <t>Cash-investment liquidity ladder</t>
        </is>
      </c>
      <c r="C162" s="27" t="inlineStr">
        <is>
          <t>Permitted cash investments</t>
        </is>
      </c>
      <c r="D162" s="27" t="inlineStr">
        <is>
          <t>Government MMF</t>
        </is>
      </c>
      <c r="E162" s="27" t="inlineStr">
        <is>
          <t>2026-07-06</t>
        </is>
      </c>
      <c r="F162" s="27" t="inlineStr">
        <is>
          <t>Approved case</t>
        </is>
      </c>
      <c r="G162" s="27" t="inlineStr">
        <is>
          <t>Settlement days</t>
        </is>
      </c>
      <c r="H162" s="46" t="n">
        <v>1</v>
      </c>
      <c r="I162" s="27" t="inlineStr"/>
      <c r="J162" s="27" t="inlineStr">
        <is>
          <t>days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TRY-00791</t>
        </is>
      </c>
      <c r="B163" s="27" t="inlineStr">
        <is>
          <t>Cash-investment liquidity ladder</t>
        </is>
      </c>
      <c r="C163" s="27" t="inlineStr">
        <is>
          <t>Permitted cash investments</t>
        </is>
      </c>
      <c r="D163" s="27" t="inlineStr">
        <is>
          <t>Government MMF</t>
        </is>
      </c>
      <c r="E163" s="27" t="inlineStr">
        <is>
          <t>2026-07-06</t>
        </is>
      </c>
      <c r="F163" s="27" t="inlineStr">
        <is>
          <t>Approved case</t>
        </is>
      </c>
      <c r="G163" s="27" t="inlineStr">
        <is>
          <t>Same-day value factor</t>
        </is>
      </c>
      <c r="H163" s="46" t="n">
        <v>1</v>
      </c>
      <c r="I163" s="27" t="inlineStr"/>
      <c r="J163" s="27" t="inlineStr">
        <is>
          <t>decimal ratio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TRY-00792</t>
        </is>
      </c>
      <c r="B164" s="27" t="inlineStr">
        <is>
          <t>Cash-investment liquidity ladder</t>
        </is>
      </c>
      <c r="C164" s="27" t="inlineStr">
        <is>
          <t>Permitted cash investments</t>
        </is>
      </c>
      <c r="D164" s="27" t="inlineStr">
        <is>
          <t>4-week T-bill</t>
        </is>
      </c>
      <c r="E164" s="27" t="inlineStr">
        <is>
          <t>2026-07-06</t>
        </is>
      </c>
      <c r="F164" s="27" t="inlineStr">
        <is>
          <t>Approved case</t>
        </is>
      </c>
      <c r="G164" s="27" t="inlineStr">
        <is>
          <t>Maximum allocation</t>
        </is>
      </c>
      <c r="H164" s="46" t="n">
        <v>1500000</v>
      </c>
      <c r="I164" s="27" t="inlineStr"/>
      <c r="J164" s="27" t="inlineStr">
        <is>
          <t>USD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TRY-00793</t>
        </is>
      </c>
      <c r="B165" s="27" t="inlineStr">
        <is>
          <t>Cash-investment liquidity ladder</t>
        </is>
      </c>
      <c r="C165" s="27" t="inlineStr">
        <is>
          <t>Permitted cash investments</t>
        </is>
      </c>
      <c r="D165" s="27" t="inlineStr">
        <is>
          <t>4-week T-bill</t>
        </is>
      </c>
      <c r="E165" s="27" t="inlineStr">
        <is>
          <t>2026-07-06</t>
        </is>
      </c>
      <c r="F165" s="27" t="inlineStr">
        <is>
          <t>Approved case</t>
        </is>
      </c>
      <c r="G165" s="27" t="inlineStr">
        <is>
          <t>Annual yield</t>
        </is>
      </c>
      <c r="H165" s="46" t="n">
        <v>0.0505</v>
      </c>
      <c r="I165" s="27" t="inlineStr"/>
      <c r="J165" s="27" t="inlineStr">
        <is>
          <t>decimal ratio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TRY-00794</t>
        </is>
      </c>
      <c r="B166" s="27" t="inlineStr">
        <is>
          <t>Cash-investment liquidity ladder</t>
        </is>
      </c>
      <c r="C166" s="27" t="inlineStr">
        <is>
          <t>Permitted cash investments</t>
        </is>
      </c>
      <c r="D166" s="27" t="inlineStr">
        <is>
          <t>4-week T-bill</t>
        </is>
      </c>
      <c r="E166" s="27" t="inlineStr">
        <is>
          <t>2026-07-06</t>
        </is>
      </c>
      <c r="F166" s="27" t="inlineStr">
        <is>
          <t>Approved case</t>
        </is>
      </c>
      <c r="G166" s="27" t="inlineStr">
        <is>
          <t>Maturity days</t>
        </is>
      </c>
      <c r="H166" s="46" t="n">
        <v>28</v>
      </c>
      <c r="I166" s="27" t="inlineStr"/>
      <c r="J166" s="27" t="inlineStr">
        <is>
          <t>days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TRY-00795</t>
        </is>
      </c>
      <c r="B167" s="27" t="inlineStr">
        <is>
          <t>Cash-investment liquidity ladder</t>
        </is>
      </c>
      <c r="C167" s="27" t="inlineStr">
        <is>
          <t>Permitted cash investments</t>
        </is>
      </c>
      <c r="D167" s="27" t="inlineStr">
        <is>
          <t>4-week T-bill</t>
        </is>
      </c>
      <c r="E167" s="27" t="inlineStr">
        <is>
          <t>2026-07-06</t>
        </is>
      </c>
      <c r="F167" s="27" t="inlineStr">
        <is>
          <t>Approved case</t>
        </is>
      </c>
      <c r="G167" s="27" t="inlineStr">
        <is>
          <t>Settlement days</t>
        </is>
      </c>
      <c r="H167" s="46" t="n">
        <v>1</v>
      </c>
      <c r="I167" s="27" t="inlineStr"/>
      <c r="J167" s="27" t="inlineStr">
        <is>
          <t>days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TRY-00796</t>
        </is>
      </c>
      <c r="B168" s="27" t="inlineStr">
        <is>
          <t>Cash-investment liquidity ladder</t>
        </is>
      </c>
      <c r="C168" s="27" t="inlineStr">
        <is>
          <t>Permitted cash investments</t>
        </is>
      </c>
      <c r="D168" s="27" t="inlineStr">
        <is>
          <t>4-week T-bill</t>
        </is>
      </c>
      <c r="E168" s="27" t="inlineStr">
        <is>
          <t>2026-07-06</t>
        </is>
      </c>
      <c r="F168" s="27" t="inlineStr">
        <is>
          <t>Approved case</t>
        </is>
      </c>
      <c r="G168" s="27" t="inlineStr">
        <is>
          <t>Same-day value factor</t>
        </is>
      </c>
      <c r="H168" s="46" t="n">
        <v>0.998</v>
      </c>
      <c r="I168" s="27" t="inlineStr"/>
      <c r="J168" s="27" t="inlineStr">
        <is>
          <t>decimal ratio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TRY-00797</t>
        </is>
      </c>
      <c r="B169" s="27" t="inlineStr">
        <is>
          <t>Cash-investment liquidity ladder</t>
        </is>
      </c>
      <c r="C169" s="27" t="inlineStr">
        <is>
          <t>Permitted cash investments</t>
        </is>
      </c>
      <c r="D169" s="27" t="inlineStr">
        <is>
          <t>8-week T-bill</t>
        </is>
      </c>
      <c r="E169" s="27" t="inlineStr">
        <is>
          <t>2026-07-06</t>
        </is>
      </c>
      <c r="F169" s="27" t="inlineStr">
        <is>
          <t>Approved case</t>
        </is>
      </c>
      <c r="G169" s="27" t="inlineStr">
        <is>
          <t>Maximum allocation</t>
        </is>
      </c>
      <c r="H169" s="46" t="n">
        <v>1750</v>
      </c>
      <c r="I169" s="27" t="inlineStr"/>
      <c r="J169" s="27" t="inlineStr">
        <is>
          <t>USD thousands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TRY-00798</t>
        </is>
      </c>
      <c r="B170" s="27" t="inlineStr">
        <is>
          <t>Cash-investment liquidity ladder</t>
        </is>
      </c>
      <c r="C170" s="27" t="inlineStr">
        <is>
          <t>Permitted cash investments</t>
        </is>
      </c>
      <c r="D170" s="27" t="inlineStr">
        <is>
          <t>8-week T-bill</t>
        </is>
      </c>
      <c r="E170" s="27" t="inlineStr">
        <is>
          <t>2026-07-06</t>
        </is>
      </c>
      <c r="F170" s="27" t="inlineStr">
        <is>
          <t>Approved case</t>
        </is>
      </c>
      <c r="G170" s="27" t="inlineStr">
        <is>
          <t>Annual yield</t>
        </is>
      </c>
      <c r="H170" s="46" t="n">
        <v>0.0515</v>
      </c>
      <c r="I170" s="27" t="inlineStr"/>
      <c r="J170" s="27" t="inlineStr">
        <is>
          <t>decimal ratio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TRY-00799</t>
        </is>
      </c>
      <c r="B171" s="27" t="inlineStr">
        <is>
          <t>Cash-investment liquidity ladder</t>
        </is>
      </c>
      <c r="C171" s="27" t="inlineStr">
        <is>
          <t>Permitted cash investments</t>
        </is>
      </c>
      <c r="D171" s="27" t="inlineStr">
        <is>
          <t>8-week T-bill</t>
        </is>
      </c>
      <c r="E171" s="27" t="inlineStr">
        <is>
          <t>2026-07-06</t>
        </is>
      </c>
      <c r="F171" s="27" t="inlineStr">
        <is>
          <t>Approved case</t>
        </is>
      </c>
      <c r="G171" s="27" t="inlineStr">
        <is>
          <t>Maturity days</t>
        </is>
      </c>
      <c r="H171" s="46" t="n">
        <v>56</v>
      </c>
      <c r="I171" s="27" t="inlineStr"/>
      <c r="J171" s="27" t="inlineStr">
        <is>
          <t>days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TRY-00800</t>
        </is>
      </c>
      <c r="B172" s="27" t="inlineStr">
        <is>
          <t>Cash-investment liquidity ladder</t>
        </is>
      </c>
      <c r="C172" s="27" t="inlineStr">
        <is>
          <t>Permitted cash investments</t>
        </is>
      </c>
      <c r="D172" s="27" t="inlineStr">
        <is>
          <t>8-week T-bill</t>
        </is>
      </c>
      <c r="E172" s="27" t="inlineStr">
        <is>
          <t>2026-07-06</t>
        </is>
      </c>
      <c r="F172" s="27" t="inlineStr">
        <is>
          <t>Approved case</t>
        </is>
      </c>
      <c r="G172" s="27" t="inlineStr">
        <is>
          <t>Settlement days</t>
        </is>
      </c>
      <c r="H172" s="46" t="n">
        <v>1</v>
      </c>
      <c r="I172" s="27" t="inlineStr"/>
      <c r="J172" s="27" t="inlineStr">
        <is>
          <t>days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TRY-00801</t>
        </is>
      </c>
      <c r="B173" s="27" t="inlineStr">
        <is>
          <t>Cash-investment liquidity ladder</t>
        </is>
      </c>
      <c r="C173" s="27" t="inlineStr">
        <is>
          <t>Permitted cash investments</t>
        </is>
      </c>
      <c r="D173" s="27" t="inlineStr">
        <is>
          <t>8-week T-bill</t>
        </is>
      </c>
      <c r="E173" s="27" t="inlineStr">
        <is>
          <t>2026-07-06</t>
        </is>
      </c>
      <c r="F173" s="27" t="inlineStr">
        <is>
          <t>Approved case</t>
        </is>
      </c>
      <c r="G173" s="27" t="inlineStr">
        <is>
          <t>Same-day value factor</t>
        </is>
      </c>
      <c r="H173" s="46" t="n">
        <v>0.996</v>
      </c>
      <c r="I173" s="27" t="inlineStr"/>
      <c r="J173" s="27" t="inlineStr">
        <is>
          <t>decimal ratio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TRY-00802</t>
        </is>
      </c>
      <c r="B174" s="27" t="inlineStr">
        <is>
          <t>Cash-investment liquidity ladder</t>
        </is>
      </c>
      <c r="C174" s="27" t="inlineStr">
        <is>
          <t>Permitted cash investments</t>
        </is>
      </c>
      <c r="D174" s="27" t="inlineStr">
        <is>
          <t>13-week T-bill</t>
        </is>
      </c>
      <c r="E174" s="27" t="inlineStr">
        <is>
          <t>2026-07-06</t>
        </is>
      </c>
      <c r="F174" s="27" t="inlineStr">
        <is>
          <t>Approved case</t>
        </is>
      </c>
      <c r="G174" s="27" t="inlineStr">
        <is>
          <t>Maximum allocation</t>
        </is>
      </c>
      <c r="H174" s="46" t="n">
        <v>2000000</v>
      </c>
      <c r="I174" s="27" t="inlineStr"/>
      <c r="J174" s="27" t="inlineStr">
        <is>
          <t>USD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TRY-00803</t>
        </is>
      </c>
      <c r="B175" s="27" t="inlineStr">
        <is>
          <t>Cash-investment liquidity ladder</t>
        </is>
      </c>
      <c r="C175" s="27" t="inlineStr">
        <is>
          <t>Permitted cash investments</t>
        </is>
      </c>
      <c r="D175" s="27" t="inlineStr">
        <is>
          <t>13-week T-bill</t>
        </is>
      </c>
      <c r="E175" s="27" t="inlineStr">
        <is>
          <t>2026-07-06</t>
        </is>
      </c>
      <c r="F175" s="27" t="inlineStr">
        <is>
          <t>Approved case</t>
        </is>
      </c>
      <c r="G175" s="27" t="inlineStr">
        <is>
          <t>Annual yield</t>
        </is>
      </c>
      <c r="H175" s="46" t="n">
        <v>0.052</v>
      </c>
      <c r="I175" s="27" t="inlineStr"/>
      <c r="J175" s="27" t="inlineStr">
        <is>
          <t>decimal ratio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TRY-00804</t>
        </is>
      </c>
      <c r="B176" s="27" t="inlineStr">
        <is>
          <t>Cash-investment liquidity ladder</t>
        </is>
      </c>
      <c r="C176" s="27" t="inlineStr">
        <is>
          <t>Permitted cash investments</t>
        </is>
      </c>
      <c r="D176" s="27" t="inlineStr">
        <is>
          <t>13-week T-bill</t>
        </is>
      </c>
      <c r="E176" s="27" t="inlineStr">
        <is>
          <t>2026-07-06</t>
        </is>
      </c>
      <c r="F176" s="27" t="inlineStr">
        <is>
          <t>Approved case</t>
        </is>
      </c>
      <c r="G176" s="27" t="inlineStr">
        <is>
          <t>Maturity days</t>
        </is>
      </c>
      <c r="H176" s="46" t="n">
        <v>91</v>
      </c>
      <c r="I176" s="27" t="inlineStr"/>
      <c r="J176" s="27" t="inlineStr">
        <is>
          <t>days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TRY-00805</t>
        </is>
      </c>
      <c r="B177" s="27" t="inlineStr">
        <is>
          <t>Cash-investment liquidity ladder</t>
        </is>
      </c>
      <c r="C177" s="27" t="inlineStr">
        <is>
          <t>Permitted cash investments</t>
        </is>
      </c>
      <c r="D177" s="27" t="inlineStr">
        <is>
          <t>13-week T-bill</t>
        </is>
      </c>
      <c r="E177" s="27" t="inlineStr">
        <is>
          <t>2026-07-06</t>
        </is>
      </c>
      <c r="F177" s="27" t="inlineStr">
        <is>
          <t>Approved case</t>
        </is>
      </c>
      <c r="G177" s="27" t="inlineStr">
        <is>
          <t>Settlement days</t>
        </is>
      </c>
      <c r="H177" s="46" t="n">
        <v>2</v>
      </c>
      <c r="I177" s="27" t="inlineStr"/>
      <c r="J177" s="27" t="inlineStr">
        <is>
          <t>days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TRY-00806</t>
        </is>
      </c>
      <c r="B178" s="27" t="inlineStr">
        <is>
          <t>Cash-investment liquidity ladder</t>
        </is>
      </c>
      <c r="C178" s="27" t="inlineStr">
        <is>
          <t>Permitted cash investments</t>
        </is>
      </c>
      <c r="D178" s="27" t="inlineStr">
        <is>
          <t>13-week T-bill</t>
        </is>
      </c>
      <c r="E178" s="27" t="inlineStr">
        <is>
          <t>2026-07-06</t>
        </is>
      </c>
      <c r="F178" s="27" t="inlineStr">
        <is>
          <t>Approved case</t>
        </is>
      </c>
      <c r="G178" s="27" t="inlineStr">
        <is>
          <t>Same-day value factor</t>
        </is>
      </c>
      <c r="H178" s="46" t="n">
        <v>0.994</v>
      </c>
      <c r="I178" s="27" t="inlineStr"/>
      <c r="J178" s="27" t="inlineStr">
        <is>
          <t>decimal ratio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TRY-00807</t>
        </is>
      </c>
      <c r="B179" s="27" t="inlineStr">
        <is>
          <t>Cash-investment liquidity ladder</t>
        </is>
      </c>
      <c r="C179" s="27" t="inlineStr">
        <is>
          <t>Permitted cash investments</t>
        </is>
      </c>
      <c r="D179" s="27" t="inlineStr">
        <is>
          <t>AAA commercial paper</t>
        </is>
      </c>
      <c r="E179" s="27" t="inlineStr">
        <is>
          <t>2026-07-06</t>
        </is>
      </c>
      <c r="F179" s="27" t="inlineStr">
        <is>
          <t>Approved case</t>
        </is>
      </c>
      <c r="G179" s="27" t="inlineStr">
        <is>
          <t>Maximum allocation</t>
        </is>
      </c>
      <c r="H179" s="46" t="n">
        <v>1200000</v>
      </c>
      <c r="I179" s="27" t="inlineStr"/>
      <c r="J179" s="27" t="inlineStr">
        <is>
          <t>USD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TRY-00808</t>
        </is>
      </c>
      <c r="B180" s="27" t="inlineStr">
        <is>
          <t>Cash-investment liquidity ladder</t>
        </is>
      </c>
      <c r="C180" s="27" t="inlineStr">
        <is>
          <t>Permitted cash investments</t>
        </is>
      </c>
      <c r="D180" s="27" t="inlineStr">
        <is>
          <t>AAA commercial paper</t>
        </is>
      </c>
      <c r="E180" s="27" t="inlineStr">
        <is>
          <t>2026-07-06</t>
        </is>
      </c>
      <c r="F180" s="27" t="inlineStr">
        <is>
          <t>Approved case</t>
        </is>
      </c>
      <c r="G180" s="27" t="inlineStr">
        <is>
          <t>Annual yield</t>
        </is>
      </c>
      <c r="H180" s="46" t="n">
        <v>0.0545</v>
      </c>
      <c r="I180" s="27" t="inlineStr"/>
      <c r="J180" s="27" t="inlineStr">
        <is>
          <t>decimal ratio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TRY-00809</t>
        </is>
      </c>
      <c r="B181" s="27" t="inlineStr">
        <is>
          <t>Cash-investment liquidity ladder</t>
        </is>
      </c>
      <c r="C181" s="27" t="inlineStr">
        <is>
          <t>Permitted cash investments</t>
        </is>
      </c>
      <c r="D181" s="27" t="inlineStr">
        <is>
          <t>AAA commercial paper</t>
        </is>
      </c>
      <c r="E181" s="27" t="inlineStr">
        <is>
          <t>2026-07-06</t>
        </is>
      </c>
      <c r="F181" s="27" t="inlineStr">
        <is>
          <t>Approved case</t>
        </is>
      </c>
      <c r="G181" s="27" t="inlineStr">
        <is>
          <t>Maturity days</t>
        </is>
      </c>
      <c r="H181" s="46" t="n">
        <v>63</v>
      </c>
      <c r="I181" s="27" t="inlineStr"/>
      <c r="J181" s="27" t="inlineStr">
        <is>
          <t>days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TRY-00810</t>
        </is>
      </c>
      <c r="B182" s="27" t="inlineStr">
        <is>
          <t>Cash-investment liquidity ladder</t>
        </is>
      </c>
      <c r="C182" s="27" t="inlineStr">
        <is>
          <t>Permitted cash investments</t>
        </is>
      </c>
      <c r="D182" s="27" t="inlineStr">
        <is>
          <t>AAA commercial paper</t>
        </is>
      </c>
      <c r="E182" s="27" t="inlineStr">
        <is>
          <t>2026-07-06</t>
        </is>
      </c>
      <c r="F182" s="27" t="inlineStr">
        <is>
          <t>Approved case</t>
        </is>
      </c>
      <c r="G182" s="27" t="inlineStr">
        <is>
          <t>Settlement days</t>
        </is>
      </c>
      <c r="H182" s="46" t="n">
        <v>3</v>
      </c>
      <c r="I182" s="27" t="inlineStr"/>
      <c r="J182" s="27" t="inlineStr">
        <is>
          <t>days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TRY-00811</t>
        </is>
      </c>
      <c r="B183" s="27" t="inlineStr">
        <is>
          <t>Cash-investment liquidity ladder</t>
        </is>
      </c>
      <c r="C183" s="27" t="inlineStr">
        <is>
          <t>Permitted cash investments</t>
        </is>
      </c>
      <c r="D183" s="27" t="inlineStr">
        <is>
          <t>AAA commercial paper</t>
        </is>
      </c>
      <c r="E183" s="27" t="inlineStr">
        <is>
          <t>2026-07-06</t>
        </is>
      </c>
      <c r="F183" s="27" t="inlineStr">
        <is>
          <t>Approved case</t>
        </is>
      </c>
      <c r="G183" s="27" t="inlineStr">
        <is>
          <t>Same-day value factor</t>
        </is>
      </c>
      <c r="H183" s="46" t="n">
        <v>0.985</v>
      </c>
      <c r="I183" s="27" t="inlineStr"/>
      <c r="J183" s="27" t="inlineStr">
        <is>
          <t>decimal ratio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TRY-00812</t>
        </is>
      </c>
      <c r="B184" s="27" t="inlineStr">
        <is>
          <t>Cash-investment liquidity ladder</t>
        </is>
      </c>
      <c r="C184" s="27" t="inlineStr">
        <is>
          <t>Liquidity requirement tranches</t>
        </is>
      </c>
      <c r="D184" s="27" t="inlineStr">
        <is>
          <t>Alder Ridge</t>
        </is>
      </c>
      <c r="E184" s="27" t="inlineStr">
        <is>
          <t>Day 14</t>
        </is>
      </c>
      <c r="F184" s="27" t="inlineStr">
        <is>
          <t>Approved case</t>
        </is>
      </c>
      <c r="G184" s="27" t="inlineStr">
        <is>
          <t>Incremental cash need</t>
        </is>
      </c>
      <c r="H184" s="46" t="n">
        <v>2100000</v>
      </c>
      <c r="I184" s="27" t="inlineStr"/>
      <c r="J184" s="27" t="inlineStr">
        <is>
          <t>USD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TRY-00813</t>
        </is>
      </c>
      <c r="B185" s="27" t="inlineStr">
        <is>
          <t>Cash-investment liquidity ladder</t>
        </is>
      </c>
      <c r="C185" s="27" t="inlineStr">
        <is>
          <t>Liquidity requirement tranches</t>
        </is>
      </c>
      <c r="D185" s="27" t="inlineStr">
        <is>
          <t>Alder Ridge</t>
        </is>
      </c>
      <c r="E185" s="27" t="inlineStr">
        <is>
          <t>Day 35</t>
        </is>
      </c>
      <c r="F185" s="27" t="inlineStr">
        <is>
          <t>Approved case</t>
        </is>
      </c>
      <c r="G185" s="27" t="inlineStr">
        <is>
          <t>Incremental cash need</t>
        </is>
      </c>
      <c r="H185" s="46" t="n">
        <v>1600</v>
      </c>
      <c r="I185" s="27" t="inlineStr"/>
      <c r="J185" s="27" t="inlineStr">
        <is>
          <t>USD thousands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TRY-00814</t>
        </is>
      </c>
      <c r="B186" s="27" t="inlineStr">
        <is>
          <t>Cash-investment liquidity ladder</t>
        </is>
      </c>
      <c r="C186" s="27" t="inlineStr">
        <is>
          <t>Liquidity requirement tranches</t>
        </is>
      </c>
      <c r="D186" s="27" t="inlineStr">
        <is>
          <t>Alder Ridge</t>
        </is>
      </c>
      <c r="E186" s="27" t="inlineStr">
        <is>
          <t>Day 70</t>
        </is>
      </c>
      <c r="F186" s="27" t="inlineStr">
        <is>
          <t>Approved case</t>
        </is>
      </c>
      <c r="G186" s="27" t="inlineStr">
        <is>
          <t>Incremental cash need</t>
        </is>
      </c>
      <c r="H186" s="46" t="n">
        <v>1900000</v>
      </c>
      <c r="I186" s="27" t="inlineStr"/>
      <c r="J186" s="27" t="inlineStr">
        <is>
          <t>USD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TRY-00815</t>
        </is>
      </c>
      <c r="B187" s="27" t="inlineStr">
        <is>
          <t>Cash-investment liquidity ladder</t>
        </is>
      </c>
      <c r="C187" s="27" t="inlineStr">
        <is>
          <t>Liquidity requirement tranches</t>
        </is>
      </c>
      <c r="D187" s="27" t="inlineStr">
        <is>
          <t>Alder Ridge</t>
        </is>
      </c>
      <c r="E187" s="27" t="inlineStr">
        <is>
          <t>Day 100</t>
        </is>
      </c>
      <c r="F187" s="27" t="inlineStr">
        <is>
          <t>Approved case</t>
        </is>
      </c>
      <c r="G187" s="27" t="inlineStr">
        <is>
          <t>Incremental cash need</t>
        </is>
      </c>
      <c r="H187" s="46" t="n">
        <v>1250000</v>
      </c>
      <c r="I187" s="27" t="inlineStr"/>
      <c r="J187" s="27" t="inlineStr">
        <is>
          <t>USD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TRY-00816</t>
        </is>
      </c>
      <c r="B188" s="27" t="inlineStr">
        <is>
          <t>Cash-investment liquidity ladder</t>
        </is>
      </c>
      <c r="C188" s="27" t="inlineStr">
        <is>
          <t>Investment policy</t>
        </is>
      </c>
      <c r="D188" s="27" t="inlineStr">
        <is>
          <t>Alder Ridge</t>
        </is>
      </c>
      <c r="E188" s="27" t="inlineStr">
        <is>
          <t>2026-07-06</t>
        </is>
      </c>
      <c r="F188" s="27" t="inlineStr">
        <is>
          <t>Approved case</t>
        </is>
      </c>
      <c r="G188" s="27" t="inlineStr">
        <is>
          <t>Investable cash</t>
        </is>
      </c>
      <c r="H188" s="46" t="n">
        <v>6850000</v>
      </c>
      <c r="I188" s="27" t="inlineStr"/>
      <c r="J188" s="27" t="inlineStr">
        <is>
          <t>USD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TRY-00817</t>
        </is>
      </c>
      <c r="B189" s="27" t="inlineStr">
        <is>
          <t>Cash-investment liquidity ladder</t>
        </is>
      </c>
      <c r="C189" s="27" t="inlineStr">
        <is>
          <t>Investment policy</t>
        </is>
      </c>
      <c r="D189" s="27" t="inlineStr">
        <is>
          <t>Alder Ridge</t>
        </is>
      </c>
      <c r="E189" s="27" t="inlineStr">
        <is>
          <t>2026-07-06</t>
        </is>
      </c>
      <c r="F189" s="27" t="inlineStr">
        <is>
          <t>Approved case</t>
        </is>
      </c>
      <c r="G189" s="27" t="inlineStr">
        <is>
          <t>Minimum same-day liquidity</t>
        </is>
      </c>
      <c r="H189" s="46" t="n">
        <v>2500</v>
      </c>
      <c r="I189" s="27" t="inlineStr"/>
      <c r="J189" s="27" t="inlineStr">
        <is>
          <t>USD thousands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TRY-00818</t>
        </is>
      </c>
      <c r="B190" s="27" t="inlineStr">
        <is>
          <t>Cash-investment liquidity ladder</t>
        </is>
      </c>
      <c r="C190" s="27" t="inlineStr">
        <is>
          <t>Investment policy</t>
        </is>
      </c>
      <c r="D190" s="27" t="inlineStr">
        <is>
          <t>Alder Ridge</t>
        </is>
      </c>
      <c r="E190" s="27" t="inlineStr">
        <is>
          <t>2026-07-06</t>
        </is>
      </c>
      <c r="F190" s="27" t="inlineStr">
        <is>
          <t>Approved case</t>
        </is>
      </c>
      <c r="G190" s="27" t="inlineStr">
        <is>
          <t>Maximum commercial paper percent</t>
        </is>
      </c>
      <c r="H190" s="46" t="n">
        <v>0.15</v>
      </c>
      <c r="I190" s="27" t="inlineStr"/>
      <c r="J190" s="27" t="inlineStr">
        <is>
          <t>decimal ratio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TRY-00819</t>
        </is>
      </c>
      <c r="B191" s="27" t="inlineStr">
        <is>
          <t>Cash-investment liquidity ladder</t>
        </is>
      </c>
      <c r="C191" s="27" t="inlineStr">
        <is>
          <t>Investment policy</t>
        </is>
      </c>
      <c r="D191" s="27" t="inlineStr">
        <is>
          <t>Alder Ridge</t>
        </is>
      </c>
      <c r="E191" s="27" t="inlineStr">
        <is>
          <t>2026-07-06</t>
        </is>
      </c>
      <c r="F191" s="27" t="inlineStr">
        <is>
          <t>Approved case</t>
        </is>
      </c>
      <c r="G191" s="27" t="inlineStr">
        <is>
          <t>Investment horizon days</t>
        </is>
      </c>
      <c r="H191" s="46" t="n">
        <v>100</v>
      </c>
      <c r="I191" s="27" t="inlineStr"/>
      <c r="J191" s="27" t="inlineStr">
        <is>
          <t>days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TRY-00832</t>
        </is>
      </c>
      <c r="B192" s="27" t="inlineStr">
        <is>
          <t>Cash-investment liquidity ladder</t>
        </is>
      </c>
      <c r="C192" s="27" t="inlineStr">
        <is>
          <t>Investment stress control</t>
        </is>
      </c>
      <c r="D192" s="27" t="inlineStr">
        <is>
          <t>Operating deposit</t>
        </is>
      </c>
      <c r="E192" s="27" t="inlineStr">
        <is>
          <t>Day 35</t>
        </is>
      </c>
      <c r="F192" s="27" t="inlineStr">
        <is>
          <t>Approved case</t>
        </is>
      </c>
      <c r="G192" s="27" t="inlineStr">
        <is>
          <t>Effective maturity days</t>
        </is>
      </c>
      <c r="H192" s="46" t="n">
        <v>0</v>
      </c>
      <c r="I192" s="27" t="inlineStr"/>
      <c r="J192" s="27" t="inlineStr">
        <is>
          <t>days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TRY-00833</t>
        </is>
      </c>
      <c r="B193" s="27" t="inlineStr">
        <is>
          <t>Cash-investment liquidity ladder</t>
        </is>
      </c>
      <c r="C193" s="27" t="inlineStr">
        <is>
          <t>Investment stress control</t>
        </is>
      </c>
      <c r="D193" s="27" t="inlineStr">
        <is>
          <t>Operating deposit</t>
        </is>
      </c>
      <c r="E193" s="27" t="inlineStr">
        <is>
          <t>Day 35</t>
        </is>
      </c>
      <c r="F193" s="27" t="inlineStr">
        <is>
          <t>Approved case</t>
        </is>
      </c>
      <c r="G193" s="27" t="inlineStr">
        <is>
          <t>Stress value factor</t>
        </is>
      </c>
      <c r="H193" s="46" t="n">
        <v>1</v>
      </c>
      <c r="I193" s="27" t="inlineStr"/>
      <c r="J193" s="27" t="inlineStr">
        <is>
          <t>decimal ratio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TRY-00834</t>
        </is>
      </c>
      <c r="B194" s="27" t="inlineStr">
        <is>
          <t>Cash-investment liquidity ladder</t>
        </is>
      </c>
      <c r="C194" s="27" t="inlineStr">
        <is>
          <t>Investment stress control</t>
        </is>
      </c>
      <c r="D194" s="27" t="inlineStr">
        <is>
          <t>Operating deposit</t>
        </is>
      </c>
      <c r="E194" s="27" t="inlineStr">
        <is>
          <t>Day 35</t>
        </is>
      </c>
      <c r="F194" s="27" t="inlineStr">
        <is>
          <t>Approved case</t>
        </is>
      </c>
      <c r="G194" s="27" t="inlineStr">
        <is>
          <t>Issuer class</t>
        </is>
      </c>
      <c r="H194" s="46" t="inlineStr"/>
      <c r="I194" s="27" t="inlineStr">
        <is>
          <t>Bank</t>
        </is>
      </c>
      <c r="J194" s="27" t="inlineStr">
        <is>
          <t>classification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TRY-00835</t>
        </is>
      </c>
      <c r="B195" s="27" t="inlineStr">
        <is>
          <t>Cash-investment liquidity ladder</t>
        </is>
      </c>
      <c r="C195" s="27" t="inlineStr">
        <is>
          <t>Investment stress control</t>
        </is>
      </c>
      <c r="D195" s="27" t="inlineStr">
        <is>
          <t>Government MMF</t>
        </is>
      </c>
      <c r="E195" s="27" t="inlineStr">
        <is>
          <t>Day 35</t>
        </is>
      </c>
      <c r="F195" s="27" t="inlineStr">
        <is>
          <t>Approved case</t>
        </is>
      </c>
      <c r="G195" s="27" t="inlineStr">
        <is>
          <t>Effective maturity days</t>
        </is>
      </c>
      <c r="H195" s="46" t="n">
        <v>1</v>
      </c>
      <c r="I195" s="27" t="inlineStr"/>
      <c r="J195" s="27" t="inlineStr">
        <is>
          <t>days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TRY-00836</t>
        </is>
      </c>
      <c r="B196" s="27" t="inlineStr">
        <is>
          <t>Cash-investment liquidity ladder</t>
        </is>
      </c>
      <c r="C196" s="27" t="inlineStr">
        <is>
          <t>Investment stress control</t>
        </is>
      </c>
      <c r="D196" s="27" t="inlineStr">
        <is>
          <t>Government MMF</t>
        </is>
      </c>
      <c r="E196" s="27" t="inlineStr">
        <is>
          <t>Day 35</t>
        </is>
      </c>
      <c r="F196" s="27" t="inlineStr">
        <is>
          <t>Approved case</t>
        </is>
      </c>
      <c r="G196" s="27" t="inlineStr">
        <is>
          <t>Stress value factor</t>
        </is>
      </c>
      <c r="H196" s="46" t="n">
        <v>0.998</v>
      </c>
      <c r="I196" s="27" t="inlineStr"/>
      <c r="J196" s="27" t="inlineStr">
        <is>
          <t>decimal ratio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TRY-00837</t>
        </is>
      </c>
      <c r="B197" s="27" t="inlineStr">
        <is>
          <t>Cash-investment liquidity ladder</t>
        </is>
      </c>
      <c r="C197" s="27" t="inlineStr">
        <is>
          <t>Investment stress control</t>
        </is>
      </c>
      <c r="D197" s="27" t="inlineStr">
        <is>
          <t>Government MMF</t>
        </is>
      </c>
      <c r="E197" s="27" t="inlineStr">
        <is>
          <t>Day 35</t>
        </is>
      </c>
      <c r="F197" s="27" t="inlineStr">
        <is>
          <t>Approved case</t>
        </is>
      </c>
      <c r="G197" s="27" t="inlineStr">
        <is>
          <t>Issuer class</t>
        </is>
      </c>
      <c r="H197" s="46" t="inlineStr"/>
      <c r="I197" s="27" t="inlineStr">
        <is>
          <t>Government</t>
        </is>
      </c>
      <c r="J197" s="27" t="inlineStr">
        <is>
          <t>classification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TRY-00838</t>
        </is>
      </c>
      <c r="B198" s="27" t="inlineStr">
        <is>
          <t>Cash-investment liquidity ladder</t>
        </is>
      </c>
      <c r="C198" s="27" t="inlineStr">
        <is>
          <t>Investment stress control</t>
        </is>
      </c>
      <c r="D198" s="27" t="inlineStr">
        <is>
          <t>4-week T-bill</t>
        </is>
      </c>
      <c r="E198" s="27" t="inlineStr">
        <is>
          <t>Day 35</t>
        </is>
      </c>
      <c r="F198" s="27" t="inlineStr">
        <is>
          <t>Approved case</t>
        </is>
      </c>
      <c r="G198" s="27" t="inlineStr">
        <is>
          <t>Effective maturity days</t>
        </is>
      </c>
      <c r="H198" s="46" t="n">
        <v>28</v>
      </c>
      <c r="I198" s="27" t="inlineStr"/>
      <c r="J198" s="27" t="inlineStr">
        <is>
          <t>days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TRY-00839</t>
        </is>
      </c>
      <c r="B199" s="27" t="inlineStr">
        <is>
          <t>Cash-investment liquidity ladder</t>
        </is>
      </c>
      <c r="C199" s="27" t="inlineStr">
        <is>
          <t>Investment stress control</t>
        </is>
      </c>
      <c r="D199" s="27" t="inlineStr">
        <is>
          <t>4-week T-bill</t>
        </is>
      </c>
      <c r="E199" s="27" t="inlineStr">
        <is>
          <t>Day 35</t>
        </is>
      </c>
      <c r="F199" s="27" t="inlineStr">
        <is>
          <t>Approved case</t>
        </is>
      </c>
      <c r="G199" s="27" t="inlineStr">
        <is>
          <t>Stress value factor</t>
        </is>
      </c>
      <c r="H199" s="46" t="n">
        <v>0.997</v>
      </c>
      <c r="I199" s="27" t="inlineStr"/>
      <c r="J199" s="27" t="inlineStr">
        <is>
          <t>decimal ratio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/>
    </row>
    <row r="200">
      <c r="A200" s="36" t="inlineStr">
        <is>
          <t>TRY-00840</t>
        </is>
      </c>
      <c r="B200" s="27" t="inlineStr">
        <is>
          <t>Cash-investment liquidity ladder</t>
        </is>
      </c>
      <c r="C200" s="27" t="inlineStr">
        <is>
          <t>Investment stress control</t>
        </is>
      </c>
      <c r="D200" s="27" t="inlineStr">
        <is>
          <t>4-week T-bill</t>
        </is>
      </c>
      <c r="E200" s="27" t="inlineStr">
        <is>
          <t>Day 35</t>
        </is>
      </c>
      <c r="F200" s="27" t="inlineStr">
        <is>
          <t>Approved case</t>
        </is>
      </c>
      <c r="G200" s="27" t="inlineStr">
        <is>
          <t>Issuer class</t>
        </is>
      </c>
      <c r="H200" s="46" t="inlineStr"/>
      <c r="I200" s="27" t="inlineStr">
        <is>
          <t>Government</t>
        </is>
      </c>
      <c r="J200" s="27" t="inlineStr">
        <is>
          <t>classification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TRY-00841</t>
        </is>
      </c>
      <c r="B201" s="27" t="inlineStr">
        <is>
          <t>Cash-investment liquidity ladder</t>
        </is>
      </c>
      <c r="C201" s="27" t="inlineStr">
        <is>
          <t>Investment stress control</t>
        </is>
      </c>
      <c r="D201" s="27" t="inlineStr">
        <is>
          <t>8-week T-bill</t>
        </is>
      </c>
      <c r="E201" s="27" t="inlineStr">
        <is>
          <t>Day 35</t>
        </is>
      </c>
      <c r="F201" s="27" t="inlineStr">
        <is>
          <t>Approved case</t>
        </is>
      </c>
      <c r="G201" s="27" t="inlineStr">
        <is>
          <t>Effective maturity days</t>
        </is>
      </c>
      <c r="H201" s="46" t="n">
        <v>56</v>
      </c>
      <c r="I201" s="27" t="inlineStr"/>
      <c r="J201" s="27" t="inlineStr">
        <is>
          <t>days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TRY-00842</t>
        </is>
      </c>
      <c r="B202" s="27" t="inlineStr">
        <is>
          <t>Cash-investment liquidity ladder</t>
        </is>
      </c>
      <c r="C202" s="27" t="inlineStr">
        <is>
          <t>Investment stress control</t>
        </is>
      </c>
      <c r="D202" s="27" t="inlineStr">
        <is>
          <t>8-week T-bill</t>
        </is>
      </c>
      <c r="E202" s="27" t="inlineStr">
        <is>
          <t>Day 35</t>
        </is>
      </c>
      <c r="F202" s="27" t="inlineStr">
        <is>
          <t>Approved case</t>
        </is>
      </c>
      <c r="G202" s="27" t="inlineStr">
        <is>
          <t>Stress value factor</t>
        </is>
      </c>
      <c r="H202" s="46" t="n">
        <v>0.992</v>
      </c>
      <c r="I202" s="27" t="inlineStr"/>
      <c r="J202" s="27" t="inlineStr">
        <is>
          <t>decimal ratio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TRY-00843</t>
        </is>
      </c>
      <c r="B203" s="27" t="inlineStr">
        <is>
          <t>Cash-investment liquidity ladder</t>
        </is>
      </c>
      <c r="C203" s="27" t="inlineStr">
        <is>
          <t>Investment stress control</t>
        </is>
      </c>
      <c r="D203" s="27" t="inlineStr">
        <is>
          <t>8-week T-bill</t>
        </is>
      </c>
      <c r="E203" s="27" t="inlineStr">
        <is>
          <t>Day 35</t>
        </is>
      </c>
      <c r="F203" s="27" t="inlineStr">
        <is>
          <t>Approved case</t>
        </is>
      </c>
      <c r="G203" s="27" t="inlineStr">
        <is>
          <t>Issuer class</t>
        </is>
      </c>
      <c r="H203" s="46" t="inlineStr"/>
      <c r="I203" s="27" t="inlineStr">
        <is>
          <t>Government</t>
        </is>
      </c>
      <c r="J203" s="27" t="inlineStr">
        <is>
          <t>classification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TRY-00844</t>
        </is>
      </c>
      <c r="B204" s="27" t="inlineStr">
        <is>
          <t>Cash-investment liquidity ladder</t>
        </is>
      </c>
      <c r="C204" s="27" t="inlineStr">
        <is>
          <t>Investment stress control</t>
        </is>
      </c>
      <c r="D204" s="27" t="inlineStr">
        <is>
          <t>13-week T-bill</t>
        </is>
      </c>
      <c r="E204" s="27" t="inlineStr">
        <is>
          <t>Day 35</t>
        </is>
      </c>
      <c r="F204" s="27" t="inlineStr">
        <is>
          <t>Approved case</t>
        </is>
      </c>
      <c r="G204" s="27" t="inlineStr">
        <is>
          <t>Effective maturity days</t>
        </is>
      </c>
      <c r="H204" s="46" t="n">
        <v>91</v>
      </c>
      <c r="I204" s="27" t="inlineStr"/>
      <c r="J204" s="27" t="inlineStr">
        <is>
          <t>days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TRY-00845</t>
        </is>
      </c>
      <c r="B205" s="27" t="inlineStr">
        <is>
          <t>Cash-investment liquidity ladder</t>
        </is>
      </c>
      <c r="C205" s="27" t="inlineStr">
        <is>
          <t>Investment stress control</t>
        </is>
      </c>
      <c r="D205" s="27" t="inlineStr">
        <is>
          <t>13-week T-bill</t>
        </is>
      </c>
      <c r="E205" s="27" t="inlineStr">
        <is>
          <t>Day 35</t>
        </is>
      </c>
      <c r="F205" s="27" t="inlineStr">
        <is>
          <t>Approved case</t>
        </is>
      </c>
      <c r="G205" s="27" t="inlineStr">
        <is>
          <t>Stress value factor</t>
        </is>
      </c>
      <c r="H205" s="46" t="n">
        <v>0.985</v>
      </c>
      <c r="I205" s="27" t="inlineStr"/>
      <c r="J205" s="27" t="inlineStr">
        <is>
          <t>decimal ratio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TRY-00846</t>
        </is>
      </c>
      <c r="B206" s="27" t="inlineStr">
        <is>
          <t>Cash-investment liquidity ladder</t>
        </is>
      </c>
      <c r="C206" s="27" t="inlineStr">
        <is>
          <t>Investment stress control</t>
        </is>
      </c>
      <c r="D206" s="27" t="inlineStr">
        <is>
          <t>13-week T-bill</t>
        </is>
      </c>
      <c r="E206" s="27" t="inlineStr">
        <is>
          <t>Day 35</t>
        </is>
      </c>
      <c r="F206" s="27" t="inlineStr">
        <is>
          <t>Approved case</t>
        </is>
      </c>
      <c r="G206" s="27" t="inlineStr">
        <is>
          <t>Issuer class</t>
        </is>
      </c>
      <c r="H206" s="46" t="inlineStr"/>
      <c r="I206" s="27" t="inlineStr">
        <is>
          <t>Government</t>
        </is>
      </c>
      <c r="J206" s="27" t="inlineStr">
        <is>
          <t>classification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  <row r="207">
      <c r="A207" s="36" t="inlineStr">
        <is>
          <t>TRY-00847</t>
        </is>
      </c>
      <c r="B207" s="27" t="inlineStr">
        <is>
          <t>Cash-investment liquidity ladder</t>
        </is>
      </c>
      <c r="C207" s="27" t="inlineStr">
        <is>
          <t>Investment stress control</t>
        </is>
      </c>
      <c r="D207" s="27" t="inlineStr">
        <is>
          <t>AAA commercial paper</t>
        </is>
      </c>
      <c r="E207" s="27" t="inlineStr">
        <is>
          <t>Day 35</t>
        </is>
      </c>
      <c r="F207" s="27" t="inlineStr">
        <is>
          <t>Approved case</t>
        </is>
      </c>
      <c r="G207" s="27" t="inlineStr">
        <is>
          <t>Effective maturity days</t>
        </is>
      </c>
      <c r="H207" s="46" t="n">
        <v>63</v>
      </c>
      <c r="I207" s="27" t="inlineStr"/>
      <c r="J207" s="27" t="inlineStr">
        <is>
          <t>days</t>
        </is>
      </c>
      <c r="K207" s="27" t="inlineStr">
        <is>
          <t>Finance operating schedule</t>
        </is>
      </c>
      <c r="L207" s="47" t="inlineStr">
        <is>
          <t>2026-06-30</t>
        </is>
      </c>
      <c r="M207" s="27" t="inlineStr"/>
    </row>
    <row r="208">
      <c r="A208" s="36" t="inlineStr">
        <is>
          <t>TRY-00848</t>
        </is>
      </c>
      <c r="B208" s="27" t="inlineStr">
        <is>
          <t>Cash-investment liquidity ladder</t>
        </is>
      </c>
      <c r="C208" s="27" t="inlineStr">
        <is>
          <t>Investment stress control</t>
        </is>
      </c>
      <c r="D208" s="27" t="inlineStr">
        <is>
          <t>AAA commercial paper</t>
        </is>
      </c>
      <c r="E208" s="27" t="inlineStr">
        <is>
          <t>Day 35</t>
        </is>
      </c>
      <c r="F208" s="27" t="inlineStr">
        <is>
          <t>Approved case</t>
        </is>
      </c>
      <c r="G208" s="27" t="inlineStr">
        <is>
          <t>Stress value factor</t>
        </is>
      </c>
      <c r="H208" s="46" t="n">
        <v>0.972</v>
      </c>
      <c r="I208" s="27" t="inlineStr"/>
      <c r="J208" s="27" t="inlineStr">
        <is>
          <t>decimal ratio</t>
        </is>
      </c>
      <c r="K208" s="27" t="inlineStr">
        <is>
          <t>Finance operating schedule</t>
        </is>
      </c>
      <c r="L208" s="47" t="inlineStr">
        <is>
          <t>2026-06-30</t>
        </is>
      </c>
      <c r="M208" s="27" t="inlineStr"/>
    </row>
    <row r="209">
      <c r="A209" s="36" t="inlineStr">
        <is>
          <t>TRY-00849</t>
        </is>
      </c>
      <c r="B209" s="27" t="inlineStr">
        <is>
          <t>Cash-investment liquidity ladder</t>
        </is>
      </c>
      <c r="C209" s="27" t="inlineStr">
        <is>
          <t>Investment stress control</t>
        </is>
      </c>
      <c r="D209" s="27" t="inlineStr">
        <is>
          <t>AAA commercial paper</t>
        </is>
      </c>
      <c r="E209" s="27" t="inlineStr">
        <is>
          <t>Day 35</t>
        </is>
      </c>
      <c r="F209" s="27" t="inlineStr">
        <is>
          <t>Approved case</t>
        </is>
      </c>
      <c r="G209" s="27" t="inlineStr">
        <is>
          <t>Issuer class</t>
        </is>
      </c>
      <c r="H209" s="46" t="inlineStr"/>
      <c r="I209" s="27" t="inlineStr">
        <is>
          <t>Corporate</t>
        </is>
      </c>
      <c r="J209" s="27" t="inlineStr">
        <is>
          <t>classification</t>
        </is>
      </c>
      <c r="K209" s="27" t="inlineStr">
        <is>
          <t>Finance operating schedule</t>
        </is>
      </c>
      <c r="L209" s="47" t="inlineStr">
        <is>
          <t>2026-06-30</t>
        </is>
      </c>
      <c r="M209" s="27" t="inlineStr"/>
    </row>
    <row r="210">
      <c r="A210" s="36" t="inlineStr">
        <is>
          <t>TRY-00850</t>
        </is>
      </c>
      <c r="B210" s="27" t="inlineStr">
        <is>
          <t>Cash-investment liquidity ladder</t>
        </is>
      </c>
      <c r="C210" s="27" t="inlineStr">
        <is>
          <t>Investment policy</t>
        </is>
      </c>
      <c r="D210" s="27" t="inlineStr">
        <is>
          <t>Alder Ridge</t>
        </is>
      </c>
      <c r="E210" s="27" t="inlineStr">
        <is>
          <t>Stress</t>
        </is>
      </c>
      <c r="F210" s="27" t="inlineStr">
        <is>
          <t>Approved case</t>
        </is>
      </c>
      <c r="G210" s="27" t="inlineStr">
        <is>
          <t>Maximum weighted average maturity</t>
        </is>
      </c>
      <c r="H210" s="46" t="n">
        <v>48</v>
      </c>
      <c r="I210" s="27" t="inlineStr"/>
      <c r="J210" s="27" t="inlineStr">
        <is>
          <t>days</t>
        </is>
      </c>
      <c r="K210" s="27" t="inlineStr">
        <is>
          <t>Finance operating schedule</t>
        </is>
      </c>
      <c r="L210" s="47" t="inlineStr">
        <is>
          <t>2026-06-30</t>
        </is>
      </c>
      <c r="M210" s="27" t="inlineStr"/>
    </row>
    <row r="211">
      <c r="A211" s="36" t="inlineStr">
        <is>
          <t>TRY-00851</t>
        </is>
      </c>
      <c r="B211" s="27" t="inlineStr">
        <is>
          <t>Cash-investment liquidity ladder</t>
        </is>
      </c>
      <c r="C211" s="27" t="inlineStr">
        <is>
          <t>Investment policy</t>
        </is>
      </c>
      <c r="D211" s="27" t="inlineStr">
        <is>
          <t>Alder Ridge</t>
        </is>
      </c>
      <c r="E211" s="27" t="inlineStr">
        <is>
          <t>Stress</t>
        </is>
      </c>
      <c r="F211" s="27" t="inlineStr">
        <is>
          <t>Approved case</t>
        </is>
      </c>
      <c r="G211" s="27" t="inlineStr">
        <is>
          <t>Maximum government issuer concentration</t>
        </is>
      </c>
      <c r="H211" s="46" t="n">
        <v>0.78</v>
      </c>
      <c r="I211" s="27" t="inlineStr"/>
      <c r="J211" s="27" t="inlineStr">
        <is>
          <t>decimal ratio</t>
        </is>
      </c>
      <c r="K211" s="27" t="inlineStr">
        <is>
          <t>Finance operating schedule</t>
        </is>
      </c>
      <c r="L211" s="47" t="inlineStr">
        <is>
          <t>2026-06-30</t>
        </is>
      </c>
      <c r="M211" s="27" t="inlineStr"/>
    </row>
    <row r="212">
      <c r="A212" s="36" t="inlineStr">
        <is>
          <t>TRY-00852</t>
        </is>
      </c>
      <c r="B212" s="27" t="inlineStr">
        <is>
          <t>Cash-investment liquidity ladder</t>
        </is>
      </c>
      <c r="C212" s="27" t="inlineStr">
        <is>
          <t>Investment policy</t>
        </is>
      </c>
      <c r="D212" s="27" t="inlineStr">
        <is>
          <t>Alder Ridge</t>
        </is>
      </c>
      <c r="E212" s="27" t="inlineStr">
        <is>
          <t>Stress</t>
        </is>
      </c>
      <c r="F212" s="27" t="inlineStr">
        <is>
          <t>Approved case</t>
        </is>
      </c>
      <c r="G212" s="27" t="inlineStr">
        <is>
          <t>Minimum stressed day-35 liquidity</t>
        </is>
      </c>
      <c r="H212" s="46" t="n">
        <v>5050000</v>
      </c>
      <c r="I212" s="27" t="inlineStr"/>
      <c r="J212" s="27" t="inlineStr">
        <is>
          <t>USD</t>
        </is>
      </c>
      <c r="K212" s="27" t="inlineStr">
        <is>
          <t>Finance operating schedule</t>
        </is>
      </c>
      <c r="L212" s="47" t="inlineStr">
        <is>
          <t>2026-06-30</t>
        </is>
      </c>
      <c r="M212" s="27" t="inlineStr"/>
    </row>
  </sheetData>
  <autoFilter ref="A4:M212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Debt and Hedges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TRY-00172</t>
        </is>
      </c>
      <c r="B5" s="27" t="inlineStr">
        <is>
          <t>Term-loan refinancing NPV decision</t>
        </is>
      </c>
      <c r="C5" s="27" t="inlineStr">
        <is>
          <t>Existing notes</t>
        </is>
      </c>
      <c r="D5" s="27" t="inlineStr">
        <is>
          <t>Consolidated</t>
        </is>
      </c>
      <c r="E5" s="27" t="inlineStr">
        <is>
          <t>2026-06-30</t>
        </is>
      </c>
      <c r="F5" s="27" t="inlineStr">
        <is>
          <t>Approved case</t>
        </is>
      </c>
      <c r="G5" s="27" t="inlineStr">
        <is>
          <t>Outstanding principal</t>
        </is>
      </c>
      <c r="H5" s="46" t="n">
        <v>6500000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TRY-00173</t>
        </is>
      </c>
      <c r="B6" s="27" t="inlineStr">
        <is>
          <t>Term-loan refinancing NPV decision</t>
        </is>
      </c>
      <c r="C6" s="27" t="inlineStr">
        <is>
          <t>Existing notes</t>
        </is>
      </c>
      <c r="D6" s="27" t="inlineStr">
        <is>
          <t>Posted funded-debt control</t>
        </is>
      </c>
      <c r="E6" s="27" t="inlineStr">
        <is>
          <t>2026-06-30</t>
        </is>
      </c>
      <c r="F6" s="27" t="inlineStr">
        <is>
          <t>Approved case</t>
        </is>
      </c>
      <c r="G6" s="27" t="inlineStr">
        <is>
          <t>Posted balance</t>
        </is>
      </c>
      <c r="H6" s="46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>
        <is>
          <t>Vista ERP balance sheet as of 2026-06-30; accounts 2200, 2210, and 2300</t>
        </is>
      </c>
    </row>
    <row r="7">
      <c r="A7" s="36" t="inlineStr">
        <is>
          <t>TRY-00174</t>
        </is>
      </c>
      <c r="B7" s="27" t="inlineStr">
        <is>
          <t>Term-loan refinancing NPV decision</t>
        </is>
      </c>
      <c r="C7" s="27" t="inlineStr">
        <is>
          <t>Refinancing proposals</t>
        </is>
      </c>
      <c r="D7" s="27" t="inlineStr">
        <is>
          <t>Keep existing</t>
        </is>
      </c>
      <c r="E7" s="27" t="inlineStr">
        <is>
          <t>2026-07-01</t>
        </is>
      </c>
      <c r="F7" s="27" t="inlineStr">
        <is>
          <t>Approved case</t>
        </is>
      </c>
      <c r="G7" s="27" t="inlineStr">
        <is>
          <t>Annual interest rate</t>
        </is>
      </c>
      <c r="H7" s="46" t="n">
        <v>0.078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TRY-00175</t>
        </is>
      </c>
      <c r="B8" s="27" t="inlineStr">
        <is>
          <t>Term-loan refinancing NPV decision</t>
        </is>
      </c>
      <c r="C8" s="27" t="inlineStr">
        <is>
          <t>Refinancing proposals</t>
        </is>
      </c>
      <c r="D8" s="27" t="inlineStr">
        <is>
          <t>Keep existing</t>
        </is>
      </c>
      <c r="E8" s="27" t="inlineStr">
        <is>
          <t>2026-07-01</t>
        </is>
      </c>
      <c r="F8" s="27" t="inlineStr">
        <is>
          <t>Approved case</t>
        </is>
      </c>
      <c r="G8" s="27" t="inlineStr">
        <is>
          <t>Amortization months</t>
        </is>
      </c>
      <c r="H8" s="46" t="n">
        <v>30</v>
      </c>
      <c r="I8" s="27" t="inlineStr"/>
      <c r="J8" s="27" t="inlineStr">
        <is>
          <t>count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TRY-00176</t>
        </is>
      </c>
      <c r="B9" s="27" t="inlineStr">
        <is>
          <t>Term-loan refinancing NPV decision</t>
        </is>
      </c>
      <c r="C9" s="27" t="inlineStr">
        <is>
          <t>Refinancing proposals</t>
        </is>
      </c>
      <c r="D9" s="27" t="inlineStr">
        <is>
          <t>Keep existing</t>
        </is>
      </c>
      <c r="E9" s="27" t="inlineStr">
        <is>
          <t>2026-07-01</t>
        </is>
      </c>
      <c r="F9" s="27" t="inlineStr">
        <is>
          <t>Approved case</t>
        </is>
      </c>
      <c r="G9" s="27" t="inlineStr">
        <is>
          <t>Upfront fee</t>
        </is>
      </c>
      <c r="H9" s="46" t="n">
        <v>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TRY-00177</t>
        </is>
      </c>
      <c r="B10" s="27" t="inlineStr">
        <is>
          <t>Term-loan refinancing NPV decision</t>
        </is>
      </c>
      <c r="C10" s="27" t="inlineStr">
        <is>
          <t>Refinancing proposals</t>
        </is>
      </c>
      <c r="D10" s="27" t="inlineStr">
        <is>
          <t>Keep existing</t>
        </is>
      </c>
      <c r="E10" s="27" t="inlineStr">
        <is>
          <t>2026-07-01</t>
        </is>
      </c>
      <c r="F10" s="27" t="inlineStr">
        <is>
          <t>Approved case</t>
        </is>
      </c>
      <c r="G10" s="27" t="inlineStr">
        <is>
          <t>Existing-note prepayment penalty rate</t>
        </is>
      </c>
      <c r="H10" s="46" t="n">
        <v>0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TRY-00178</t>
        </is>
      </c>
      <c r="B11" s="27" t="inlineStr">
        <is>
          <t>Term-loan refinancing NPV decision</t>
        </is>
      </c>
      <c r="C11" s="27" t="inlineStr">
        <is>
          <t>Refinancing proposals</t>
        </is>
      </c>
      <c r="D11" s="27" t="inlineStr">
        <is>
          <t>Keep existing</t>
        </is>
      </c>
      <c r="E11" s="27" t="inlineStr">
        <is>
          <t>2026-07-01</t>
        </is>
      </c>
      <c r="F11" s="27" t="inlineStr">
        <is>
          <t>Approved case</t>
        </is>
      </c>
      <c r="G11" s="27" t="inlineStr">
        <is>
          <t>Maturity balloon percent</t>
        </is>
      </c>
      <c r="H11" s="46" t="n">
        <v>0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TRY-00179</t>
        </is>
      </c>
      <c r="B12" s="27" t="inlineStr">
        <is>
          <t>Term-loan refinancing NPV decision</t>
        </is>
      </c>
      <c r="C12" s="27" t="inlineStr">
        <is>
          <t>Refinancing proposals</t>
        </is>
      </c>
      <c r="D12" s="27" t="inlineStr">
        <is>
          <t>Proposal A</t>
        </is>
      </c>
      <c r="E12" s="27" t="inlineStr">
        <is>
          <t>2026-07-01</t>
        </is>
      </c>
      <c r="F12" s="27" t="inlineStr">
        <is>
          <t>Approved case</t>
        </is>
      </c>
      <c r="G12" s="27" t="inlineStr">
        <is>
          <t>Annual interest rate</t>
        </is>
      </c>
      <c r="H12" s="46" t="n">
        <v>0.061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TRY-00180</t>
        </is>
      </c>
      <c r="B13" s="27" t="inlineStr">
        <is>
          <t>Term-loan refinancing NPV decision</t>
        </is>
      </c>
      <c r="C13" s="27" t="inlineStr">
        <is>
          <t>Refinancing proposals</t>
        </is>
      </c>
      <c r="D13" s="27" t="inlineStr">
        <is>
          <t>Proposal A</t>
        </is>
      </c>
      <c r="E13" s="27" t="inlineStr">
        <is>
          <t>2026-07-01</t>
        </is>
      </c>
      <c r="F13" s="27" t="inlineStr">
        <is>
          <t>Approved case</t>
        </is>
      </c>
      <c r="G13" s="27" t="inlineStr">
        <is>
          <t>Amortization months</t>
        </is>
      </c>
      <c r="H13" s="46" t="n">
        <v>48</v>
      </c>
      <c r="I13" s="27" t="inlineStr"/>
      <c r="J13" s="27" t="inlineStr">
        <is>
          <t>count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TRY-00181</t>
        </is>
      </c>
      <c r="B14" s="27" t="inlineStr">
        <is>
          <t>Term-loan refinancing NPV decision</t>
        </is>
      </c>
      <c r="C14" s="27" t="inlineStr">
        <is>
          <t>Refinancing proposals</t>
        </is>
      </c>
      <c r="D14" s="27" t="inlineStr">
        <is>
          <t>Proposal A</t>
        </is>
      </c>
      <c r="E14" s="27" t="inlineStr">
        <is>
          <t>2026-07-01</t>
        </is>
      </c>
      <c r="F14" s="27" t="inlineStr">
        <is>
          <t>Approved case</t>
        </is>
      </c>
      <c r="G14" s="27" t="inlineStr">
        <is>
          <t>Upfront fee</t>
        </is>
      </c>
      <c r="H14" s="46" t="n">
        <v>42000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TRY-00182</t>
        </is>
      </c>
      <c r="B15" s="27" t="inlineStr">
        <is>
          <t>Term-loan refinancing NPV decision</t>
        </is>
      </c>
      <c r="C15" s="27" t="inlineStr">
        <is>
          <t>Refinancing proposals</t>
        </is>
      </c>
      <c r="D15" s="27" t="inlineStr">
        <is>
          <t>Proposal A</t>
        </is>
      </c>
      <c r="E15" s="27" t="inlineStr">
        <is>
          <t>2026-07-01</t>
        </is>
      </c>
      <c r="F15" s="27" t="inlineStr">
        <is>
          <t>Approved case</t>
        </is>
      </c>
      <c r="G15" s="27" t="inlineStr">
        <is>
          <t>Existing-note prepayment penalty rate</t>
        </is>
      </c>
      <c r="H15" s="46" t="n">
        <v>0.015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TRY-00183</t>
        </is>
      </c>
      <c r="B16" s="27" t="inlineStr">
        <is>
          <t>Term-loan refinancing NPV decision</t>
        </is>
      </c>
      <c r="C16" s="27" t="inlineStr">
        <is>
          <t>Refinancing proposals</t>
        </is>
      </c>
      <c r="D16" s="27" t="inlineStr">
        <is>
          <t>Proposal A</t>
        </is>
      </c>
      <c r="E16" s="27" t="inlineStr">
        <is>
          <t>2026-07-01</t>
        </is>
      </c>
      <c r="F16" s="27" t="inlineStr">
        <is>
          <t>Approved case</t>
        </is>
      </c>
      <c r="G16" s="27" t="inlineStr">
        <is>
          <t>Maturity balloon percent</t>
        </is>
      </c>
      <c r="H16" s="46" t="n">
        <v>0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TRY-00184</t>
        </is>
      </c>
      <c r="B17" s="27" t="inlineStr">
        <is>
          <t>Term-loan refinancing NPV decision</t>
        </is>
      </c>
      <c r="C17" s="27" t="inlineStr">
        <is>
          <t>Refinancing proposals</t>
        </is>
      </c>
      <c r="D17" s="27" t="inlineStr">
        <is>
          <t>Proposal B</t>
        </is>
      </c>
      <c r="E17" s="27" t="inlineStr">
        <is>
          <t>2026-07-01</t>
        </is>
      </c>
      <c r="F17" s="27" t="inlineStr">
        <is>
          <t>Approved case</t>
        </is>
      </c>
      <c r="G17" s="27" t="inlineStr">
        <is>
          <t>Annual interest rate</t>
        </is>
      </c>
      <c r="H17" s="46" t="n">
        <v>0.0575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TRY-00185</t>
        </is>
      </c>
      <c r="B18" s="27" t="inlineStr">
        <is>
          <t>Term-loan refinancing NPV decision</t>
        </is>
      </c>
      <c r="C18" s="27" t="inlineStr">
        <is>
          <t>Refinancing proposals</t>
        </is>
      </c>
      <c r="D18" s="27" t="inlineStr">
        <is>
          <t>Proposal B</t>
        </is>
      </c>
      <c r="E18" s="27" t="inlineStr">
        <is>
          <t>2026-07-01</t>
        </is>
      </c>
      <c r="F18" s="27" t="inlineStr">
        <is>
          <t>Approved case</t>
        </is>
      </c>
      <c r="G18" s="27" t="inlineStr">
        <is>
          <t>Amortization months</t>
        </is>
      </c>
      <c r="H18" s="46" t="n">
        <v>60</v>
      </c>
      <c r="I18" s="27" t="inlineStr"/>
      <c r="J18" s="27" t="inlineStr">
        <is>
          <t>count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TRY-00186</t>
        </is>
      </c>
      <c r="B19" s="27" t="inlineStr">
        <is>
          <t>Term-loan refinancing NPV decision</t>
        </is>
      </c>
      <c r="C19" s="27" t="inlineStr">
        <is>
          <t>Refinancing proposals</t>
        </is>
      </c>
      <c r="D19" s="27" t="inlineStr">
        <is>
          <t>Proposal B</t>
        </is>
      </c>
      <c r="E19" s="27" t="inlineStr">
        <is>
          <t>2026-07-01</t>
        </is>
      </c>
      <c r="F19" s="27" t="inlineStr">
        <is>
          <t>Approved case</t>
        </is>
      </c>
      <c r="G19" s="27" t="inlineStr">
        <is>
          <t>Upfront fee</t>
        </is>
      </c>
      <c r="H19" s="46" t="n">
        <v>68000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TRY-00187</t>
        </is>
      </c>
      <c r="B20" s="27" t="inlineStr">
        <is>
          <t>Term-loan refinancing NPV decision</t>
        </is>
      </c>
      <c r="C20" s="27" t="inlineStr">
        <is>
          <t>Refinancing proposals</t>
        </is>
      </c>
      <c r="D20" s="27" t="inlineStr">
        <is>
          <t>Proposal B</t>
        </is>
      </c>
      <c r="E20" s="27" t="inlineStr">
        <is>
          <t>2026-07-01</t>
        </is>
      </c>
      <c r="F20" s="27" t="inlineStr">
        <is>
          <t>Approved case</t>
        </is>
      </c>
      <c r="G20" s="27" t="inlineStr">
        <is>
          <t>Existing-note prepayment penalty rate</t>
        </is>
      </c>
      <c r="H20" s="46" t="n">
        <v>0.015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TRY-00188</t>
        </is>
      </c>
      <c r="B21" s="27" t="inlineStr">
        <is>
          <t>Term-loan refinancing NPV decision</t>
        </is>
      </c>
      <c r="C21" s="27" t="inlineStr">
        <is>
          <t>Refinancing proposals</t>
        </is>
      </c>
      <c r="D21" s="27" t="inlineStr">
        <is>
          <t>Proposal B</t>
        </is>
      </c>
      <c r="E21" s="27" t="inlineStr">
        <is>
          <t>2026-07-01</t>
        </is>
      </c>
      <c r="F21" s="27" t="inlineStr">
        <is>
          <t>Approved case</t>
        </is>
      </c>
      <c r="G21" s="27" t="inlineStr">
        <is>
          <t>Maturity balloon percent</t>
        </is>
      </c>
      <c r="H21" s="46" t="n">
        <v>0.2</v>
      </c>
      <c r="I21" s="27" t="inlineStr"/>
      <c r="J21" s="27" t="inlineStr">
        <is>
          <t>decimal ratio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TRY-00189</t>
        </is>
      </c>
      <c r="B22" s="27" t="inlineStr">
        <is>
          <t>Term-loan refinancing NPV decision</t>
        </is>
      </c>
      <c r="C22" s="27" t="inlineStr">
        <is>
          <t>Treasury policy</t>
        </is>
      </c>
      <c r="D22" s="27" t="inlineStr">
        <is>
          <t>Consolidated</t>
        </is>
      </c>
      <c r="E22" s="27" t="inlineStr">
        <is>
          <t>2026-07-01</t>
        </is>
      </c>
      <c r="F22" s="27" t="inlineStr">
        <is>
          <t>Approved case</t>
        </is>
      </c>
      <c r="G22" s="27" t="inlineStr">
        <is>
          <t>Monthly discount rate</t>
        </is>
      </c>
      <c r="H22" s="46" t="n">
        <v>0.006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TRY-00190</t>
        </is>
      </c>
      <c r="B23" s="27" t="inlineStr">
        <is>
          <t>Term-loan refinancing NPV decision</t>
        </is>
      </c>
      <c r="C23" s="27" t="inlineStr">
        <is>
          <t>Treasury policy</t>
        </is>
      </c>
      <c r="D23" s="27" t="inlineStr">
        <is>
          <t>Existing notes</t>
        </is>
      </c>
      <c r="E23" s="27" t="inlineStr">
        <is>
          <t>2026-07-01</t>
        </is>
      </c>
      <c r="F23" s="27" t="inlineStr">
        <is>
          <t>Approved case</t>
        </is>
      </c>
      <c r="G23" s="27" t="inlineStr">
        <is>
          <t>Unamortized fee write-off</t>
        </is>
      </c>
      <c r="H23" s="46" t="n">
        <v>22500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TRY-00201</t>
        </is>
      </c>
      <c r="B24" s="27" t="inlineStr">
        <is>
          <t>Interest-rate hedge strategy</t>
        </is>
      </c>
      <c r="C24" s="27" t="inlineStr">
        <is>
          <t>Floating debt</t>
        </is>
      </c>
      <c r="D24" s="27" t="inlineStr">
        <is>
          <t>Revolver</t>
        </is>
      </c>
      <c r="E24" s="27" t="inlineStr">
        <is>
          <t>2026-06-30</t>
        </is>
      </c>
      <c r="F24" s="27" t="inlineStr">
        <is>
          <t>Approved case</t>
        </is>
      </c>
      <c r="G24" s="27" t="inlineStr">
        <is>
          <t>Opening floating balance</t>
        </is>
      </c>
      <c r="H24" s="46" t="n">
        <v>1</v>
      </c>
      <c r="I24" s="27" t="inlineStr"/>
      <c r="J24" s="27" t="inlineStr">
        <is>
          <t>ledger allocation factor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>
        <is>
          <t>Vista ERP balance sheet as of 2026-06-30; accounts 2200, 2210, and 2300</t>
        </is>
      </c>
    </row>
    <row r="25">
      <c r="A25" s="36" t="inlineStr">
        <is>
          <t>TRY-00202</t>
        </is>
      </c>
      <c r="B25" s="27" t="inlineStr">
        <is>
          <t>Interest-rate hedge strategy</t>
        </is>
      </c>
      <c r="C25" s="27" t="inlineStr">
        <is>
          <t>SOFR scenarios</t>
        </is>
      </c>
      <c r="D25" s="27" t="inlineStr">
        <is>
          <t>Base</t>
        </is>
      </c>
      <c r="E25" s="27" t="inlineStr">
        <is>
          <t>Three-year horizon</t>
        </is>
      </c>
      <c r="F25" s="27" t="inlineStr">
        <is>
          <t>Approved case</t>
        </is>
      </c>
      <c r="G25" s="27" t="inlineStr">
        <is>
          <t>Probability</t>
        </is>
      </c>
      <c r="H25" s="46" t="n">
        <v>0.5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TRY-00203</t>
        </is>
      </c>
      <c r="B26" s="27" t="inlineStr">
        <is>
          <t>Interest-rate hedge strategy</t>
        </is>
      </c>
      <c r="C26" s="27" t="inlineStr">
        <is>
          <t>SOFR scenarios</t>
        </is>
      </c>
      <c r="D26" s="27" t="inlineStr">
        <is>
          <t>Base</t>
        </is>
      </c>
      <c r="E26" s="27" t="inlineStr">
        <is>
          <t>Year 1</t>
        </is>
      </c>
      <c r="F26" s="27" t="inlineStr">
        <is>
          <t>Approved case</t>
        </is>
      </c>
      <c r="G26" s="27" t="inlineStr">
        <is>
          <t>Average SOFR</t>
        </is>
      </c>
      <c r="H26" s="46" t="n">
        <v>0.042</v>
      </c>
      <c r="I26" s="27" t="inlineStr"/>
      <c r="J26" s="27" t="inlineStr">
        <is>
          <t>decimal ratio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TRY-00204</t>
        </is>
      </c>
      <c r="B27" s="27" t="inlineStr">
        <is>
          <t>Interest-rate hedge strategy</t>
        </is>
      </c>
      <c r="C27" s="27" t="inlineStr">
        <is>
          <t>SOFR scenarios</t>
        </is>
      </c>
      <c r="D27" s="27" t="inlineStr">
        <is>
          <t>Base</t>
        </is>
      </c>
      <c r="E27" s="27" t="inlineStr">
        <is>
          <t>Year 2</t>
        </is>
      </c>
      <c r="F27" s="27" t="inlineStr">
        <is>
          <t>Approved case</t>
        </is>
      </c>
      <c r="G27" s="27" t="inlineStr">
        <is>
          <t>Average SOFR</t>
        </is>
      </c>
      <c r="H27" s="46" t="n">
        <v>0.04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TRY-00205</t>
        </is>
      </c>
      <c r="B28" s="27" t="inlineStr">
        <is>
          <t>Interest-rate hedge strategy</t>
        </is>
      </c>
      <c r="C28" s="27" t="inlineStr">
        <is>
          <t>SOFR scenarios</t>
        </is>
      </c>
      <c r="D28" s="27" t="inlineStr">
        <is>
          <t>Base</t>
        </is>
      </c>
      <c r="E28" s="27" t="inlineStr">
        <is>
          <t>Year 3</t>
        </is>
      </c>
      <c r="F28" s="27" t="inlineStr">
        <is>
          <t>Approved case</t>
        </is>
      </c>
      <c r="G28" s="27" t="inlineStr">
        <is>
          <t>Average SOFR</t>
        </is>
      </c>
      <c r="H28" s="46" t="n">
        <v>0.038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TRY-00206</t>
        </is>
      </c>
      <c r="B29" s="27" t="inlineStr">
        <is>
          <t>Interest-rate hedge strategy</t>
        </is>
      </c>
      <c r="C29" s="27" t="inlineStr">
        <is>
          <t>SOFR scenarios</t>
        </is>
      </c>
      <c r="D29" s="27" t="inlineStr">
        <is>
          <t>Downside</t>
        </is>
      </c>
      <c r="E29" s="27" t="inlineStr">
        <is>
          <t>Three-year horizon</t>
        </is>
      </c>
      <c r="F29" s="27" t="inlineStr">
        <is>
          <t>Approved case</t>
        </is>
      </c>
      <c r="G29" s="27" t="inlineStr">
        <is>
          <t>Probability</t>
        </is>
      </c>
      <c r="H29" s="46" t="n">
        <v>0.25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TRY-00207</t>
        </is>
      </c>
      <c r="B30" s="27" t="inlineStr">
        <is>
          <t>Interest-rate hedge strategy</t>
        </is>
      </c>
      <c r="C30" s="27" t="inlineStr">
        <is>
          <t>SOFR scenarios</t>
        </is>
      </c>
      <c r="D30" s="27" t="inlineStr">
        <is>
          <t>Downside</t>
        </is>
      </c>
      <c r="E30" s="27" t="inlineStr">
        <is>
          <t>Year 1</t>
        </is>
      </c>
      <c r="F30" s="27" t="inlineStr">
        <is>
          <t>Approved case</t>
        </is>
      </c>
      <c r="G30" s="27" t="inlineStr">
        <is>
          <t>Average SOFR</t>
        </is>
      </c>
      <c r="H30" s="46" t="n">
        <v>0.055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TRY-00208</t>
        </is>
      </c>
      <c r="B31" s="27" t="inlineStr">
        <is>
          <t>Interest-rate hedge strategy</t>
        </is>
      </c>
      <c r="C31" s="27" t="inlineStr">
        <is>
          <t>SOFR scenarios</t>
        </is>
      </c>
      <c r="D31" s="27" t="inlineStr">
        <is>
          <t>Downside</t>
        </is>
      </c>
      <c r="E31" s="27" t="inlineStr">
        <is>
          <t>Year 2</t>
        </is>
      </c>
      <c r="F31" s="27" t="inlineStr">
        <is>
          <t>Approved case</t>
        </is>
      </c>
      <c r="G31" s="27" t="inlineStr">
        <is>
          <t>Average SOFR</t>
        </is>
      </c>
      <c r="H31" s="46" t="n">
        <v>0.062</v>
      </c>
      <c r="I31" s="27" t="inlineStr"/>
      <c r="J31" s="27" t="inlineStr">
        <is>
          <t>decimal ratio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TRY-00209</t>
        </is>
      </c>
      <c r="B32" s="27" t="inlineStr">
        <is>
          <t>Interest-rate hedge strategy</t>
        </is>
      </c>
      <c r="C32" s="27" t="inlineStr">
        <is>
          <t>SOFR scenarios</t>
        </is>
      </c>
      <c r="D32" s="27" t="inlineStr">
        <is>
          <t>Downside</t>
        </is>
      </c>
      <c r="E32" s="27" t="inlineStr">
        <is>
          <t>Year 3</t>
        </is>
      </c>
      <c r="F32" s="27" t="inlineStr">
        <is>
          <t>Approved case</t>
        </is>
      </c>
      <c r="G32" s="27" t="inlineStr">
        <is>
          <t>Average SOFR</t>
        </is>
      </c>
      <c r="H32" s="46" t="n">
        <v>0.058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TRY-00210</t>
        </is>
      </c>
      <c r="B33" s="27" t="inlineStr">
        <is>
          <t>Interest-rate hedge strategy</t>
        </is>
      </c>
      <c r="C33" s="27" t="inlineStr">
        <is>
          <t>SOFR scenarios</t>
        </is>
      </c>
      <c r="D33" s="27" t="inlineStr">
        <is>
          <t>Falling</t>
        </is>
      </c>
      <c r="E33" s="27" t="inlineStr">
        <is>
          <t>Three-year horizon</t>
        </is>
      </c>
      <c r="F33" s="27" t="inlineStr">
        <is>
          <t>Approved case</t>
        </is>
      </c>
      <c r="G33" s="27" t="inlineStr">
        <is>
          <t>Probability</t>
        </is>
      </c>
      <c r="H33" s="46" t="n">
        <v>0.25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TRY-00211</t>
        </is>
      </c>
      <c r="B34" s="27" t="inlineStr">
        <is>
          <t>Interest-rate hedge strategy</t>
        </is>
      </c>
      <c r="C34" s="27" t="inlineStr">
        <is>
          <t>SOFR scenarios</t>
        </is>
      </c>
      <c r="D34" s="27" t="inlineStr">
        <is>
          <t>Falling</t>
        </is>
      </c>
      <c r="E34" s="27" t="inlineStr">
        <is>
          <t>Year 1</t>
        </is>
      </c>
      <c r="F34" s="27" t="inlineStr">
        <is>
          <t>Approved case</t>
        </is>
      </c>
      <c r="G34" s="27" t="inlineStr">
        <is>
          <t>Average SOFR</t>
        </is>
      </c>
      <c r="H34" s="46" t="n">
        <v>0.035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TRY-00212</t>
        </is>
      </c>
      <c r="B35" s="27" t="inlineStr">
        <is>
          <t>Interest-rate hedge strategy</t>
        </is>
      </c>
      <c r="C35" s="27" t="inlineStr">
        <is>
          <t>SOFR scenarios</t>
        </is>
      </c>
      <c r="D35" s="27" t="inlineStr">
        <is>
          <t>Falling</t>
        </is>
      </c>
      <c r="E35" s="27" t="inlineStr">
        <is>
          <t>Year 2</t>
        </is>
      </c>
      <c r="F35" s="27" t="inlineStr">
        <is>
          <t>Approved case</t>
        </is>
      </c>
      <c r="G35" s="27" t="inlineStr">
        <is>
          <t>Average SOFR</t>
        </is>
      </c>
      <c r="H35" s="46" t="n">
        <v>0.028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TRY-00213</t>
        </is>
      </c>
      <c r="B36" s="27" t="inlineStr">
        <is>
          <t>Interest-rate hedge strategy</t>
        </is>
      </c>
      <c r="C36" s="27" t="inlineStr">
        <is>
          <t>SOFR scenarios</t>
        </is>
      </c>
      <c r="D36" s="27" t="inlineStr">
        <is>
          <t>Falling</t>
        </is>
      </c>
      <c r="E36" s="27" t="inlineStr">
        <is>
          <t>Year 3</t>
        </is>
      </c>
      <c r="F36" s="27" t="inlineStr">
        <is>
          <t>Approved case</t>
        </is>
      </c>
      <c r="G36" s="27" t="inlineStr">
        <is>
          <t>Average SOFR</t>
        </is>
      </c>
      <c r="H36" s="46" t="n">
        <v>0.026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TRY-00214</t>
        </is>
      </c>
      <c r="B37" s="27" t="inlineStr">
        <is>
          <t>Interest-rate hedge strategy</t>
        </is>
      </c>
      <c r="C37" s="27" t="inlineStr">
        <is>
          <t>Debt forecast</t>
        </is>
      </c>
      <c r="D37" s="27" t="inlineStr">
        <is>
          <t>Revolver</t>
        </is>
      </c>
      <c r="E37" s="27" t="inlineStr">
        <is>
          <t>Year 1</t>
        </is>
      </c>
      <c r="F37" s="27" t="inlineStr">
        <is>
          <t>Approved case</t>
        </is>
      </c>
      <c r="G37" s="27" t="inlineStr">
        <is>
          <t>Average balance multiplier</t>
        </is>
      </c>
      <c r="H37" s="46" t="n">
        <v>1</v>
      </c>
      <c r="I37" s="27" t="inlineStr"/>
      <c r="J37" s="27" t="inlineStr">
        <is>
          <t>ledger allocation factor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>
        <is>
          <t>Vista ERP balance sheet as of 2026-06-30; accounts 2200, 2210, and 2300</t>
        </is>
      </c>
    </row>
    <row r="38">
      <c r="A38" s="36" t="inlineStr">
        <is>
          <t>TRY-00215</t>
        </is>
      </c>
      <c r="B38" s="27" t="inlineStr">
        <is>
          <t>Interest-rate hedge strategy</t>
        </is>
      </c>
      <c r="C38" s="27" t="inlineStr">
        <is>
          <t>Debt forecast</t>
        </is>
      </c>
      <c r="D38" s="27" t="inlineStr">
        <is>
          <t>Revolver</t>
        </is>
      </c>
      <c r="E38" s="27" t="inlineStr">
        <is>
          <t>Year 2</t>
        </is>
      </c>
      <c r="F38" s="27" t="inlineStr">
        <is>
          <t>Approved case</t>
        </is>
      </c>
      <c r="G38" s="27" t="inlineStr">
        <is>
          <t>Average balance multiplier</t>
        </is>
      </c>
      <c r="H38" s="46" t="n">
        <v>1.35</v>
      </c>
      <c r="I38" s="27" t="inlineStr"/>
      <c r="J38" s="27" t="inlineStr">
        <is>
          <t>ledger allocation factor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>
        <is>
          <t>Vista ERP balance sheet as of 2026-06-30; accounts 2200, 2210, and 2300</t>
        </is>
      </c>
    </row>
    <row r="39">
      <c r="A39" s="36" t="inlineStr">
        <is>
          <t>TRY-00216</t>
        </is>
      </c>
      <c r="B39" s="27" t="inlineStr">
        <is>
          <t>Interest-rate hedge strategy</t>
        </is>
      </c>
      <c r="C39" s="27" t="inlineStr">
        <is>
          <t>Debt forecast</t>
        </is>
      </c>
      <c r="D39" s="27" t="inlineStr">
        <is>
          <t>Revolver</t>
        </is>
      </c>
      <c r="E39" s="27" t="inlineStr">
        <is>
          <t>Year 3</t>
        </is>
      </c>
      <c r="F39" s="27" t="inlineStr">
        <is>
          <t>Approved case</t>
        </is>
      </c>
      <c r="G39" s="27" t="inlineStr">
        <is>
          <t>Average balance multiplier</t>
        </is>
      </c>
      <c r="H39" s="46" t="n">
        <v>1.7</v>
      </c>
      <c r="I39" s="27" t="inlineStr"/>
      <c r="J39" s="27" t="inlineStr">
        <is>
          <t>ledger allocation factor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>
        <is>
          <t>Vista ERP balance sheet as of 2026-06-30; accounts 2200, 2210, and 2300</t>
        </is>
      </c>
    </row>
    <row r="40">
      <c r="A40" s="36" t="inlineStr">
        <is>
          <t>TRY-00217</t>
        </is>
      </c>
      <c r="B40" s="27" t="inlineStr">
        <is>
          <t>Interest-rate hedge strategy</t>
        </is>
      </c>
      <c r="C40" s="27" t="inlineStr">
        <is>
          <t>Hedge terms</t>
        </is>
      </c>
      <c r="D40" s="27" t="inlineStr">
        <is>
          <t>Policy</t>
        </is>
      </c>
      <c r="E40" s="27" t="inlineStr">
        <is>
          <t>Three-year horizon</t>
        </is>
      </c>
      <c r="F40" s="27" t="inlineStr">
        <is>
          <t>Approved case</t>
        </is>
      </c>
      <c r="G40" s="27" t="inlineStr">
        <is>
          <t>Credit spread</t>
        </is>
      </c>
      <c r="H40" s="46" t="n">
        <v>0.026</v>
      </c>
      <c r="I40" s="27" t="inlineStr"/>
      <c r="J40" s="27" t="inlineStr">
        <is>
          <t>decimal ratio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TRY-00218</t>
        </is>
      </c>
      <c r="B41" s="27" t="inlineStr">
        <is>
          <t>Interest-rate hedge strategy</t>
        </is>
      </c>
      <c r="C41" s="27" t="inlineStr">
        <is>
          <t>Hedge terms</t>
        </is>
      </c>
      <c r="D41" s="27" t="inlineStr">
        <is>
          <t>Policy</t>
        </is>
      </c>
      <c r="E41" s="27" t="inlineStr">
        <is>
          <t>Three-year horizon</t>
        </is>
      </c>
      <c r="F41" s="27" t="inlineStr">
        <is>
          <t>Approved case</t>
        </is>
      </c>
      <c r="G41" s="27" t="inlineStr">
        <is>
          <t>Cap strike</t>
        </is>
      </c>
      <c r="H41" s="46" t="n">
        <v>0.045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TRY-00219</t>
        </is>
      </c>
      <c r="B42" s="27" t="inlineStr">
        <is>
          <t>Interest-rate hedge strategy</t>
        </is>
      </c>
      <c r="C42" s="27" t="inlineStr">
        <is>
          <t>Hedge terms</t>
        </is>
      </c>
      <c r="D42" s="27" t="inlineStr">
        <is>
          <t>Policy</t>
        </is>
      </c>
      <c r="E42" s="27" t="inlineStr">
        <is>
          <t>Three-year horizon</t>
        </is>
      </c>
      <c r="F42" s="27" t="inlineStr">
        <is>
          <t>Approved case</t>
        </is>
      </c>
      <c r="G42" s="27" t="inlineStr">
        <is>
          <t>Cap premium</t>
        </is>
      </c>
      <c r="H42" s="46" t="n">
        <v>62000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TRY-00220</t>
        </is>
      </c>
      <c r="B43" s="27" t="inlineStr">
        <is>
          <t>Interest-rate hedge strategy</t>
        </is>
      </c>
      <c r="C43" s="27" t="inlineStr">
        <is>
          <t>Hedge terms</t>
        </is>
      </c>
      <c r="D43" s="27" t="inlineStr">
        <is>
          <t>Policy</t>
        </is>
      </c>
      <c r="E43" s="27" t="inlineStr">
        <is>
          <t>Three-year horizon</t>
        </is>
      </c>
      <c r="F43" s="27" t="inlineStr">
        <is>
          <t>Approved case</t>
        </is>
      </c>
      <c r="G43" s="27" t="inlineStr">
        <is>
          <t>Swap fixed SOFR</t>
        </is>
      </c>
      <c r="H43" s="46" t="n">
        <v>0.0395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TRY-00221</t>
        </is>
      </c>
      <c r="B44" s="27" t="inlineStr">
        <is>
          <t>Interest-rate hedge strategy</t>
        </is>
      </c>
      <c r="C44" s="27" t="inlineStr">
        <is>
          <t>Hedge terms</t>
        </is>
      </c>
      <c r="D44" s="27" t="inlineStr">
        <is>
          <t>Policy</t>
        </is>
      </c>
      <c r="E44" s="27" t="inlineStr">
        <is>
          <t>Three-year horizon</t>
        </is>
      </c>
      <c r="F44" s="27" t="inlineStr">
        <is>
          <t>Approved case</t>
        </is>
      </c>
      <c r="G44" s="27" t="inlineStr">
        <is>
          <t>Swap termination reserve</t>
        </is>
      </c>
      <c r="H44" s="46" t="n">
        <v>85000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TRY-00222</t>
        </is>
      </c>
      <c r="B45" s="27" t="inlineStr">
        <is>
          <t>Interest-rate hedge strategy</t>
        </is>
      </c>
      <c r="C45" s="27" t="inlineStr">
        <is>
          <t>Hedge terms</t>
        </is>
      </c>
      <c r="D45" s="27" t="inlineStr">
        <is>
          <t>Policy</t>
        </is>
      </c>
      <c r="E45" s="27" t="inlineStr">
        <is>
          <t>Three-year horizon</t>
        </is>
      </c>
      <c r="F45" s="27" t="inlineStr">
        <is>
          <t>Approved case</t>
        </is>
      </c>
      <c r="G45" s="27" t="inlineStr">
        <is>
          <t>Downside annual interest ceiling</t>
        </is>
      </c>
      <c r="H45" s="46" t="n">
        <v>145000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TRY-00287</t>
        </is>
      </c>
      <c r="B46" s="27" t="inlineStr">
        <is>
          <t>Foreign-currency equipment hedge</t>
        </is>
      </c>
      <c r="C46" s="27" t="inlineStr">
        <is>
          <t>Existing hedge register</t>
        </is>
      </c>
      <c r="D46" s="27" t="inlineStr">
        <is>
          <t>FWD-118</t>
        </is>
      </c>
      <c r="E46" s="27" t="inlineStr">
        <is>
          <t>2026-08</t>
        </is>
      </c>
      <c r="F46" s="27" t="inlineStr">
        <is>
          <t>Approved case</t>
        </is>
      </c>
      <c r="G46" s="27" t="inlineStr">
        <is>
          <t>Hedged notional</t>
        </is>
      </c>
      <c r="H46" s="46" t="n">
        <v>800000</v>
      </c>
      <c r="I46" s="27" t="inlineStr"/>
      <c r="J46" s="27" t="inlineStr">
        <is>
          <t>CAD</t>
        </is>
      </c>
      <c r="K46" s="27" t="inlineStr">
        <is>
          <t>Bank hedge confirmations</t>
        </is>
      </c>
      <c r="L46" s="47" t="inlineStr">
        <is>
          <t>2026-06-30</t>
        </is>
      </c>
      <c r="M46" s="27" t="inlineStr"/>
    </row>
    <row r="47">
      <c r="A47" s="36" t="inlineStr">
        <is>
          <t>TRY-00288</t>
        </is>
      </c>
      <c r="B47" s="27" t="inlineStr">
        <is>
          <t>Foreign-currency equipment hedge</t>
        </is>
      </c>
      <c r="C47" s="27" t="inlineStr">
        <is>
          <t>Existing hedge register</t>
        </is>
      </c>
      <c r="D47" s="27" t="inlineStr">
        <is>
          <t>FWD-118</t>
        </is>
      </c>
      <c r="E47" s="27" t="inlineStr">
        <is>
          <t>2026-08</t>
        </is>
      </c>
      <c r="F47" s="27" t="inlineStr">
        <is>
          <t>Approved case</t>
        </is>
      </c>
      <c r="G47" s="27" t="inlineStr">
        <is>
          <t>Contract USD per CAD</t>
        </is>
      </c>
      <c r="H47" s="46" t="n">
        <v>0.724</v>
      </c>
      <c r="I47" s="27" t="inlineStr"/>
      <c r="J47" s="27" t="inlineStr">
        <is>
          <t>USD per CAD</t>
        </is>
      </c>
      <c r="K47" s="27" t="inlineStr">
        <is>
          <t>Bank hedge confirmations</t>
        </is>
      </c>
      <c r="L47" s="47" t="inlineStr">
        <is>
          <t>2026-06-30</t>
        </is>
      </c>
      <c r="M47" s="27" t="inlineStr"/>
    </row>
    <row r="48">
      <c r="A48" s="36" t="inlineStr">
        <is>
          <t>TRY-00289</t>
        </is>
      </c>
      <c r="B48" s="27" t="inlineStr">
        <is>
          <t>Foreign-currency equipment hedge</t>
        </is>
      </c>
      <c r="C48" s="27" t="inlineStr">
        <is>
          <t>Existing hedge register</t>
        </is>
      </c>
      <c r="D48" s="27" t="inlineStr">
        <is>
          <t>FWD-121</t>
        </is>
      </c>
      <c r="E48" s="27" t="inlineStr">
        <is>
          <t>2026-10</t>
        </is>
      </c>
      <c r="F48" s="27" t="inlineStr">
        <is>
          <t>Approved case</t>
        </is>
      </c>
      <c r="G48" s="27" t="inlineStr">
        <is>
          <t>Hedged notional</t>
        </is>
      </c>
      <c r="H48" s="46" t="n">
        <v>700000</v>
      </c>
      <c r="I48" s="27" t="inlineStr"/>
      <c r="J48" s="27" t="inlineStr">
        <is>
          <t>CAD</t>
        </is>
      </c>
      <c r="K48" s="27" t="inlineStr">
        <is>
          <t>Bank hedge confirmations</t>
        </is>
      </c>
      <c r="L48" s="47" t="inlineStr">
        <is>
          <t>2026-06-30</t>
        </is>
      </c>
      <c r="M48" s="27" t="inlineStr"/>
    </row>
    <row r="49">
      <c r="A49" s="36" t="inlineStr">
        <is>
          <t>TRY-00290</t>
        </is>
      </c>
      <c r="B49" s="27" t="inlineStr">
        <is>
          <t>Foreign-currency equipment hedge</t>
        </is>
      </c>
      <c r="C49" s="27" t="inlineStr">
        <is>
          <t>Existing hedge register</t>
        </is>
      </c>
      <c r="D49" s="27" t="inlineStr">
        <is>
          <t>FWD-121</t>
        </is>
      </c>
      <c r="E49" s="27" t="inlineStr">
        <is>
          <t>2026-10</t>
        </is>
      </c>
      <c r="F49" s="27" t="inlineStr">
        <is>
          <t>Approved case</t>
        </is>
      </c>
      <c r="G49" s="27" t="inlineStr">
        <is>
          <t>Contract USD per CAD</t>
        </is>
      </c>
      <c r="H49" s="46" t="n">
        <v>0.731</v>
      </c>
      <c r="I49" s="27" t="inlineStr"/>
      <c r="J49" s="27" t="inlineStr">
        <is>
          <t>USD per CAD</t>
        </is>
      </c>
      <c r="K49" s="27" t="inlineStr">
        <is>
          <t>Bank hedge confirmations</t>
        </is>
      </c>
      <c r="L49" s="47" t="inlineStr">
        <is>
          <t>2026-06-30</t>
        </is>
      </c>
      <c r="M49" s="27" t="inlineStr"/>
    </row>
    <row r="50">
      <c r="A50" s="36" t="inlineStr">
        <is>
          <t>TRY-00291</t>
        </is>
      </c>
      <c r="B50" s="27" t="inlineStr">
        <is>
          <t>Foreign-currency equipment hedge</t>
        </is>
      </c>
      <c r="C50" s="27" t="inlineStr">
        <is>
          <t>Downside FX scenario</t>
        </is>
      </c>
      <c r="D50" s="27" t="inlineStr">
        <is>
          <t>CAD downside</t>
        </is>
      </c>
      <c r="E50" s="27" t="inlineStr">
        <is>
          <t>2026-08</t>
        </is>
      </c>
      <c r="F50" s="27" t="inlineStr">
        <is>
          <t>Approved case</t>
        </is>
      </c>
      <c r="G50" s="27" t="inlineStr">
        <is>
          <t>USD per CAD spot</t>
        </is>
      </c>
      <c r="H50" s="46" t="n">
        <v>0.778</v>
      </c>
      <c r="I50" s="27" t="inlineStr"/>
      <c r="J50" s="27" t="inlineStr">
        <is>
          <t>USD per CAD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TRY-00292</t>
        </is>
      </c>
      <c r="B51" s="27" t="inlineStr">
        <is>
          <t>Foreign-currency equipment hedge</t>
        </is>
      </c>
      <c r="C51" s="27" t="inlineStr">
        <is>
          <t>Downside FX scenario</t>
        </is>
      </c>
      <c r="D51" s="27" t="inlineStr">
        <is>
          <t>CAD downside</t>
        </is>
      </c>
      <c r="E51" s="27" t="inlineStr">
        <is>
          <t>2026-10</t>
        </is>
      </c>
      <c r="F51" s="27" t="inlineStr">
        <is>
          <t>Approved case</t>
        </is>
      </c>
      <c r="G51" s="27" t="inlineStr">
        <is>
          <t>USD per CAD spot</t>
        </is>
      </c>
      <c r="H51" s="46" t="n">
        <v>0.786</v>
      </c>
      <c r="I51" s="27" t="inlineStr"/>
      <c r="J51" s="27" t="inlineStr">
        <is>
          <t>USD per CAD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TRY-00293</t>
        </is>
      </c>
      <c r="B52" s="27" t="inlineStr">
        <is>
          <t>Foreign-currency equipment hedge</t>
        </is>
      </c>
      <c r="C52" s="27" t="inlineStr">
        <is>
          <t>Downside FX scenario</t>
        </is>
      </c>
      <c r="D52" s="27" t="inlineStr">
        <is>
          <t>CAD downside</t>
        </is>
      </c>
      <c r="E52" s="27" t="inlineStr">
        <is>
          <t>2026-12</t>
        </is>
      </c>
      <c r="F52" s="27" t="inlineStr">
        <is>
          <t>Approved case</t>
        </is>
      </c>
      <c r="G52" s="27" t="inlineStr">
        <is>
          <t>USD per CAD spot</t>
        </is>
      </c>
      <c r="H52" s="46" t="n">
        <v>0.795</v>
      </c>
      <c r="I52" s="27" t="inlineStr"/>
      <c r="J52" s="27" t="inlineStr">
        <is>
          <t>USD per CAD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TRY-00294</t>
        </is>
      </c>
      <c r="B53" s="27" t="inlineStr">
        <is>
          <t>Foreign-currency equipment hedge</t>
        </is>
      </c>
      <c r="C53" s="27" t="inlineStr">
        <is>
          <t>Downside FX scenario</t>
        </is>
      </c>
      <c r="D53" s="27" t="inlineStr">
        <is>
          <t>CAD downside</t>
        </is>
      </c>
      <c r="E53" s="27" t="inlineStr">
        <is>
          <t>2027-02</t>
        </is>
      </c>
      <c r="F53" s="27" t="inlineStr">
        <is>
          <t>Approved case</t>
        </is>
      </c>
      <c r="G53" s="27" t="inlineStr">
        <is>
          <t>USD per CAD spot</t>
        </is>
      </c>
      <c r="H53" s="46" t="n">
        <v>0.802</v>
      </c>
      <c r="I53" s="27" t="inlineStr"/>
      <c r="J53" s="27" t="inlineStr">
        <is>
          <t>USD per CAD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TRY-00295</t>
        </is>
      </c>
      <c r="B54" s="27" t="inlineStr">
        <is>
          <t>Foreign-currency equipment hedge</t>
        </is>
      </c>
      <c r="C54" s="27" t="inlineStr">
        <is>
          <t>Hedge policy</t>
        </is>
      </c>
      <c r="D54" s="27" t="inlineStr">
        <is>
          <t>Committed exposure</t>
        </is>
      </c>
      <c r="E54" s="27" t="inlineStr">
        <is>
          <t>2026-07-04</t>
        </is>
      </c>
      <c r="F54" s="27" t="inlineStr">
        <is>
          <t>Approved case</t>
        </is>
      </c>
      <c r="G54" s="27" t="inlineStr">
        <is>
          <t>Required hedge percent</t>
        </is>
      </c>
      <c r="H54" s="46" t="n">
        <v>1</v>
      </c>
      <c r="I54" s="27" t="inlineStr"/>
      <c r="J54" s="27" t="inlineStr">
        <is>
          <t>decimal ratio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TRY-00296</t>
        </is>
      </c>
      <c r="B55" s="27" t="inlineStr">
        <is>
          <t>Foreign-currency equipment hedge</t>
        </is>
      </c>
      <c r="C55" s="27" t="inlineStr">
        <is>
          <t>Hedge policy</t>
        </is>
      </c>
      <c r="D55" s="27" t="inlineStr">
        <is>
          <t>Optional exposure</t>
        </is>
      </c>
      <c r="E55" s="27" t="inlineStr">
        <is>
          <t>2026-07-04</t>
        </is>
      </c>
      <c r="F55" s="27" t="inlineStr">
        <is>
          <t>Approved case</t>
        </is>
      </c>
      <c r="G55" s="27" t="inlineStr">
        <is>
          <t>Maximum hedge percent</t>
        </is>
      </c>
      <c r="H55" s="46" t="n">
        <v>0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TRY-00586</t>
        </is>
      </c>
      <c r="B56" s="27" t="inlineStr">
        <is>
          <t>Refinancing, hedge, and covenant economics</t>
        </is>
      </c>
      <c r="C56" s="27" t="inlineStr">
        <is>
          <t>Refinancing alternatives</t>
        </is>
      </c>
      <c r="D56" s="27" t="inlineStr">
        <is>
          <t>Keep existing</t>
        </is>
      </c>
      <c r="E56" s="27" t="inlineStr">
        <is>
          <t>2026-07-31</t>
        </is>
      </c>
      <c r="F56" s="27" t="inlineStr">
        <is>
          <t>Approved case</t>
        </is>
      </c>
      <c r="G56" s="27" t="inlineStr">
        <is>
          <t>Opening principal</t>
        </is>
      </c>
      <c r="H56" s="46" t="n">
        <v>6800000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TRY-00587</t>
        </is>
      </c>
      <c r="B57" s="27" t="inlineStr">
        <is>
          <t>Refinancing, hedge, and covenant economics</t>
        </is>
      </c>
      <c r="C57" s="27" t="inlineStr">
        <is>
          <t>Refinancing alternatives</t>
        </is>
      </c>
      <c r="D57" s="27" t="inlineStr">
        <is>
          <t>Keep existing</t>
        </is>
      </c>
      <c r="E57" s="27" t="inlineStr">
        <is>
          <t>2026-07-31</t>
        </is>
      </c>
      <c r="F57" s="27" t="inlineStr">
        <is>
          <t>Approved case</t>
        </is>
      </c>
      <c r="G57" s="27" t="inlineStr">
        <is>
          <t>SOFR floor</t>
        </is>
      </c>
      <c r="H57" s="46" t="n">
        <v>0.055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TRY-00588</t>
        </is>
      </c>
      <c r="B58" s="27" t="inlineStr">
        <is>
          <t>Refinancing, hedge, and covenant economics</t>
        </is>
      </c>
      <c r="C58" s="27" t="inlineStr">
        <is>
          <t>Refinancing alternatives</t>
        </is>
      </c>
      <c r="D58" s="27" t="inlineStr">
        <is>
          <t>Keep existing</t>
        </is>
      </c>
      <c r="E58" s="27" t="inlineStr">
        <is>
          <t>2026-07-31</t>
        </is>
      </c>
      <c r="F58" s="27" t="inlineStr">
        <is>
          <t>Approved case</t>
        </is>
      </c>
      <c r="G58" s="27" t="inlineStr">
        <is>
          <t>Credit spread or fixed rate</t>
        </is>
      </c>
      <c r="H58" s="46" t="n">
        <v>0.028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TRY-00589</t>
        </is>
      </c>
      <c r="B59" s="27" t="inlineStr">
        <is>
          <t>Refinancing, hedge, and covenant economics</t>
        </is>
      </c>
      <c r="C59" s="27" t="inlineStr">
        <is>
          <t>Refinancing alternatives</t>
        </is>
      </c>
      <c r="D59" s="27" t="inlineStr">
        <is>
          <t>Keep existing</t>
        </is>
      </c>
      <c r="E59" s="27" t="inlineStr">
        <is>
          <t>2026-07-31</t>
        </is>
      </c>
      <c r="F59" s="27" t="inlineStr">
        <is>
          <t>Approved case</t>
        </is>
      </c>
      <c r="G59" s="27" t="inlineStr">
        <is>
          <t>Upfront fee percent</t>
        </is>
      </c>
      <c r="H59" s="46" t="n">
        <v>0</v>
      </c>
      <c r="I59" s="27" t="inlineStr"/>
      <c r="J59" s="27" t="inlineStr">
        <is>
          <t>decimal ratio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TRY-00590</t>
        </is>
      </c>
      <c r="B60" s="27" t="inlineStr">
        <is>
          <t>Refinancing, hedge, and covenant economics</t>
        </is>
      </c>
      <c r="C60" s="27" t="inlineStr">
        <is>
          <t>Refinancing alternatives</t>
        </is>
      </c>
      <c r="D60" s="27" t="inlineStr">
        <is>
          <t>Keep existing</t>
        </is>
      </c>
      <c r="E60" s="27" t="inlineStr">
        <is>
          <t>2026-07-31</t>
        </is>
      </c>
      <c r="F60" s="27" t="inlineStr">
        <is>
          <t>Approved case</t>
        </is>
      </c>
      <c r="G60" s="27" t="inlineStr">
        <is>
          <t>Other closing costs</t>
        </is>
      </c>
      <c r="H60" s="46" t="n">
        <v>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TRY-00591</t>
        </is>
      </c>
      <c r="B61" s="27" t="inlineStr">
        <is>
          <t>Refinancing, hedge, and covenant economics</t>
        </is>
      </c>
      <c r="C61" s="27" t="inlineStr">
        <is>
          <t>Refinancing alternatives</t>
        </is>
      </c>
      <c r="D61" s="27" t="inlineStr">
        <is>
          <t>Keep existing</t>
        </is>
      </c>
      <c r="E61" s="27" t="inlineStr">
        <is>
          <t>2026-07-31</t>
        </is>
      </c>
      <c r="F61" s="27" t="inlineStr">
        <is>
          <t>Approved case</t>
        </is>
      </c>
      <c r="G61" s="27" t="inlineStr">
        <is>
          <t>Term years</t>
        </is>
      </c>
      <c r="H61" s="46" t="n">
        <v>4</v>
      </c>
      <c r="I61" s="27" t="inlineStr"/>
      <c r="J61" s="27" t="inlineStr">
        <is>
          <t>years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TRY-00592</t>
        </is>
      </c>
      <c r="B62" s="27" t="inlineStr">
        <is>
          <t>Refinancing, hedge, and covenant economics</t>
        </is>
      </c>
      <c r="C62" s="27" t="inlineStr">
        <is>
          <t>Refinancing alternatives</t>
        </is>
      </c>
      <c r="D62" s="27" t="inlineStr">
        <is>
          <t>Keep existing</t>
        </is>
      </c>
      <c r="E62" s="27" t="inlineStr">
        <is>
          <t>2026-07-31</t>
        </is>
      </c>
      <c r="F62" s="27" t="inlineStr">
        <is>
          <t>Approved case</t>
        </is>
      </c>
      <c r="G62" s="27" t="inlineStr">
        <is>
          <t>Rate basis</t>
        </is>
      </c>
      <c r="H62" s="46" t="inlineStr"/>
      <c r="I62" s="27" t="inlineStr">
        <is>
          <t>Floating</t>
        </is>
      </c>
      <c r="J62" s="27" t="inlineStr">
        <is>
          <t>classification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TRY-00593</t>
        </is>
      </c>
      <c r="B63" s="27" t="inlineStr">
        <is>
          <t>Refinancing, hedge, and covenant economics</t>
        </is>
      </c>
      <c r="C63" s="27" t="inlineStr">
        <is>
          <t>Refinancing alternatives</t>
        </is>
      </c>
      <c r="D63" s="27" t="inlineStr">
        <is>
          <t>Term loan A</t>
        </is>
      </c>
      <c r="E63" s="27" t="inlineStr">
        <is>
          <t>2026-07-31</t>
        </is>
      </c>
      <c r="F63" s="27" t="inlineStr">
        <is>
          <t>Approved case</t>
        </is>
      </c>
      <c r="G63" s="27" t="inlineStr">
        <is>
          <t>Opening principal</t>
        </is>
      </c>
      <c r="H63" s="46" t="n">
        <v>6800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TRY-00594</t>
        </is>
      </c>
      <c r="B64" s="27" t="inlineStr">
        <is>
          <t>Refinancing, hedge, and covenant economics</t>
        </is>
      </c>
      <c r="C64" s="27" t="inlineStr">
        <is>
          <t>Refinancing alternatives</t>
        </is>
      </c>
      <c r="D64" s="27" t="inlineStr">
        <is>
          <t>Term loan A</t>
        </is>
      </c>
      <c r="E64" s="27" t="inlineStr">
        <is>
          <t>2026-07-31</t>
        </is>
      </c>
      <c r="F64" s="27" t="inlineStr">
        <is>
          <t>Approved case</t>
        </is>
      </c>
      <c r="G64" s="27" t="inlineStr">
        <is>
          <t>SOFR floor</t>
        </is>
      </c>
      <c r="H64" s="46" t="n">
        <v>0.05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TRY-00595</t>
        </is>
      </c>
      <c r="B65" s="27" t="inlineStr">
        <is>
          <t>Refinancing, hedge, and covenant economics</t>
        </is>
      </c>
      <c r="C65" s="27" t="inlineStr">
        <is>
          <t>Refinancing alternatives</t>
        </is>
      </c>
      <c r="D65" s="27" t="inlineStr">
        <is>
          <t>Term loan A</t>
        </is>
      </c>
      <c r="E65" s="27" t="inlineStr">
        <is>
          <t>2026-07-31</t>
        </is>
      </c>
      <c r="F65" s="27" t="inlineStr">
        <is>
          <t>Approved case</t>
        </is>
      </c>
      <c r="G65" s="27" t="inlineStr">
        <is>
          <t>Credit spread or fixed rate</t>
        </is>
      </c>
      <c r="H65" s="46" t="n">
        <v>0.0225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TRY-00596</t>
        </is>
      </c>
      <c r="B66" s="27" t="inlineStr">
        <is>
          <t>Refinancing, hedge, and covenant economics</t>
        </is>
      </c>
      <c r="C66" s="27" t="inlineStr">
        <is>
          <t>Refinancing alternatives</t>
        </is>
      </c>
      <c r="D66" s="27" t="inlineStr">
        <is>
          <t>Term loan A</t>
        </is>
      </c>
      <c r="E66" s="27" t="inlineStr">
        <is>
          <t>2026-07-31</t>
        </is>
      </c>
      <c r="F66" s="27" t="inlineStr">
        <is>
          <t>Approved case</t>
        </is>
      </c>
      <c r="G66" s="27" t="inlineStr">
        <is>
          <t>Upfront fee percent</t>
        </is>
      </c>
      <c r="H66" s="46" t="n">
        <v>0.0125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TRY-00597</t>
        </is>
      </c>
      <c r="B67" s="27" t="inlineStr">
        <is>
          <t>Refinancing, hedge, and covenant economics</t>
        </is>
      </c>
      <c r="C67" s="27" t="inlineStr">
        <is>
          <t>Refinancing alternatives</t>
        </is>
      </c>
      <c r="D67" s="27" t="inlineStr">
        <is>
          <t>Term loan A</t>
        </is>
      </c>
      <c r="E67" s="27" t="inlineStr">
        <is>
          <t>2026-07-31</t>
        </is>
      </c>
      <c r="F67" s="27" t="inlineStr">
        <is>
          <t>Approved case</t>
        </is>
      </c>
      <c r="G67" s="27" t="inlineStr">
        <is>
          <t>Other closing costs</t>
        </is>
      </c>
      <c r="H67" s="46" t="n">
        <v>95</v>
      </c>
      <c r="I67" s="27" t="inlineStr"/>
      <c r="J67" s="27" t="inlineStr">
        <is>
          <t>USD thousands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TRY-00598</t>
        </is>
      </c>
      <c r="B68" s="27" t="inlineStr">
        <is>
          <t>Refinancing, hedge, and covenant economics</t>
        </is>
      </c>
      <c r="C68" s="27" t="inlineStr">
        <is>
          <t>Refinancing alternatives</t>
        </is>
      </c>
      <c r="D68" s="27" t="inlineStr">
        <is>
          <t>Term loan A</t>
        </is>
      </c>
      <c r="E68" s="27" t="inlineStr">
        <is>
          <t>2026-07-31</t>
        </is>
      </c>
      <c r="F68" s="27" t="inlineStr">
        <is>
          <t>Approved case</t>
        </is>
      </c>
      <c r="G68" s="27" t="inlineStr">
        <is>
          <t>Term years</t>
        </is>
      </c>
      <c r="H68" s="46" t="n">
        <v>5</v>
      </c>
      <c r="I68" s="27" t="inlineStr"/>
      <c r="J68" s="27" t="inlineStr">
        <is>
          <t>years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TRY-00599</t>
        </is>
      </c>
      <c r="B69" s="27" t="inlineStr">
        <is>
          <t>Refinancing, hedge, and covenant economics</t>
        </is>
      </c>
      <c r="C69" s="27" t="inlineStr">
        <is>
          <t>Refinancing alternatives</t>
        </is>
      </c>
      <c r="D69" s="27" t="inlineStr">
        <is>
          <t>Term loan A</t>
        </is>
      </c>
      <c r="E69" s="27" t="inlineStr">
        <is>
          <t>2026-07-31</t>
        </is>
      </c>
      <c r="F69" s="27" t="inlineStr">
        <is>
          <t>Approved case</t>
        </is>
      </c>
      <c r="G69" s="27" t="inlineStr">
        <is>
          <t>Rate basis</t>
        </is>
      </c>
      <c r="H69" s="46" t="inlineStr"/>
      <c r="I69" s="27" t="inlineStr">
        <is>
          <t>Floating</t>
        </is>
      </c>
      <c r="J69" s="27" t="inlineStr">
        <is>
          <t>classification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TRY-00600</t>
        </is>
      </c>
      <c r="B70" s="27" t="inlineStr">
        <is>
          <t>Refinancing, hedge, and covenant economics</t>
        </is>
      </c>
      <c r="C70" s="27" t="inlineStr">
        <is>
          <t>Refinancing alternatives</t>
        </is>
      </c>
      <c r="D70" s="27" t="inlineStr">
        <is>
          <t>Term loan B plus swap</t>
        </is>
      </c>
      <c r="E70" s="27" t="inlineStr">
        <is>
          <t>2026-07-31</t>
        </is>
      </c>
      <c r="F70" s="27" t="inlineStr">
        <is>
          <t>Approved case</t>
        </is>
      </c>
      <c r="G70" s="27" t="inlineStr">
        <is>
          <t>Opening principal</t>
        </is>
      </c>
      <c r="H70" s="46" t="n">
        <v>6800000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TRY-00601</t>
        </is>
      </c>
      <c r="B71" s="27" t="inlineStr">
        <is>
          <t>Refinancing, hedge, and covenant economics</t>
        </is>
      </c>
      <c r="C71" s="27" t="inlineStr">
        <is>
          <t>Refinancing alternatives</t>
        </is>
      </c>
      <c r="D71" s="27" t="inlineStr">
        <is>
          <t>Term loan B plus swap</t>
        </is>
      </c>
      <c r="E71" s="27" t="inlineStr">
        <is>
          <t>2026-07-31</t>
        </is>
      </c>
      <c r="F71" s="27" t="inlineStr">
        <is>
          <t>Approved case</t>
        </is>
      </c>
      <c r="G71" s="27" t="inlineStr">
        <is>
          <t>SOFR floor</t>
        </is>
      </c>
      <c r="H71" s="46" t="n">
        <v>0</v>
      </c>
      <c r="I71" s="27" t="inlineStr"/>
      <c r="J71" s="27" t="inlineStr">
        <is>
          <t>decimal ratio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TRY-00602</t>
        </is>
      </c>
      <c r="B72" s="27" t="inlineStr">
        <is>
          <t>Refinancing, hedge, and covenant economics</t>
        </is>
      </c>
      <c r="C72" s="27" t="inlineStr">
        <is>
          <t>Refinancing alternatives</t>
        </is>
      </c>
      <c r="D72" s="27" t="inlineStr">
        <is>
          <t>Term loan B plus swap</t>
        </is>
      </c>
      <c r="E72" s="27" t="inlineStr">
        <is>
          <t>2026-07-31</t>
        </is>
      </c>
      <c r="F72" s="27" t="inlineStr">
        <is>
          <t>Approved case</t>
        </is>
      </c>
      <c r="G72" s="27" t="inlineStr">
        <is>
          <t>Credit spread or fixed rate</t>
        </is>
      </c>
      <c r="H72" s="46" t="n">
        <v>0.07099999999999999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TRY-00603</t>
        </is>
      </c>
      <c r="B73" s="27" t="inlineStr">
        <is>
          <t>Refinancing, hedge, and covenant economics</t>
        </is>
      </c>
      <c r="C73" s="27" t="inlineStr">
        <is>
          <t>Refinancing alternatives</t>
        </is>
      </c>
      <c r="D73" s="27" t="inlineStr">
        <is>
          <t>Term loan B plus swap</t>
        </is>
      </c>
      <c r="E73" s="27" t="inlineStr">
        <is>
          <t>2026-07-31</t>
        </is>
      </c>
      <c r="F73" s="27" t="inlineStr">
        <is>
          <t>Approved case</t>
        </is>
      </c>
      <c r="G73" s="27" t="inlineStr">
        <is>
          <t>Upfront fee percent</t>
        </is>
      </c>
      <c r="H73" s="46" t="n">
        <v>0.0075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TRY-00604</t>
        </is>
      </c>
      <c r="B74" s="27" t="inlineStr">
        <is>
          <t>Refinancing, hedge, and covenant economics</t>
        </is>
      </c>
      <c r="C74" s="27" t="inlineStr">
        <is>
          <t>Refinancing alternatives</t>
        </is>
      </c>
      <c r="D74" s="27" t="inlineStr">
        <is>
          <t>Term loan B plus swap</t>
        </is>
      </c>
      <c r="E74" s="27" t="inlineStr">
        <is>
          <t>2026-07-31</t>
        </is>
      </c>
      <c r="F74" s="27" t="inlineStr">
        <is>
          <t>Approved case</t>
        </is>
      </c>
      <c r="G74" s="27" t="inlineStr">
        <is>
          <t>Other closing costs</t>
        </is>
      </c>
      <c r="H74" s="46" t="n">
        <v>145000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TRY-00605</t>
        </is>
      </c>
      <c r="B75" s="27" t="inlineStr">
        <is>
          <t>Refinancing, hedge, and covenant economics</t>
        </is>
      </c>
      <c r="C75" s="27" t="inlineStr">
        <is>
          <t>Refinancing alternatives</t>
        </is>
      </c>
      <c r="D75" s="27" t="inlineStr">
        <is>
          <t>Term loan B plus swap</t>
        </is>
      </c>
      <c r="E75" s="27" t="inlineStr">
        <is>
          <t>2026-07-31</t>
        </is>
      </c>
      <c r="F75" s="27" t="inlineStr">
        <is>
          <t>Approved case</t>
        </is>
      </c>
      <c r="G75" s="27" t="inlineStr">
        <is>
          <t>Term years</t>
        </is>
      </c>
      <c r="H75" s="46" t="n">
        <v>5</v>
      </c>
      <c r="I75" s="27" t="inlineStr"/>
      <c r="J75" s="27" t="inlineStr">
        <is>
          <t>years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TRY-00606</t>
        </is>
      </c>
      <c r="B76" s="27" t="inlineStr">
        <is>
          <t>Refinancing, hedge, and covenant economics</t>
        </is>
      </c>
      <c r="C76" s="27" t="inlineStr">
        <is>
          <t>Refinancing alternatives</t>
        </is>
      </c>
      <c r="D76" s="27" t="inlineStr">
        <is>
          <t>Term loan B plus swap</t>
        </is>
      </c>
      <c r="E76" s="27" t="inlineStr">
        <is>
          <t>2026-07-31</t>
        </is>
      </c>
      <c r="F76" s="27" t="inlineStr">
        <is>
          <t>Approved case</t>
        </is>
      </c>
      <c r="G76" s="27" t="inlineStr">
        <is>
          <t>Rate basis</t>
        </is>
      </c>
      <c r="H76" s="46" t="inlineStr"/>
      <c r="I76" s="27" t="inlineStr">
        <is>
          <t>Fixed</t>
        </is>
      </c>
      <c r="J76" s="27" t="inlineStr">
        <is>
          <t>classification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TRY-00607</t>
        </is>
      </c>
      <c r="B77" s="27" t="inlineStr">
        <is>
          <t>Refinancing, hedge, and covenant economics</t>
        </is>
      </c>
      <c r="C77" s="27" t="inlineStr">
        <is>
          <t>Rate cases</t>
        </is>
      </c>
      <c r="D77" s="27" t="inlineStr">
        <is>
          <t>SOFR</t>
        </is>
      </c>
      <c r="E77" s="27" t="inlineStr">
        <is>
          <t>Base</t>
        </is>
      </c>
      <c r="F77" s="27" t="inlineStr">
        <is>
          <t>Approved case</t>
        </is>
      </c>
      <c r="G77" s="27" t="inlineStr">
        <is>
          <t>Average forward rate</t>
        </is>
      </c>
      <c r="H77" s="46" t="n">
        <v>0.046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TRY-00608</t>
        </is>
      </c>
      <c r="B78" s="27" t="inlineStr">
        <is>
          <t>Refinancing, hedge, and covenant economics</t>
        </is>
      </c>
      <c r="C78" s="27" t="inlineStr">
        <is>
          <t>Rate cases</t>
        </is>
      </c>
      <c r="D78" s="27" t="inlineStr">
        <is>
          <t>SOFR</t>
        </is>
      </c>
      <c r="E78" s="27" t="inlineStr">
        <is>
          <t>Downside</t>
        </is>
      </c>
      <c r="F78" s="27" t="inlineStr">
        <is>
          <t>Approved case</t>
        </is>
      </c>
      <c r="G78" s="27" t="inlineStr">
        <is>
          <t>Average forward rate</t>
        </is>
      </c>
      <c r="H78" s="46" t="n">
        <v>0.0635</v>
      </c>
      <c r="I78" s="27" t="inlineStr"/>
      <c r="J78" s="27" t="inlineStr">
        <is>
          <t>decimal ratio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TRY-00609</t>
        </is>
      </c>
      <c r="B79" s="27" t="inlineStr">
        <is>
          <t>Refinancing, hedge, and covenant economics</t>
        </is>
      </c>
      <c r="C79" s="27" t="inlineStr">
        <is>
          <t>Refinancing decision policy</t>
        </is>
      </c>
      <c r="D79" s="27" t="inlineStr">
        <is>
          <t>Alder Ridge</t>
        </is>
      </c>
      <c r="E79" s="27" t="inlineStr">
        <is>
          <t>FY27</t>
        </is>
      </c>
      <c r="F79" s="27" t="inlineStr">
        <is>
          <t>Approved case</t>
        </is>
      </c>
      <c r="G79" s="27" t="inlineStr">
        <is>
          <t>Existing prepayment penalty</t>
        </is>
      </c>
      <c r="H79" s="46" t="n">
        <v>0.015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TRY-00610</t>
        </is>
      </c>
      <c r="B80" s="27" t="inlineStr">
        <is>
          <t>Refinancing, hedge, and covenant economics</t>
        </is>
      </c>
      <c r="C80" s="27" t="inlineStr">
        <is>
          <t>Refinancing decision policy</t>
        </is>
      </c>
      <c r="D80" s="27" t="inlineStr">
        <is>
          <t>Alder Ridge</t>
        </is>
      </c>
      <c r="E80" s="27" t="inlineStr">
        <is>
          <t>FY27</t>
        </is>
      </c>
      <c r="F80" s="27" t="inlineStr">
        <is>
          <t>Approved case</t>
        </is>
      </c>
      <c r="G80" s="27" t="inlineStr">
        <is>
          <t>Unamortized existing fees</t>
        </is>
      </c>
      <c r="H80" s="46" t="n">
        <v>72000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TRY-00611</t>
        </is>
      </c>
      <c r="B81" s="27" t="inlineStr">
        <is>
          <t>Refinancing, hedge, and covenant economics</t>
        </is>
      </c>
      <c r="C81" s="27" t="inlineStr">
        <is>
          <t>Refinancing decision policy</t>
        </is>
      </c>
      <c r="D81" s="27" t="inlineStr">
        <is>
          <t>Alder Ridge</t>
        </is>
      </c>
      <c r="E81" s="27" t="inlineStr">
        <is>
          <t>FY27</t>
        </is>
      </c>
      <c r="F81" s="27" t="inlineStr">
        <is>
          <t>Approved case</t>
        </is>
      </c>
      <c r="G81" s="27" t="inlineStr">
        <is>
          <t>Covenant EBITDA</t>
        </is>
      </c>
      <c r="H81" s="46" t="n">
        <v>5250000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TRY-00612</t>
        </is>
      </c>
      <c r="B82" s="27" t="inlineStr">
        <is>
          <t>Refinancing, hedge, and covenant economics</t>
        </is>
      </c>
      <c r="C82" s="27" t="inlineStr">
        <is>
          <t>Refinancing decision policy</t>
        </is>
      </c>
      <c r="D82" s="27" t="inlineStr">
        <is>
          <t>Alder Ridge</t>
        </is>
      </c>
      <c r="E82" s="27" t="inlineStr">
        <is>
          <t>FY27</t>
        </is>
      </c>
      <c r="F82" s="27" t="inlineStr">
        <is>
          <t>Approved case</t>
        </is>
      </c>
      <c r="G82" s="27" t="inlineStr">
        <is>
          <t>Maximum leverage</t>
        </is>
      </c>
      <c r="H82" s="46" t="n">
        <v>2.25</v>
      </c>
      <c r="I82" s="27" t="inlineStr"/>
      <c r="J82" s="27" t="inlineStr">
        <is>
          <t>multiple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TRY-00613</t>
        </is>
      </c>
      <c r="B83" s="27" t="inlineStr">
        <is>
          <t>Refinancing, hedge, and covenant economics</t>
        </is>
      </c>
      <c r="C83" s="27" t="inlineStr">
        <is>
          <t>Refinancing decision policy</t>
        </is>
      </c>
      <c r="D83" s="27" t="inlineStr">
        <is>
          <t>Alder Ridge</t>
        </is>
      </c>
      <c r="E83" s="27" t="inlineStr">
        <is>
          <t>FY27</t>
        </is>
      </c>
      <c r="F83" s="27" t="inlineStr">
        <is>
          <t>Approved case</t>
        </is>
      </c>
      <c r="G83" s="27" t="inlineStr">
        <is>
          <t>Minimum fixed charge coverage</t>
        </is>
      </c>
      <c r="H83" s="46" t="n">
        <v>1.35</v>
      </c>
      <c r="I83" s="27" t="inlineStr"/>
      <c r="J83" s="27" t="inlineStr">
        <is>
          <t>multiple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TRY-00614</t>
        </is>
      </c>
      <c r="B84" s="27" t="inlineStr">
        <is>
          <t>Refinancing, hedge, and covenant economics</t>
        </is>
      </c>
      <c r="C84" s="27" t="inlineStr">
        <is>
          <t>Refinancing decision policy</t>
        </is>
      </c>
      <c r="D84" s="27" t="inlineStr">
        <is>
          <t>Alder Ridge</t>
        </is>
      </c>
      <c r="E84" s="27" t="inlineStr">
        <is>
          <t>FY27</t>
        </is>
      </c>
      <c r="F84" s="27" t="inlineStr">
        <is>
          <t>Approved case</t>
        </is>
      </c>
      <c r="G84" s="27" t="inlineStr">
        <is>
          <t>Annual fixed charges excluding interest</t>
        </is>
      </c>
      <c r="H84" s="46" t="n">
        <v>2100000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TRY-00615</t>
        </is>
      </c>
      <c r="B85" s="27" t="inlineStr">
        <is>
          <t>Refinancing, hedge, and covenant economics</t>
        </is>
      </c>
      <c r="C85" s="27" t="inlineStr">
        <is>
          <t>Refinancing decision policy</t>
        </is>
      </c>
      <c r="D85" s="27" t="inlineStr">
        <is>
          <t>Alder Ridge</t>
        </is>
      </c>
      <c r="E85" s="27" t="inlineStr">
        <is>
          <t>FY27</t>
        </is>
      </c>
      <c r="F85" s="27" t="inlineStr">
        <is>
          <t>Approved case</t>
        </is>
      </c>
      <c r="G85" s="27" t="inlineStr">
        <is>
          <t>Annual principal amortization percent</t>
        </is>
      </c>
      <c r="H85" s="46" t="n">
        <v>0.1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TRY-00616</t>
        </is>
      </c>
      <c r="B86" s="27" t="inlineStr">
        <is>
          <t>Refinancing, hedge, and covenant economics</t>
        </is>
      </c>
      <c r="C86" s="27" t="inlineStr">
        <is>
          <t>Refinancing decision policy</t>
        </is>
      </c>
      <c r="D86" s="27" t="inlineStr">
        <is>
          <t>Alder Ridge</t>
        </is>
      </c>
      <c r="E86" s="27" t="inlineStr">
        <is>
          <t>FY27</t>
        </is>
      </c>
      <c r="F86" s="27" t="inlineStr">
        <is>
          <t>Approved case</t>
        </is>
      </c>
      <c r="G86" s="27" t="inlineStr">
        <is>
          <t>Tax rate</t>
        </is>
      </c>
      <c r="H86" s="46" t="n">
        <v>0.26</v>
      </c>
      <c r="I86" s="27" t="inlineStr"/>
      <c r="J86" s="27" t="inlineStr">
        <is>
          <t>decimal ratio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TRY-00617</t>
        </is>
      </c>
      <c r="B87" s="27" t="inlineStr">
        <is>
          <t>Refinancing, hedge, and covenant economics</t>
        </is>
      </c>
      <c r="C87" s="27" t="inlineStr">
        <is>
          <t>Refinancing decision policy</t>
        </is>
      </c>
      <c r="D87" s="27" t="inlineStr">
        <is>
          <t>Alder Ridge</t>
        </is>
      </c>
      <c r="E87" s="27" t="inlineStr">
        <is>
          <t>FY27</t>
        </is>
      </c>
      <c r="F87" s="27" t="inlineStr">
        <is>
          <t>Approved case</t>
        </is>
      </c>
      <c r="G87" s="27" t="inlineStr">
        <is>
          <t>Discount rate</t>
        </is>
      </c>
      <c r="H87" s="46" t="n">
        <v>0.08500000000000001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TRY-00632</t>
        </is>
      </c>
      <c r="B88" s="27" t="inlineStr">
        <is>
          <t>Refinancing, hedge, and covenant economics</t>
        </is>
      </c>
      <c r="C88" s="27" t="inlineStr">
        <is>
          <t>Approved SOFR term curve</t>
        </is>
      </c>
      <c r="D88" s="27" t="inlineStr">
        <is>
          <t>SOFR</t>
        </is>
      </c>
      <c r="E88" s="27" t="inlineStr">
        <is>
          <t>Year 1</t>
        </is>
      </c>
      <c r="F88" s="27" t="inlineStr">
        <is>
          <t>Approved case</t>
        </is>
      </c>
      <c r="G88" s="27" t="inlineStr">
        <is>
          <t>Base forward rate</t>
        </is>
      </c>
      <c r="H88" s="46" t="n">
        <v>0.046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TRY-00633</t>
        </is>
      </c>
      <c r="B89" s="27" t="inlineStr">
        <is>
          <t>Refinancing, hedge, and covenant economics</t>
        </is>
      </c>
      <c r="C89" s="27" t="inlineStr">
        <is>
          <t>Approved SOFR term curve</t>
        </is>
      </c>
      <c r="D89" s="27" t="inlineStr">
        <is>
          <t>SOFR</t>
        </is>
      </c>
      <c r="E89" s="27" t="inlineStr">
        <is>
          <t>Year 1</t>
        </is>
      </c>
      <c r="F89" s="27" t="inlineStr">
        <is>
          <t>Approved case</t>
        </is>
      </c>
      <c r="G89" s="27" t="inlineStr">
        <is>
          <t>Downside forward rate</t>
        </is>
      </c>
      <c r="H89" s="46" t="n">
        <v>0.0635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TRY-00634</t>
        </is>
      </c>
      <c r="B90" s="27" t="inlineStr">
        <is>
          <t>Refinancing, hedge, and covenant economics</t>
        </is>
      </c>
      <c r="C90" s="27" t="inlineStr">
        <is>
          <t>Approved SOFR term curve</t>
        </is>
      </c>
      <c r="D90" s="27" t="inlineStr">
        <is>
          <t>SOFR</t>
        </is>
      </c>
      <c r="E90" s="27" t="inlineStr">
        <is>
          <t>Year 2</t>
        </is>
      </c>
      <c r="F90" s="27" t="inlineStr">
        <is>
          <t>Approved case</t>
        </is>
      </c>
      <c r="G90" s="27" t="inlineStr">
        <is>
          <t>Base forward rate</t>
        </is>
      </c>
      <c r="H90" s="46" t="n">
        <v>0.0435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TRY-00635</t>
        </is>
      </c>
      <c r="B91" s="27" t="inlineStr">
        <is>
          <t>Refinancing, hedge, and covenant economics</t>
        </is>
      </c>
      <c r="C91" s="27" t="inlineStr">
        <is>
          <t>Approved SOFR term curve</t>
        </is>
      </c>
      <c r="D91" s="27" t="inlineStr">
        <is>
          <t>SOFR</t>
        </is>
      </c>
      <c r="E91" s="27" t="inlineStr">
        <is>
          <t>Year 2</t>
        </is>
      </c>
      <c r="F91" s="27" t="inlineStr">
        <is>
          <t>Approved case</t>
        </is>
      </c>
      <c r="G91" s="27" t="inlineStr">
        <is>
          <t>Downside forward rate</t>
        </is>
      </c>
      <c r="H91" s="46" t="n">
        <v>0.059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TRY-00636</t>
        </is>
      </c>
      <c r="B92" s="27" t="inlineStr">
        <is>
          <t>Refinancing, hedge, and covenant economics</t>
        </is>
      </c>
      <c r="C92" s="27" t="inlineStr">
        <is>
          <t>Approved SOFR term curve</t>
        </is>
      </c>
      <c r="D92" s="27" t="inlineStr">
        <is>
          <t>SOFR</t>
        </is>
      </c>
      <c r="E92" s="27" t="inlineStr">
        <is>
          <t>Year 3</t>
        </is>
      </c>
      <c r="F92" s="27" t="inlineStr">
        <is>
          <t>Approved case</t>
        </is>
      </c>
      <c r="G92" s="27" t="inlineStr">
        <is>
          <t>Base forward rate</t>
        </is>
      </c>
      <c r="H92" s="46" t="n">
        <v>0.041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TRY-00637</t>
        </is>
      </c>
      <c r="B93" s="27" t="inlineStr">
        <is>
          <t>Refinancing, hedge, and covenant economics</t>
        </is>
      </c>
      <c r="C93" s="27" t="inlineStr">
        <is>
          <t>Approved SOFR term curve</t>
        </is>
      </c>
      <c r="D93" s="27" t="inlineStr">
        <is>
          <t>SOFR</t>
        </is>
      </c>
      <c r="E93" s="27" t="inlineStr">
        <is>
          <t>Year 3</t>
        </is>
      </c>
      <c r="F93" s="27" t="inlineStr">
        <is>
          <t>Approved case</t>
        </is>
      </c>
      <c r="G93" s="27" t="inlineStr">
        <is>
          <t>Downside forward rate</t>
        </is>
      </c>
      <c r="H93" s="46" t="n">
        <v>0.055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TRY-00638</t>
        </is>
      </c>
      <c r="B94" s="27" t="inlineStr">
        <is>
          <t>Refinancing, hedge, and covenant economics</t>
        </is>
      </c>
      <c r="C94" s="27" t="inlineStr">
        <is>
          <t>Approved SOFR term curve</t>
        </is>
      </c>
      <c r="D94" s="27" t="inlineStr">
        <is>
          <t>SOFR</t>
        </is>
      </c>
      <c r="E94" s="27" t="inlineStr">
        <is>
          <t>Year 4</t>
        </is>
      </c>
      <c r="F94" s="27" t="inlineStr">
        <is>
          <t>Approved case</t>
        </is>
      </c>
      <c r="G94" s="27" t="inlineStr">
        <is>
          <t>Base forward rate</t>
        </is>
      </c>
      <c r="H94" s="46" t="n">
        <v>0.0395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TRY-00639</t>
        </is>
      </c>
      <c r="B95" s="27" t="inlineStr">
        <is>
          <t>Refinancing, hedge, and covenant economics</t>
        </is>
      </c>
      <c r="C95" s="27" t="inlineStr">
        <is>
          <t>Approved SOFR term curve</t>
        </is>
      </c>
      <c r="D95" s="27" t="inlineStr">
        <is>
          <t>SOFR</t>
        </is>
      </c>
      <c r="E95" s="27" t="inlineStr">
        <is>
          <t>Year 4</t>
        </is>
      </c>
      <c r="F95" s="27" t="inlineStr">
        <is>
          <t>Approved case</t>
        </is>
      </c>
      <c r="G95" s="27" t="inlineStr">
        <is>
          <t>Downside forward rate</t>
        </is>
      </c>
      <c r="H95" s="46" t="n">
        <v>0.0515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TRY-00640</t>
        </is>
      </c>
      <c r="B96" s="27" t="inlineStr">
        <is>
          <t>Refinancing, hedge, and covenant economics</t>
        </is>
      </c>
      <c r="C96" s="27" t="inlineStr">
        <is>
          <t>Approved SOFR term curve</t>
        </is>
      </c>
      <c r="D96" s="27" t="inlineStr">
        <is>
          <t>SOFR</t>
        </is>
      </c>
      <c r="E96" s="27" t="inlineStr">
        <is>
          <t>Year 5</t>
        </is>
      </c>
      <c r="F96" s="27" t="inlineStr">
        <is>
          <t>Approved case</t>
        </is>
      </c>
      <c r="G96" s="27" t="inlineStr">
        <is>
          <t>Base forward rate</t>
        </is>
      </c>
      <c r="H96" s="46" t="n">
        <v>0.038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TRY-00641</t>
        </is>
      </c>
      <c r="B97" s="27" t="inlineStr">
        <is>
          <t>Refinancing, hedge, and covenant economics</t>
        </is>
      </c>
      <c r="C97" s="27" t="inlineStr">
        <is>
          <t>Approved SOFR term curve</t>
        </is>
      </c>
      <c r="D97" s="27" t="inlineStr">
        <is>
          <t>SOFR</t>
        </is>
      </c>
      <c r="E97" s="27" t="inlineStr">
        <is>
          <t>Year 5</t>
        </is>
      </c>
      <c r="F97" s="27" t="inlineStr">
        <is>
          <t>Approved case</t>
        </is>
      </c>
      <c r="G97" s="27" t="inlineStr">
        <is>
          <t>Downside forward rate</t>
        </is>
      </c>
      <c r="H97" s="46" t="n">
        <v>0.049</v>
      </c>
      <c r="I97" s="27" t="inlineStr"/>
      <c r="J97" s="27" t="inlineStr">
        <is>
          <t>decimal ratio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TRY-00642</t>
        </is>
      </c>
      <c r="B98" s="27" t="inlineStr">
        <is>
          <t>Refinancing, hedge, and covenant economics</t>
        </is>
      </c>
      <c r="C98" s="27" t="inlineStr">
        <is>
          <t>Rate cap term sheet</t>
        </is>
      </c>
      <c r="D98" s="27" t="inlineStr">
        <is>
          <t>Term loan A</t>
        </is>
      </c>
      <c r="E98" s="27" t="inlineStr">
        <is>
          <t>Closing</t>
        </is>
      </c>
      <c r="F98" s="27" t="inlineStr">
        <is>
          <t>Approved case</t>
        </is>
      </c>
      <c r="G98" s="27" t="inlineStr">
        <is>
          <t>Term loan A cap strike</t>
        </is>
      </c>
      <c r="H98" s="46" t="n">
        <v>0.055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TRY-00643</t>
        </is>
      </c>
      <c r="B99" s="27" t="inlineStr">
        <is>
          <t>Refinancing, hedge, and covenant economics</t>
        </is>
      </c>
      <c r="C99" s="27" t="inlineStr">
        <is>
          <t>Rate cap term sheet</t>
        </is>
      </c>
      <c r="D99" s="27" t="inlineStr">
        <is>
          <t>Term loan A</t>
        </is>
      </c>
      <c r="E99" s="27" t="inlineStr">
        <is>
          <t>Closing</t>
        </is>
      </c>
      <c r="F99" s="27" t="inlineStr">
        <is>
          <t>Approved case</t>
        </is>
      </c>
      <c r="G99" s="27" t="inlineStr">
        <is>
          <t>Cap premium</t>
        </is>
      </c>
      <c r="H99" s="46" t="n">
        <v>118</v>
      </c>
      <c r="I99" s="27" t="inlineStr"/>
      <c r="J99" s="27" t="inlineStr">
        <is>
          <t>USD thousands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TRY-00644</t>
        </is>
      </c>
      <c r="B100" s="27" t="inlineStr">
        <is>
          <t>Refinancing, hedge, and covenant economics</t>
        </is>
      </c>
      <c r="C100" s="27" t="inlineStr">
        <is>
          <t>Rate cap term sheet</t>
        </is>
      </c>
      <c r="D100" s="27" t="inlineStr">
        <is>
          <t>Term loan A</t>
        </is>
      </c>
      <c r="E100" s="27" t="inlineStr">
        <is>
          <t>Closing</t>
        </is>
      </c>
      <c r="F100" s="27" t="inlineStr">
        <is>
          <t>Approved case</t>
        </is>
      </c>
      <c r="G100" s="27" t="inlineStr">
        <is>
          <t>Cap term years</t>
        </is>
      </c>
      <c r="H100" s="46" t="n">
        <v>3</v>
      </c>
      <c r="I100" s="27" t="inlineStr"/>
      <c r="J100" s="27" t="inlineStr">
        <is>
          <t>years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TRY-00651</t>
        </is>
      </c>
      <c r="B101" s="27" t="inlineStr">
        <is>
          <t>Layered FX hedge plan</t>
        </is>
      </c>
      <c r="C101" s="27" t="inlineStr">
        <is>
          <t>Committed FX exposures</t>
        </is>
      </c>
      <c r="D101" s="27" t="inlineStr">
        <is>
          <t>EUR equipment</t>
        </is>
      </c>
      <c r="E101" s="27" t="inlineStr">
        <is>
          <t>FY27</t>
        </is>
      </c>
      <c r="F101" s="27" t="inlineStr">
        <is>
          <t>Approved case</t>
        </is>
      </c>
      <c r="G101" s="27" t="inlineStr">
        <is>
          <t>Foreign currency payable</t>
        </is>
      </c>
      <c r="H101" s="46" t="n">
        <v>3200000</v>
      </c>
      <c r="I101" s="27" t="inlineStr"/>
      <c r="J101" s="27" t="inlineStr">
        <is>
          <t>foreign currency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TRY-00652</t>
        </is>
      </c>
      <c r="B102" s="27" t="inlineStr">
        <is>
          <t>Layered FX hedge plan</t>
        </is>
      </c>
      <c r="C102" s="27" t="inlineStr">
        <is>
          <t>Committed FX exposures</t>
        </is>
      </c>
      <c r="D102" s="27" t="inlineStr">
        <is>
          <t>EUR equipment</t>
        </is>
      </c>
      <c r="E102" s="27" t="inlineStr">
        <is>
          <t>FY27</t>
        </is>
      </c>
      <c r="F102" s="27" t="inlineStr">
        <is>
          <t>Approved case</t>
        </is>
      </c>
      <c r="G102" s="27" t="inlineStr">
        <is>
          <t>Budget USD rate</t>
        </is>
      </c>
      <c r="H102" s="46" t="n">
        <v>1.095</v>
      </c>
      <c r="I102" s="27" t="inlineStr"/>
      <c r="J102" s="27" t="inlineStr">
        <is>
          <t>USD per foreign unit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TRY-00653</t>
        </is>
      </c>
      <c r="B103" s="27" t="inlineStr">
        <is>
          <t>Layered FX hedge plan</t>
        </is>
      </c>
      <c r="C103" s="27" t="inlineStr">
        <is>
          <t>Committed FX exposures</t>
        </is>
      </c>
      <c r="D103" s="27" t="inlineStr">
        <is>
          <t>EUR equipment</t>
        </is>
      </c>
      <c r="E103" s="27" t="inlineStr">
        <is>
          <t>FY27</t>
        </is>
      </c>
      <c r="F103" s="27" t="inlineStr">
        <is>
          <t>Approved case</t>
        </is>
      </c>
      <c r="G103" s="27" t="inlineStr">
        <is>
          <t>Forward USD rate</t>
        </is>
      </c>
      <c r="H103" s="46" t="n">
        <v>1.135</v>
      </c>
      <c r="I103" s="27" t="inlineStr"/>
      <c r="J103" s="27" t="inlineStr">
        <is>
          <t>USD per foreign unit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TRY-00654</t>
        </is>
      </c>
      <c r="B104" s="27" t="inlineStr">
        <is>
          <t>Layered FX hedge plan</t>
        </is>
      </c>
      <c r="C104" s="27" t="inlineStr">
        <is>
          <t>Committed FX exposures</t>
        </is>
      </c>
      <c r="D104" s="27" t="inlineStr">
        <is>
          <t>EUR equipment</t>
        </is>
      </c>
      <c r="E104" s="27" t="inlineStr">
        <is>
          <t>FY27</t>
        </is>
      </c>
      <c r="F104" s="27" t="inlineStr">
        <is>
          <t>Approved case</t>
        </is>
      </c>
      <c r="G104" s="27" t="inlineStr">
        <is>
          <t>Downside USD rate</t>
        </is>
      </c>
      <c r="H104" s="46" t="n">
        <v>1.04</v>
      </c>
      <c r="I104" s="27" t="inlineStr"/>
      <c r="J104" s="27" t="inlineStr">
        <is>
          <t>USD per foreign unit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TRY-00655</t>
        </is>
      </c>
      <c r="B105" s="27" t="inlineStr">
        <is>
          <t>Layered FX hedge plan</t>
        </is>
      </c>
      <c r="C105" s="27" t="inlineStr">
        <is>
          <t>Committed FX exposures</t>
        </is>
      </c>
      <c r="D105" s="27" t="inlineStr">
        <is>
          <t>EUR equipment</t>
        </is>
      </c>
      <c r="E105" s="27" t="inlineStr">
        <is>
          <t>FY27</t>
        </is>
      </c>
      <c r="F105" s="27" t="inlineStr">
        <is>
          <t>Approved case</t>
        </is>
      </c>
      <c r="G105" s="27" t="inlineStr">
        <is>
          <t>Currency</t>
        </is>
      </c>
      <c r="H105" s="46" t="inlineStr"/>
      <c r="I105" s="27" t="inlineStr">
        <is>
          <t>EUR</t>
        </is>
      </c>
      <c r="J105" s="27" t="inlineStr">
        <is>
          <t>classification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TRY-00656</t>
        </is>
      </c>
      <c r="B106" s="27" t="inlineStr">
        <is>
          <t>Layered FX hedge plan</t>
        </is>
      </c>
      <c r="C106" s="27" t="inlineStr">
        <is>
          <t>Committed FX exposures</t>
        </is>
      </c>
      <c r="D106" s="27" t="inlineStr">
        <is>
          <t>CAD components</t>
        </is>
      </c>
      <c r="E106" s="27" t="inlineStr">
        <is>
          <t>FY27</t>
        </is>
      </c>
      <c r="F106" s="27" t="inlineStr">
        <is>
          <t>Approved case</t>
        </is>
      </c>
      <c r="G106" s="27" t="inlineStr">
        <is>
          <t>Foreign currency payable</t>
        </is>
      </c>
      <c r="H106" s="46" t="n">
        <v>2450000</v>
      </c>
      <c r="I106" s="27" t="inlineStr"/>
      <c r="J106" s="27" t="inlineStr">
        <is>
          <t>foreign currency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TRY-00657</t>
        </is>
      </c>
      <c r="B107" s="27" t="inlineStr">
        <is>
          <t>Layered FX hedge plan</t>
        </is>
      </c>
      <c r="C107" s="27" t="inlineStr">
        <is>
          <t>Committed FX exposures</t>
        </is>
      </c>
      <c r="D107" s="27" t="inlineStr">
        <is>
          <t>CAD components</t>
        </is>
      </c>
      <c r="E107" s="27" t="inlineStr">
        <is>
          <t>FY27</t>
        </is>
      </c>
      <c r="F107" s="27" t="inlineStr">
        <is>
          <t>Approved case</t>
        </is>
      </c>
      <c r="G107" s="27" t="inlineStr">
        <is>
          <t>Budget USD rate</t>
        </is>
      </c>
      <c r="H107" s="46" t="n">
        <v>0.735</v>
      </c>
      <c r="I107" s="27" t="inlineStr"/>
      <c r="J107" s="27" t="inlineStr">
        <is>
          <t>USD per foreign unit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TRY-00658</t>
        </is>
      </c>
      <c r="B108" s="27" t="inlineStr">
        <is>
          <t>Layered FX hedge plan</t>
        </is>
      </c>
      <c r="C108" s="27" t="inlineStr">
        <is>
          <t>Committed FX exposures</t>
        </is>
      </c>
      <c r="D108" s="27" t="inlineStr">
        <is>
          <t>CAD components</t>
        </is>
      </c>
      <c r="E108" s="27" t="inlineStr">
        <is>
          <t>FY27</t>
        </is>
      </c>
      <c r="F108" s="27" t="inlineStr">
        <is>
          <t>Approved case</t>
        </is>
      </c>
      <c r="G108" s="27" t="inlineStr">
        <is>
          <t>Forward USD rate</t>
        </is>
      </c>
      <c r="H108" s="46" t="n">
        <v>0.76</v>
      </c>
      <c r="I108" s="27" t="inlineStr"/>
      <c r="J108" s="27" t="inlineStr">
        <is>
          <t>USD per foreign unit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TRY-00659</t>
        </is>
      </c>
      <c r="B109" s="27" t="inlineStr">
        <is>
          <t>Layered FX hedge plan</t>
        </is>
      </c>
      <c r="C109" s="27" t="inlineStr">
        <is>
          <t>Committed FX exposures</t>
        </is>
      </c>
      <c r="D109" s="27" t="inlineStr">
        <is>
          <t>CAD components</t>
        </is>
      </c>
      <c r="E109" s="27" t="inlineStr">
        <is>
          <t>FY27</t>
        </is>
      </c>
      <c r="F109" s="27" t="inlineStr">
        <is>
          <t>Approved case</t>
        </is>
      </c>
      <c r="G109" s="27" t="inlineStr">
        <is>
          <t>Downside USD rate</t>
        </is>
      </c>
      <c r="H109" s="46" t="n">
        <v>0.695</v>
      </c>
      <c r="I109" s="27" t="inlineStr"/>
      <c r="J109" s="27" t="inlineStr">
        <is>
          <t>USD per foreign unit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TRY-00660</t>
        </is>
      </c>
      <c r="B110" s="27" t="inlineStr">
        <is>
          <t>Layered FX hedge plan</t>
        </is>
      </c>
      <c r="C110" s="27" t="inlineStr">
        <is>
          <t>Committed FX exposures</t>
        </is>
      </c>
      <c r="D110" s="27" t="inlineStr">
        <is>
          <t>CAD components</t>
        </is>
      </c>
      <c r="E110" s="27" t="inlineStr">
        <is>
          <t>FY27</t>
        </is>
      </c>
      <c r="F110" s="27" t="inlineStr">
        <is>
          <t>Approved case</t>
        </is>
      </c>
      <c r="G110" s="27" t="inlineStr">
        <is>
          <t>Currency</t>
        </is>
      </c>
      <c r="H110" s="46" t="inlineStr"/>
      <c r="I110" s="27" t="inlineStr">
        <is>
          <t>CAD</t>
        </is>
      </c>
      <c r="J110" s="27" t="inlineStr">
        <is>
          <t>classification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TRY-00661</t>
        </is>
      </c>
      <c r="B111" s="27" t="inlineStr">
        <is>
          <t>Layered FX hedge plan</t>
        </is>
      </c>
      <c r="C111" s="27" t="inlineStr">
        <is>
          <t>Committed FX exposures</t>
        </is>
      </c>
      <c r="D111" s="27" t="inlineStr">
        <is>
          <t>GBP software</t>
        </is>
      </c>
      <c r="E111" s="27" t="inlineStr">
        <is>
          <t>FY27</t>
        </is>
      </c>
      <c r="F111" s="27" t="inlineStr">
        <is>
          <t>Approved case</t>
        </is>
      </c>
      <c r="G111" s="27" t="inlineStr">
        <is>
          <t>Foreign currency payable</t>
        </is>
      </c>
      <c r="H111" s="46" t="n">
        <v>820000</v>
      </c>
      <c r="I111" s="27" t="inlineStr"/>
      <c r="J111" s="27" t="inlineStr">
        <is>
          <t>foreign currency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TRY-00662</t>
        </is>
      </c>
      <c r="B112" s="27" t="inlineStr">
        <is>
          <t>Layered FX hedge plan</t>
        </is>
      </c>
      <c r="C112" s="27" t="inlineStr">
        <is>
          <t>Committed FX exposures</t>
        </is>
      </c>
      <c r="D112" s="27" t="inlineStr">
        <is>
          <t>GBP software</t>
        </is>
      </c>
      <c r="E112" s="27" t="inlineStr">
        <is>
          <t>FY27</t>
        </is>
      </c>
      <c r="F112" s="27" t="inlineStr">
        <is>
          <t>Approved case</t>
        </is>
      </c>
      <c r="G112" s="27" t="inlineStr">
        <is>
          <t>Budget USD rate</t>
        </is>
      </c>
      <c r="H112" s="46" t="n">
        <v>1.275</v>
      </c>
      <c r="I112" s="27" t="inlineStr"/>
      <c r="J112" s="27" t="inlineStr">
        <is>
          <t>USD per foreign unit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TRY-00663</t>
        </is>
      </c>
      <c r="B113" s="27" t="inlineStr">
        <is>
          <t>Layered FX hedge plan</t>
        </is>
      </c>
      <c r="C113" s="27" t="inlineStr">
        <is>
          <t>Committed FX exposures</t>
        </is>
      </c>
      <c r="D113" s="27" t="inlineStr">
        <is>
          <t>GBP software</t>
        </is>
      </c>
      <c r="E113" s="27" t="inlineStr">
        <is>
          <t>FY27</t>
        </is>
      </c>
      <c r="F113" s="27" t="inlineStr">
        <is>
          <t>Approved case</t>
        </is>
      </c>
      <c r="G113" s="27" t="inlineStr">
        <is>
          <t>Forward USD rate</t>
        </is>
      </c>
      <c r="H113" s="46" t="n">
        <v>1.32</v>
      </c>
      <c r="I113" s="27" t="inlineStr"/>
      <c r="J113" s="27" t="inlineStr">
        <is>
          <t>USD per foreign unit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TRY-00664</t>
        </is>
      </c>
      <c r="B114" s="27" t="inlineStr">
        <is>
          <t>Layered FX hedge plan</t>
        </is>
      </c>
      <c r="C114" s="27" t="inlineStr">
        <is>
          <t>Committed FX exposures</t>
        </is>
      </c>
      <c r="D114" s="27" t="inlineStr">
        <is>
          <t>GBP software</t>
        </is>
      </c>
      <c r="E114" s="27" t="inlineStr">
        <is>
          <t>FY27</t>
        </is>
      </c>
      <c r="F114" s="27" t="inlineStr">
        <is>
          <t>Approved case</t>
        </is>
      </c>
      <c r="G114" s="27" t="inlineStr">
        <is>
          <t>Downside USD rate</t>
        </is>
      </c>
      <c r="H114" s="46" t="n">
        <v>1.205</v>
      </c>
      <c r="I114" s="27" t="inlineStr"/>
      <c r="J114" s="27" t="inlineStr">
        <is>
          <t>USD per foreign unit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TRY-00665</t>
        </is>
      </c>
      <c r="B115" s="27" t="inlineStr">
        <is>
          <t>Layered FX hedge plan</t>
        </is>
      </c>
      <c r="C115" s="27" t="inlineStr">
        <is>
          <t>Committed FX exposures</t>
        </is>
      </c>
      <c r="D115" s="27" t="inlineStr">
        <is>
          <t>GBP software</t>
        </is>
      </c>
      <c r="E115" s="27" t="inlineStr">
        <is>
          <t>FY27</t>
        </is>
      </c>
      <c r="F115" s="27" t="inlineStr">
        <is>
          <t>Approved case</t>
        </is>
      </c>
      <c r="G115" s="27" t="inlineStr">
        <is>
          <t>Currency</t>
        </is>
      </c>
      <c r="H115" s="46" t="inlineStr"/>
      <c r="I115" s="27" t="inlineStr">
        <is>
          <t>GBP</t>
        </is>
      </c>
      <c r="J115" s="27" t="inlineStr">
        <is>
          <t>classification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TRY-00666</t>
        </is>
      </c>
      <c r="B116" s="27" t="inlineStr">
        <is>
          <t>Layered FX hedge plan</t>
        </is>
      </c>
      <c r="C116" s="27" t="inlineStr">
        <is>
          <t>Approved layered hedge plan</t>
        </is>
      </c>
      <c r="D116" s="27" t="inlineStr">
        <is>
          <t>EUR equipment</t>
        </is>
      </c>
      <c r="E116" s="27" t="inlineStr">
        <is>
          <t>FY27</t>
        </is>
      </c>
      <c r="F116" s="27" t="inlineStr">
        <is>
          <t>Approved case</t>
        </is>
      </c>
      <c r="G116" s="27" t="inlineStr">
        <is>
          <t>Forward hedge percent</t>
        </is>
      </c>
      <c r="H116" s="46" t="n">
        <v>0.6</v>
      </c>
      <c r="I116" s="27" t="inlineStr"/>
      <c r="J116" s="27" t="inlineStr">
        <is>
          <t>decimal ratio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TRY-00667</t>
        </is>
      </c>
      <c r="B117" s="27" t="inlineStr">
        <is>
          <t>Layered FX hedge plan</t>
        </is>
      </c>
      <c r="C117" s="27" t="inlineStr">
        <is>
          <t>Approved layered hedge plan</t>
        </is>
      </c>
      <c r="D117" s="27" t="inlineStr">
        <is>
          <t>EUR equipment</t>
        </is>
      </c>
      <c r="E117" s="27" t="inlineStr">
        <is>
          <t>FY27</t>
        </is>
      </c>
      <c r="F117" s="27" t="inlineStr">
        <is>
          <t>Approved case</t>
        </is>
      </c>
      <c r="G117" s="27" t="inlineStr">
        <is>
          <t>Option hedge percent</t>
        </is>
      </c>
      <c r="H117" s="46" t="n">
        <v>0.2</v>
      </c>
      <c r="I117" s="27" t="inlineStr"/>
      <c r="J117" s="27" t="inlineStr">
        <is>
          <t>decimal ratio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TRY-00668</t>
        </is>
      </c>
      <c r="B118" s="27" t="inlineStr">
        <is>
          <t>Layered FX hedge plan</t>
        </is>
      </c>
      <c r="C118" s="27" t="inlineStr">
        <is>
          <t>Approved layered hedge plan</t>
        </is>
      </c>
      <c r="D118" s="27" t="inlineStr">
        <is>
          <t>EUR equipment</t>
        </is>
      </c>
      <c r="E118" s="27" t="inlineStr">
        <is>
          <t>FY27</t>
        </is>
      </c>
      <c r="F118" s="27" t="inlineStr">
        <is>
          <t>Approved case</t>
        </is>
      </c>
      <c r="G118" s="27" t="inlineStr">
        <is>
          <t>Option premium</t>
        </is>
      </c>
      <c r="H118" s="46" t="n">
        <v>38000</v>
      </c>
      <c r="I118" s="27" t="inlineStr"/>
      <c r="J118" s="27" t="inlineStr">
        <is>
          <t>USD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TRY-00669</t>
        </is>
      </c>
      <c r="B119" s="27" t="inlineStr">
        <is>
          <t>Layered FX hedge plan</t>
        </is>
      </c>
      <c r="C119" s="27" t="inlineStr">
        <is>
          <t>Approved layered hedge plan</t>
        </is>
      </c>
      <c r="D119" s="27" t="inlineStr">
        <is>
          <t>EUR equipment</t>
        </is>
      </c>
      <c r="E119" s="27" t="inlineStr">
        <is>
          <t>FY27</t>
        </is>
      </c>
      <c r="F119" s="27" t="inlineStr">
        <is>
          <t>Approved case</t>
        </is>
      </c>
      <c r="G119" s="27" t="inlineStr">
        <is>
          <t>Option strike</t>
        </is>
      </c>
      <c r="H119" s="46" t="n">
        <v>1.09</v>
      </c>
      <c r="I119" s="27" t="inlineStr"/>
      <c r="J119" s="27" t="inlineStr">
        <is>
          <t>USD per foreign unit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TRY-00670</t>
        </is>
      </c>
      <c r="B120" s="27" t="inlineStr">
        <is>
          <t>Layered FX hedge plan</t>
        </is>
      </c>
      <c r="C120" s="27" t="inlineStr">
        <is>
          <t>Approved layered hedge plan</t>
        </is>
      </c>
      <c r="D120" s="27" t="inlineStr">
        <is>
          <t>CAD components</t>
        </is>
      </c>
      <c r="E120" s="27" t="inlineStr">
        <is>
          <t>FY27</t>
        </is>
      </c>
      <c r="F120" s="27" t="inlineStr">
        <is>
          <t>Approved case</t>
        </is>
      </c>
      <c r="G120" s="27" t="inlineStr">
        <is>
          <t>Forward hedge percent</t>
        </is>
      </c>
      <c r="H120" s="46" t="n">
        <v>0.45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TRY-00671</t>
        </is>
      </c>
      <c r="B121" s="27" t="inlineStr">
        <is>
          <t>Layered FX hedge plan</t>
        </is>
      </c>
      <c r="C121" s="27" t="inlineStr">
        <is>
          <t>Approved layered hedge plan</t>
        </is>
      </c>
      <c r="D121" s="27" t="inlineStr">
        <is>
          <t>CAD components</t>
        </is>
      </c>
      <c r="E121" s="27" t="inlineStr">
        <is>
          <t>FY27</t>
        </is>
      </c>
      <c r="F121" s="27" t="inlineStr">
        <is>
          <t>Approved case</t>
        </is>
      </c>
      <c r="G121" s="27" t="inlineStr">
        <is>
          <t>Option hedge percent</t>
        </is>
      </c>
      <c r="H121" s="46" t="n">
        <v>0.25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TRY-00672</t>
        </is>
      </c>
      <c r="B122" s="27" t="inlineStr">
        <is>
          <t>Layered FX hedge plan</t>
        </is>
      </c>
      <c r="C122" s="27" t="inlineStr">
        <is>
          <t>Approved layered hedge plan</t>
        </is>
      </c>
      <c r="D122" s="27" t="inlineStr">
        <is>
          <t>CAD components</t>
        </is>
      </c>
      <c r="E122" s="27" t="inlineStr">
        <is>
          <t>FY27</t>
        </is>
      </c>
      <c r="F122" s="27" t="inlineStr">
        <is>
          <t>Approved case</t>
        </is>
      </c>
      <c r="G122" s="27" t="inlineStr">
        <is>
          <t>Option premium</t>
        </is>
      </c>
      <c r="H122" s="46" t="n">
        <v>24000</v>
      </c>
      <c r="I122" s="27" t="inlineStr"/>
      <c r="J122" s="27" t="inlineStr">
        <is>
          <t>USD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TRY-00673</t>
        </is>
      </c>
      <c r="B123" s="27" t="inlineStr">
        <is>
          <t>Layered FX hedge plan</t>
        </is>
      </c>
      <c r="C123" s="27" t="inlineStr">
        <is>
          <t>Approved layered hedge plan</t>
        </is>
      </c>
      <c r="D123" s="27" t="inlineStr">
        <is>
          <t>CAD components</t>
        </is>
      </c>
      <c r="E123" s="27" t="inlineStr">
        <is>
          <t>FY27</t>
        </is>
      </c>
      <c r="F123" s="27" t="inlineStr">
        <is>
          <t>Approved case</t>
        </is>
      </c>
      <c r="G123" s="27" t="inlineStr">
        <is>
          <t>Option strike</t>
        </is>
      </c>
      <c r="H123" s="46" t="n">
        <v>0.728</v>
      </c>
      <c r="I123" s="27" t="inlineStr"/>
      <c r="J123" s="27" t="inlineStr">
        <is>
          <t>USD per foreign unit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TRY-00674</t>
        </is>
      </c>
      <c r="B124" s="27" t="inlineStr">
        <is>
          <t>Layered FX hedge plan</t>
        </is>
      </c>
      <c r="C124" s="27" t="inlineStr">
        <is>
          <t>Approved layered hedge plan</t>
        </is>
      </c>
      <c r="D124" s="27" t="inlineStr">
        <is>
          <t>GBP software</t>
        </is>
      </c>
      <c r="E124" s="27" t="inlineStr">
        <is>
          <t>FY27</t>
        </is>
      </c>
      <c r="F124" s="27" t="inlineStr">
        <is>
          <t>Approved case</t>
        </is>
      </c>
      <c r="G124" s="27" t="inlineStr">
        <is>
          <t>Forward hedge percent</t>
        </is>
      </c>
      <c r="H124" s="46" t="n">
        <v>0.5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TRY-00675</t>
        </is>
      </c>
      <c r="B125" s="27" t="inlineStr">
        <is>
          <t>Layered FX hedge plan</t>
        </is>
      </c>
      <c r="C125" s="27" t="inlineStr">
        <is>
          <t>Approved layered hedge plan</t>
        </is>
      </c>
      <c r="D125" s="27" t="inlineStr">
        <is>
          <t>GBP software</t>
        </is>
      </c>
      <c r="E125" s="27" t="inlineStr">
        <is>
          <t>FY27</t>
        </is>
      </c>
      <c r="F125" s="27" t="inlineStr">
        <is>
          <t>Approved case</t>
        </is>
      </c>
      <c r="G125" s="27" t="inlineStr">
        <is>
          <t>Option hedge percent</t>
        </is>
      </c>
      <c r="H125" s="46" t="n">
        <v>0.25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TRY-00676</t>
        </is>
      </c>
      <c r="B126" s="27" t="inlineStr">
        <is>
          <t>Layered FX hedge plan</t>
        </is>
      </c>
      <c r="C126" s="27" t="inlineStr">
        <is>
          <t>Approved layered hedge plan</t>
        </is>
      </c>
      <c r="D126" s="27" t="inlineStr">
        <is>
          <t>GBP software</t>
        </is>
      </c>
      <c r="E126" s="27" t="inlineStr">
        <is>
          <t>FY27</t>
        </is>
      </c>
      <c r="F126" s="27" t="inlineStr">
        <is>
          <t>Approved case</t>
        </is>
      </c>
      <c r="G126" s="27" t="inlineStr">
        <is>
          <t>Option premium</t>
        </is>
      </c>
      <c r="H126" s="46" t="n">
        <v>15000</v>
      </c>
      <c r="I126" s="27" t="inlineStr"/>
      <c r="J126" s="27" t="inlineStr">
        <is>
          <t>USD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TRY-00677</t>
        </is>
      </c>
      <c r="B127" s="27" t="inlineStr">
        <is>
          <t>Layered FX hedge plan</t>
        </is>
      </c>
      <c r="C127" s="27" t="inlineStr">
        <is>
          <t>Approved layered hedge plan</t>
        </is>
      </c>
      <c r="D127" s="27" t="inlineStr">
        <is>
          <t>GBP software</t>
        </is>
      </c>
      <c r="E127" s="27" t="inlineStr">
        <is>
          <t>FY27</t>
        </is>
      </c>
      <c r="F127" s="27" t="inlineStr">
        <is>
          <t>Approved case</t>
        </is>
      </c>
      <c r="G127" s="27" t="inlineStr">
        <is>
          <t>Option strike</t>
        </is>
      </c>
      <c r="H127" s="46" t="n">
        <v>1.265</v>
      </c>
      <c r="I127" s="27" t="inlineStr"/>
      <c r="J127" s="27" t="inlineStr">
        <is>
          <t>USD per foreign unit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TRY-00678</t>
        </is>
      </c>
      <c r="B128" s="27" t="inlineStr">
        <is>
          <t>Layered FX hedge plan</t>
        </is>
      </c>
      <c r="C128" s="27" t="inlineStr">
        <is>
          <t>FX risk policy</t>
        </is>
      </c>
      <c r="D128" s="27" t="inlineStr">
        <is>
          <t>Alder Ridge</t>
        </is>
      </c>
      <c r="E128" s="27" t="inlineStr">
        <is>
          <t>FY27</t>
        </is>
      </c>
      <c r="F128" s="27" t="inlineStr">
        <is>
          <t>Approved case</t>
        </is>
      </c>
      <c r="G128" s="27" t="inlineStr">
        <is>
          <t>Maximum unhedged percent</t>
        </is>
      </c>
      <c r="H128" s="46" t="n">
        <v>0.2</v>
      </c>
      <c r="I128" s="27" t="inlineStr"/>
      <c r="J128" s="27" t="inlineStr">
        <is>
          <t>decimal ratio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TRY-00679</t>
        </is>
      </c>
      <c r="B129" s="27" t="inlineStr">
        <is>
          <t>Layered FX hedge plan</t>
        </is>
      </c>
      <c r="C129" s="27" t="inlineStr">
        <is>
          <t>FX risk policy</t>
        </is>
      </c>
      <c r="D129" s="27" t="inlineStr">
        <is>
          <t>Alder Ridge</t>
        </is>
      </c>
      <c r="E129" s="27" t="inlineStr">
        <is>
          <t>FY27</t>
        </is>
      </c>
      <c r="F129" s="27" t="inlineStr">
        <is>
          <t>Approved case</t>
        </is>
      </c>
      <c r="G129" s="27" t="inlineStr">
        <is>
          <t>Budget variance alert</t>
        </is>
      </c>
      <c r="H129" s="46" t="n">
        <v>175000</v>
      </c>
      <c r="I129" s="27" t="inlineStr"/>
      <c r="J129" s="27" t="inlineStr">
        <is>
          <t>USD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TRY-00692</t>
        </is>
      </c>
      <c r="B130" s="27" t="inlineStr">
        <is>
          <t>Layered FX hedge plan</t>
        </is>
      </c>
      <c r="C130" s="27" t="inlineStr">
        <is>
          <t>Approved natural FX offsets</t>
        </is>
      </c>
      <c r="D130" s="27" t="inlineStr">
        <is>
          <t>EUR equipment</t>
        </is>
      </c>
      <c r="E130" s="27" t="inlineStr">
        <is>
          <t>FY27</t>
        </is>
      </c>
      <c r="F130" s="27" t="inlineStr">
        <is>
          <t>Approved case</t>
        </is>
      </c>
      <c r="G130" s="27" t="inlineStr">
        <is>
          <t>Same-currency operating receipt</t>
        </is>
      </c>
      <c r="H130" s="46" t="n">
        <v>480000</v>
      </c>
      <c r="I130" s="27" t="inlineStr"/>
      <c r="J130" s="27" t="inlineStr">
        <is>
          <t>foreign currency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TRY-00693</t>
        </is>
      </c>
      <c r="B131" s="27" t="inlineStr">
        <is>
          <t>Layered FX hedge plan</t>
        </is>
      </c>
      <c r="C131" s="27" t="inlineStr">
        <is>
          <t>Approved natural FX offsets</t>
        </is>
      </c>
      <c r="D131" s="27" t="inlineStr">
        <is>
          <t>EUR equipment</t>
        </is>
      </c>
      <c r="E131" s="27" t="inlineStr">
        <is>
          <t>FY27</t>
        </is>
      </c>
      <c r="F131" s="27" t="inlineStr">
        <is>
          <t>Approved case</t>
        </is>
      </c>
      <c r="G131" s="27" t="inlineStr">
        <is>
          <t>Hedge counterparty</t>
        </is>
      </c>
      <c r="H131" s="46" t="inlineStr"/>
      <c r="I131" s="27" t="inlineStr">
        <is>
          <t>Bank A</t>
        </is>
      </c>
      <c r="J131" s="27" t="inlineStr">
        <is>
          <t>classification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TRY-00694</t>
        </is>
      </c>
      <c r="B132" s="27" t="inlineStr">
        <is>
          <t>Layered FX hedge plan</t>
        </is>
      </c>
      <c r="C132" s="27" t="inlineStr">
        <is>
          <t>Approved natural FX offsets</t>
        </is>
      </c>
      <c r="D132" s="27" t="inlineStr">
        <is>
          <t>CAD components</t>
        </is>
      </c>
      <c r="E132" s="27" t="inlineStr">
        <is>
          <t>FY27</t>
        </is>
      </c>
      <c r="F132" s="27" t="inlineStr">
        <is>
          <t>Approved case</t>
        </is>
      </c>
      <c r="G132" s="27" t="inlineStr">
        <is>
          <t>Same-currency operating receipt</t>
        </is>
      </c>
      <c r="H132" s="46" t="n">
        <v>710000</v>
      </c>
      <c r="I132" s="27" t="inlineStr"/>
      <c r="J132" s="27" t="inlineStr">
        <is>
          <t>foreign currency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TRY-00695</t>
        </is>
      </c>
      <c r="B133" s="27" t="inlineStr">
        <is>
          <t>Layered FX hedge plan</t>
        </is>
      </c>
      <c r="C133" s="27" t="inlineStr">
        <is>
          <t>Approved natural FX offsets</t>
        </is>
      </c>
      <c r="D133" s="27" t="inlineStr">
        <is>
          <t>CAD components</t>
        </is>
      </c>
      <c r="E133" s="27" t="inlineStr">
        <is>
          <t>FY27</t>
        </is>
      </c>
      <c r="F133" s="27" t="inlineStr">
        <is>
          <t>Approved case</t>
        </is>
      </c>
      <c r="G133" s="27" t="inlineStr">
        <is>
          <t>Hedge counterparty</t>
        </is>
      </c>
      <c r="H133" s="46" t="inlineStr"/>
      <c r="I133" s="27" t="inlineStr">
        <is>
          <t>Bank A</t>
        </is>
      </c>
      <c r="J133" s="27" t="inlineStr">
        <is>
          <t>classification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TRY-00696</t>
        </is>
      </c>
      <c r="B134" s="27" t="inlineStr">
        <is>
          <t>Layered FX hedge plan</t>
        </is>
      </c>
      <c r="C134" s="27" t="inlineStr">
        <is>
          <t>Approved natural FX offsets</t>
        </is>
      </c>
      <c r="D134" s="27" t="inlineStr">
        <is>
          <t>GBP software</t>
        </is>
      </c>
      <c r="E134" s="27" t="inlineStr">
        <is>
          <t>FY27</t>
        </is>
      </c>
      <c r="F134" s="27" t="inlineStr">
        <is>
          <t>Approved case</t>
        </is>
      </c>
      <c r="G134" s="27" t="inlineStr">
        <is>
          <t>Same-currency operating receipt</t>
        </is>
      </c>
      <c r="H134" s="46" t="n">
        <v>95000</v>
      </c>
      <c r="I134" s="27" t="inlineStr"/>
      <c r="J134" s="27" t="inlineStr">
        <is>
          <t>foreign currency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TRY-00697</t>
        </is>
      </c>
      <c r="B135" s="27" t="inlineStr">
        <is>
          <t>Layered FX hedge plan</t>
        </is>
      </c>
      <c r="C135" s="27" t="inlineStr">
        <is>
          <t>Approved natural FX offsets</t>
        </is>
      </c>
      <c r="D135" s="27" t="inlineStr">
        <is>
          <t>GBP software</t>
        </is>
      </c>
      <c r="E135" s="27" t="inlineStr">
        <is>
          <t>FY27</t>
        </is>
      </c>
      <c r="F135" s="27" t="inlineStr">
        <is>
          <t>Approved case</t>
        </is>
      </c>
      <c r="G135" s="27" t="inlineStr">
        <is>
          <t>Hedge counterparty</t>
        </is>
      </c>
      <c r="H135" s="46" t="inlineStr"/>
      <c r="I135" s="27" t="inlineStr">
        <is>
          <t>Bank B</t>
        </is>
      </c>
      <c r="J135" s="27" t="inlineStr">
        <is>
          <t>classification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TRY-00698</t>
        </is>
      </c>
      <c r="B136" s="27" t="inlineStr">
        <is>
          <t>Layered FX hedge plan</t>
        </is>
      </c>
      <c r="C136" s="27" t="inlineStr">
        <is>
          <t>FX risk policy</t>
        </is>
      </c>
      <c r="D136" s="27" t="inlineStr">
        <is>
          <t>Alder Ridge</t>
        </is>
      </c>
      <c r="E136" s="27" t="inlineStr">
        <is>
          <t>FY27</t>
        </is>
      </c>
      <c r="F136" s="27" t="inlineStr">
        <is>
          <t>Approved case</t>
        </is>
      </c>
      <c r="G136" s="27" t="inlineStr">
        <is>
          <t>Maximum Bank A hedge notional at budget USD</t>
        </is>
      </c>
      <c r="H136" s="46" t="n">
        <v>3250000</v>
      </c>
      <c r="I136" s="27" t="inlineStr"/>
      <c r="J136" s="27" t="inlineStr">
        <is>
          <t>USD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</sheetData>
  <autoFilter ref="A4:M136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Bank Economics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TRY-00233</t>
        </is>
      </c>
      <c r="B5" s="27" t="inlineStr">
        <is>
          <t>Bank RFP economics and relationship recommendation</t>
        </is>
      </c>
      <c r="C5" s="27" t="inlineStr">
        <is>
          <t>Bank proposals</t>
        </is>
      </c>
      <c r="D5" s="27" t="inlineStr">
        <is>
          <t>Bank A</t>
        </is>
      </c>
      <c r="E5" s="27" t="inlineStr">
        <is>
          <t>FY27</t>
        </is>
      </c>
      <c r="F5" s="27" t="inlineStr">
        <is>
          <t>Approved case</t>
        </is>
      </c>
      <c r="G5" s="27" t="inlineStr">
        <is>
          <t>Annual treasury service fees</t>
        </is>
      </c>
      <c r="H5" s="46" t="n">
        <v>82000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TRY-00234</t>
        </is>
      </c>
      <c r="B6" s="27" t="inlineStr">
        <is>
          <t>Bank RFP economics and relationship recommendation</t>
        </is>
      </c>
      <c r="C6" s="27" t="inlineStr">
        <is>
          <t>Bank proposals</t>
        </is>
      </c>
      <c r="D6" s="27" t="inlineStr">
        <is>
          <t>Bank A</t>
        </is>
      </c>
      <c r="E6" s="27" t="inlineStr">
        <is>
          <t>FY27</t>
        </is>
      </c>
      <c r="F6" s="27" t="inlineStr">
        <is>
          <t>Approved case</t>
        </is>
      </c>
      <c r="G6" s="27" t="inlineStr">
        <is>
          <t>Earnings credit rate</t>
        </is>
      </c>
      <c r="H6" s="46" t="n">
        <v>0.018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TRY-00235</t>
        </is>
      </c>
      <c r="B7" s="27" t="inlineStr">
        <is>
          <t>Bank RFP economics and relationship recommendation</t>
        </is>
      </c>
      <c r="C7" s="27" t="inlineStr">
        <is>
          <t>Bank proposals</t>
        </is>
      </c>
      <c r="D7" s="27" t="inlineStr">
        <is>
          <t>Bank A</t>
        </is>
      </c>
      <c r="E7" s="27" t="inlineStr">
        <is>
          <t>FY27</t>
        </is>
      </c>
      <c r="F7" s="27" t="inlineStr">
        <is>
          <t>Approved case</t>
        </is>
      </c>
      <c r="G7" s="27" t="inlineStr">
        <is>
          <t>Annual card rebate</t>
        </is>
      </c>
      <c r="H7" s="46" t="n">
        <v>12000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TRY-00236</t>
        </is>
      </c>
      <c r="B8" s="27" t="inlineStr">
        <is>
          <t>Bank RFP economics and relationship recommendation</t>
        </is>
      </c>
      <c r="C8" s="27" t="inlineStr">
        <is>
          <t>Bank proposals</t>
        </is>
      </c>
      <c r="D8" s="27" t="inlineStr">
        <is>
          <t>Bank A</t>
        </is>
      </c>
      <c r="E8" s="27" t="inlineStr">
        <is>
          <t>FY27</t>
        </is>
      </c>
      <c r="F8" s="27" t="inlineStr">
        <is>
          <t>Approved case</t>
        </is>
      </c>
      <c r="G8" s="27" t="inlineStr">
        <is>
          <t>Revolver all-in rate</t>
        </is>
      </c>
      <c r="H8" s="46" t="n">
        <v>0.07099999999999999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TRY-00237</t>
        </is>
      </c>
      <c r="B9" s="27" t="inlineStr">
        <is>
          <t>Bank RFP economics and relationship recommendation</t>
        </is>
      </c>
      <c r="C9" s="27" t="inlineStr">
        <is>
          <t>Bank proposals</t>
        </is>
      </c>
      <c r="D9" s="27" t="inlineStr">
        <is>
          <t>Bank A</t>
        </is>
      </c>
      <c r="E9" s="27" t="inlineStr">
        <is>
          <t>FY27</t>
        </is>
      </c>
      <c r="F9" s="27" t="inlineStr">
        <is>
          <t>Approved case</t>
        </is>
      </c>
      <c r="G9" s="27" t="inlineStr">
        <is>
          <t>Unused commitment fee</t>
        </is>
      </c>
      <c r="H9" s="46" t="n">
        <v>0.004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TRY-00238</t>
        </is>
      </c>
      <c r="B10" s="27" t="inlineStr">
        <is>
          <t>Bank RFP economics and relationship recommendation</t>
        </is>
      </c>
      <c r="C10" s="27" t="inlineStr">
        <is>
          <t>Bank proposals</t>
        </is>
      </c>
      <c r="D10" s="27" t="inlineStr">
        <is>
          <t>Bank A</t>
        </is>
      </c>
      <c r="E10" s="27" t="inlineStr">
        <is>
          <t>FY27</t>
        </is>
      </c>
      <c r="F10" s="27" t="inlineStr">
        <is>
          <t>Approved case</t>
        </is>
      </c>
      <c r="G10" s="27" t="inlineStr">
        <is>
          <t>Implementation cost</t>
        </is>
      </c>
      <c r="H10" s="46" t="n">
        <v>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TRY-00239</t>
        </is>
      </c>
      <c r="B11" s="27" t="inlineStr">
        <is>
          <t>Bank RFP economics and relationship recommendation</t>
        </is>
      </c>
      <c r="C11" s="27" t="inlineStr">
        <is>
          <t>Bank proposals</t>
        </is>
      </c>
      <c r="D11" s="27" t="inlineStr">
        <is>
          <t>Bank A</t>
        </is>
      </c>
      <c r="E11" s="27" t="inlineStr">
        <is>
          <t>FY27</t>
        </is>
      </c>
      <c r="F11" s="27" t="inlineStr">
        <is>
          <t>Approved case</t>
        </is>
      </c>
      <c r="G11" s="27" t="inlineStr">
        <is>
          <t>Lockbox capability</t>
        </is>
      </c>
      <c r="H11" s="46" t="n">
        <v>1</v>
      </c>
      <c r="I11" s="27" t="inlineStr"/>
      <c r="J11" s="27" t="inlineStr">
        <is>
          <t>boolean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TRY-00240</t>
        </is>
      </c>
      <c r="B12" s="27" t="inlineStr">
        <is>
          <t>Bank RFP economics and relationship recommendation</t>
        </is>
      </c>
      <c r="C12" s="27" t="inlineStr">
        <is>
          <t>Bank proposals</t>
        </is>
      </c>
      <c r="D12" s="27" t="inlineStr">
        <is>
          <t>Bank A</t>
        </is>
      </c>
      <c r="E12" s="27" t="inlineStr">
        <is>
          <t>FY27</t>
        </is>
      </c>
      <c r="F12" s="27" t="inlineStr">
        <is>
          <t>Approved case</t>
        </is>
      </c>
      <c r="G12" s="27" t="inlineStr">
        <is>
          <t>Positive pay capability</t>
        </is>
      </c>
      <c r="H12" s="46" t="n">
        <v>1</v>
      </c>
      <c r="I12" s="27" t="inlineStr"/>
      <c r="J12" s="27" t="inlineStr">
        <is>
          <t>boolean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TRY-00241</t>
        </is>
      </c>
      <c r="B13" s="27" t="inlineStr">
        <is>
          <t>Bank RFP economics and relationship recommendation</t>
        </is>
      </c>
      <c r="C13" s="27" t="inlineStr">
        <is>
          <t>Bank proposals</t>
        </is>
      </c>
      <c r="D13" s="27" t="inlineStr">
        <is>
          <t>Bank B</t>
        </is>
      </c>
      <c r="E13" s="27" t="inlineStr">
        <is>
          <t>FY27</t>
        </is>
      </c>
      <c r="F13" s="27" t="inlineStr">
        <is>
          <t>Approved case</t>
        </is>
      </c>
      <c r="G13" s="27" t="inlineStr">
        <is>
          <t>Annual treasury service fees</t>
        </is>
      </c>
      <c r="H13" s="46" t="n">
        <v>54000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TRY-00242</t>
        </is>
      </c>
      <c r="B14" s="27" t="inlineStr">
        <is>
          <t>Bank RFP economics and relationship recommendation</t>
        </is>
      </c>
      <c r="C14" s="27" t="inlineStr">
        <is>
          <t>Bank proposals</t>
        </is>
      </c>
      <c r="D14" s="27" t="inlineStr">
        <is>
          <t>Bank B</t>
        </is>
      </c>
      <c r="E14" s="27" t="inlineStr">
        <is>
          <t>FY27</t>
        </is>
      </c>
      <c r="F14" s="27" t="inlineStr">
        <is>
          <t>Approved case</t>
        </is>
      </c>
      <c r="G14" s="27" t="inlineStr">
        <is>
          <t>Earnings credit rate</t>
        </is>
      </c>
      <c r="H14" s="46" t="n">
        <v>0.024</v>
      </c>
      <c r="I14" s="27" t="inlineStr"/>
      <c r="J14" s="27" t="inlineStr">
        <is>
          <t>decimal ratio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TRY-00243</t>
        </is>
      </c>
      <c r="B15" s="27" t="inlineStr">
        <is>
          <t>Bank RFP economics and relationship recommendation</t>
        </is>
      </c>
      <c r="C15" s="27" t="inlineStr">
        <is>
          <t>Bank proposals</t>
        </is>
      </c>
      <c r="D15" s="27" t="inlineStr">
        <is>
          <t>Bank B</t>
        </is>
      </c>
      <c r="E15" s="27" t="inlineStr">
        <is>
          <t>FY27</t>
        </is>
      </c>
      <c r="F15" s="27" t="inlineStr">
        <is>
          <t>Approved case</t>
        </is>
      </c>
      <c r="G15" s="27" t="inlineStr">
        <is>
          <t>Annual card rebate</t>
        </is>
      </c>
      <c r="H15" s="46" t="n">
        <v>18500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TRY-00244</t>
        </is>
      </c>
      <c r="B16" s="27" t="inlineStr">
        <is>
          <t>Bank RFP economics and relationship recommendation</t>
        </is>
      </c>
      <c r="C16" s="27" t="inlineStr">
        <is>
          <t>Bank proposals</t>
        </is>
      </c>
      <c r="D16" s="27" t="inlineStr">
        <is>
          <t>Bank B</t>
        </is>
      </c>
      <c r="E16" s="27" t="inlineStr">
        <is>
          <t>FY27</t>
        </is>
      </c>
      <c r="F16" s="27" t="inlineStr">
        <is>
          <t>Approved case</t>
        </is>
      </c>
      <c r="G16" s="27" t="inlineStr">
        <is>
          <t>Revolver all-in rate</t>
        </is>
      </c>
      <c r="H16" s="46" t="n">
        <v>0.061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TRY-00245</t>
        </is>
      </c>
      <c r="B17" s="27" t="inlineStr">
        <is>
          <t>Bank RFP economics and relationship recommendation</t>
        </is>
      </c>
      <c r="C17" s="27" t="inlineStr">
        <is>
          <t>Bank proposals</t>
        </is>
      </c>
      <c r="D17" s="27" t="inlineStr">
        <is>
          <t>Bank B</t>
        </is>
      </c>
      <c r="E17" s="27" t="inlineStr">
        <is>
          <t>FY27</t>
        </is>
      </c>
      <c r="F17" s="27" t="inlineStr">
        <is>
          <t>Approved case</t>
        </is>
      </c>
      <c r="G17" s="27" t="inlineStr">
        <is>
          <t>Unused commitment fee</t>
        </is>
      </c>
      <c r="H17" s="46" t="n">
        <v>0.0025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TRY-00246</t>
        </is>
      </c>
      <c r="B18" s="27" t="inlineStr">
        <is>
          <t>Bank RFP economics and relationship recommendation</t>
        </is>
      </c>
      <c r="C18" s="27" t="inlineStr">
        <is>
          <t>Bank proposals</t>
        </is>
      </c>
      <c r="D18" s="27" t="inlineStr">
        <is>
          <t>Bank B</t>
        </is>
      </c>
      <c r="E18" s="27" t="inlineStr">
        <is>
          <t>FY27</t>
        </is>
      </c>
      <c r="F18" s="27" t="inlineStr">
        <is>
          <t>Approved case</t>
        </is>
      </c>
      <c r="G18" s="27" t="inlineStr">
        <is>
          <t>Implementation cost</t>
        </is>
      </c>
      <c r="H18" s="46" t="n">
        <v>95000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TRY-00247</t>
        </is>
      </c>
      <c r="B19" s="27" t="inlineStr">
        <is>
          <t>Bank RFP economics and relationship recommendation</t>
        </is>
      </c>
      <c r="C19" s="27" t="inlineStr">
        <is>
          <t>Bank proposals</t>
        </is>
      </c>
      <c r="D19" s="27" t="inlineStr">
        <is>
          <t>Bank B</t>
        </is>
      </c>
      <c r="E19" s="27" t="inlineStr">
        <is>
          <t>FY27</t>
        </is>
      </c>
      <c r="F19" s="27" t="inlineStr">
        <is>
          <t>Approved case</t>
        </is>
      </c>
      <c r="G19" s="27" t="inlineStr">
        <is>
          <t>Lockbox capability</t>
        </is>
      </c>
      <c r="H19" s="46" t="n">
        <v>1</v>
      </c>
      <c r="I19" s="27" t="inlineStr"/>
      <c r="J19" s="27" t="inlineStr">
        <is>
          <t>boolean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TRY-00248</t>
        </is>
      </c>
      <c r="B20" s="27" t="inlineStr">
        <is>
          <t>Bank RFP economics and relationship recommendation</t>
        </is>
      </c>
      <c r="C20" s="27" t="inlineStr">
        <is>
          <t>Bank proposals</t>
        </is>
      </c>
      <c r="D20" s="27" t="inlineStr">
        <is>
          <t>Bank B</t>
        </is>
      </c>
      <c r="E20" s="27" t="inlineStr">
        <is>
          <t>FY27</t>
        </is>
      </c>
      <c r="F20" s="27" t="inlineStr">
        <is>
          <t>Approved case</t>
        </is>
      </c>
      <c r="G20" s="27" t="inlineStr">
        <is>
          <t>Positive pay capability</t>
        </is>
      </c>
      <c r="H20" s="46" t="n">
        <v>1</v>
      </c>
      <c r="I20" s="27" t="inlineStr"/>
      <c r="J20" s="27" t="inlineStr">
        <is>
          <t>boolean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TRY-00249</t>
        </is>
      </c>
      <c r="B21" s="27" t="inlineStr">
        <is>
          <t>Bank RFP economics and relationship recommendation</t>
        </is>
      </c>
      <c r="C21" s="27" t="inlineStr">
        <is>
          <t>Bank proposals</t>
        </is>
      </c>
      <c r="D21" s="27" t="inlineStr">
        <is>
          <t>Bank C</t>
        </is>
      </c>
      <c r="E21" s="27" t="inlineStr">
        <is>
          <t>FY27</t>
        </is>
      </c>
      <c r="F21" s="27" t="inlineStr">
        <is>
          <t>Approved case</t>
        </is>
      </c>
      <c r="G21" s="27" t="inlineStr">
        <is>
          <t>Annual treasury service fees</t>
        </is>
      </c>
      <c r="H21" s="46" t="n">
        <v>58000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TRY-00250</t>
        </is>
      </c>
      <c r="B22" s="27" t="inlineStr">
        <is>
          <t>Bank RFP economics and relationship recommendation</t>
        </is>
      </c>
      <c r="C22" s="27" t="inlineStr">
        <is>
          <t>Bank proposals</t>
        </is>
      </c>
      <c r="D22" s="27" t="inlineStr">
        <is>
          <t>Bank C</t>
        </is>
      </c>
      <c r="E22" s="27" t="inlineStr">
        <is>
          <t>FY27</t>
        </is>
      </c>
      <c r="F22" s="27" t="inlineStr">
        <is>
          <t>Approved case</t>
        </is>
      </c>
      <c r="G22" s="27" t="inlineStr">
        <is>
          <t>Earnings credit rate</t>
        </is>
      </c>
      <c r="H22" s="46" t="n">
        <v>0.021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TRY-00251</t>
        </is>
      </c>
      <c r="B23" s="27" t="inlineStr">
        <is>
          <t>Bank RFP economics and relationship recommendation</t>
        </is>
      </c>
      <c r="C23" s="27" t="inlineStr">
        <is>
          <t>Bank proposals</t>
        </is>
      </c>
      <c r="D23" s="27" t="inlineStr">
        <is>
          <t>Bank C</t>
        </is>
      </c>
      <c r="E23" s="27" t="inlineStr">
        <is>
          <t>FY27</t>
        </is>
      </c>
      <c r="F23" s="27" t="inlineStr">
        <is>
          <t>Approved case</t>
        </is>
      </c>
      <c r="G23" s="27" t="inlineStr">
        <is>
          <t>Annual card rebate</t>
        </is>
      </c>
      <c r="H23" s="46" t="n">
        <v>14000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TRY-00252</t>
        </is>
      </c>
      <c r="B24" s="27" t="inlineStr">
        <is>
          <t>Bank RFP economics and relationship recommendation</t>
        </is>
      </c>
      <c r="C24" s="27" t="inlineStr">
        <is>
          <t>Bank proposals</t>
        </is>
      </c>
      <c r="D24" s="27" t="inlineStr">
        <is>
          <t>Bank C</t>
        </is>
      </c>
      <c r="E24" s="27" t="inlineStr">
        <is>
          <t>FY27</t>
        </is>
      </c>
      <c r="F24" s="27" t="inlineStr">
        <is>
          <t>Approved case</t>
        </is>
      </c>
      <c r="G24" s="27" t="inlineStr">
        <is>
          <t>Revolver all-in rate</t>
        </is>
      </c>
      <c r="H24" s="46" t="n">
        <v>0.064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TRY-00253</t>
        </is>
      </c>
      <c r="B25" s="27" t="inlineStr">
        <is>
          <t>Bank RFP economics and relationship recommendation</t>
        </is>
      </c>
      <c r="C25" s="27" t="inlineStr">
        <is>
          <t>Bank proposals</t>
        </is>
      </c>
      <c r="D25" s="27" t="inlineStr">
        <is>
          <t>Bank C</t>
        </is>
      </c>
      <c r="E25" s="27" t="inlineStr">
        <is>
          <t>FY27</t>
        </is>
      </c>
      <c r="F25" s="27" t="inlineStr">
        <is>
          <t>Approved case</t>
        </is>
      </c>
      <c r="G25" s="27" t="inlineStr">
        <is>
          <t>Unused commitment fee</t>
        </is>
      </c>
      <c r="H25" s="46" t="n">
        <v>0.0025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TRY-00254</t>
        </is>
      </c>
      <c r="B26" s="27" t="inlineStr">
        <is>
          <t>Bank RFP economics and relationship recommendation</t>
        </is>
      </c>
      <c r="C26" s="27" t="inlineStr">
        <is>
          <t>Bank proposals</t>
        </is>
      </c>
      <c r="D26" s="27" t="inlineStr">
        <is>
          <t>Bank C</t>
        </is>
      </c>
      <c r="E26" s="27" t="inlineStr">
        <is>
          <t>FY27</t>
        </is>
      </c>
      <c r="F26" s="27" t="inlineStr">
        <is>
          <t>Approved case</t>
        </is>
      </c>
      <c r="G26" s="27" t="inlineStr">
        <is>
          <t>Implementation cost</t>
        </is>
      </c>
      <c r="H26" s="46" t="n">
        <v>140000</v>
      </c>
      <c r="I26" s="27" t="inlineStr"/>
      <c r="J26" s="27" t="inlineStr">
        <is>
          <t>USD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TRY-00255</t>
        </is>
      </c>
      <c r="B27" s="27" t="inlineStr">
        <is>
          <t>Bank RFP economics and relationship recommendation</t>
        </is>
      </c>
      <c r="C27" s="27" t="inlineStr">
        <is>
          <t>Bank proposals</t>
        </is>
      </c>
      <c r="D27" s="27" t="inlineStr">
        <is>
          <t>Bank C</t>
        </is>
      </c>
      <c r="E27" s="27" t="inlineStr">
        <is>
          <t>FY27</t>
        </is>
      </c>
      <c r="F27" s="27" t="inlineStr">
        <is>
          <t>Approved case</t>
        </is>
      </c>
      <c r="G27" s="27" t="inlineStr">
        <is>
          <t>Lockbox capability</t>
        </is>
      </c>
      <c r="H27" s="46" t="n">
        <v>1</v>
      </c>
      <c r="I27" s="27" t="inlineStr"/>
      <c r="J27" s="27" t="inlineStr">
        <is>
          <t>boolean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TRY-00256</t>
        </is>
      </c>
      <c r="B28" s="27" t="inlineStr">
        <is>
          <t>Bank RFP economics and relationship recommendation</t>
        </is>
      </c>
      <c r="C28" s="27" t="inlineStr">
        <is>
          <t>Bank proposals</t>
        </is>
      </c>
      <c r="D28" s="27" t="inlineStr">
        <is>
          <t>Bank C</t>
        </is>
      </c>
      <c r="E28" s="27" t="inlineStr">
        <is>
          <t>FY27</t>
        </is>
      </c>
      <c r="F28" s="27" t="inlineStr">
        <is>
          <t>Approved case</t>
        </is>
      </c>
      <c r="G28" s="27" t="inlineStr">
        <is>
          <t>Positive pay capability</t>
        </is>
      </c>
      <c r="H28" s="46" t="n">
        <v>0</v>
      </c>
      <c r="I28" s="27" t="inlineStr"/>
      <c r="J28" s="27" t="inlineStr">
        <is>
          <t>boolean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TRY-00257</t>
        </is>
      </c>
      <c r="B29" s="27" t="inlineStr">
        <is>
          <t>Bank RFP economics and relationship recommendation</t>
        </is>
      </c>
      <c r="C29" s="27" t="inlineStr">
        <is>
          <t>Forecast relationship volumes</t>
        </is>
      </c>
      <c r="D29" s="27" t="inlineStr">
        <is>
          <t>Consolidated</t>
        </is>
      </c>
      <c r="E29" s="27" t="inlineStr">
        <is>
          <t>FY27</t>
        </is>
      </c>
      <c r="F29" s="27" t="inlineStr">
        <is>
          <t>Approved case</t>
        </is>
      </c>
      <c r="G29" s="27" t="inlineStr">
        <is>
          <t>Forecast collected deposit balance</t>
        </is>
      </c>
      <c r="H29" s="46" t="n">
        <v>4200000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TRY-00258</t>
        </is>
      </c>
      <c r="B30" s="27" t="inlineStr">
        <is>
          <t>Bank RFP economics and relationship recommendation</t>
        </is>
      </c>
      <c r="C30" s="27" t="inlineStr">
        <is>
          <t>Forecast relationship volumes</t>
        </is>
      </c>
      <c r="D30" s="27" t="inlineStr">
        <is>
          <t>Consolidated</t>
        </is>
      </c>
      <c r="E30" s="27" t="inlineStr">
        <is>
          <t>FY27</t>
        </is>
      </c>
      <c r="F30" s="27" t="inlineStr">
        <is>
          <t>Approved case</t>
        </is>
      </c>
      <c r="G30" s="27" t="inlineStr">
        <is>
          <t>Forecast average revolver borrowings</t>
        </is>
      </c>
      <c r="H30" s="46" t="n">
        <v>2750000</v>
      </c>
      <c r="I30" s="27" t="inlineStr"/>
      <c r="J30" s="27" t="inlineStr">
        <is>
          <t>USD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TRY-00259</t>
        </is>
      </c>
      <c r="B31" s="27" t="inlineStr">
        <is>
          <t>Bank RFP economics and relationship recommendation</t>
        </is>
      </c>
      <c r="C31" s="27" t="inlineStr">
        <is>
          <t>Forecast relationship volumes</t>
        </is>
      </c>
      <c r="D31" s="27" t="inlineStr">
        <is>
          <t>Consolidated</t>
        </is>
      </c>
      <c r="E31" s="27" t="inlineStr">
        <is>
          <t>FY27</t>
        </is>
      </c>
      <c r="F31" s="27" t="inlineStr">
        <is>
          <t>Approved case</t>
        </is>
      </c>
      <c r="G31" s="27" t="inlineStr">
        <is>
          <t>Revolver commitment</t>
        </is>
      </c>
      <c r="H31" s="46" t="n">
        <v>8000000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TRY-00260</t>
        </is>
      </c>
      <c r="B32" s="27" t="inlineStr">
        <is>
          <t>Bank RFP economics and relationship recommendation</t>
        </is>
      </c>
      <c r="C32" s="27" t="inlineStr">
        <is>
          <t>Forecast relationship volumes</t>
        </is>
      </c>
      <c r="D32" s="27" t="inlineStr">
        <is>
          <t>Consolidated</t>
        </is>
      </c>
      <c r="E32" s="27" t="inlineStr">
        <is>
          <t>FY27</t>
        </is>
      </c>
      <c r="F32" s="27" t="inlineStr">
        <is>
          <t>Approved case</t>
        </is>
      </c>
      <c r="G32" s="27" t="inlineStr">
        <is>
          <t>Transition-risk reserve</t>
        </is>
      </c>
      <c r="H32" s="46" t="n">
        <v>35</v>
      </c>
      <c r="I32" s="27" t="inlineStr"/>
      <c r="J32" s="27" t="inlineStr">
        <is>
          <t>USD thousands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TRY-00433</t>
        </is>
      </c>
      <c r="B33" s="27" t="inlineStr">
        <is>
          <t>Bank relationship profitability scorecard</t>
        </is>
      </c>
      <c r="C33" s="27" t="inlineStr">
        <is>
          <t>Bank relationship economics</t>
        </is>
      </c>
      <c r="D33" s="27" t="inlineStr">
        <is>
          <t>Bank A</t>
        </is>
      </c>
      <c r="E33" s="27" t="inlineStr">
        <is>
          <t>FY27</t>
        </is>
      </c>
      <c r="F33" s="27" t="inlineStr">
        <is>
          <t>Approved case</t>
        </is>
      </c>
      <c r="G33" s="27" t="inlineStr">
        <is>
          <t>Average deposits</t>
        </is>
      </c>
      <c r="H33" s="46" t="n">
        <v>5100000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TRY-00434</t>
        </is>
      </c>
      <c r="B34" s="27" t="inlineStr">
        <is>
          <t>Bank relationship profitability scorecard</t>
        </is>
      </c>
      <c r="C34" s="27" t="inlineStr">
        <is>
          <t>Bank relationship economics</t>
        </is>
      </c>
      <c r="D34" s="27" t="inlineStr">
        <is>
          <t>Bank A</t>
        </is>
      </c>
      <c r="E34" s="27" t="inlineStr">
        <is>
          <t>FY27</t>
        </is>
      </c>
      <c r="F34" s="27" t="inlineStr">
        <is>
          <t>Approved case</t>
        </is>
      </c>
      <c r="G34" s="27" t="inlineStr">
        <is>
          <t>Committed credit</t>
        </is>
      </c>
      <c r="H34" s="46" t="n">
        <v>7500000</v>
      </c>
      <c r="I34" s="27" t="inlineStr"/>
      <c r="J34" s="27" t="inlineStr">
        <is>
          <t>USD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TRY-00435</t>
        </is>
      </c>
      <c r="B35" s="27" t="inlineStr">
        <is>
          <t>Bank relationship profitability scorecard</t>
        </is>
      </c>
      <c r="C35" s="27" t="inlineStr">
        <is>
          <t>Bank relationship economics</t>
        </is>
      </c>
      <c r="D35" s="27" t="inlineStr">
        <is>
          <t>Bank A</t>
        </is>
      </c>
      <c r="E35" s="27" t="inlineStr">
        <is>
          <t>FY27</t>
        </is>
      </c>
      <c r="F35" s="27" t="inlineStr">
        <is>
          <t>Approved case</t>
        </is>
      </c>
      <c r="G35" s="27" t="inlineStr">
        <is>
          <t>Credit economics</t>
        </is>
      </c>
      <c r="H35" s="46" t="n">
        <v>285000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TRY-00436</t>
        </is>
      </c>
      <c r="B36" s="27" t="inlineStr">
        <is>
          <t>Bank relationship profitability scorecard</t>
        </is>
      </c>
      <c r="C36" s="27" t="inlineStr">
        <is>
          <t>Bank relationship economics</t>
        </is>
      </c>
      <c r="D36" s="27" t="inlineStr">
        <is>
          <t>Bank A</t>
        </is>
      </c>
      <c r="E36" s="27" t="inlineStr">
        <is>
          <t>FY27</t>
        </is>
      </c>
      <c r="F36" s="27" t="inlineStr">
        <is>
          <t>Approved case</t>
        </is>
      </c>
      <c r="G36" s="27" t="inlineStr">
        <is>
          <t>Treasury fee revenue</t>
        </is>
      </c>
      <c r="H36" s="46" t="n">
        <v>160</v>
      </c>
      <c r="I36" s="27" t="inlineStr"/>
      <c r="J36" s="27" t="inlineStr">
        <is>
          <t>USD thousands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TRY-00437</t>
        </is>
      </c>
      <c r="B37" s="27" t="inlineStr">
        <is>
          <t>Bank relationship profitability scorecard</t>
        </is>
      </c>
      <c r="C37" s="27" t="inlineStr">
        <is>
          <t>Bank relationship economics</t>
        </is>
      </c>
      <c r="D37" s="27" t="inlineStr">
        <is>
          <t>Bank A</t>
        </is>
      </c>
      <c r="E37" s="27" t="inlineStr">
        <is>
          <t>FY27</t>
        </is>
      </c>
      <c r="F37" s="27" t="inlineStr">
        <is>
          <t>Approved case</t>
        </is>
      </c>
      <c r="G37" s="27" t="inlineStr">
        <is>
          <t>Relationship risk cost</t>
        </is>
      </c>
      <c r="H37" s="46" t="n">
        <v>95000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TRY-00438</t>
        </is>
      </c>
      <c r="B38" s="27" t="inlineStr">
        <is>
          <t>Bank relationship profitability scorecard</t>
        </is>
      </c>
      <c r="C38" s="27" t="inlineStr">
        <is>
          <t>Bank relationship economics</t>
        </is>
      </c>
      <c r="D38" s="27" t="inlineStr">
        <is>
          <t>Bank B</t>
        </is>
      </c>
      <c r="E38" s="27" t="inlineStr">
        <is>
          <t>FY27</t>
        </is>
      </c>
      <c r="F38" s="27" t="inlineStr">
        <is>
          <t>Approved case</t>
        </is>
      </c>
      <c r="G38" s="27" t="inlineStr">
        <is>
          <t>Average deposits</t>
        </is>
      </c>
      <c r="H38" s="46" t="n">
        <v>2800000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TRY-00439</t>
        </is>
      </c>
      <c r="B39" s="27" t="inlineStr">
        <is>
          <t>Bank relationship profitability scorecard</t>
        </is>
      </c>
      <c r="C39" s="27" t="inlineStr">
        <is>
          <t>Bank relationship economics</t>
        </is>
      </c>
      <c r="D39" s="27" t="inlineStr">
        <is>
          <t>Bank B</t>
        </is>
      </c>
      <c r="E39" s="27" t="inlineStr">
        <is>
          <t>FY27</t>
        </is>
      </c>
      <c r="F39" s="27" t="inlineStr">
        <is>
          <t>Approved case</t>
        </is>
      </c>
      <c r="G39" s="27" t="inlineStr">
        <is>
          <t>Committed credit</t>
        </is>
      </c>
      <c r="H39" s="46" t="n">
        <v>12500000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TRY-00440</t>
        </is>
      </c>
      <c r="B40" s="27" t="inlineStr">
        <is>
          <t>Bank relationship profitability scorecard</t>
        </is>
      </c>
      <c r="C40" s="27" t="inlineStr">
        <is>
          <t>Bank relationship economics</t>
        </is>
      </c>
      <c r="D40" s="27" t="inlineStr">
        <is>
          <t>Bank B</t>
        </is>
      </c>
      <c r="E40" s="27" t="inlineStr">
        <is>
          <t>FY27</t>
        </is>
      </c>
      <c r="F40" s="27" t="inlineStr">
        <is>
          <t>Approved case</t>
        </is>
      </c>
      <c r="G40" s="27" t="inlineStr">
        <is>
          <t>Credit economics</t>
        </is>
      </c>
      <c r="H40" s="46" t="n">
        <v>340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TRY-00441</t>
        </is>
      </c>
      <c r="B41" s="27" t="inlineStr">
        <is>
          <t>Bank relationship profitability scorecard</t>
        </is>
      </c>
      <c r="C41" s="27" t="inlineStr">
        <is>
          <t>Bank relationship economics</t>
        </is>
      </c>
      <c r="D41" s="27" t="inlineStr">
        <is>
          <t>Bank B</t>
        </is>
      </c>
      <c r="E41" s="27" t="inlineStr">
        <is>
          <t>FY27</t>
        </is>
      </c>
      <c r="F41" s="27" t="inlineStr">
        <is>
          <t>Approved case</t>
        </is>
      </c>
      <c r="G41" s="27" t="inlineStr">
        <is>
          <t>Treasury fee revenue</t>
        </is>
      </c>
      <c r="H41" s="46" t="n">
        <v>145000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TRY-00442</t>
        </is>
      </c>
      <c r="B42" s="27" t="inlineStr">
        <is>
          <t>Bank relationship profitability scorecard</t>
        </is>
      </c>
      <c r="C42" s="27" t="inlineStr">
        <is>
          <t>Bank relationship economics</t>
        </is>
      </c>
      <c r="D42" s="27" t="inlineStr">
        <is>
          <t>Bank B</t>
        </is>
      </c>
      <c r="E42" s="27" t="inlineStr">
        <is>
          <t>FY27</t>
        </is>
      </c>
      <c r="F42" s="27" t="inlineStr">
        <is>
          <t>Approved case</t>
        </is>
      </c>
      <c r="G42" s="27" t="inlineStr">
        <is>
          <t>Relationship risk cost</t>
        </is>
      </c>
      <c r="H42" s="46" t="n">
        <v>120000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TRY-00443</t>
        </is>
      </c>
      <c r="B43" s="27" t="inlineStr">
        <is>
          <t>Bank relationship profitability scorecard</t>
        </is>
      </c>
      <c r="C43" s="27" t="inlineStr">
        <is>
          <t>Bank relationship economics</t>
        </is>
      </c>
      <c r="D43" s="27" t="inlineStr">
        <is>
          <t>Bank C</t>
        </is>
      </c>
      <c r="E43" s="27" t="inlineStr">
        <is>
          <t>FY27</t>
        </is>
      </c>
      <c r="F43" s="27" t="inlineStr">
        <is>
          <t>Approved case</t>
        </is>
      </c>
      <c r="G43" s="27" t="inlineStr">
        <is>
          <t>Average deposits</t>
        </is>
      </c>
      <c r="H43" s="46" t="n">
        <v>1550000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TRY-00444</t>
        </is>
      </c>
      <c r="B44" s="27" t="inlineStr">
        <is>
          <t>Bank relationship profitability scorecard</t>
        </is>
      </c>
      <c r="C44" s="27" t="inlineStr">
        <is>
          <t>Bank relationship economics</t>
        </is>
      </c>
      <c r="D44" s="27" t="inlineStr">
        <is>
          <t>Bank C</t>
        </is>
      </c>
      <c r="E44" s="27" t="inlineStr">
        <is>
          <t>FY27</t>
        </is>
      </c>
      <c r="F44" s="27" t="inlineStr">
        <is>
          <t>Approved case</t>
        </is>
      </c>
      <c r="G44" s="27" t="inlineStr">
        <is>
          <t>Committed credit</t>
        </is>
      </c>
      <c r="H44" s="46" t="n">
        <v>3300</v>
      </c>
      <c r="I44" s="27" t="inlineStr"/>
      <c r="J44" s="27" t="inlineStr">
        <is>
          <t>USD thousands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TRY-00445</t>
        </is>
      </c>
      <c r="B45" s="27" t="inlineStr">
        <is>
          <t>Bank relationship profitability scorecard</t>
        </is>
      </c>
      <c r="C45" s="27" t="inlineStr">
        <is>
          <t>Bank relationship economics</t>
        </is>
      </c>
      <c r="D45" s="27" t="inlineStr">
        <is>
          <t>Bank C</t>
        </is>
      </c>
      <c r="E45" s="27" t="inlineStr">
        <is>
          <t>FY27</t>
        </is>
      </c>
      <c r="F45" s="27" t="inlineStr">
        <is>
          <t>Approved case</t>
        </is>
      </c>
      <c r="G45" s="27" t="inlineStr">
        <is>
          <t>Credit economics</t>
        </is>
      </c>
      <c r="H45" s="46" t="n">
        <v>118000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TRY-00446</t>
        </is>
      </c>
      <c r="B46" s="27" t="inlineStr">
        <is>
          <t>Bank relationship profitability scorecard</t>
        </is>
      </c>
      <c r="C46" s="27" t="inlineStr">
        <is>
          <t>Bank relationship economics</t>
        </is>
      </c>
      <c r="D46" s="27" t="inlineStr">
        <is>
          <t>Bank C</t>
        </is>
      </c>
      <c r="E46" s="27" t="inlineStr">
        <is>
          <t>FY27</t>
        </is>
      </c>
      <c r="F46" s="27" t="inlineStr">
        <is>
          <t>Approved case</t>
        </is>
      </c>
      <c r="G46" s="27" t="inlineStr">
        <is>
          <t>Treasury fee revenue</t>
        </is>
      </c>
      <c r="H46" s="46" t="n">
        <v>92000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TRY-00447</t>
        </is>
      </c>
      <c r="B47" s="27" t="inlineStr">
        <is>
          <t>Bank relationship profitability scorecard</t>
        </is>
      </c>
      <c r="C47" s="27" t="inlineStr">
        <is>
          <t>Bank relationship economics</t>
        </is>
      </c>
      <c r="D47" s="27" t="inlineStr">
        <is>
          <t>Bank C</t>
        </is>
      </c>
      <c r="E47" s="27" t="inlineStr">
        <is>
          <t>FY27</t>
        </is>
      </c>
      <c r="F47" s="27" t="inlineStr">
        <is>
          <t>Approved case</t>
        </is>
      </c>
      <c r="G47" s="27" t="inlineStr">
        <is>
          <t>Relationship risk cost</t>
        </is>
      </c>
      <c r="H47" s="46" t="n">
        <v>35000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TRY-00448</t>
        </is>
      </c>
      <c r="B48" s="27" t="inlineStr">
        <is>
          <t>Bank relationship profitability scorecard</t>
        </is>
      </c>
      <c r="C48" s="27" t="inlineStr">
        <is>
          <t>Treasury concentration policy</t>
        </is>
      </c>
      <c r="D48" s="27" t="inlineStr">
        <is>
          <t>Portfolio</t>
        </is>
      </c>
      <c r="E48" s="27" t="inlineStr">
        <is>
          <t>FY27</t>
        </is>
      </c>
      <c r="F48" s="27" t="inlineStr">
        <is>
          <t>Approved case</t>
        </is>
      </c>
      <c r="G48" s="27" t="inlineStr">
        <is>
          <t>Maximum deposit concentration</t>
        </is>
      </c>
      <c r="H48" s="46" t="n">
        <v>0.45</v>
      </c>
      <c r="I48" s="27" t="inlineStr"/>
      <c r="J48" s="27" t="inlineStr">
        <is>
          <t>decimal ratio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TRY-00449</t>
        </is>
      </c>
      <c r="B49" s="27" t="inlineStr">
        <is>
          <t>Bank relationship profitability scorecard</t>
        </is>
      </c>
      <c r="C49" s="27" t="inlineStr">
        <is>
          <t>Treasury concentration policy</t>
        </is>
      </c>
      <c r="D49" s="27" t="inlineStr">
        <is>
          <t>Portfolio</t>
        </is>
      </c>
      <c r="E49" s="27" t="inlineStr">
        <is>
          <t>FY27</t>
        </is>
      </c>
      <c r="F49" s="27" t="inlineStr">
        <is>
          <t>Approved case</t>
        </is>
      </c>
      <c r="G49" s="27" t="inlineStr">
        <is>
          <t>Maximum credit concentration</t>
        </is>
      </c>
      <c r="H49" s="46" t="n">
        <v>0.5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TRY-00450</t>
        </is>
      </c>
      <c r="B50" s="27" t="inlineStr">
        <is>
          <t>Bank relationship profitability scorecard</t>
        </is>
      </c>
      <c r="C50" s="27" t="inlineStr">
        <is>
          <t>Treasury concentration policy</t>
        </is>
      </c>
      <c r="D50" s="27" t="inlineStr">
        <is>
          <t>Portfolio</t>
        </is>
      </c>
      <c r="E50" s="27" t="inlineStr">
        <is>
          <t>FY27</t>
        </is>
      </c>
      <c r="F50" s="27" t="inlineStr">
        <is>
          <t>Approved case</t>
        </is>
      </c>
      <c r="G50" s="27" t="inlineStr">
        <is>
          <t>Deposit move increment</t>
        </is>
      </c>
      <c r="H50" s="46" t="n">
        <v>1250000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TRY-00451</t>
        </is>
      </c>
      <c r="B51" s="27" t="inlineStr">
        <is>
          <t>Bank relationship profitability scorecard</t>
        </is>
      </c>
      <c r="C51" s="27" t="inlineStr">
        <is>
          <t>Treasury concentration policy</t>
        </is>
      </c>
      <c r="D51" s="27" t="inlineStr">
        <is>
          <t>Portfolio</t>
        </is>
      </c>
      <c r="E51" s="27" t="inlineStr">
        <is>
          <t>FY27</t>
        </is>
      </c>
      <c r="F51" s="27" t="inlineStr">
        <is>
          <t>Approved case</t>
        </is>
      </c>
      <c r="G51" s="27" t="inlineStr">
        <is>
          <t>Credit move increment</t>
        </is>
      </c>
      <c r="H51" s="46" t="n">
        <v>2000000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</sheetData>
  <autoFilter ref="A4:M51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Credit Outlook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TRY-00395</t>
        </is>
      </c>
      <c r="B5" s="27" t="inlineStr">
        <is>
          <t>Complete the eight-quarter covenant forecast</t>
        </is>
      </c>
      <c r="C5" s="27" t="inlineStr">
        <is>
          <t>Covenant policy</t>
        </is>
      </c>
      <c r="D5" s="27" t="inlineStr">
        <is>
          <t>Credit agreement</t>
        </is>
      </c>
      <c r="E5" s="27" t="inlineStr">
        <is>
          <t>Forecast horizon</t>
        </is>
      </c>
      <c r="F5" s="27" t="inlineStr">
        <is>
          <t>Approved case</t>
        </is>
      </c>
      <c r="G5" s="27" t="inlineStr">
        <is>
          <t>Maximum funded-debt leverage</t>
        </is>
      </c>
      <c r="H5" s="46" t="n">
        <v>3.25</v>
      </c>
      <c r="I5" s="27" t="inlineStr"/>
      <c r="J5" s="27" t="inlineStr">
        <is>
          <t>multiple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TRY-00396</t>
        </is>
      </c>
      <c r="B6" s="27" t="inlineStr">
        <is>
          <t>Complete the eight-quarter covenant forecast</t>
        </is>
      </c>
      <c r="C6" s="27" t="inlineStr">
        <is>
          <t>Covenant policy</t>
        </is>
      </c>
      <c r="D6" s="27" t="inlineStr">
        <is>
          <t>Credit agreement</t>
        </is>
      </c>
      <c r="E6" s="27" t="inlineStr">
        <is>
          <t>Forecast horizon</t>
        </is>
      </c>
      <c r="F6" s="27" t="inlineStr">
        <is>
          <t>Approved case</t>
        </is>
      </c>
      <c r="G6" s="27" t="inlineStr">
        <is>
          <t>Minimum fixed-charge coverage</t>
        </is>
      </c>
      <c r="H6" s="46" t="n">
        <v>1.2</v>
      </c>
      <c r="I6" s="27" t="inlineStr"/>
      <c r="J6" s="27" t="inlineStr">
        <is>
          <t>multiple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TRY-00397</t>
        </is>
      </c>
      <c r="B7" s="27" t="inlineStr">
        <is>
          <t>Complete the eight-quarter covenant forecast</t>
        </is>
      </c>
      <c r="C7" s="27" t="inlineStr">
        <is>
          <t>Covenant policy</t>
        </is>
      </c>
      <c r="D7" s="27" t="inlineStr">
        <is>
          <t>Credit agreement</t>
        </is>
      </c>
      <c r="E7" s="27" t="inlineStr">
        <is>
          <t>Forecast horizon</t>
        </is>
      </c>
      <c r="F7" s="27" t="inlineStr">
        <is>
          <t>Approved case</t>
        </is>
      </c>
      <c r="G7" s="27" t="inlineStr">
        <is>
          <t>Minimum quarterly capex deduction</t>
        </is>
      </c>
      <c r="H7" s="46" t="n">
        <v>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TRY-00410</t>
        </is>
      </c>
      <c r="B8" s="27" t="inlineStr">
        <is>
          <t>Credit metrics and incremental debt capacity</t>
        </is>
      </c>
      <c r="C8" s="27" t="inlineStr">
        <is>
          <t>Credit population</t>
        </is>
      </c>
      <c r="D8" s="27" t="inlineStr">
        <is>
          <t>Funded debt</t>
        </is>
      </c>
      <c r="E8" s="27" t="inlineStr">
        <is>
          <t>2026-06-30</t>
        </is>
      </c>
      <c r="F8" s="27" t="inlineStr">
        <is>
          <t>Approved case</t>
        </is>
      </c>
      <c r="G8" s="27" t="inlineStr">
        <is>
          <t>Posted debt</t>
        </is>
      </c>
      <c r="H8" s="46" t="n">
        <v>1</v>
      </c>
      <c r="I8" s="27" t="inlineStr"/>
      <c r="J8" s="27" t="inlineStr">
        <is>
          <t>ledger allocation factor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>
        <is>
          <t>Vista ERP balance sheet as of 2026-06-30; accounts 2200, 2210, and 2300</t>
        </is>
      </c>
    </row>
    <row r="9">
      <c r="A9" s="36" t="inlineStr">
        <is>
          <t>TRY-00411</t>
        </is>
      </c>
      <c r="B9" s="27" t="inlineStr">
        <is>
          <t>Credit metrics and incremental debt capacity</t>
        </is>
      </c>
      <c r="C9" s="27" t="inlineStr">
        <is>
          <t>Credit population</t>
        </is>
      </c>
      <c r="D9" s="27" t="inlineStr">
        <is>
          <t>Committed acquisition facility</t>
        </is>
      </c>
      <c r="E9" s="27" t="inlineStr">
        <is>
          <t>2026-07-15</t>
        </is>
      </c>
      <c r="F9" s="27" t="inlineStr">
        <is>
          <t>Approved case</t>
        </is>
      </c>
      <c r="G9" s="27" t="inlineStr">
        <is>
          <t>Pro forma funded draw</t>
        </is>
      </c>
      <c r="H9" s="46" t="n">
        <v>24000000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TRY-00412</t>
        </is>
      </c>
      <c r="B10" s="27" t="inlineStr">
        <is>
          <t>Credit metrics and incremental debt capacity</t>
        </is>
      </c>
      <c r="C10" s="27" t="inlineStr">
        <is>
          <t>Credit policy</t>
        </is>
      </c>
      <c r="D10" s="27" t="inlineStr">
        <is>
          <t>Alder Ridge</t>
        </is>
      </c>
      <c r="E10" s="27" t="inlineStr">
        <is>
          <t>LTM 2026-06-30</t>
        </is>
      </c>
      <c r="F10" s="27" t="inlineStr">
        <is>
          <t>Approved case</t>
        </is>
      </c>
      <c r="G10" s="27" t="inlineStr">
        <is>
          <t>Covenant EBITDA</t>
        </is>
      </c>
      <c r="H10" s="46" t="n">
        <v>7850000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TRY-00413</t>
        </is>
      </c>
      <c r="B11" s="27" t="inlineStr">
        <is>
          <t>Credit metrics and incremental debt capacity</t>
        </is>
      </c>
      <c r="C11" s="27" t="inlineStr">
        <is>
          <t>Credit policy</t>
        </is>
      </c>
      <c r="D11" s="27" t="inlineStr">
        <is>
          <t>Alder Ridge</t>
        </is>
      </c>
      <c r="E11" s="27" t="inlineStr">
        <is>
          <t>LTM 2026-06-30</t>
        </is>
      </c>
      <c r="F11" s="27" t="inlineStr">
        <is>
          <t>Approved case</t>
        </is>
      </c>
      <c r="G11" s="27" t="inlineStr">
        <is>
          <t>Cash</t>
        </is>
      </c>
      <c r="H11" s="46" t="n">
        <v>3743.11976</v>
      </c>
      <c r="I11" s="27" t="inlineStr"/>
      <c r="J11" s="27" t="inlineStr">
        <is>
          <t>USD thousands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TRY-00414</t>
        </is>
      </c>
      <c r="B12" s="27" t="inlineStr">
        <is>
          <t>Credit metrics and incremental debt capacity</t>
        </is>
      </c>
      <c r="C12" s="27" t="inlineStr">
        <is>
          <t>Credit policy</t>
        </is>
      </c>
      <c r="D12" s="27" t="inlineStr">
        <is>
          <t>Alder Ridge</t>
        </is>
      </c>
      <c r="E12" s="27" t="inlineStr">
        <is>
          <t>LTM 2026-06-30</t>
        </is>
      </c>
      <c r="F12" s="27" t="inlineStr">
        <is>
          <t>Approved case</t>
        </is>
      </c>
      <c r="G12" s="27" t="inlineStr">
        <is>
          <t>Cash interest</t>
        </is>
      </c>
      <c r="H12" s="46" t="n">
        <v>1280000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TRY-00415</t>
        </is>
      </c>
      <c r="B13" s="27" t="inlineStr">
        <is>
          <t>Credit metrics and incremental debt capacity</t>
        </is>
      </c>
      <c r="C13" s="27" t="inlineStr">
        <is>
          <t>Credit policy</t>
        </is>
      </c>
      <c r="D13" s="27" t="inlineStr">
        <is>
          <t>Alder Ridge</t>
        </is>
      </c>
      <c r="E13" s="27" t="inlineStr">
        <is>
          <t>LTM 2026-06-30</t>
        </is>
      </c>
      <c r="F13" s="27" t="inlineStr">
        <is>
          <t>Approved case</t>
        </is>
      </c>
      <c r="G13" s="27" t="inlineStr">
        <is>
          <t>Cash taxes</t>
        </is>
      </c>
      <c r="H13" s="46" t="n">
        <v>920000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TRY-00416</t>
        </is>
      </c>
      <c r="B14" s="27" t="inlineStr">
        <is>
          <t>Credit metrics and incremental debt capacity</t>
        </is>
      </c>
      <c r="C14" s="27" t="inlineStr">
        <is>
          <t>Credit policy</t>
        </is>
      </c>
      <c r="D14" s="27" t="inlineStr">
        <is>
          <t>Alder Ridge</t>
        </is>
      </c>
      <c r="E14" s="27" t="inlineStr">
        <is>
          <t>LTM 2026-06-30</t>
        </is>
      </c>
      <c r="F14" s="27" t="inlineStr">
        <is>
          <t>Approved case</t>
        </is>
      </c>
      <c r="G14" s="27" t="inlineStr">
        <is>
          <t>Maintenance capex</t>
        </is>
      </c>
      <c r="H14" s="46" t="n">
        <v>1350000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TRY-00417</t>
        </is>
      </c>
      <c r="B15" s="27" t="inlineStr">
        <is>
          <t>Credit metrics and incremental debt capacity</t>
        </is>
      </c>
      <c r="C15" s="27" t="inlineStr">
        <is>
          <t>Credit policy</t>
        </is>
      </c>
      <c r="D15" s="27" t="inlineStr">
        <is>
          <t>Alder Ridge</t>
        </is>
      </c>
      <c r="E15" s="27" t="inlineStr">
        <is>
          <t>LTM 2026-06-30</t>
        </is>
      </c>
      <c r="F15" s="27" t="inlineStr">
        <is>
          <t>Approved case</t>
        </is>
      </c>
      <c r="G15" s="27" t="inlineStr">
        <is>
          <t>Distributions</t>
        </is>
      </c>
      <c r="H15" s="46" t="n">
        <v>450</v>
      </c>
      <c r="I15" s="27" t="inlineStr"/>
      <c r="J15" s="27" t="inlineStr">
        <is>
          <t>USD thousands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TRY-00418</t>
        </is>
      </c>
      <c r="B16" s="27" t="inlineStr">
        <is>
          <t>Credit metrics and incremental debt capacity</t>
        </is>
      </c>
      <c r="C16" s="27" t="inlineStr">
        <is>
          <t>Credit policy</t>
        </is>
      </c>
      <c r="D16" s="27" t="inlineStr">
        <is>
          <t>Alder Ridge</t>
        </is>
      </c>
      <c r="E16" s="27" t="inlineStr">
        <is>
          <t>LTM 2026-06-30</t>
        </is>
      </c>
      <c r="F16" s="27" t="inlineStr">
        <is>
          <t>Approved case</t>
        </is>
      </c>
      <c r="G16" s="27" t="inlineStr">
        <is>
          <t>Tangible net worth</t>
        </is>
      </c>
      <c r="H16" s="46" t="n">
        <v>23100000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TRY-00419</t>
        </is>
      </c>
      <c r="B17" s="27" t="inlineStr">
        <is>
          <t>Credit metrics and incremental debt capacity</t>
        </is>
      </c>
      <c r="C17" s="27" t="inlineStr">
        <is>
          <t>Credit policy</t>
        </is>
      </c>
      <c r="D17" s="27" t="inlineStr">
        <is>
          <t>Alder Ridge</t>
        </is>
      </c>
      <c r="E17" s="27" t="inlineStr">
        <is>
          <t>LTM 2026-06-30</t>
        </is>
      </c>
      <c r="F17" s="27" t="inlineStr">
        <is>
          <t>Approved case</t>
        </is>
      </c>
      <c r="G17" s="27" t="inlineStr">
        <is>
          <t>Minimum tangible net worth</t>
        </is>
      </c>
      <c r="H17" s="46" t="n">
        <v>18500000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TRY-00420</t>
        </is>
      </c>
      <c r="B18" s="27" t="inlineStr">
        <is>
          <t>Credit metrics and incremental debt capacity</t>
        </is>
      </c>
      <c r="C18" s="27" t="inlineStr">
        <is>
          <t>Credit policy</t>
        </is>
      </c>
      <c r="D18" s="27" t="inlineStr">
        <is>
          <t>Alder Ridge</t>
        </is>
      </c>
      <c r="E18" s="27" t="inlineStr">
        <is>
          <t>LTM 2026-06-30</t>
        </is>
      </c>
      <c r="F18" s="27" t="inlineStr">
        <is>
          <t>Approved case</t>
        </is>
      </c>
      <c r="G18" s="27" t="inlineStr">
        <is>
          <t>Maximum gross leverage</t>
        </is>
      </c>
      <c r="H18" s="46" t="n">
        <v>3.25</v>
      </c>
      <c r="I18" s="27" t="inlineStr"/>
      <c r="J18" s="27" t="inlineStr">
        <is>
          <t>multiple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TRY-00421</t>
        </is>
      </c>
      <c r="B19" s="27" t="inlineStr">
        <is>
          <t>Credit metrics and incremental debt capacity</t>
        </is>
      </c>
      <c r="C19" s="27" t="inlineStr">
        <is>
          <t>Credit policy</t>
        </is>
      </c>
      <c r="D19" s="27" t="inlineStr">
        <is>
          <t>Alder Ridge</t>
        </is>
      </c>
      <c r="E19" s="27" t="inlineStr">
        <is>
          <t>LTM 2026-06-30</t>
        </is>
      </c>
      <c r="F19" s="27" t="inlineStr">
        <is>
          <t>Approved case</t>
        </is>
      </c>
      <c r="G19" s="27" t="inlineStr">
        <is>
          <t>Minimum interest coverage</t>
        </is>
      </c>
      <c r="H19" s="46" t="n">
        <v>3</v>
      </c>
      <c r="I19" s="27" t="inlineStr"/>
      <c r="J19" s="27" t="inlineStr">
        <is>
          <t>multiple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TRY-00422</t>
        </is>
      </c>
      <c r="B20" s="27" t="inlineStr">
        <is>
          <t>Credit metrics and incremental debt capacity</t>
        </is>
      </c>
      <c r="C20" s="27" t="inlineStr">
        <is>
          <t>Credit policy</t>
        </is>
      </c>
      <c r="D20" s="27" t="inlineStr">
        <is>
          <t>Alder Ridge</t>
        </is>
      </c>
      <c r="E20" s="27" t="inlineStr">
        <is>
          <t>LTM 2026-06-30</t>
        </is>
      </c>
      <c r="F20" s="27" t="inlineStr">
        <is>
          <t>Approved case</t>
        </is>
      </c>
      <c r="G20" s="27" t="inlineStr">
        <is>
          <t>Minimum fixed-charge coverage</t>
        </is>
      </c>
      <c r="H20" s="46" t="n">
        <v>1.35</v>
      </c>
      <c r="I20" s="27" t="inlineStr"/>
      <c r="J20" s="27" t="inlineStr">
        <is>
          <t>multiple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TRY-00423</t>
        </is>
      </c>
      <c r="B21" s="27" t="inlineStr">
        <is>
          <t>Credit metrics and incremental debt capacity</t>
        </is>
      </c>
      <c r="C21" s="27" t="inlineStr">
        <is>
          <t>Credit policy</t>
        </is>
      </c>
      <c r="D21" s="27" t="inlineStr">
        <is>
          <t>Alder Ridge</t>
        </is>
      </c>
      <c r="E21" s="27" t="inlineStr">
        <is>
          <t>LTM 2026-06-30</t>
        </is>
      </c>
      <c r="F21" s="27" t="inlineStr">
        <is>
          <t>Approved case</t>
        </is>
      </c>
      <c r="G21" s="27" t="inlineStr">
        <is>
          <t>Internal ratings debt cap</t>
        </is>
      </c>
      <c r="H21" s="46" t="n">
        <v>12000000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TRY-00424</t>
        </is>
      </c>
      <c r="B22" s="27" t="inlineStr">
        <is>
          <t>Credit metrics and incremental debt capacity</t>
        </is>
      </c>
      <c r="C22" s="27" t="inlineStr">
        <is>
          <t>Credit policy</t>
        </is>
      </c>
      <c r="D22" s="27" t="inlineStr">
        <is>
          <t>Alder Ridge</t>
        </is>
      </c>
      <c r="E22" s="27" t="inlineStr">
        <is>
          <t>LTM 2026-06-30</t>
        </is>
      </c>
      <c r="F22" s="27" t="inlineStr">
        <is>
          <t>Approved case</t>
        </is>
      </c>
      <c r="G22" s="27" t="inlineStr">
        <is>
          <t>Incremental debt interest rate</t>
        </is>
      </c>
      <c r="H22" s="46" t="n">
        <v>0.075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TRY-00705</t>
        </is>
      </c>
      <c r="B23" s="27" t="inlineStr">
        <is>
          <t>ABL borrowing base and covenant cure</t>
        </is>
      </c>
      <c r="C23" s="27" t="inlineStr">
        <is>
          <t>ABL borrowing base</t>
        </is>
      </c>
      <c r="D23" s="27" t="inlineStr">
        <is>
          <t>Eligible accounts receivable</t>
        </is>
      </c>
      <c r="E23" s="27" t="inlineStr">
        <is>
          <t>2026-06-30</t>
        </is>
      </c>
      <c r="F23" s="27" t="inlineStr">
        <is>
          <t>Approved case</t>
        </is>
      </c>
      <c r="G23" s="27" t="inlineStr">
        <is>
          <t>Gross eligible collateral</t>
        </is>
      </c>
      <c r="H23" s="46" t="n">
        <v>11850000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TRY-00706</t>
        </is>
      </c>
      <c r="B24" s="27" t="inlineStr">
        <is>
          <t>ABL borrowing base and covenant cure</t>
        </is>
      </c>
      <c r="C24" s="27" t="inlineStr">
        <is>
          <t>ABL borrowing base</t>
        </is>
      </c>
      <c r="D24" s="27" t="inlineStr">
        <is>
          <t>Eligible accounts receivable</t>
        </is>
      </c>
      <c r="E24" s="27" t="inlineStr">
        <is>
          <t>2026-06-30</t>
        </is>
      </c>
      <c r="F24" s="27" t="inlineStr">
        <is>
          <t>Approved case</t>
        </is>
      </c>
      <c r="G24" s="27" t="inlineStr">
        <is>
          <t>Advance rate</t>
        </is>
      </c>
      <c r="H24" s="46" t="n">
        <v>0.85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TRY-00707</t>
        </is>
      </c>
      <c r="B25" s="27" t="inlineStr">
        <is>
          <t>ABL borrowing base and covenant cure</t>
        </is>
      </c>
      <c r="C25" s="27" t="inlineStr">
        <is>
          <t>ABL borrowing base</t>
        </is>
      </c>
      <c r="D25" s="27" t="inlineStr">
        <is>
          <t>Eligible accounts receivable</t>
        </is>
      </c>
      <c r="E25" s="27" t="inlineStr">
        <is>
          <t>2026-06-30</t>
        </is>
      </c>
      <c r="F25" s="27" t="inlineStr">
        <is>
          <t>Approved case</t>
        </is>
      </c>
      <c r="G25" s="27" t="inlineStr">
        <is>
          <t>Specific reserve</t>
        </is>
      </c>
      <c r="H25" s="46" t="n">
        <v>1420000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TRY-00708</t>
        </is>
      </c>
      <c r="B26" s="27" t="inlineStr">
        <is>
          <t>ABL borrowing base and covenant cure</t>
        </is>
      </c>
      <c r="C26" s="27" t="inlineStr">
        <is>
          <t>ABL borrowing base</t>
        </is>
      </c>
      <c r="D26" s="27" t="inlineStr">
        <is>
          <t>Eligible inventory</t>
        </is>
      </c>
      <c r="E26" s="27" t="inlineStr">
        <is>
          <t>2026-06-30</t>
        </is>
      </c>
      <c r="F26" s="27" t="inlineStr">
        <is>
          <t>Approved case</t>
        </is>
      </c>
      <c r="G26" s="27" t="inlineStr">
        <is>
          <t>Gross eligible collateral</t>
        </is>
      </c>
      <c r="H26" s="46" t="n">
        <v>3600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TRY-00709</t>
        </is>
      </c>
      <c r="B27" s="27" t="inlineStr">
        <is>
          <t>ABL borrowing base and covenant cure</t>
        </is>
      </c>
      <c r="C27" s="27" t="inlineStr">
        <is>
          <t>ABL borrowing base</t>
        </is>
      </c>
      <c r="D27" s="27" t="inlineStr">
        <is>
          <t>Eligible inventory</t>
        </is>
      </c>
      <c r="E27" s="27" t="inlineStr">
        <is>
          <t>2026-06-30</t>
        </is>
      </c>
      <c r="F27" s="27" t="inlineStr">
        <is>
          <t>Approved case</t>
        </is>
      </c>
      <c r="G27" s="27" t="inlineStr">
        <is>
          <t>Advance rate</t>
        </is>
      </c>
      <c r="H27" s="46" t="n">
        <v>0.5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TRY-00710</t>
        </is>
      </c>
      <c r="B28" s="27" t="inlineStr">
        <is>
          <t>ABL borrowing base and covenant cure</t>
        </is>
      </c>
      <c r="C28" s="27" t="inlineStr">
        <is>
          <t>ABL borrowing base</t>
        </is>
      </c>
      <c r="D28" s="27" t="inlineStr">
        <is>
          <t>Eligible inventory</t>
        </is>
      </c>
      <c r="E28" s="27" t="inlineStr">
        <is>
          <t>2026-06-30</t>
        </is>
      </c>
      <c r="F28" s="27" t="inlineStr">
        <is>
          <t>Approved case</t>
        </is>
      </c>
      <c r="G28" s="27" t="inlineStr">
        <is>
          <t>Specific reserve</t>
        </is>
      </c>
      <c r="H28" s="46" t="n">
        <v>440000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TRY-00711</t>
        </is>
      </c>
      <c r="B29" s="27" t="inlineStr">
        <is>
          <t>ABL borrowing base and covenant cure</t>
        </is>
      </c>
      <c r="C29" s="27" t="inlineStr">
        <is>
          <t>ABL borrowing base</t>
        </is>
      </c>
      <c r="D29" s="27" t="inlineStr">
        <is>
          <t>Eligible equipment</t>
        </is>
      </c>
      <c r="E29" s="27" t="inlineStr">
        <is>
          <t>2026-06-30</t>
        </is>
      </c>
      <c r="F29" s="27" t="inlineStr">
        <is>
          <t>Approved case</t>
        </is>
      </c>
      <c r="G29" s="27" t="inlineStr">
        <is>
          <t>Gross eligible collateral</t>
        </is>
      </c>
      <c r="H29" s="46" t="n">
        <v>5200000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TRY-00712</t>
        </is>
      </c>
      <c r="B30" s="27" t="inlineStr">
        <is>
          <t>ABL borrowing base and covenant cure</t>
        </is>
      </c>
      <c r="C30" s="27" t="inlineStr">
        <is>
          <t>ABL borrowing base</t>
        </is>
      </c>
      <c r="D30" s="27" t="inlineStr">
        <is>
          <t>Eligible equipment</t>
        </is>
      </c>
      <c r="E30" s="27" t="inlineStr">
        <is>
          <t>2026-06-30</t>
        </is>
      </c>
      <c r="F30" s="27" t="inlineStr">
        <is>
          <t>Approved case</t>
        </is>
      </c>
      <c r="G30" s="27" t="inlineStr">
        <is>
          <t>Advance rate</t>
        </is>
      </c>
      <c r="H30" s="46" t="n">
        <v>0.35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TRY-00713</t>
        </is>
      </c>
      <c r="B31" s="27" t="inlineStr">
        <is>
          <t>ABL borrowing base and covenant cure</t>
        </is>
      </c>
      <c r="C31" s="27" t="inlineStr">
        <is>
          <t>ABL borrowing base</t>
        </is>
      </c>
      <c r="D31" s="27" t="inlineStr">
        <is>
          <t>Eligible equipment</t>
        </is>
      </c>
      <c r="E31" s="27" t="inlineStr">
        <is>
          <t>2026-06-30</t>
        </is>
      </c>
      <c r="F31" s="27" t="inlineStr">
        <is>
          <t>Approved case</t>
        </is>
      </c>
      <c r="G31" s="27" t="inlineStr">
        <is>
          <t>Specific reserve</t>
        </is>
      </c>
      <c r="H31" s="46" t="n">
        <v>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TRY-00714</t>
        </is>
      </c>
      <c r="B32" s="27" t="inlineStr">
        <is>
          <t>ABL borrowing base and covenant cure</t>
        </is>
      </c>
      <c r="C32" s="27" t="inlineStr">
        <is>
          <t>ABL eligibility exclusions</t>
        </is>
      </c>
      <c r="D32" s="27" t="inlineStr">
        <is>
          <t>AR over 90 days</t>
        </is>
      </c>
      <c r="E32" s="27" t="inlineStr">
        <is>
          <t>2026-06-30</t>
        </is>
      </c>
      <c r="F32" s="27" t="inlineStr">
        <is>
          <t>Approved case</t>
        </is>
      </c>
      <c r="G32" s="27" t="inlineStr">
        <is>
          <t>Excluded amount</t>
        </is>
      </c>
      <c r="H32" s="46" t="n">
        <v>760000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TRY-00715</t>
        </is>
      </c>
      <c r="B33" s="27" t="inlineStr">
        <is>
          <t>ABL borrowing base and covenant cure</t>
        </is>
      </c>
      <c r="C33" s="27" t="inlineStr">
        <is>
          <t>ABL eligibility exclusions</t>
        </is>
      </c>
      <c r="D33" s="27" t="inlineStr">
        <is>
          <t>Cross-aged customers</t>
        </is>
      </c>
      <c r="E33" s="27" t="inlineStr">
        <is>
          <t>2026-06-30</t>
        </is>
      </c>
      <c r="F33" s="27" t="inlineStr">
        <is>
          <t>Approved case</t>
        </is>
      </c>
      <c r="G33" s="27" t="inlineStr">
        <is>
          <t>Excluded amount</t>
        </is>
      </c>
      <c r="H33" s="46" t="n">
        <v>540000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TRY-00716</t>
        </is>
      </c>
      <c r="B34" s="27" t="inlineStr">
        <is>
          <t>ABL borrowing base and covenant cure</t>
        </is>
      </c>
      <c r="C34" s="27" t="inlineStr">
        <is>
          <t>ABL eligibility exclusions</t>
        </is>
      </c>
      <c r="D34" s="27" t="inlineStr">
        <is>
          <t>Related-party AR</t>
        </is>
      </c>
      <c r="E34" s="27" t="inlineStr">
        <is>
          <t>2026-06-30</t>
        </is>
      </c>
      <c r="F34" s="27" t="inlineStr">
        <is>
          <t>Approved case</t>
        </is>
      </c>
      <c r="G34" s="27" t="inlineStr">
        <is>
          <t>Excluded amount</t>
        </is>
      </c>
      <c r="H34" s="46" t="n">
        <v>180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TRY-00717</t>
        </is>
      </c>
      <c r="B35" s="27" t="inlineStr">
        <is>
          <t>ABL borrowing base and covenant cure</t>
        </is>
      </c>
      <c r="C35" s="27" t="inlineStr">
        <is>
          <t>ABL eligibility exclusions</t>
        </is>
      </c>
      <c r="D35" s="27" t="inlineStr">
        <is>
          <t>Obsolete inventory</t>
        </is>
      </c>
      <c r="E35" s="27" t="inlineStr">
        <is>
          <t>2026-06-30</t>
        </is>
      </c>
      <c r="F35" s="27" t="inlineStr">
        <is>
          <t>Approved case</t>
        </is>
      </c>
      <c r="G35" s="27" t="inlineStr">
        <is>
          <t>Excluded amount</t>
        </is>
      </c>
      <c r="H35" s="46" t="n">
        <v>390000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TRY-00718</t>
        </is>
      </c>
      <c r="B36" s="27" t="inlineStr">
        <is>
          <t>ABL borrowing base and covenant cure</t>
        </is>
      </c>
      <c r="C36" s="27" t="inlineStr">
        <is>
          <t>ABL covenant inputs</t>
        </is>
      </c>
      <c r="D36" s="27" t="inlineStr">
        <is>
          <t>Alder Ridge</t>
        </is>
      </c>
      <c r="E36" s="27" t="inlineStr">
        <is>
          <t>2026-06-30</t>
        </is>
      </c>
      <c r="F36" s="27" t="inlineStr">
        <is>
          <t>Approved case</t>
        </is>
      </c>
      <c r="G36" s="27" t="inlineStr">
        <is>
          <t>Facility commitment</t>
        </is>
      </c>
      <c r="H36" s="46" t="n">
        <v>12000000</v>
      </c>
      <c r="I36" s="27" t="inlineStr"/>
      <c r="J36" s="27" t="inlineStr">
        <is>
          <t>USD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TRY-00719</t>
        </is>
      </c>
      <c r="B37" s="27" t="inlineStr">
        <is>
          <t>ABL borrowing base and covenant cure</t>
        </is>
      </c>
      <c r="C37" s="27" t="inlineStr">
        <is>
          <t>ABL covenant inputs</t>
        </is>
      </c>
      <c r="D37" s="27" t="inlineStr">
        <is>
          <t>Alder Ridge</t>
        </is>
      </c>
      <c r="E37" s="27" t="inlineStr">
        <is>
          <t>2026-06-30</t>
        </is>
      </c>
      <c r="F37" s="27" t="inlineStr">
        <is>
          <t>Approved case</t>
        </is>
      </c>
      <c r="G37" s="27" t="inlineStr">
        <is>
          <t>Existing letters of credit</t>
        </is>
      </c>
      <c r="H37" s="46" t="n">
        <v>850000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TRY-00720</t>
        </is>
      </c>
      <c r="B38" s="27" t="inlineStr">
        <is>
          <t>ABL borrowing base and covenant cure</t>
        </is>
      </c>
      <c r="C38" s="27" t="inlineStr">
        <is>
          <t>ABL covenant inputs</t>
        </is>
      </c>
      <c r="D38" s="27" t="inlineStr">
        <is>
          <t>Alder Ridge</t>
        </is>
      </c>
      <c r="E38" s="27" t="inlineStr">
        <is>
          <t>2026-06-30</t>
        </is>
      </c>
      <c r="F38" s="27" t="inlineStr">
        <is>
          <t>Approved case</t>
        </is>
      </c>
      <c r="G38" s="27" t="inlineStr">
        <is>
          <t>Existing revolver</t>
        </is>
      </c>
      <c r="H38" s="46" t="n">
        <v>4900</v>
      </c>
      <c r="I38" s="27" t="inlineStr"/>
      <c r="J38" s="27" t="inlineStr">
        <is>
          <t>USD thousands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TRY-00721</t>
        </is>
      </c>
      <c r="B39" s="27" t="inlineStr">
        <is>
          <t>ABL borrowing base and covenant cure</t>
        </is>
      </c>
      <c r="C39" s="27" t="inlineStr">
        <is>
          <t>ABL covenant inputs</t>
        </is>
      </c>
      <c r="D39" s="27" t="inlineStr">
        <is>
          <t>Alder Ridge</t>
        </is>
      </c>
      <c r="E39" s="27" t="inlineStr">
        <is>
          <t>2026-06-30</t>
        </is>
      </c>
      <c r="F39" s="27" t="inlineStr">
        <is>
          <t>Approved case</t>
        </is>
      </c>
      <c r="G39" s="27" t="inlineStr">
        <is>
          <t>Availability block</t>
        </is>
      </c>
      <c r="H39" s="46" t="n">
        <v>750000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TRY-00722</t>
        </is>
      </c>
      <c r="B40" s="27" t="inlineStr">
        <is>
          <t>ABL borrowing base and covenant cure</t>
        </is>
      </c>
      <c r="C40" s="27" t="inlineStr">
        <is>
          <t>ABL covenant inputs</t>
        </is>
      </c>
      <c r="D40" s="27" t="inlineStr">
        <is>
          <t>Alder Ridge</t>
        </is>
      </c>
      <c r="E40" s="27" t="inlineStr">
        <is>
          <t>2026-06-30</t>
        </is>
      </c>
      <c r="F40" s="27" t="inlineStr">
        <is>
          <t>Approved case</t>
        </is>
      </c>
      <c r="G40" s="27" t="inlineStr">
        <is>
          <t>Minimum excess availability</t>
        </is>
      </c>
      <c r="H40" s="46" t="n">
        <v>1500000</v>
      </c>
      <c r="I40" s="27" t="inlineStr"/>
      <c r="J40" s="27" t="inlineStr">
        <is>
          <t>USD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TRY-00723</t>
        </is>
      </c>
      <c r="B41" s="27" t="inlineStr">
        <is>
          <t>ABL borrowing base and covenant cure</t>
        </is>
      </c>
      <c r="C41" s="27" t="inlineStr">
        <is>
          <t>ABL covenant inputs</t>
        </is>
      </c>
      <c r="D41" s="27" t="inlineStr">
        <is>
          <t>Alder Ridge</t>
        </is>
      </c>
      <c r="E41" s="27" t="inlineStr">
        <is>
          <t>2026-06-30</t>
        </is>
      </c>
      <c r="F41" s="27" t="inlineStr">
        <is>
          <t>Approved case</t>
        </is>
      </c>
      <c r="G41" s="27" t="inlineStr">
        <is>
          <t>Minimum fixed charge coverage</t>
        </is>
      </c>
      <c r="H41" s="46" t="n">
        <v>1.2</v>
      </c>
      <c r="I41" s="27" t="inlineStr"/>
      <c r="J41" s="27" t="inlineStr">
        <is>
          <t>multiple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TRY-00724</t>
        </is>
      </c>
      <c r="B42" s="27" t="inlineStr">
        <is>
          <t>ABL borrowing base and covenant cure</t>
        </is>
      </c>
      <c r="C42" s="27" t="inlineStr">
        <is>
          <t>ABL covenant inputs</t>
        </is>
      </c>
      <c r="D42" s="27" t="inlineStr">
        <is>
          <t>Alder Ridge</t>
        </is>
      </c>
      <c r="E42" s="27" t="inlineStr">
        <is>
          <t>2026-06-30</t>
        </is>
      </c>
      <c r="F42" s="27" t="inlineStr">
        <is>
          <t>Approved case</t>
        </is>
      </c>
      <c r="G42" s="27" t="inlineStr">
        <is>
          <t>EBITDA</t>
        </is>
      </c>
      <c r="H42" s="46" t="n">
        <v>5100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TRY-00725</t>
        </is>
      </c>
      <c r="B43" s="27" t="inlineStr">
        <is>
          <t>ABL borrowing base and covenant cure</t>
        </is>
      </c>
      <c r="C43" s="27" t="inlineStr">
        <is>
          <t>ABL covenant inputs</t>
        </is>
      </c>
      <c r="D43" s="27" t="inlineStr">
        <is>
          <t>Alder Ridge</t>
        </is>
      </c>
      <c r="E43" s="27" t="inlineStr">
        <is>
          <t>2026-06-30</t>
        </is>
      </c>
      <c r="F43" s="27" t="inlineStr">
        <is>
          <t>Approved case</t>
        </is>
      </c>
      <c r="G43" s="27" t="inlineStr">
        <is>
          <t>Cash interest</t>
        </is>
      </c>
      <c r="H43" s="46" t="n">
        <v>660000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TRY-00726</t>
        </is>
      </c>
      <c r="B44" s="27" t="inlineStr">
        <is>
          <t>ABL borrowing base and covenant cure</t>
        </is>
      </c>
      <c r="C44" s="27" t="inlineStr">
        <is>
          <t>ABL covenant inputs</t>
        </is>
      </c>
      <c r="D44" s="27" t="inlineStr">
        <is>
          <t>Alder Ridge</t>
        </is>
      </c>
      <c r="E44" s="27" t="inlineStr">
        <is>
          <t>2026-06-30</t>
        </is>
      </c>
      <c r="F44" s="27" t="inlineStr">
        <is>
          <t>Approved case</t>
        </is>
      </c>
      <c r="G44" s="27" t="inlineStr">
        <is>
          <t>Scheduled principal</t>
        </is>
      </c>
      <c r="H44" s="46" t="n">
        <v>820000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TRY-00727</t>
        </is>
      </c>
      <c r="B45" s="27" t="inlineStr">
        <is>
          <t>ABL borrowing base and covenant cure</t>
        </is>
      </c>
      <c r="C45" s="27" t="inlineStr">
        <is>
          <t>ABL covenant inputs</t>
        </is>
      </c>
      <c r="D45" s="27" t="inlineStr">
        <is>
          <t>Alder Ridge</t>
        </is>
      </c>
      <c r="E45" s="27" t="inlineStr">
        <is>
          <t>2026-06-30</t>
        </is>
      </c>
      <c r="F45" s="27" t="inlineStr">
        <is>
          <t>Approved case</t>
        </is>
      </c>
      <c r="G45" s="27" t="inlineStr">
        <is>
          <t>Cash taxes</t>
        </is>
      </c>
      <c r="H45" s="46" t="n">
        <v>520000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TRY-00728</t>
        </is>
      </c>
      <c r="B46" s="27" t="inlineStr">
        <is>
          <t>ABL borrowing base and covenant cure</t>
        </is>
      </c>
      <c r="C46" s="27" t="inlineStr">
        <is>
          <t>ABL covenant inputs</t>
        </is>
      </c>
      <c r="D46" s="27" t="inlineStr">
        <is>
          <t>Alder Ridge</t>
        </is>
      </c>
      <c r="E46" s="27" t="inlineStr">
        <is>
          <t>2026-06-30</t>
        </is>
      </c>
      <c r="F46" s="27" t="inlineStr">
        <is>
          <t>Approved case</t>
        </is>
      </c>
      <c r="G46" s="27" t="inlineStr">
        <is>
          <t>Unfinanced capex</t>
        </is>
      </c>
      <c r="H46" s="46" t="n">
        <v>3200</v>
      </c>
      <c r="I46" s="27" t="inlineStr"/>
      <c r="J46" s="27" t="inlineStr">
        <is>
          <t>USD thousands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TRY-00729</t>
        </is>
      </c>
      <c r="B47" s="27" t="inlineStr">
        <is>
          <t>ABL borrowing base and covenant cure</t>
        </is>
      </c>
      <c r="C47" s="27" t="inlineStr">
        <is>
          <t>ABL covenant inputs</t>
        </is>
      </c>
      <c r="D47" s="27" t="inlineStr">
        <is>
          <t>Alder Ridge</t>
        </is>
      </c>
      <c r="E47" s="27" t="inlineStr">
        <is>
          <t>2026-06-30</t>
        </is>
      </c>
      <c r="F47" s="27" t="inlineStr">
        <is>
          <t>Approved case</t>
        </is>
      </c>
      <c r="G47" s="27" t="inlineStr">
        <is>
          <t>Approved equity cure</t>
        </is>
      </c>
      <c r="H47" s="46" t="n">
        <v>625000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TRY-00744</t>
        </is>
      </c>
      <c r="B48" s="27" t="inlineStr">
        <is>
          <t>ABL borrowing base and covenant cure</t>
        </is>
      </c>
      <c r="C48" s="27" t="inlineStr">
        <is>
          <t>Detailed AR collateral control</t>
        </is>
      </c>
      <c r="D48" s="27" t="inlineStr">
        <is>
          <t>Cedar Medical</t>
        </is>
      </c>
      <c r="E48" s="27" t="inlineStr">
        <is>
          <t>2026-06-30</t>
        </is>
      </c>
      <c r="F48" s="27" t="inlineStr">
        <is>
          <t>Approved case</t>
        </is>
      </c>
      <c r="G48" s="27" t="inlineStr">
        <is>
          <t>Gross receivable</t>
        </is>
      </c>
      <c r="H48" s="46" t="n">
        <v>2400000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TRY-00745</t>
        </is>
      </c>
      <c r="B49" s="27" t="inlineStr">
        <is>
          <t>ABL borrowing base and covenant cure</t>
        </is>
      </c>
      <c r="C49" s="27" t="inlineStr">
        <is>
          <t>Detailed AR collateral control</t>
        </is>
      </c>
      <c r="D49" s="27" t="inlineStr">
        <is>
          <t>Cedar Medical</t>
        </is>
      </c>
      <c r="E49" s="27" t="inlineStr">
        <is>
          <t>2026-06-30</t>
        </is>
      </c>
      <c r="F49" s="27" t="inlineStr">
        <is>
          <t>Approved case</t>
        </is>
      </c>
      <c r="G49" s="27" t="inlineStr">
        <is>
          <t>Over 90 days</t>
        </is>
      </c>
      <c r="H49" s="46" t="n">
        <v>100000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TRY-00746</t>
        </is>
      </c>
      <c r="B50" s="27" t="inlineStr">
        <is>
          <t>ABL borrowing base and covenant cure</t>
        </is>
      </c>
      <c r="C50" s="27" t="inlineStr">
        <is>
          <t>Detailed AR collateral control</t>
        </is>
      </c>
      <c r="D50" s="27" t="inlineStr">
        <is>
          <t>Cedar Medical</t>
        </is>
      </c>
      <c r="E50" s="27" t="inlineStr">
        <is>
          <t>2026-06-30</t>
        </is>
      </c>
      <c r="F50" s="27" t="inlineStr">
        <is>
          <t>Approved case</t>
        </is>
      </c>
      <c r="G50" s="27" t="inlineStr">
        <is>
          <t>Cross-aged exclusion</t>
        </is>
      </c>
      <c r="H50" s="46" t="n">
        <v>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TRY-00747</t>
        </is>
      </c>
      <c r="B51" s="27" t="inlineStr">
        <is>
          <t>ABL borrowing base and covenant cure</t>
        </is>
      </c>
      <c r="C51" s="27" t="inlineStr">
        <is>
          <t>Detailed AR collateral control</t>
        </is>
      </c>
      <c r="D51" s="27" t="inlineStr">
        <is>
          <t>Cedar Medical</t>
        </is>
      </c>
      <c r="E51" s="27" t="inlineStr">
        <is>
          <t>2026-06-30</t>
        </is>
      </c>
      <c r="F51" s="27" t="inlineStr">
        <is>
          <t>Approved case</t>
        </is>
      </c>
      <c r="G51" s="27" t="inlineStr">
        <is>
          <t>Related-party exclusion</t>
        </is>
      </c>
      <c r="H51" s="46" t="n">
        <v>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TRY-00748</t>
        </is>
      </c>
      <c r="B52" s="27" t="inlineStr">
        <is>
          <t>ABL borrowing base and covenant cure</t>
        </is>
      </c>
      <c r="C52" s="27" t="inlineStr">
        <is>
          <t>Detailed AR collateral control</t>
        </is>
      </c>
      <c r="D52" s="27" t="inlineStr">
        <is>
          <t>Helix Data Center</t>
        </is>
      </c>
      <c r="E52" s="27" t="inlineStr">
        <is>
          <t>2026-06-30</t>
        </is>
      </c>
      <c r="F52" s="27" t="inlineStr">
        <is>
          <t>Approved case</t>
        </is>
      </c>
      <c r="G52" s="27" t="inlineStr">
        <is>
          <t>Gross receivable</t>
        </is>
      </c>
      <c r="H52" s="46" t="n">
        <v>3100000</v>
      </c>
      <c r="I52" s="27" t="inlineStr"/>
      <c r="J52" s="27" t="inlineStr">
        <is>
          <t>USD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TRY-00749</t>
        </is>
      </c>
      <c r="B53" s="27" t="inlineStr">
        <is>
          <t>ABL borrowing base and covenant cure</t>
        </is>
      </c>
      <c r="C53" s="27" t="inlineStr">
        <is>
          <t>Detailed AR collateral control</t>
        </is>
      </c>
      <c r="D53" s="27" t="inlineStr">
        <is>
          <t>Helix Data Center</t>
        </is>
      </c>
      <c r="E53" s="27" t="inlineStr">
        <is>
          <t>2026-06-30</t>
        </is>
      </c>
      <c r="F53" s="27" t="inlineStr">
        <is>
          <t>Approved case</t>
        </is>
      </c>
      <c r="G53" s="27" t="inlineStr">
        <is>
          <t>Over 90 days</t>
        </is>
      </c>
      <c r="H53" s="46" t="n">
        <v>650000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TRY-00750</t>
        </is>
      </c>
      <c r="B54" s="27" t="inlineStr">
        <is>
          <t>ABL borrowing base and covenant cure</t>
        </is>
      </c>
      <c r="C54" s="27" t="inlineStr">
        <is>
          <t>Detailed AR collateral control</t>
        </is>
      </c>
      <c r="D54" s="27" t="inlineStr">
        <is>
          <t>Helix Data Center</t>
        </is>
      </c>
      <c r="E54" s="27" t="inlineStr">
        <is>
          <t>2026-06-30</t>
        </is>
      </c>
      <c r="F54" s="27" t="inlineStr">
        <is>
          <t>Approved case</t>
        </is>
      </c>
      <c r="G54" s="27" t="inlineStr">
        <is>
          <t>Cross-aged exclusion</t>
        </is>
      </c>
      <c r="H54" s="46" t="n">
        <v>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TRY-00751</t>
        </is>
      </c>
      <c r="B55" s="27" t="inlineStr">
        <is>
          <t>ABL borrowing base and covenant cure</t>
        </is>
      </c>
      <c r="C55" s="27" t="inlineStr">
        <is>
          <t>Detailed AR collateral control</t>
        </is>
      </c>
      <c r="D55" s="27" t="inlineStr">
        <is>
          <t>Helix Data Center</t>
        </is>
      </c>
      <c r="E55" s="27" t="inlineStr">
        <is>
          <t>2026-06-30</t>
        </is>
      </c>
      <c r="F55" s="27" t="inlineStr">
        <is>
          <t>Approved case</t>
        </is>
      </c>
      <c r="G55" s="27" t="inlineStr">
        <is>
          <t>Related-party exclusion</t>
        </is>
      </c>
      <c r="H55" s="46" t="n">
        <v>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TRY-00752</t>
        </is>
      </c>
      <c r="B56" s="27" t="inlineStr">
        <is>
          <t>ABL borrowing base and covenant cure</t>
        </is>
      </c>
      <c r="C56" s="27" t="inlineStr">
        <is>
          <t>Detailed AR collateral control</t>
        </is>
      </c>
      <c r="D56" s="27" t="inlineStr">
        <is>
          <t>Portland Schools</t>
        </is>
      </c>
      <c r="E56" s="27" t="inlineStr">
        <is>
          <t>2026-06-30</t>
        </is>
      </c>
      <c r="F56" s="27" t="inlineStr">
        <is>
          <t>Approved case</t>
        </is>
      </c>
      <c r="G56" s="27" t="inlineStr">
        <is>
          <t>Gross receivable</t>
        </is>
      </c>
      <c r="H56" s="46" t="n">
        <v>2200000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TRY-00753</t>
        </is>
      </c>
      <c r="B57" s="27" t="inlineStr">
        <is>
          <t>ABL borrowing base and covenant cure</t>
        </is>
      </c>
      <c r="C57" s="27" t="inlineStr">
        <is>
          <t>Detailed AR collateral control</t>
        </is>
      </c>
      <c r="D57" s="27" t="inlineStr">
        <is>
          <t>Portland Schools</t>
        </is>
      </c>
      <c r="E57" s="27" t="inlineStr">
        <is>
          <t>2026-06-30</t>
        </is>
      </c>
      <c r="F57" s="27" t="inlineStr">
        <is>
          <t>Approved case</t>
        </is>
      </c>
      <c r="G57" s="27" t="inlineStr">
        <is>
          <t>Over 90 days</t>
        </is>
      </c>
      <c r="H57" s="46" t="n">
        <v>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TRY-00754</t>
        </is>
      </c>
      <c r="B58" s="27" t="inlineStr">
        <is>
          <t>ABL borrowing base and covenant cure</t>
        </is>
      </c>
      <c r="C58" s="27" t="inlineStr">
        <is>
          <t>Detailed AR collateral control</t>
        </is>
      </c>
      <c r="D58" s="27" t="inlineStr">
        <is>
          <t>Portland Schools</t>
        </is>
      </c>
      <c r="E58" s="27" t="inlineStr">
        <is>
          <t>2026-06-30</t>
        </is>
      </c>
      <c r="F58" s="27" t="inlineStr">
        <is>
          <t>Approved case</t>
        </is>
      </c>
      <c r="G58" s="27" t="inlineStr">
        <is>
          <t>Cross-aged exclusion</t>
        </is>
      </c>
      <c r="H58" s="46" t="n">
        <v>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TRY-00755</t>
        </is>
      </c>
      <c r="B59" s="27" t="inlineStr">
        <is>
          <t>ABL borrowing base and covenant cure</t>
        </is>
      </c>
      <c r="C59" s="27" t="inlineStr">
        <is>
          <t>Detailed AR collateral control</t>
        </is>
      </c>
      <c r="D59" s="27" t="inlineStr">
        <is>
          <t>Portland Schools</t>
        </is>
      </c>
      <c r="E59" s="27" t="inlineStr">
        <is>
          <t>2026-06-30</t>
        </is>
      </c>
      <c r="F59" s="27" t="inlineStr">
        <is>
          <t>Approved case</t>
        </is>
      </c>
      <c r="G59" s="27" t="inlineStr">
        <is>
          <t>Related-party exclusion</t>
        </is>
      </c>
      <c r="H59" s="46" t="n">
        <v>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TRY-00756</t>
        </is>
      </c>
      <c r="B60" s="27" t="inlineStr">
        <is>
          <t>ABL borrowing base and covenant cure</t>
        </is>
      </c>
      <c r="C60" s="27" t="inlineStr">
        <is>
          <t>Detailed AR collateral control</t>
        </is>
      </c>
      <c r="D60" s="27" t="inlineStr">
        <is>
          <t>Juniper Offices</t>
        </is>
      </c>
      <c r="E60" s="27" t="inlineStr">
        <is>
          <t>2026-06-30</t>
        </is>
      </c>
      <c r="F60" s="27" t="inlineStr">
        <is>
          <t>Approved case</t>
        </is>
      </c>
      <c r="G60" s="27" t="inlineStr">
        <is>
          <t>Gross receivable</t>
        </is>
      </c>
      <c r="H60" s="46" t="n">
        <v>1800000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TRY-00757</t>
        </is>
      </c>
      <c r="B61" s="27" t="inlineStr">
        <is>
          <t>ABL borrowing base and covenant cure</t>
        </is>
      </c>
      <c r="C61" s="27" t="inlineStr">
        <is>
          <t>Detailed AR collateral control</t>
        </is>
      </c>
      <c r="D61" s="27" t="inlineStr">
        <is>
          <t>Juniper Offices</t>
        </is>
      </c>
      <c r="E61" s="27" t="inlineStr">
        <is>
          <t>2026-06-30</t>
        </is>
      </c>
      <c r="F61" s="27" t="inlineStr">
        <is>
          <t>Approved case</t>
        </is>
      </c>
      <c r="G61" s="27" t="inlineStr">
        <is>
          <t>Over 90 days</t>
        </is>
      </c>
      <c r="H61" s="46" t="n">
        <v>300000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TRY-00758</t>
        </is>
      </c>
      <c r="B62" s="27" t="inlineStr">
        <is>
          <t>ABL borrowing base and covenant cure</t>
        </is>
      </c>
      <c r="C62" s="27" t="inlineStr">
        <is>
          <t>Detailed AR collateral control</t>
        </is>
      </c>
      <c r="D62" s="27" t="inlineStr">
        <is>
          <t>Juniper Offices</t>
        </is>
      </c>
      <c r="E62" s="27" t="inlineStr">
        <is>
          <t>2026-06-30</t>
        </is>
      </c>
      <c r="F62" s="27" t="inlineStr">
        <is>
          <t>Approved case</t>
        </is>
      </c>
      <c r="G62" s="27" t="inlineStr">
        <is>
          <t>Cross-aged exclusion</t>
        </is>
      </c>
      <c r="H62" s="46" t="n">
        <v>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TRY-00759</t>
        </is>
      </c>
      <c r="B63" s="27" t="inlineStr">
        <is>
          <t>ABL borrowing base and covenant cure</t>
        </is>
      </c>
      <c r="C63" s="27" t="inlineStr">
        <is>
          <t>Detailed AR collateral control</t>
        </is>
      </c>
      <c r="D63" s="27" t="inlineStr">
        <is>
          <t>Juniper Offices</t>
        </is>
      </c>
      <c r="E63" s="27" t="inlineStr">
        <is>
          <t>2026-06-30</t>
        </is>
      </c>
      <c r="F63" s="27" t="inlineStr">
        <is>
          <t>Approved case</t>
        </is>
      </c>
      <c r="G63" s="27" t="inlineStr">
        <is>
          <t>Related-party exclusion</t>
        </is>
      </c>
      <c r="H63" s="46" t="n">
        <v>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TRY-00760</t>
        </is>
      </c>
      <c r="B64" s="27" t="inlineStr">
        <is>
          <t>ABL borrowing base and covenant cure</t>
        </is>
      </c>
      <c r="C64" s="27" t="inlineStr">
        <is>
          <t>Detailed AR collateral control</t>
        </is>
      </c>
      <c r="D64" s="27" t="inlineStr">
        <is>
          <t>Cascade Retail</t>
        </is>
      </c>
      <c r="E64" s="27" t="inlineStr">
        <is>
          <t>2026-06-30</t>
        </is>
      </c>
      <c r="F64" s="27" t="inlineStr">
        <is>
          <t>Approved case</t>
        </is>
      </c>
      <c r="G64" s="27" t="inlineStr">
        <is>
          <t>Gross receivable</t>
        </is>
      </c>
      <c r="H64" s="46" t="n">
        <v>1600000</v>
      </c>
      <c r="I64" s="27" t="inlineStr"/>
      <c r="J64" s="27" t="inlineStr">
        <is>
          <t>USD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TRY-00761</t>
        </is>
      </c>
      <c r="B65" s="27" t="inlineStr">
        <is>
          <t>ABL borrowing base and covenant cure</t>
        </is>
      </c>
      <c r="C65" s="27" t="inlineStr">
        <is>
          <t>Detailed AR collateral control</t>
        </is>
      </c>
      <c r="D65" s="27" t="inlineStr">
        <is>
          <t>Cascade Retail</t>
        </is>
      </c>
      <c r="E65" s="27" t="inlineStr">
        <is>
          <t>2026-06-30</t>
        </is>
      </c>
      <c r="F65" s="27" t="inlineStr">
        <is>
          <t>Approved case</t>
        </is>
      </c>
      <c r="G65" s="27" t="inlineStr">
        <is>
          <t>Over 90 days</t>
        </is>
      </c>
      <c r="H65" s="46" t="n">
        <v>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TRY-00762</t>
        </is>
      </c>
      <c r="B66" s="27" t="inlineStr">
        <is>
          <t>ABL borrowing base and covenant cure</t>
        </is>
      </c>
      <c r="C66" s="27" t="inlineStr">
        <is>
          <t>Detailed AR collateral control</t>
        </is>
      </c>
      <c r="D66" s="27" t="inlineStr">
        <is>
          <t>Cascade Retail</t>
        </is>
      </c>
      <c r="E66" s="27" t="inlineStr">
        <is>
          <t>2026-06-30</t>
        </is>
      </c>
      <c r="F66" s="27" t="inlineStr">
        <is>
          <t>Approved case</t>
        </is>
      </c>
      <c r="G66" s="27" t="inlineStr">
        <is>
          <t>Cross-aged exclusion</t>
        </is>
      </c>
      <c r="H66" s="46" t="n">
        <v>500000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TRY-00763</t>
        </is>
      </c>
      <c r="B67" s="27" t="inlineStr">
        <is>
          <t>ABL borrowing base and covenant cure</t>
        </is>
      </c>
      <c r="C67" s="27" t="inlineStr">
        <is>
          <t>Detailed AR collateral control</t>
        </is>
      </c>
      <c r="D67" s="27" t="inlineStr">
        <is>
          <t>Cascade Retail</t>
        </is>
      </c>
      <c r="E67" s="27" t="inlineStr">
        <is>
          <t>2026-06-30</t>
        </is>
      </c>
      <c r="F67" s="27" t="inlineStr">
        <is>
          <t>Approved case</t>
        </is>
      </c>
      <c r="G67" s="27" t="inlineStr">
        <is>
          <t>Related-party exclusion</t>
        </is>
      </c>
      <c r="H67" s="46" t="n">
        <v>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TRY-00764</t>
        </is>
      </c>
      <c r="B68" s="27" t="inlineStr">
        <is>
          <t>ABL borrowing base and covenant cure</t>
        </is>
      </c>
      <c r="C68" s="27" t="inlineStr">
        <is>
          <t>Detailed AR collateral control</t>
        </is>
      </c>
      <c r="D68" s="27" t="inlineStr">
        <is>
          <t>Other and affiliate</t>
        </is>
      </c>
      <c r="E68" s="27" t="inlineStr">
        <is>
          <t>2026-06-30</t>
        </is>
      </c>
      <c r="F68" s="27" t="inlineStr">
        <is>
          <t>Approved case</t>
        </is>
      </c>
      <c r="G68" s="27" t="inlineStr">
        <is>
          <t>Gross receivable</t>
        </is>
      </c>
      <c r="H68" s="46" t="n">
        <v>1400000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TRY-00765</t>
        </is>
      </c>
      <c r="B69" s="27" t="inlineStr">
        <is>
          <t>ABL borrowing base and covenant cure</t>
        </is>
      </c>
      <c r="C69" s="27" t="inlineStr">
        <is>
          <t>Detailed AR collateral control</t>
        </is>
      </c>
      <c r="D69" s="27" t="inlineStr">
        <is>
          <t>Other and affiliate</t>
        </is>
      </c>
      <c r="E69" s="27" t="inlineStr">
        <is>
          <t>2026-06-30</t>
        </is>
      </c>
      <c r="F69" s="27" t="inlineStr">
        <is>
          <t>Approved case</t>
        </is>
      </c>
      <c r="G69" s="27" t="inlineStr">
        <is>
          <t>Over 90 days</t>
        </is>
      </c>
      <c r="H69" s="46" t="n">
        <v>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TRY-00766</t>
        </is>
      </c>
      <c r="B70" s="27" t="inlineStr">
        <is>
          <t>ABL borrowing base and covenant cure</t>
        </is>
      </c>
      <c r="C70" s="27" t="inlineStr">
        <is>
          <t>Detailed AR collateral control</t>
        </is>
      </c>
      <c r="D70" s="27" t="inlineStr">
        <is>
          <t>Other and affiliate</t>
        </is>
      </c>
      <c r="E70" s="27" t="inlineStr">
        <is>
          <t>2026-06-30</t>
        </is>
      </c>
      <c r="F70" s="27" t="inlineStr">
        <is>
          <t>Approved case</t>
        </is>
      </c>
      <c r="G70" s="27" t="inlineStr">
        <is>
          <t>Cross-aged exclusion</t>
        </is>
      </c>
      <c r="H70" s="46" t="n">
        <v>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TRY-00767</t>
        </is>
      </c>
      <c r="B71" s="27" t="inlineStr">
        <is>
          <t>ABL borrowing base and covenant cure</t>
        </is>
      </c>
      <c r="C71" s="27" t="inlineStr">
        <is>
          <t>Detailed AR collateral control</t>
        </is>
      </c>
      <c r="D71" s="27" t="inlineStr">
        <is>
          <t>Other and affiliate</t>
        </is>
      </c>
      <c r="E71" s="27" t="inlineStr">
        <is>
          <t>2026-06-30</t>
        </is>
      </c>
      <c r="F71" s="27" t="inlineStr">
        <is>
          <t>Approved case</t>
        </is>
      </c>
      <c r="G71" s="27" t="inlineStr">
        <is>
          <t>Related-party exclusion</t>
        </is>
      </c>
      <c r="H71" s="46" t="n">
        <v>220</v>
      </c>
      <c r="I71" s="27" t="inlineStr"/>
      <c r="J71" s="27" t="inlineStr">
        <is>
          <t>USD thousands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TRY-00768</t>
        </is>
      </c>
      <c r="B72" s="27" t="inlineStr">
        <is>
          <t>ABL borrowing base and covenant cure</t>
        </is>
      </c>
      <c r="C72" s="27" t="inlineStr">
        <is>
          <t>Detailed inventory collateral control</t>
        </is>
      </c>
      <c r="D72" s="27" t="inlineStr">
        <is>
          <t>Raw material</t>
        </is>
      </c>
      <c r="E72" s="27" t="inlineStr">
        <is>
          <t>2026-06-30</t>
        </is>
      </c>
      <c r="F72" s="27" t="inlineStr">
        <is>
          <t>Approved case</t>
        </is>
      </c>
      <c r="G72" s="27" t="inlineStr">
        <is>
          <t>Gross inventory</t>
        </is>
      </c>
      <c r="H72" s="46" t="n">
        <v>3000000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TRY-00769</t>
        </is>
      </c>
      <c r="B73" s="27" t="inlineStr">
        <is>
          <t>ABL borrowing base and covenant cure</t>
        </is>
      </c>
      <c r="C73" s="27" t="inlineStr">
        <is>
          <t>Detailed inventory collateral control</t>
        </is>
      </c>
      <c r="D73" s="27" t="inlineStr">
        <is>
          <t>Raw material</t>
        </is>
      </c>
      <c r="E73" s="27" t="inlineStr">
        <is>
          <t>2026-06-30</t>
        </is>
      </c>
      <c r="F73" s="27" t="inlineStr">
        <is>
          <t>Approved case</t>
        </is>
      </c>
      <c r="G73" s="27" t="inlineStr">
        <is>
          <t>Eligibility factor</t>
        </is>
      </c>
      <c r="H73" s="46" t="n">
        <v>0.95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TRY-00770</t>
        </is>
      </c>
      <c r="B74" s="27" t="inlineStr">
        <is>
          <t>ABL borrowing base and covenant cure</t>
        </is>
      </c>
      <c r="C74" s="27" t="inlineStr">
        <is>
          <t>Detailed inventory collateral control</t>
        </is>
      </c>
      <c r="D74" s="27" t="inlineStr">
        <is>
          <t>Work in process</t>
        </is>
      </c>
      <c r="E74" s="27" t="inlineStr">
        <is>
          <t>2026-06-30</t>
        </is>
      </c>
      <c r="F74" s="27" t="inlineStr">
        <is>
          <t>Approved case</t>
        </is>
      </c>
      <c r="G74" s="27" t="inlineStr">
        <is>
          <t>Gross inventory</t>
        </is>
      </c>
      <c r="H74" s="46" t="n">
        <v>1400000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TRY-00771</t>
        </is>
      </c>
      <c r="B75" s="27" t="inlineStr">
        <is>
          <t>ABL borrowing base and covenant cure</t>
        </is>
      </c>
      <c r="C75" s="27" t="inlineStr">
        <is>
          <t>Detailed inventory collateral control</t>
        </is>
      </c>
      <c r="D75" s="27" t="inlineStr">
        <is>
          <t>Work in process</t>
        </is>
      </c>
      <c r="E75" s="27" t="inlineStr">
        <is>
          <t>2026-06-30</t>
        </is>
      </c>
      <c r="F75" s="27" t="inlineStr">
        <is>
          <t>Approved case</t>
        </is>
      </c>
      <c r="G75" s="27" t="inlineStr">
        <is>
          <t>Eligibility factor</t>
        </is>
      </c>
      <c r="H75" s="46" t="n">
        <v>0.8</v>
      </c>
      <c r="I75" s="27" t="inlineStr"/>
      <c r="J75" s="27" t="inlineStr">
        <is>
          <t>decimal ratio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TRY-00772</t>
        </is>
      </c>
      <c r="B76" s="27" t="inlineStr">
        <is>
          <t>ABL borrowing base and covenant cure</t>
        </is>
      </c>
      <c r="C76" s="27" t="inlineStr">
        <is>
          <t>Detailed inventory collateral control</t>
        </is>
      </c>
      <c r="D76" s="27" t="inlineStr">
        <is>
          <t>Finished goods</t>
        </is>
      </c>
      <c r="E76" s="27" t="inlineStr">
        <is>
          <t>2026-06-30</t>
        </is>
      </c>
      <c r="F76" s="27" t="inlineStr">
        <is>
          <t>Approved case</t>
        </is>
      </c>
      <c r="G76" s="27" t="inlineStr">
        <is>
          <t>Gross inventory</t>
        </is>
      </c>
      <c r="H76" s="46" t="n">
        <v>1100000</v>
      </c>
      <c r="I76" s="27" t="inlineStr"/>
      <c r="J76" s="27" t="inlineStr">
        <is>
          <t>USD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TRY-00773</t>
        </is>
      </c>
      <c r="B77" s="27" t="inlineStr">
        <is>
          <t>ABL borrowing base and covenant cure</t>
        </is>
      </c>
      <c r="C77" s="27" t="inlineStr">
        <is>
          <t>Detailed inventory collateral control</t>
        </is>
      </c>
      <c r="D77" s="27" t="inlineStr">
        <is>
          <t>Finished goods</t>
        </is>
      </c>
      <c r="E77" s="27" t="inlineStr">
        <is>
          <t>2026-06-30</t>
        </is>
      </c>
      <c r="F77" s="27" t="inlineStr">
        <is>
          <t>Approved case</t>
        </is>
      </c>
      <c r="G77" s="27" t="inlineStr">
        <is>
          <t>Eligibility factor</t>
        </is>
      </c>
      <c r="H77" s="46" t="n">
        <v>0.7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TRY-00774</t>
        </is>
      </c>
      <c r="B78" s="27" t="inlineStr">
        <is>
          <t>ABL borrowing base and covenant cure</t>
        </is>
      </c>
      <c r="C78" s="27" t="inlineStr">
        <is>
          <t>Detailed ABL policy</t>
        </is>
      </c>
      <c r="D78" s="27" t="inlineStr">
        <is>
          <t>Alder Ridge</t>
        </is>
      </c>
      <c r="E78" s="27" t="inlineStr">
        <is>
          <t>2026-06-30</t>
        </is>
      </c>
      <c r="F78" s="27" t="inlineStr">
        <is>
          <t>Approved case</t>
        </is>
      </c>
      <c r="G78" s="27" t="inlineStr">
        <is>
          <t>Single customer concentration cap</t>
        </is>
      </c>
      <c r="H78" s="46" t="n">
        <v>0.2</v>
      </c>
      <c r="I78" s="27" t="inlineStr"/>
      <c r="J78" s="27" t="inlineStr">
        <is>
          <t>decimal ratio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TRY-00775</t>
        </is>
      </c>
      <c r="B79" s="27" t="inlineStr">
        <is>
          <t>ABL borrowing base and covenant cure</t>
        </is>
      </c>
      <c r="C79" s="27" t="inlineStr">
        <is>
          <t>Detailed ABL policy</t>
        </is>
      </c>
      <c r="D79" s="27" t="inlineStr">
        <is>
          <t>Alder Ridge</t>
        </is>
      </c>
      <c r="E79" s="27" t="inlineStr">
        <is>
          <t>2026-06-30</t>
        </is>
      </c>
      <c r="F79" s="27" t="inlineStr">
        <is>
          <t>Approved case</t>
        </is>
      </c>
      <c r="G79" s="27" t="inlineStr">
        <is>
          <t>Facility basis</t>
        </is>
      </c>
      <c r="H79" s="46" t="inlineStr"/>
      <c r="I79" s="27" t="inlineStr">
        <is>
          <t>Controller-approved pro forma ABL alternative; not the executed current revolver</t>
        </is>
      </c>
      <c r="J79" s="27" t="inlineStr">
        <is>
          <t>classification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</sheetData>
  <autoFilter ref="A4:M79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treasury, banking, and credit outlook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Cash and Liquidity</t>
        </is>
      </c>
      <c r="B5" s="40" t="n">
        <v>208</v>
      </c>
      <c r="C5" s="40">
        <f>COUNTA('Cash and Liquidity'!$A$5:$A$212)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Debt and Hedges</t>
        </is>
      </c>
      <c r="B6" s="41" t="n">
        <v>132</v>
      </c>
      <c r="C6" s="41">
        <f>COUNTA('Debt and Hedges'!$A$5:$A$136)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1" t="inlineStr">
        <is>
          <t>Bank Economics</t>
        </is>
      </c>
      <c r="B7" s="41" t="n">
        <v>47</v>
      </c>
      <c r="C7" s="41">
        <f>COUNTA('Bank Economics'!$A$5:$A$51)</f>
        <v/>
      </c>
      <c r="D7" s="41">
        <f>C7-B7</f>
        <v/>
      </c>
      <c r="E7" s="44">
        <f>IF(D7=0,"OK","CHECK")</f>
        <v/>
      </c>
      <c r="F7" s="41" t="inlineStr">
        <is>
          <t>CURRENT • CONTROLLER REVIEW COMPLETE</t>
        </is>
      </c>
    </row>
    <row r="8">
      <c r="A8" s="42" t="inlineStr">
        <is>
          <t>Credit Outlook</t>
        </is>
      </c>
      <c r="B8" s="42" t="n">
        <v>75</v>
      </c>
      <c r="C8" s="42">
        <f>COUNTA('Credit Outlook'!$A$5:$A$79)</f>
        <v/>
      </c>
      <c r="D8" s="42">
        <f>C8-B8</f>
        <v/>
      </c>
      <c r="E8" s="45">
        <f>IF(D8=0,"OK","CHECK")</f>
        <v/>
      </c>
      <c r="F8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2026-08-01T05:21:42Z</dcterms:created>
  <dcterms:modified xmlns:dcterms="http://purl.org/dc/terms/" xmlns:xsi="http://www.w3.org/2001/XMLSchema-instance" xsi:type="dcterms:W3CDTF">2026-08-01T05:21:43Z</dcterms:modified>
</cp:coreProperties>
</file>