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mercial Log" sheetId="1" state="visible" r:id="rId1"/>
    <sheet xmlns:r="http://schemas.openxmlformats.org/officeDocument/2006/relationships" name="Status Summary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PR working notes" sheetId="4" state="visible" r:id="rId4"/>
    <sheet xmlns:r="http://schemas.openxmlformats.org/officeDocument/2006/relationships" name="status xwalk old" sheetId="5" state="visible" r:id="rId5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$#,##0;[Red]($#,##0);-"/>
    <numFmt numFmtId="165" formatCode="yyyy-mm-dd"/>
  </numFmts>
  <fonts count="10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Arial"/>
      <color rgb="FF8B5E3C"/>
      <sz val="9"/>
    </font>
    <font>
      <name val="Carlito"/>
      <sz val="11"/>
    </font>
    <font>
      <name val="Arial"/>
      <b val="1"/>
      <color rgb="FF252321"/>
      <sz val="9"/>
    </font>
    <font>
      <name val="Arial"/>
      <b val="1"/>
      <color rgb="FFFFFFFF"/>
      <sz val="8"/>
    </font>
    <font>
      <name val="Arial"/>
      <color rgb="FF252321"/>
      <sz val="8"/>
    </font>
  </fonts>
  <fills count="7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FFF4B8"/>
      </patternFill>
    </fill>
    <fill>
      <patternFill patternType="solid">
        <fgColor rgb="FF4A4743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  <border>
      <left/>
      <right/>
      <top/>
      <bottom style="hair">
        <color rgb="FFD8D1C8"/>
      </bottom>
      <diagonal/>
    </border>
    <border>
      <left/>
      <right/>
      <top style="hair">
        <color rgb="FFD8D1C8"/>
      </top>
      <bottom style="hair">
        <color rgb="FFD8D1C8"/>
      </bottom>
      <diagonal/>
    </border>
    <border>
      <left/>
      <right/>
      <top style="hair">
        <color rgb="FFD8D1C8"/>
      </top>
      <bottom/>
      <diagonal/>
    </border>
  </borders>
  <cellStyleXfs count="1">
    <xf numFmtId="0" fontId="6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6" fillId="0" borderId="0" pivotButton="0" quotePrefix="0" xfId="0"/>
    <xf numFmtId="164" fontId="6" fillId="0" borderId="0" pivotButton="0" quotePrefix="0" xfId="0"/>
    <xf numFmtId="0" fontId="7" fillId="5" borderId="0" applyAlignment="1" pivotButton="0" quotePrefix="0" xfId="0">
      <alignment wrapText="1"/>
    </xf>
    <xf numFmtId="0" fontId="8" fillId="6" borderId="5" applyAlignment="1" pivotButton="0" quotePrefix="0" xfId="0">
      <alignment wrapText="1"/>
    </xf>
    <xf numFmtId="0" fontId="9" fillId="0" borderId="6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/>
  </cellStyles>
  <dxfs count="1">
    <dxf>
      <font>
        <b val="1"/>
        <color rgb="005A7669"/>
      </font>
      <fill>
        <patternFill patternType="solid">
          <fgColor rgb="00E4ECE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Change-order revenue by commercial status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 Summary'!B5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 Summary'!$A$6:$A$10</f>
            </numRef>
          </cat>
          <val>
            <numRef>
              <f>'Status Summary'!$B$6:$B$10</f>
            </numRef>
          </val>
        </ser>
        <ser>
          <idx val="1"/>
          <order val="1"/>
          <tx>
            <strRef>
              <f>'Status Summary'!C5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 Summary'!$A$6:$A$10</f>
            </numRef>
          </cat>
          <val>
            <numRef>
              <f>'Status Summary'!$C$6:$C$10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 outlineLevelRow="0"/>
  <cols>
    <col width="13" customWidth="1" min="1" max="2"/>
    <col width="52" customWidth="1" min="3" max="3"/>
    <col width="17" customWidth="1" min="4" max="6"/>
    <col width="18" customWidth="1" min="7" max="7"/>
    <col width="15" customWidth="1" min="8" max="8"/>
    <col width="18" customWidth="1" min="9" max="9"/>
    <col width="54" customWidth="1" min="10" max="10"/>
    <col width="44" customWidth="1" min="11" max="11"/>
  </cols>
  <sheetData>
    <row r="1" ht="23" customHeight="1">
      <c r="A1" s="1" t="inlineStr">
        <is>
          <t>Change Order and Claims Log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</row>
    <row r="2" ht="23" customHeight="1">
      <c r="A2" s="2" t="inlineStr">
        <is>
          <t>Commercial status through 2026-06-30 17:00 PT | Executed changes are reflected in Vista ERP</t>
        </is>
      </c>
    </row>
    <row r="3"/>
    <row r="4"/>
    <row r="5" ht="30" customHeight="1">
      <c r="A5" s="3" t="inlineStr">
        <is>
          <t>Project ID</t>
        </is>
      </c>
      <c r="B5" s="4" t="inlineStr">
        <is>
          <t>Reference</t>
        </is>
      </c>
      <c r="C5" s="4" t="inlineStr">
        <is>
          <t>Description</t>
        </is>
      </c>
      <c r="D5" s="4" t="inlineStr">
        <is>
          <t>Revenue Amount</t>
        </is>
      </c>
      <c r="E5" s="4" t="inlineStr">
        <is>
          <t>Estimated Cost</t>
        </is>
      </c>
      <c r="F5" s="4" t="inlineStr">
        <is>
          <t>Estimated Margin</t>
        </is>
      </c>
      <c r="G5" s="4" t="inlineStr">
        <is>
          <t>Status</t>
        </is>
      </c>
      <c r="H5" s="4" t="inlineStr">
        <is>
          <t>Last Updated</t>
        </is>
      </c>
      <c r="I5" s="4" t="inlineStr">
        <is>
          <t>Contract Included?</t>
        </is>
      </c>
      <c r="J5" s="4" t="inlineStr">
        <is>
          <t>Finance Review Status</t>
        </is>
      </c>
      <c r="K5" s="5" t="inlineStr">
        <is>
          <t>Support / Notes</t>
        </is>
      </c>
    </row>
    <row r="6">
      <c r="A6" s="6" t="inlineStr">
        <is>
          <t>ARM-2417</t>
        </is>
      </c>
      <c r="B6" s="6" t="inlineStr">
        <is>
          <t>PCO-017</t>
        </is>
      </c>
      <c r="C6" s="6" t="inlineStr">
        <is>
          <t>OR congestion and after-hours premium</t>
        </is>
      </c>
      <c r="D6" s="7" t="n">
        <v>382000</v>
      </c>
      <c r="E6" s="7" t="n">
        <v>275000</v>
      </c>
      <c r="F6" s="8">
        <f>D6-E6</f>
        <v/>
      </c>
      <c r="G6" s="6" t="inlineStr">
        <is>
          <t>Submitted</t>
        </is>
      </c>
      <c r="H6" s="9" t="n">
        <v>46190</v>
      </c>
      <c r="I6" s="6" t="inlineStr">
        <is>
          <t>No</t>
        </is>
      </c>
      <c r="J6" s="6" t="inlineStr">
        <is>
          <t>Pending controller assessment under signed WIP policy</t>
        </is>
      </c>
      <c r="K6" s="6" t="inlineStr">
        <is>
          <t>Owner review; no executed directive</t>
        </is>
      </c>
    </row>
    <row r="7">
      <c r="A7" s="6" t="inlineStr">
        <is>
          <t>ARM-2409</t>
        </is>
      </c>
      <c r="B7" s="6" t="inlineStr">
        <is>
          <t>PCO-011</t>
        </is>
      </c>
      <c r="C7" s="6" t="inlineStr">
        <is>
          <t>Freezer slab rework backcharge to concrete trade</t>
        </is>
      </c>
      <c r="D7" s="7" t="n">
        <v>185000</v>
      </c>
      <c r="E7" s="7" t="n">
        <v>-185000</v>
      </c>
      <c r="F7" s="8">
        <f>D7-E7</f>
        <v/>
      </c>
      <c r="G7" s="6" t="inlineStr">
        <is>
          <t>Draft</t>
        </is>
      </c>
      <c r="H7" s="9" t="n">
        <v>46197</v>
      </c>
      <c r="I7" s="6" t="inlineStr">
        <is>
          <t>No</t>
        </is>
      </c>
      <c r="J7" s="6" t="inlineStr">
        <is>
          <t>Pending controller assessment under signed WIP policy</t>
        </is>
      </c>
      <c r="K7" s="6" t="inlineStr">
        <is>
          <t>Recovery disputed; no subcontractor acceptance</t>
        </is>
      </c>
    </row>
    <row r="8">
      <c r="A8" s="6" t="inlineStr">
        <is>
          <t>ARM-2506</t>
        </is>
      </c>
      <c r="B8" s="6" t="inlineStr">
        <is>
          <t>PCO-006</t>
        </is>
      </c>
      <c r="C8" s="6" t="inlineStr">
        <is>
          <t>Chiller electrical service redesign</t>
        </is>
      </c>
      <c r="D8" s="7" t="n">
        <v>296000</v>
      </c>
      <c r="E8" s="7" t="n">
        <v>210000</v>
      </c>
      <c r="F8" s="8">
        <f>D8-E8</f>
        <v/>
      </c>
      <c r="G8" s="6" t="inlineStr">
        <is>
          <t>Pricing</t>
        </is>
      </c>
      <c r="H8" s="9" t="n">
        <v>46194</v>
      </c>
      <c r="I8" s="6" t="inlineStr">
        <is>
          <t>No</t>
        </is>
      </c>
      <c r="J8" s="6" t="inlineStr">
        <is>
          <t>Pending controller assessment under signed WIP policy</t>
        </is>
      </c>
      <c r="K8" s="6" t="inlineStr">
        <is>
          <t>Engineer-directed pricing only</t>
        </is>
      </c>
    </row>
    <row r="9">
      <c r="A9" s="6" t="inlineStr">
        <is>
          <t>ARM-2514</t>
        </is>
      </c>
      <c r="B9" s="6" t="inlineStr">
        <is>
          <t>CO-008</t>
        </is>
      </c>
      <c r="C9" s="6" t="inlineStr">
        <is>
          <t>Gym ventilation scope revision</t>
        </is>
      </c>
      <c r="D9" s="7" t="n">
        <v>214000</v>
      </c>
      <c r="E9" s="7" t="n">
        <v>147000</v>
      </c>
      <c r="F9" s="8">
        <f>D9-E9</f>
        <v/>
      </c>
      <c r="G9" s="6" t="inlineStr">
        <is>
          <t>Approved</t>
        </is>
      </c>
      <c r="H9" s="9" t="n">
        <v>46185</v>
      </c>
      <c r="I9" s="6" t="inlineStr">
        <is>
          <t>Yes</t>
        </is>
      </c>
      <c r="J9" s="6" t="inlineStr">
        <is>
          <t>Executed before cutoff</t>
        </is>
      </c>
      <c r="K9" s="6" t="inlineStr">
        <is>
          <t>Executed bilateral change order</t>
        </is>
      </c>
    </row>
    <row r="10">
      <c r="A10" s="6" t="inlineStr">
        <is>
          <t>ARM-2318</t>
        </is>
      </c>
      <c r="B10" s="6" t="inlineStr">
        <is>
          <t>PCO-029</t>
        </is>
      </c>
      <c r="C10" s="6" t="inlineStr">
        <is>
          <t>Final validation retest and extended support</t>
        </is>
      </c>
      <c r="D10" s="7" t="n">
        <v>68000</v>
      </c>
      <c r="E10" s="7" t="n">
        <v>45000</v>
      </c>
      <c r="F10" s="8">
        <f>D10-E10</f>
        <v/>
      </c>
      <c r="G10" s="6" t="inlineStr">
        <is>
          <t>Submitted</t>
        </is>
      </c>
      <c r="H10" s="9" t="n">
        <v>46200</v>
      </c>
      <c r="I10" s="6" t="inlineStr">
        <is>
          <t>No</t>
        </is>
      </c>
      <c r="J10" s="6" t="inlineStr">
        <is>
          <t>Pending controller assessment under signed WIP policy</t>
        </is>
      </c>
      <c r="K10" s="6" t="inlineStr">
        <is>
          <t>Customer disputes responsibility</t>
        </is>
      </c>
    </row>
    <row r="11">
      <c r="A11" s="6" t="inlineStr">
        <is>
          <t>ARM-2605</t>
        </is>
      </c>
      <c r="B11" s="6" t="inlineStr">
        <is>
          <t>PCO-002</t>
        </is>
      </c>
      <c r="C11" s="6" t="inlineStr">
        <is>
          <t>Temporary ventilation for summer events</t>
        </is>
      </c>
      <c r="D11" s="7" t="n">
        <v>174000</v>
      </c>
      <c r="E11" s="7" t="n">
        <v>121000</v>
      </c>
      <c r="F11" s="8">
        <f>D11-E11</f>
        <v/>
      </c>
      <c r="G11" s="6" t="inlineStr">
        <is>
          <t>Under Review</t>
        </is>
      </c>
      <c r="H11" s="9" t="n">
        <v>46201</v>
      </c>
      <c r="I11" s="6" t="inlineStr">
        <is>
          <t>No</t>
        </is>
      </c>
      <c r="J11" s="6" t="inlineStr">
        <is>
          <t>Pending controller assessment under signed WIP policy</t>
        </is>
      </c>
      <c r="K11" s="6" t="inlineStr">
        <is>
          <t>Work not authorized at cutoff</t>
        </is>
      </c>
    </row>
    <row r="12">
      <c r="A12" s="6" t="inlineStr">
        <is>
          <t>ARM-2403</t>
        </is>
      </c>
      <c r="B12" s="6" t="inlineStr">
        <is>
          <t>CO-014</t>
        </is>
      </c>
      <c r="C12" s="6" t="inlineStr">
        <is>
          <t>AHU-4 controls sequence revision</t>
        </is>
      </c>
      <c r="D12" s="7" t="n">
        <v>96000</v>
      </c>
      <c r="E12" s="7" t="n">
        <v>62000</v>
      </c>
      <c r="F12" s="8">
        <f>D12-E12</f>
        <v/>
      </c>
      <c r="G12" s="6" t="inlineStr">
        <is>
          <t>Approved</t>
        </is>
      </c>
      <c r="H12" s="9" t="n">
        <v>46161</v>
      </c>
      <c r="I12" s="6" t="inlineStr">
        <is>
          <t>Yes</t>
        </is>
      </c>
      <c r="J12" s="6" t="inlineStr">
        <is>
          <t>Executed before cutoff</t>
        </is>
      </c>
      <c r="K12" s="6" t="inlineStr">
        <is>
          <t>Executed</t>
        </is>
      </c>
    </row>
    <row r="13">
      <c r="A13" s="6" t="inlineStr">
        <is>
          <t>ARM-2412</t>
        </is>
      </c>
      <c r="B13" s="6" t="inlineStr">
        <is>
          <t>CO-009</t>
        </is>
      </c>
      <c r="C13" s="6" t="inlineStr">
        <is>
          <t>Lab exhaust fan VFD replacements</t>
        </is>
      </c>
      <c r="D13" s="7" t="n">
        <v>133000</v>
      </c>
      <c r="E13" s="7" t="n">
        <v>88000</v>
      </c>
      <c r="F13" s="8">
        <f>D13-E13</f>
        <v/>
      </c>
      <c r="G13" s="6" t="inlineStr">
        <is>
          <t>Approved</t>
        </is>
      </c>
      <c r="H13" s="9" t="n">
        <v>46176</v>
      </c>
      <c r="I13" s="6" t="inlineStr">
        <is>
          <t>Yes</t>
        </is>
      </c>
      <c r="J13" s="6" t="inlineStr">
        <is>
          <t>Executed before cutoff</t>
        </is>
      </c>
      <c r="K13" s="6" t="inlineStr">
        <is>
          <t>Executed</t>
        </is>
      </c>
    </row>
  </sheetData>
  <mergeCells count="2">
    <mergeCell ref="A2:K2"/>
    <mergeCell ref="A1:K1"/>
  </mergeCells>
  <conditionalFormatting sqref="G6:G13">
    <cfRule type="containsText" priority="1" operator="containsText" dxfId="0" text="Approved"/>
  </conditionalFormatting>
  <dataValidations count="1">
    <dataValidation sqref="I6:I13" showDropDown="0" showInputMessage="0" showErrorMessage="0" allowBlank="1" type="list">
      <formula1>"Yes,No"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 outlineLevelRow="0"/>
  <cols>
    <col width="20" customWidth="1" min="1" max="1"/>
    <col width="14" customWidth="1" min="2" max="2"/>
    <col width="19" customWidth="1" min="3" max="4"/>
    <col width="8" customWidth="1" min="5" max="5"/>
    <col width="16" customWidth="1" min="6" max="8"/>
  </cols>
  <sheetData>
    <row r="1" ht="23" customHeight="1">
      <c r="A1" s="1" t="inlineStr">
        <is>
          <t>Commercial Pipeline Summary</t>
        </is>
      </c>
      <c r="B1" s="16" t="n"/>
      <c r="C1" s="16" t="n"/>
      <c r="D1" s="16" t="n"/>
      <c r="E1" s="16" t="n"/>
      <c r="F1" s="16" t="n"/>
      <c r="G1" s="16" t="n"/>
      <c r="H1" s="16" t="n"/>
    </row>
    <row r="2" ht="23" customHeight="1">
      <c r="A2" s="2" t="inlineStr">
        <is>
          <t>Unapproved amounts are pipeline only and do not alter WIP contract value</t>
        </is>
      </c>
    </row>
    <row r="3"/>
    <row r="4"/>
    <row r="5" ht="30" customHeight="1">
      <c r="A5" s="3" t="inlineStr">
        <is>
          <t>Status</t>
        </is>
      </c>
      <c r="B5" s="4" t="inlineStr">
        <is>
          <t>Item Count</t>
        </is>
      </c>
      <c r="C5" s="4" t="inlineStr">
        <is>
          <t>Revenue Amount</t>
        </is>
      </c>
      <c r="D5" s="5" t="inlineStr">
        <is>
          <t>Estimated Cost</t>
        </is>
      </c>
    </row>
    <row r="6">
      <c r="A6" s="10" t="inlineStr">
        <is>
          <t>Approved</t>
        </is>
      </c>
      <c r="B6" s="10">
        <f>COUNTIF('Commercial Log'!G$6:G$13,A6)</f>
        <v/>
      </c>
      <c r="C6" s="11">
        <f>SUMIF('Commercial Log'!G$6:G$13,A6,'Commercial Log'!D$6:D$13)</f>
        <v/>
      </c>
      <c r="D6" s="11">
        <f>SUMIF('Commercial Log'!G$6:G$13,A6,'Commercial Log'!E$6:E$13)</f>
        <v/>
      </c>
    </row>
    <row r="7">
      <c r="A7" s="10" t="inlineStr">
        <is>
          <t>Submitted</t>
        </is>
      </c>
      <c r="B7" s="10">
        <f>COUNTIF('Commercial Log'!G$6:G$13,A7)</f>
        <v/>
      </c>
      <c r="C7" s="11">
        <f>SUMIF('Commercial Log'!G$6:G$13,A7,'Commercial Log'!D$6:D$13)</f>
        <v/>
      </c>
      <c r="D7" s="11">
        <f>SUMIF('Commercial Log'!G$6:G$13,A7,'Commercial Log'!E$6:E$13)</f>
        <v/>
      </c>
    </row>
    <row r="8">
      <c r="A8" s="10" t="inlineStr">
        <is>
          <t>Under Review</t>
        </is>
      </c>
      <c r="B8" s="10">
        <f>COUNTIF('Commercial Log'!G$6:G$13,A8)</f>
        <v/>
      </c>
      <c r="C8" s="11">
        <f>SUMIF('Commercial Log'!G$6:G$13,A8,'Commercial Log'!D$6:D$13)</f>
        <v/>
      </c>
      <c r="D8" s="11">
        <f>SUMIF('Commercial Log'!G$6:G$13,A8,'Commercial Log'!E$6:E$13)</f>
        <v/>
      </c>
    </row>
    <row r="9">
      <c r="A9" s="10" t="inlineStr">
        <is>
          <t>Pricing</t>
        </is>
      </c>
      <c r="B9" s="10">
        <f>COUNTIF('Commercial Log'!G$6:G$13,A9)</f>
        <v/>
      </c>
      <c r="C9" s="11">
        <f>SUMIF('Commercial Log'!G$6:G$13,A9,'Commercial Log'!D$6:D$13)</f>
        <v/>
      </c>
      <c r="D9" s="11">
        <f>SUMIF('Commercial Log'!G$6:G$13,A9,'Commercial Log'!E$6:E$13)</f>
        <v/>
      </c>
    </row>
    <row r="10">
      <c r="A10" s="10" t="inlineStr">
        <is>
          <t>Draft</t>
        </is>
      </c>
      <c r="B10" s="10">
        <f>COUNTIF('Commercial Log'!G$6:G$13,A10)</f>
        <v/>
      </c>
      <c r="C10" s="11">
        <f>SUMIF('Commercial Log'!G$6:G$13,A10,'Commercial Log'!D$6:D$13)</f>
        <v/>
      </c>
      <c r="D10" s="11">
        <f>SUMIF('Commercial Log'!G$6:G$13,A10,'Commercial Log'!E$6:E$13)</f>
        <v/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 outlineLevelRow="0"/>
  <cols>
    <col width="20" customWidth="1" min="1" max="1"/>
    <col width="64" customWidth="1" min="2" max="2"/>
    <col width="24" customWidth="1" min="3" max="3"/>
    <col width="62" customWidth="1" min="4" max="4"/>
  </cols>
  <sheetData>
    <row r="1" ht="23" customHeight="1">
      <c r="A1" s="1" t="inlineStr">
        <is>
          <t>Commercial Log Data Dictionary</t>
        </is>
      </c>
      <c r="B1" s="16" t="n"/>
      <c r="C1" s="16" t="n"/>
      <c r="D1" s="16" t="n"/>
    </row>
    <row r="2" ht="23" customHeight="1">
      <c r="A2" s="2" t="inlineStr">
        <is>
          <t>Definitions used by Commercial, Project Accounting and WIP review</t>
        </is>
      </c>
    </row>
    <row r="3"/>
    <row r="4"/>
    <row r="5" ht="30" customHeight="1">
      <c r="A5" s="3" t="inlineStr">
        <is>
          <t>Field</t>
        </is>
      </c>
      <c r="B5" s="4" t="inlineStr">
        <is>
          <t>Definition</t>
        </is>
      </c>
      <c r="C5" s="4" t="inlineStr">
        <is>
          <t>Owner</t>
        </is>
      </c>
      <c r="D5" s="5" t="inlineStr">
        <is>
          <t>Accounting Treatment</t>
        </is>
      </c>
    </row>
    <row r="6">
      <c r="A6" s="6" t="inlineStr">
        <is>
          <t>Approved</t>
        </is>
      </c>
      <c r="B6" s="6" t="inlineStr">
        <is>
          <t>Executed bilateral change order or written directive meeting contract authorization requirements.</t>
        </is>
      </c>
      <c r="C6" s="6" t="inlineStr">
        <is>
          <t>Commercial Manager</t>
        </is>
      </c>
      <c r="D6" s="6" t="inlineStr">
        <is>
          <t>May be included in current contract value when recorded in Vista ERP.</t>
        </is>
      </c>
    </row>
    <row r="7">
      <c r="A7" s="6" t="inlineStr">
        <is>
          <t>Submitted</t>
        </is>
      </c>
      <c r="B7" s="6" t="inlineStr">
        <is>
          <t>Formal pricing submitted; owner has not executed the change.</t>
        </is>
      </c>
      <c r="C7" s="6" t="inlineStr">
        <is>
          <t>Project Manager</t>
        </is>
      </c>
      <c r="D7" s="6" t="inlineStr">
        <is>
          <t>Do not recognize revenue solely from this status.</t>
        </is>
      </c>
    </row>
    <row r="8">
      <c r="A8" s="6" t="inlineStr">
        <is>
          <t>Under Review</t>
        </is>
      </c>
      <c r="B8" s="6" t="inlineStr">
        <is>
          <t>Scope and commercial terms remain under owner/GC review.</t>
        </is>
      </c>
      <c r="C8" s="6" t="inlineStr">
        <is>
          <t>Commercial Manager</t>
        </is>
      </c>
      <c r="D8" s="6" t="inlineStr">
        <is>
          <t>Revenue excluded; evaluate unavoidable costs separately.</t>
        </is>
      </c>
    </row>
    <row r="9">
      <c r="A9" s="6" t="inlineStr">
        <is>
          <t>Pricing</t>
        </is>
      </c>
      <c r="B9" s="6" t="inlineStr">
        <is>
          <t>Scope is being estimated or negotiated and is not yet a complete submission.</t>
        </is>
      </c>
      <c r="C9" s="6" t="inlineStr">
        <is>
          <t>Estimator / PM</t>
        </is>
      </c>
      <c r="D9" s="6" t="inlineStr">
        <is>
          <t>Revenue excluded; probable cost may require EAC treatment.</t>
        </is>
      </c>
    </row>
    <row r="10">
      <c r="A10" s="6" t="inlineStr">
        <is>
          <t>Draft</t>
        </is>
      </c>
      <c r="B10" s="6" t="inlineStr">
        <is>
          <t>Internal position or claim theory not yet formally transmitted.</t>
        </is>
      </c>
      <c r="C10" s="6" t="inlineStr">
        <is>
          <t>Commercial Manager</t>
        </is>
      </c>
      <c r="D10" s="6" t="inlineStr">
        <is>
          <t>No revenue; recovery cannot reduce cost without persuasive support.</t>
        </is>
      </c>
    </row>
    <row r="11">
      <c r="A11" s="6" t="inlineStr">
        <is>
          <t>Contract Included?</t>
        </is>
      </c>
      <c r="B11" s="6" t="inlineStr">
        <is>
          <t>Whether Vista ERP current contract value reflects the item at cutoff.</t>
        </is>
      </c>
      <c r="C11" s="6" t="inlineStr">
        <is>
          <t>Project Accounting</t>
        </is>
      </c>
      <c r="D11" s="6" t="inlineStr">
        <is>
          <t>Must reconcile to project contract report.</t>
        </is>
      </c>
    </row>
    <row r="12">
      <c r="A12" s="6" t="inlineStr">
        <is>
          <t>Close Treatment</t>
        </is>
      </c>
      <c r="B12" s="6" t="inlineStr">
        <is>
          <t>Controller guidance for June estimate and recognition judgment.</t>
        </is>
      </c>
      <c r="C12" s="6" t="inlineStr">
        <is>
          <t>Controller</t>
        </is>
      </c>
      <c r="D12" s="6" t="inlineStr">
        <is>
          <t>Apply with source evidence and document any override.</t>
        </is>
      </c>
    </row>
  </sheetData>
  <mergeCells count="2">
    <mergeCell ref="A1:D1"/>
    <mergeCell ref="A2:D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 outlineLevelRow="0"/>
  <cols>
    <col width="14" customWidth="1" min="1" max="1"/>
    <col width="13" customWidth="1" min="2" max="3"/>
    <col width="11" customWidth="1" min="4" max="4"/>
    <col width="72" customWidth="1" min="5" max="5"/>
    <col width="14" customWidth="1" min="6" max="6"/>
    <col width="15" customWidth="1" min="7" max="7"/>
  </cols>
  <sheetData>
    <row r="1">
      <c r="A1" s="12" t="inlineStr">
        <is>
          <t>Priya's running commercial notes. Status values are informal; the Commercial Log and executed documents control.</t>
        </is>
      </c>
    </row>
    <row r="2"/>
    <row r="3">
      <c r="A3" s="13" t="inlineStr">
        <is>
          <t>date typed</t>
        </is>
      </c>
      <c r="B3" s="13" t="inlineStr">
        <is>
          <t>job</t>
        </is>
      </c>
      <c r="C3" s="13" t="inlineStr">
        <is>
          <t>ref</t>
        </is>
      </c>
      <c r="D3" s="13" t="inlineStr">
        <is>
          <t>person</t>
        </is>
      </c>
      <c r="E3" s="13" t="inlineStr">
        <is>
          <t>note copied from call/e-mail</t>
        </is>
      </c>
      <c r="F3" s="13" t="inlineStr">
        <is>
          <t>next chase</t>
        </is>
      </c>
      <c r="G3" s="13" t="inlineStr">
        <is>
          <t>resolved?</t>
        </is>
      </c>
    </row>
    <row r="4">
      <c r="A4" s="14" t="inlineStr">
        <is>
          <t>2026-06-17</t>
        </is>
      </c>
      <c r="B4" s="14" t="inlineStr">
        <is>
          <t>ARM-2417</t>
        </is>
      </c>
      <c r="C4" s="14" t="inlineStr">
        <is>
          <t>PCO-017</t>
        </is>
      </c>
      <c r="D4" s="14" t="inlineStr">
        <is>
          <t>PR</t>
        </is>
      </c>
      <c r="E4" s="14" t="inlineStr">
        <is>
          <t>Owner review; no executed directive</t>
        </is>
      </c>
      <c r="F4" s="14" t="inlineStr">
        <is>
          <t>7/2</t>
        </is>
      </c>
      <c r="G4" s="14" t="inlineStr">
        <is>
          <t>NO</t>
        </is>
      </c>
    </row>
    <row r="5">
      <c r="A5" s="14" t="inlineStr">
        <is>
          <t>6/12</t>
        </is>
      </c>
      <c r="B5" s="14" t="inlineStr">
        <is>
          <t>ARM-2417</t>
        </is>
      </c>
      <c r="C5" s="14" t="inlineStr">
        <is>
          <t>PCO-017</t>
        </is>
      </c>
      <c r="D5" s="14" t="inlineStr">
        <is>
          <t>PR</t>
        </is>
      </c>
      <c r="E5" s="14" t="inlineStr">
        <is>
          <t>GC says pricing is with owner</t>
        </is>
      </c>
      <c r="F5" s="14" t="inlineStr">
        <is>
          <t>see above</t>
        </is>
      </c>
      <c r="G5" s="14" t="n"/>
    </row>
    <row r="6">
      <c r="A6" s="14" t="inlineStr">
        <is>
          <t>2026-06-24</t>
        </is>
      </c>
      <c r="B6" s="14" t="inlineStr">
        <is>
          <t>ARM-2409</t>
        </is>
      </c>
      <c r="C6" s="14" t="inlineStr">
        <is>
          <t>PCO-011</t>
        </is>
      </c>
      <c r="D6" s="14" t="inlineStr">
        <is>
          <t>MC</t>
        </is>
      </c>
      <c r="E6" s="14" t="inlineStr">
        <is>
          <t>Recovery disputed; no subcontractor acceptance</t>
        </is>
      </c>
      <c r="F6" s="14" t="inlineStr">
        <is>
          <t>7/3</t>
        </is>
      </c>
      <c r="G6" s="14" t="inlineStr">
        <is>
          <t>NO</t>
        </is>
      </c>
    </row>
    <row r="7">
      <c r="A7" s="14" t="inlineStr">
        <is>
          <t>6/13</t>
        </is>
      </c>
      <c r="B7" s="14" t="inlineStr">
        <is>
          <t>ARM-2409</t>
        </is>
      </c>
      <c r="C7" s="14" t="inlineStr">
        <is>
          <t>PCO-011</t>
        </is>
      </c>
      <c r="D7" s="14" t="inlineStr">
        <is>
          <t>PR</t>
        </is>
      </c>
      <c r="E7" s="14" t="inlineStr">
        <is>
          <t>need executed page not meeting minutes</t>
        </is>
      </c>
      <c r="F7" s="14" t="inlineStr">
        <is>
          <t>see above</t>
        </is>
      </c>
      <c r="G7" s="14" t="n"/>
    </row>
    <row r="8">
      <c r="A8" s="14" t="inlineStr">
        <is>
          <t>2026-06-21</t>
        </is>
      </c>
      <c r="B8" s="14" t="inlineStr">
        <is>
          <t>ARM-2506</t>
        </is>
      </c>
      <c r="C8" s="14" t="inlineStr">
        <is>
          <t>PCO-006</t>
        </is>
      </c>
      <c r="D8" s="14" t="inlineStr">
        <is>
          <t>EM</t>
        </is>
      </c>
      <c r="E8" s="14" t="inlineStr">
        <is>
          <t>Engineer-directed pricing only</t>
        </is>
      </c>
      <c r="F8" s="14" t="inlineStr">
        <is>
          <t>7/4</t>
        </is>
      </c>
      <c r="G8" s="14" t="inlineStr">
        <is>
          <t>NO</t>
        </is>
      </c>
    </row>
    <row r="9">
      <c r="A9" s="14" t="inlineStr">
        <is>
          <t>6/14</t>
        </is>
      </c>
      <c r="B9" s="14" t="inlineStr">
        <is>
          <t>ARM-2506</t>
        </is>
      </c>
      <c r="C9" s="14" t="inlineStr">
        <is>
          <t>PCO-006</t>
        </is>
      </c>
      <c r="D9" s="14" t="inlineStr">
        <is>
          <t>PR</t>
        </is>
      </c>
      <c r="E9" s="14" t="inlineStr">
        <is>
          <t>cost is moving before price</t>
        </is>
      </c>
      <c r="F9" s="14" t="inlineStr">
        <is>
          <t>see above</t>
        </is>
      </c>
      <c r="G9" s="14" t="n"/>
    </row>
    <row r="10">
      <c r="A10" s="14" t="inlineStr">
        <is>
          <t>2026-06-12</t>
        </is>
      </c>
      <c r="B10" s="14" t="inlineStr">
        <is>
          <t>ARM-2514</t>
        </is>
      </c>
      <c r="C10" s="14" t="inlineStr">
        <is>
          <t>CO-008</t>
        </is>
      </c>
      <c r="D10" s="14" t="inlineStr">
        <is>
          <t>LB</t>
        </is>
      </c>
      <c r="E10" s="14" t="inlineStr">
        <is>
          <t>Executed bilateral change order</t>
        </is>
      </c>
      <c r="F10" s="14" t="inlineStr">
        <is>
          <t>7/5</t>
        </is>
      </c>
      <c r="G10" s="14" t="inlineStr">
        <is>
          <t>maybe</t>
        </is>
      </c>
    </row>
    <row r="11">
      <c r="A11" s="14" t="inlineStr">
        <is>
          <t>6/15</t>
        </is>
      </c>
      <c r="B11" s="14" t="inlineStr">
        <is>
          <t>ARM-2514</t>
        </is>
      </c>
      <c r="C11" s="14" t="inlineStr">
        <is>
          <t>CO-008</t>
        </is>
      </c>
      <c r="D11" s="14" t="inlineStr">
        <is>
          <t>PR</t>
        </is>
      </c>
      <c r="E11" s="14" t="inlineStr">
        <is>
          <t>PM assumed recovery - not accepted</t>
        </is>
      </c>
      <c r="F11" s="14" t="inlineStr">
        <is>
          <t>see above</t>
        </is>
      </c>
      <c r="G11" s="14" t="n"/>
    </row>
    <row r="12">
      <c r="A12" s="14" t="inlineStr">
        <is>
          <t>2026-06-27</t>
        </is>
      </c>
      <c r="B12" s="14" t="inlineStr">
        <is>
          <t>ARM-2318</t>
        </is>
      </c>
      <c r="C12" s="14" t="inlineStr">
        <is>
          <t>PCO-029</t>
        </is>
      </c>
      <c r="D12" s="14" t="inlineStr">
        <is>
          <t>PR</t>
        </is>
      </c>
      <c r="E12" s="14" t="inlineStr">
        <is>
          <t>Customer disputes responsibility</t>
        </is>
      </c>
      <c r="F12" s="14" t="inlineStr">
        <is>
          <t>7/6</t>
        </is>
      </c>
      <c r="G12" s="14" t="inlineStr">
        <is>
          <t>NO</t>
        </is>
      </c>
    </row>
    <row r="13">
      <c r="A13" s="14" t="inlineStr">
        <is>
          <t>6/16</t>
        </is>
      </c>
      <c r="B13" s="14" t="inlineStr">
        <is>
          <t>ARM-2318</t>
        </is>
      </c>
      <c r="C13" s="14" t="inlineStr">
        <is>
          <t>PCO-029</t>
        </is>
      </c>
      <c r="D13" s="14" t="inlineStr">
        <is>
          <t>PR</t>
        </is>
      </c>
      <c r="E13" s="14" t="inlineStr">
        <is>
          <t>GC says pricing is with owner</t>
        </is>
      </c>
      <c r="F13" s="14" t="inlineStr">
        <is>
          <t>see above</t>
        </is>
      </c>
      <c r="G13" s="14" t="n"/>
    </row>
    <row r="14">
      <c r="A14" s="14" t="inlineStr">
        <is>
          <t>2026-06-28</t>
        </is>
      </c>
      <c r="B14" s="14" t="inlineStr">
        <is>
          <t>ARM-2605</t>
        </is>
      </c>
      <c r="C14" s="14" t="inlineStr">
        <is>
          <t>PCO-002</t>
        </is>
      </c>
      <c r="D14" s="14" t="inlineStr">
        <is>
          <t>MC</t>
        </is>
      </c>
      <c r="E14" s="14" t="inlineStr">
        <is>
          <t>Work not authorized at cutoff</t>
        </is>
      </c>
      <c r="F14" s="14" t="inlineStr">
        <is>
          <t>7/7</t>
        </is>
      </c>
      <c r="G14" s="14" t="inlineStr">
        <is>
          <t>NO</t>
        </is>
      </c>
    </row>
    <row r="15">
      <c r="A15" s="14" t="inlineStr">
        <is>
          <t>6/17</t>
        </is>
      </c>
      <c r="B15" s="14" t="inlineStr">
        <is>
          <t>ARM-2605</t>
        </is>
      </c>
      <c r="C15" s="14" t="inlineStr">
        <is>
          <t>PCO-002</t>
        </is>
      </c>
      <c r="D15" s="14" t="inlineStr">
        <is>
          <t>PR</t>
        </is>
      </c>
      <c r="E15" s="14" t="inlineStr">
        <is>
          <t>need executed page not meeting minutes</t>
        </is>
      </c>
      <c r="F15" s="14" t="inlineStr">
        <is>
          <t>see above</t>
        </is>
      </c>
      <c r="G15" s="14" t="n"/>
    </row>
    <row r="16">
      <c r="A16" s="14" t="inlineStr">
        <is>
          <t>2026-05-19</t>
        </is>
      </c>
      <c r="B16" s="14" t="inlineStr">
        <is>
          <t>ARM-2403</t>
        </is>
      </c>
      <c r="C16" s="14" t="inlineStr">
        <is>
          <t>CO-014</t>
        </is>
      </c>
      <c r="D16" s="14" t="inlineStr">
        <is>
          <t>EM</t>
        </is>
      </c>
      <c r="E16" s="14" t="inlineStr">
        <is>
          <t>Executed</t>
        </is>
      </c>
      <c r="F16" s="14" t="inlineStr">
        <is>
          <t>7/2</t>
        </is>
      </c>
      <c r="G16" s="14" t="inlineStr">
        <is>
          <t>NO</t>
        </is>
      </c>
    </row>
    <row r="17">
      <c r="A17" s="14" t="inlineStr">
        <is>
          <t>6/18</t>
        </is>
      </c>
      <c r="B17" s="14" t="inlineStr">
        <is>
          <t>ARM-2403</t>
        </is>
      </c>
      <c r="C17" s="14" t="inlineStr">
        <is>
          <t>CO-014</t>
        </is>
      </c>
      <c r="D17" s="14" t="inlineStr">
        <is>
          <t>PR</t>
        </is>
      </c>
      <c r="E17" s="14" t="inlineStr">
        <is>
          <t>cost is moving before price</t>
        </is>
      </c>
      <c r="F17" s="14" t="inlineStr">
        <is>
          <t>see above</t>
        </is>
      </c>
      <c r="G17" s="14" t="n"/>
    </row>
    <row r="18">
      <c r="A18" s="14" t="inlineStr">
        <is>
          <t>2026-06-03</t>
        </is>
      </c>
      <c r="B18" s="14" t="inlineStr">
        <is>
          <t>ARM-2412</t>
        </is>
      </c>
      <c r="C18" s="14" t="inlineStr">
        <is>
          <t>CO-009</t>
        </is>
      </c>
      <c r="D18" s="14" t="inlineStr">
        <is>
          <t>LB</t>
        </is>
      </c>
      <c r="E18" s="14" t="inlineStr">
        <is>
          <t>Executed</t>
        </is>
      </c>
      <c r="F18" s="14" t="inlineStr">
        <is>
          <t>7/3</t>
        </is>
      </c>
      <c r="G18" s="14" t="inlineStr">
        <is>
          <t>maybe</t>
        </is>
      </c>
    </row>
    <row r="19">
      <c r="A19" s="15" t="inlineStr">
        <is>
          <t>6/19</t>
        </is>
      </c>
      <c r="B19" s="15" t="inlineStr">
        <is>
          <t>ARM-2412</t>
        </is>
      </c>
      <c r="C19" s="15" t="inlineStr">
        <is>
          <t>CO-009</t>
        </is>
      </c>
      <c r="D19" s="15" t="inlineStr">
        <is>
          <t>PR</t>
        </is>
      </c>
      <c r="E19" s="15" t="inlineStr">
        <is>
          <t>PM assumed recovery - not accepted</t>
        </is>
      </c>
      <c r="F19" s="15" t="inlineStr">
        <is>
          <t>see above</t>
        </is>
      </c>
      <c r="G19" s="15" t="n"/>
    </row>
  </sheetData>
  <mergeCells count="1"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24" customWidth="1" min="2" max="2"/>
    <col width="19" customWidth="1" min="3" max="3"/>
    <col width="24" customWidth="1" min="4" max="4"/>
    <col width="30" customWidth="1" min="5" max="5"/>
    <col width="18" customWidth="1" min="6" max="6"/>
  </cols>
  <sheetData>
    <row r="1">
      <c r="A1" s="12" t="inlineStr">
        <is>
          <t>Old Procore-to-accounting status crosswalk. 'Directed' was removed from the current policy but is still present in historical exports.</t>
        </is>
      </c>
    </row>
    <row r="2"/>
    <row r="3">
      <c r="A3" s="13" t="inlineStr">
        <is>
          <t>Ops status</t>
        </is>
      </c>
      <c r="B3" s="13" t="inlineStr">
        <is>
          <t>Commercial log status</t>
        </is>
      </c>
      <c r="C3" s="13" t="inlineStr">
        <is>
          <t>system contract?</t>
        </is>
      </c>
      <c r="D3" s="13" t="inlineStr">
        <is>
          <t>WIP revenue?</t>
        </is>
      </c>
      <c r="E3" s="13" t="inlineStr">
        <is>
          <t>cost treatment</t>
        </is>
      </c>
      <c r="F3" s="13" t="inlineStr">
        <is>
          <t>last policy review</t>
        </is>
      </c>
    </row>
    <row r="4">
      <c r="A4" s="14" t="inlineStr">
        <is>
          <t>Potential</t>
        </is>
      </c>
      <c r="B4" s="14" t="inlineStr">
        <is>
          <t>Draft</t>
        </is>
      </c>
      <c r="C4" s="14" t="inlineStr">
        <is>
          <t>No</t>
        </is>
      </c>
      <c r="D4" s="14" t="inlineStr">
        <is>
          <t>No</t>
        </is>
      </c>
      <c r="E4" s="14" t="inlineStr">
        <is>
          <t>Assess probable cost</t>
        </is>
      </c>
      <c r="F4" s="14" t="inlineStr">
        <is>
          <t>2024-11</t>
        </is>
      </c>
    </row>
    <row r="5">
      <c r="A5" s="14" t="inlineStr">
        <is>
          <t>Pricing</t>
        </is>
      </c>
      <c r="B5" s="14" t="inlineStr">
        <is>
          <t>Pricing</t>
        </is>
      </c>
      <c r="C5" s="14" t="inlineStr">
        <is>
          <t>No</t>
        </is>
      </c>
      <c r="D5" s="14" t="inlineStr">
        <is>
          <t>No</t>
        </is>
      </c>
      <c r="E5" s="14" t="inlineStr">
        <is>
          <t>Assess probable cost</t>
        </is>
      </c>
      <c r="F5" s="14" t="inlineStr">
        <is>
          <t>2024-11</t>
        </is>
      </c>
    </row>
    <row r="6">
      <c r="A6" s="14" t="inlineStr">
        <is>
          <t>Submitted</t>
        </is>
      </c>
      <c r="B6" s="14" t="inlineStr">
        <is>
          <t>Submitted</t>
        </is>
      </c>
      <c r="C6" s="14" t="inlineStr">
        <is>
          <t>No</t>
        </is>
      </c>
      <c r="D6" s="14" t="inlineStr">
        <is>
          <t>No</t>
        </is>
      </c>
      <c r="E6" s="14" t="inlineStr">
        <is>
          <t>Include unavoidable cost</t>
        </is>
      </c>
      <c r="F6" s="14" t="inlineStr">
        <is>
          <t>2024-11</t>
        </is>
      </c>
    </row>
    <row r="7">
      <c r="A7" s="14" t="inlineStr">
        <is>
          <t>Directed</t>
        </is>
      </c>
      <c r="B7" s="14" t="inlineStr">
        <is>
          <t>Under Review</t>
        </is>
      </c>
      <c r="C7" s="14" t="inlineStr">
        <is>
          <t>Maybe</t>
        </is>
      </c>
      <c r="D7" s="14" t="inlineStr">
        <is>
          <t>NO - see policy</t>
        </is>
      </c>
      <c r="E7" s="14" t="inlineStr">
        <is>
          <t>Include probable cost</t>
        </is>
      </c>
      <c r="F7" s="14" t="inlineStr">
        <is>
          <t>2023-06</t>
        </is>
      </c>
    </row>
    <row r="8">
      <c r="A8" s="14" t="inlineStr">
        <is>
          <t>Approved</t>
        </is>
      </c>
      <c r="B8" s="14" t="inlineStr">
        <is>
          <t>Approved</t>
        </is>
      </c>
      <c r="C8" s="14" t="inlineStr">
        <is>
          <t>Yes after posting</t>
        </is>
      </c>
      <c r="D8" s="14" t="inlineStr">
        <is>
          <t>Yes after system update</t>
        </is>
      </c>
      <c r="E8" s="14" t="inlineStr">
        <is>
          <t>Include</t>
        </is>
      </c>
      <c r="F8" s="14" t="inlineStr">
        <is>
          <t>2024-11</t>
        </is>
      </c>
    </row>
    <row r="9">
      <c r="A9" s="15" t="inlineStr">
        <is>
          <t>Rejected</t>
        </is>
      </c>
      <c r="B9" s="15" t="inlineStr">
        <is>
          <t>Closed</t>
        </is>
      </c>
      <c r="C9" s="15" t="inlineStr">
        <is>
          <t>No</t>
        </is>
      </c>
      <c r="D9" s="15" t="inlineStr">
        <is>
          <t>No</t>
        </is>
      </c>
      <c r="E9" s="15" t="inlineStr">
        <is>
          <t>Recognize incurred cost</t>
        </is>
      </c>
      <c r="F9" s="15" t="inlineStr">
        <is>
          <t>2024-11</t>
        </is>
      </c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2026-08-07T05:43:56Z</dcterms:modified>
  <cp:lastModifiedBy>Unknown</cp:lastModifiedBy>
</cp:coreProperties>
</file>