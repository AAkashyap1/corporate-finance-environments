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bmission Register" sheetId="1" state="visible" r:id="rId1"/>
    <sheet xmlns:r="http://schemas.openxmlformats.org/officeDocument/2006/relationships" name="Project Forecasts" sheetId="2" state="visible" r:id="rId2"/>
    <sheet xmlns:r="http://schemas.openxmlformats.org/officeDocument/2006/relationships" name="Risks &amp; Opportunities" sheetId="3" state="visible" r:id="rId3"/>
    <sheet xmlns:r="http://schemas.openxmlformats.org/officeDocument/2006/relationships" name="Instructions &amp; Sign-off" sheetId="4" state="visible" r:id="rId4"/>
    <sheet xmlns:r="http://schemas.openxmlformats.org/officeDocument/2006/relationships" name="PM inputs - raw" sheetId="5" state="visible" r:id="rId5"/>
    <sheet xmlns:r="http://schemas.openxmlformats.org/officeDocument/2006/relationships" name="old roll fwd" sheetId="6" state="visible" r:id="rId6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$#,##0;[Red]($#,##0);-"/>
  </numFmts>
  <fonts count="12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Arial"/>
      <b val="1"/>
      <color rgb="FFFFFFFF"/>
      <sz val="9"/>
    </font>
    <font>
      <name val="Arial"/>
      <color rgb="FF252321"/>
      <sz val="9"/>
    </font>
    <font>
      <name val="Arial"/>
      <color rgb="FF8B5E3C"/>
      <sz val="9"/>
    </font>
    <font>
      <name val="Arial"/>
      <b val="1"/>
      <color rgb="FF252321"/>
      <sz val="9"/>
    </font>
    <font>
      <name val="Arial"/>
      <b val="1"/>
      <color rgb="FF2A4337"/>
      <sz val="11"/>
    </font>
    <font>
      <name val="Carlito"/>
      <b val="1"/>
      <color rgb="FFFFFFFF"/>
      <sz val="11"/>
    </font>
    <font>
      <name val="Carlito"/>
      <sz val="11"/>
    </font>
    <font>
      <name val="Arial"/>
      <b val="1"/>
      <color rgb="FFFFFFFF"/>
      <sz val="8"/>
    </font>
    <font>
      <name val="Arial"/>
      <color rgb="FF252321"/>
      <sz val="8"/>
    </font>
  </fonts>
  <fills count="8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2A4337"/>
      </patternFill>
    </fill>
    <fill>
      <patternFill patternType="solid">
        <fgColor rgb="FFF5E8C8"/>
      </patternFill>
    </fill>
    <fill>
      <patternFill patternType="solid">
        <fgColor rgb="FFFFF4B8"/>
      </patternFill>
    </fill>
    <fill>
      <patternFill patternType="solid">
        <fgColor rgb="FF4A474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  <border>
      <left/>
      <right/>
      <top/>
      <bottom style="thin">
        <color rgb="FFD8D0C6"/>
      </bottom>
      <diagonal/>
    </border>
    <border>
      <left/>
      <right/>
      <top/>
      <bottom style="hair">
        <color rgb="FFD8D1C8"/>
      </bottom>
      <diagonal/>
    </border>
    <border>
      <left/>
      <right/>
      <top style="hair">
        <color rgb="FFD8D1C8"/>
      </top>
      <bottom style="hair">
        <color rgb="FFD8D1C8"/>
      </bottom>
      <diagonal/>
    </border>
    <border>
      <left/>
      <right/>
      <top style="hair">
        <color rgb="FFD8D1C8"/>
      </top>
      <bottom/>
      <diagonal/>
    </border>
  </borders>
  <cellStyleXfs count="1">
    <xf numFmtId="0" fontId="9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7" fillId="3" borderId="5" pivotButton="0" quotePrefix="0" xfId="0"/>
    <xf numFmtId="0" fontId="8" fillId="4" borderId="0" applyAlignment="1" pivotButton="0" quotePrefix="0" xfId="0">
      <alignment horizontal="center"/>
    </xf>
    <xf numFmtId="0" fontId="9" fillId="0" borderId="0" applyAlignment="1" pivotButton="0" quotePrefix="0" xfId="0">
      <alignment wrapText="1"/>
    </xf>
    <xf numFmtId="0" fontId="6" fillId="6" borderId="0" applyAlignment="1" pivotButton="0" quotePrefix="0" xfId="0">
      <alignment wrapText="1"/>
    </xf>
    <xf numFmtId="0" fontId="10" fillId="7" borderId="6" applyAlignment="1" pivotButton="0" quotePrefix="0" xfId="0">
      <alignment wrapText="1"/>
    </xf>
    <xf numFmtId="0" fontId="11" fillId="0" borderId="7" applyAlignment="1" pivotButton="0" quotePrefix="0" xfId="0">
      <alignment vertical="center"/>
    </xf>
    <xf numFmtId="0" fontId="11" fillId="0" borderId="8" applyAlignment="1" pivotButton="0" quotePrefix="0" xfId="0">
      <alignment vertical="center"/>
    </xf>
    <xf numFmtId="164" fontId="11" fillId="0" borderId="7" applyAlignment="1" pivotButton="0" quotePrefix="0" xfId="0">
      <alignment vertical="center"/>
    </xf>
    <xf numFmtId="164" fontId="11" fillId="0" borderId="8" applyAlignment="1" pivotButton="0" quotePrefix="0" xfId="0">
      <alignment vertical="center"/>
    </xf>
    <xf numFmtId="0" fontId="0" fillId="0" borderId="1" pivotButton="0" quotePrefix="0" xfId="0"/>
    <xf numFmtId="0" fontId="0" fillId="0" borderId="5" pivotButton="0" quotePrefix="0" xfId="0"/>
  </cellXfs>
  <cellStyles count="1">
    <cellStyle name="Normal" xfId="0" builtinId="0"/>
  </cellStyles>
  <dxfs count="1">
    <dxf>
      <font>
        <b val="1"/>
        <color rgb="008B3A3A"/>
      </font>
      <fill>
        <patternFill patternType="solid">
          <fgColor rgb="00F3DED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 outlineLevelRow="0"/>
  <cols>
    <col width="13" customWidth="1" min="1" max="1"/>
    <col width="42" customWidth="1" min="2" max="2"/>
    <col width="19" customWidth="1" min="3" max="3"/>
    <col width="22" customWidth="1" min="4" max="4"/>
    <col width="13" customWidth="1" min="5" max="5"/>
    <col width="17" customWidth="1" min="6" max="6"/>
    <col width="18" customWidth="1" min="7" max="7"/>
    <col width="58" customWidth="1" min="8" max="8"/>
    <col width="28" customWidth="1" min="9" max="9"/>
  </cols>
  <sheetData>
    <row r="1" ht="23" customHeight="1">
      <c r="A1" s="1" t="inlineStr">
        <is>
          <t>June 2026 Project Forecast Submissions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</row>
    <row r="2" ht="23" customHeight="1">
      <c r="A2" s="2" t="inlineStr">
        <is>
          <t>Snapshot exported 2026-06-29 17:30 PT | Operations Finance working file</t>
        </is>
      </c>
    </row>
    <row r="3"/>
    <row r="4"/>
    <row r="5" ht="30" customHeight="1">
      <c r="A5" s="3" t="inlineStr">
        <is>
          <t>Project ID</t>
        </is>
      </c>
      <c r="B5" s="4" t="inlineStr">
        <is>
          <t>Project</t>
        </is>
      </c>
      <c r="C5" s="4" t="inlineStr">
        <is>
          <t>Project Manager</t>
        </is>
      </c>
      <c r="D5" s="4" t="inlineStr">
        <is>
          <t>Submitted At</t>
        </is>
      </c>
      <c r="E5" s="4" t="inlineStr">
        <is>
          <t>Confidence</t>
        </is>
      </c>
      <c r="F5" s="4" t="inlineStr">
        <is>
          <t>Forecast ETC</t>
        </is>
      </c>
      <c r="G5" s="4" t="inlineStr">
        <is>
          <t>Current Cost Budget</t>
        </is>
      </c>
      <c r="H5" s="4" t="inlineStr">
        <is>
          <t>PM Comment</t>
        </is>
      </c>
      <c r="I5" s="5" t="inlineStr">
        <is>
          <t>Controller Follow-up</t>
        </is>
      </c>
    </row>
    <row r="6">
      <c r="A6" s="6" t="inlineStr">
        <is>
          <t>ARM-2318</t>
        </is>
      </c>
      <c r="B6" s="6" t="inlineStr">
        <is>
          <t>Columbia Biologics Clean Utilities</t>
        </is>
      </c>
      <c r="C6" s="6" t="inlineStr">
        <is>
          <t>Maya Chen</t>
        </is>
      </c>
      <c r="D6" s="6" t="inlineStr">
        <is>
          <t>2026-06-27 15:15</t>
        </is>
      </c>
      <c r="E6" s="6" t="inlineStr">
        <is>
          <t>Medium</t>
        </is>
      </c>
      <c r="F6" s="7" t="n">
        <v>173800</v>
      </c>
      <c r="G6" s="8" t="n">
        <v>7271000</v>
      </c>
      <c r="H6" s="6" t="inlineStr">
        <is>
          <t>Disputed validation retest support is not included.</t>
        </is>
      </c>
      <c r="I6" s="6" t="inlineStr">
        <is>
          <t>Standard review</t>
        </is>
      </c>
    </row>
    <row r="7">
      <c r="A7" s="6" t="inlineStr">
        <is>
          <t>ARM-2403</t>
        </is>
      </c>
      <c r="B7" s="6" t="inlineStr">
        <is>
          <t>Riverton Civic Center HVAC Renewal</t>
        </is>
      </c>
      <c r="C7" s="6" t="inlineStr">
        <is>
          <t>Elliot Marks</t>
        </is>
      </c>
      <c r="D7" s="6" t="inlineStr">
        <is>
          <t>2026-06-27 18:15</t>
        </is>
      </c>
      <c r="E7" s="6" t="inlineStr">
        <is>
          <t>High</t>
        </is>
      </c>
      <c r="F7" s="7" t="n">
        <v>892000</v>
      </c>
      <c r="G7" s="8" t="n">
        <v>5109000</v>
      </c>
      <c r="H7" s="6" t="inlineStr">
        <is>
          <t>Current field plan and committed buyout reflected.</t>
        </is>
      </c>
      <c r="I7" s="6" t="inlineStr">
        <is>
          <t>Standard review</t>
        </is>
      </c>
    </row>
    <row r="8">
      <c r="A8" s="6" t="inlineStr">
        <is>
          <t>ARM-2409</t>
        </is>
      </c>
      <c r="B8" s="6" t="inlineStr">
        <is>
          <t>Northline Cold Storage Expansion</t>
        </is>
      </c>
      <c r="C8" s="6" t="inlineStr">
        <is>
          <t>Priya Raman</t>
        </is>
      </c>
      <c r="D8" s="6" t="inlineStr">
        <is>
          <t>2026-06-28 16:15</t>
        </is>
      </c>
      <c r="E8" s="6" t="inlineStr">
        <is>
          <t>Low</t>
        </is>
      </c>
      <c r="F8" s="7" t="n">
        <v>584000</v>
      </c>
      <c r="G8" s="8" t="n">
        <v>4321000</v>
      </c>
      <c r="H8" s="6" t="inlineStr">
        <is>
          <t>Forecast assumes $185k backcharge recovery from concrete trade.</t>
        </is>
      </c>
      <c r="I8" s="6" t="inlineStr">
        <is>
          <t>Required before WIP posting</t>
        </is>
      </c>
    </row>
    <row r="9">
      <c r="A9" s="6" t="inlineStr">
        <is>
          <t>ARM-2412</t>
        </is>
      </c>
      <c r="B9" s="6" t="inlineStr">
        <is>
          <t>OSU Kelley Engineering Lab Ventilation</t>
        </is>
      </c>
      <c r="C9" s="6" t="inlineStr">
        <is>
          <t>Elliot Marks</t>
        </is>
      </c>
      <c r="D9" s="6" t="inlineStr">
        <is>
          <t>2026-06-26 17:15</t>
        </is>
      </c>
      <c r="E9" s="6" t="inlineStr">
        <is>
          <t>High</t>
        </is>
      </c>
      <c r="F9" s="7" t="n">
        <v>947000</v>
      </c>
      <c r="G9" s="8" t="n">
        <v>4083000</v>
      </c>
      <c r="H9" s="6" t="inlineStr">
        <is>
          <t>Current field plan and committed buyout reflected.</t>
        </is>
      </c>
      <c r="I9" s="6" t="inlineStr">
        <is>
          <t>Standard review</t>
        </is>
      </c>
    </row>
    <row r="10">
      <c r="A10" s="6" t="inlineStr">
        <is>
          <t>ARM-2417</t>
        </is>
      </c>
      <c r="B10" s="6" t="inlineStr">
        <is>
          <t>Cascade Health Ambulatory Pavilion</t>
        </is>
      </c>
      <c r="C10" s="6" t="inlineStr">
        <is>
          <t>Maya Chen</t>
        </is>
      </c>
      <c r="D10" s="6" t="inlineStr">
        <is>
          <t>2026-06-26 18:15</t>
        </is>
      </c>
      <c r="E10" s="6" t="inlineStr">
        <is>
          <t>Low</t>
        </is>
      </c>
      <c r="F10" s="7" t="n">
        <v>3048000</v>
      </c>
      <c r="G10" s="8" t="n">
        <v>7970000</v>
      </c>
      <c r="H10" s="6" t="inlineStr">
        <is>
          <t>Night-shift premium is not included pending owner direction.</t>
        </is>
      </c>
      <c r="I10" s="6" t="inlineStr">
        <is>
          <t>Required before WIP posting</t>
        </is>
      </c>
    </row>
    <row r="11">
      <c r="A11" s="6" t="inlineStr">
        <is>
          <t>ARM-2421</t>
        </is>
      </c>
      <c r="B11" s="6" t="inlineStr">
        <is>
          <t>Juniper Hotel Boiler Plant Replacement</t>
        </is>
      </c>
      <c r="C11" s="6" t="inlineStr">
        <is>
          <t>Lucas Bennett</t>
        </is>
      </c>
      <c r="D11" s="6" t="inlineStr">
        <is>
          <t>2026-06-25 16:15</t>
        </is>
      </c>
      <c r="E11" s="6" t="inlineStr">
        <is>
          <t>High</t>
        </is>
      </c>
      <c r="F11" s="7" t="n">
        <v>31000</v>
      </c>
      <c r="G11" s="8" t="n">
        <v>1755000</v>
      </c>
      <c r="H11" s="6" t="inlineStr">
        <is>
          <t>Current field plan and committed buyout reflected.</t>
        </is>
      </c>
      <c r="I11" s="6" t="inlineStr">
        <is>
          <t>Standard review</t>
        </is>
      </c>
    </row>
    <row r="12">
      <c r="A12" s="6" t="inlineStr">
        <is>
          <t>ARM-2501</t>
        </is>
      </c>
      <c r="B12" s="6" t="inlineStr">
        <is>
          <t>PDX Concourse E Controls Retrofit</t>
        </is>
      </c>
      <c r="C12" s="6" t="inlineStr">
        <is>
          <t>Sofia Alvarez</t>
        </is>
      </c>
      <c r="D12" s="6" t="inlineStr">
        <is>
          <t>2026-06-25 16:15</t>
        </is>
      </c>
      <c r="E12" s="6" t="inlineStr">
        <is>
          <t>High</t>
        </is>
      </c>
      <c r="F12" s="7" t="n">
        <v>914000</v>
      </c>
      <c r="G12" s="8" t="n">
        <v>2624000</v>
      </c>
      <c r="H12" s="6" t="inlineStr">
        <is>
          <t>Current field plan and committed buyout reflected.</t>
        </is>
      </c>
      <c r="I12" s="6" t="inlineStr">
        <is>
          <t>Standard review</t>
        </is>
      </c>
    </row>
    <row r="13">
      <c r="A13" s="6" t="inlineStr">
        <is>
          <t>ARM-2506</t>
        </is>
      </c>
      <c r="B13" s="6" t="inlineStr">
        <is>
          <t>Eastbank Data Hall Cooling Expansion</t>
        </is>
      </c>
      <c r="C13" s="6" t="inlineStr">
        <is>
          <t>Priya Raman</t>
        </is>
      </c>
      <c r="D13" s="6" t="inlineStr">
        <is>
          <t>2026-06-25 17:15</t>
        </is>
      </c>
      <c r="E13" s="6" t="inlineStr">
        <is>
          <t>Low</t>
        </is>
      </c>
      <c r="F13" s="7" t="n">
        <v>4731000</v>
      </c>
      <c r="G13" s="8" t="n">
        <v>8722000</v>
      </c>
      <c r="H13" s="6" t="inlineStr">
        <is>
          <t>Electrical redesign exposure excluded pending approved PCO.</t>
        </is>
      </c>
      <c r="I13" s="6" t="inlineStr">
        <is>
          <t>Required before WIP posting</t>
        </is>
      </c>
    </row>
    <row r="14">
      <c r="A14" s="6" t="inlineStr">
        <is>
          <t>ARM-2510</t>
        </is>
      </c>
      <c r="B14" s="6" t="inlineStr">
        <is>
          <t>Hawthorne Yard Mixed-Use Mechanical</t>
        </is>
      </c>
      <c r="C14" s="6" t="inlineStr">
        <is>
          <t>Maya Chen</t>
        </is>
      </c>
      <c r="D14" s="6" t="inlineStr">
        <is>
          <t>2026-06-24 15:15</t>
        </is>
      </c>
      <c r="E14" s="6" t="inlineStr">
        <is>
          <t>High</t>
        </is>
      </c>
      <c r="F14" s="7" t="n">
        <v>3284000</v>
      </c>
      <c r="G14" s="8" t="n">
        <v>5968000</v>
      </c>
      <c r="H14" s="6" t="inlineStr">
        <is>
          <t>Current field plan and committed buyout reflected.</t>
        </is>
      </c>
      <c r="I14" s="6" t="inlineStr">
        <is>
          <t>Standard review</t>
        </is>
      </c>
    </row>
    <row r="15">
      <c r="A15" s="6" t="inlineStr">
        <is>
          <t>ARM-2514</t>
        </is>
      </c>
      <c r="B15" s="6" t="inlineStr">
        <is>
          <t>Redmond Unified Schools Phase 2</t>
        </is>
      </c>
      <c r="C15" s="6" t="inlineStr">
        <is>
          <t>Lucas Bennett</t>
        </is>
      </c>
      <c r="D15" s="6" t="inlineStr">
        <is>
          <t>2026-06-28 15:15</t>
        </is>
      </c>
      <c r="E15" s="6" t="inlineStr">
        <is>
          <t>High</t>
        </is>
      </c>
      <c r="F15" s="7" t="n">
        <v>1492000</v>
      </c>
      <c r="G15" s="8" t="n">
        <v>5529000</v>
      </c>
      <c r="H15" s="6" t="inlineStr">
        <is>
          <t>Current field plan and committed buyout reflected.</t>
        </is>
      </c>
      <c r="I15" s="6" t="inlineStr">
        <is>
          <t>Standard review</t>
        </is>
      </c>
    </row>
    <row r="16">
      <c r="A16" s="6" t="inlineStr">
        <is>
          <t>ARM-2518</t>
        </is>
      </c>
      <c r="B16" s="6" t="inlineStr">
        <is>
          <t>Deschutes Fleet Services Maintenance Facility</t>
        </is>
      </c>
      <c r="C16" s="6" t="inlineStr">
        <is>
          <t>Lucas Bennett</t>
        </is>
      </c>
      <c r="D16" s="6" t="inlineStr">
        <is>
          <t>2026-06-27 15:15</t>
        </is>
      </c>
      <c r="E16" s="6" t="inlineStr">
        <is>
          <t>High</t>
        </is>
      </c>
      <c r="F16" s="7" t="n">
        <v>1296000</v>
      </c>
      <c r="G16" s="8" t="n">
        <v>2523000</v>
      </c>
      <c r="H16" s="6" t="inlineStr">
        <is>
          <t>Current field plan and committed buyout reflected.</t>
        </is>
      </c>
      <c r="I16" s="6" t="inlineStr">
        <is>
          <t>Standard review</t>
        </is>
      </c>
    </row>
    <row r="17">
      <c r="A17" s="6" t="inlineStr">
        <is>
          <t>ARM-2522</t>
        </is>
      </c>
      <c r="B17" s="6" t="inlineStr">
        <is>
          <t>Summit Surgical Center Central Plant</t>
        </is>
      </c>
      <c r="C17" s="6" t="inlineStr">
        <is>
          <t>Elliot Marks</t>
        </is>
      </c>
      <c r="D17" s="6" t="inlineStr">
        <is>
          <t>2026-06-26 17:15</t>
        </is>
      </c>
      <c r="E17" s="6" t="inlineStr">
        <is>
          <t>High</t>
        </is>
      </c>
      <c r="F17" s="7" t="n">
        <v>1982000</v>
      </c>
      <c r="G17" s="8" t="n">
        <v>3424000</v>
      </c>
      <c r="H17" s="6" t="inlineStr">
        <is>
          <t>Current field plan and committed buyout reflected.</t>
        </is>
      </c>
      <c r="I17" s="6" t="inlineStr">
        <is>
          <t>Standard review</t>
        </is>
      </c>
    </row>
    <row r="18">
      <c r="A18" s="6" t="inlineStr">
        <is>
          <t>ARM-2526</t>
        </is>
      </c>
      <c r="B18" s="6" t="inlineStr">
        <is>
          <t>Willamette Food Co-op Refrigeration Upgrade</t>
        </is>
      </c>
      <c r="C18" s="6" t="inlineStr">
        <is>
          <t>Sofia Alvarez</t>
        </is>
      </c>
      <c r="D18" s="6" t="inlineStr">
        <is>
          <t>2026-06-25 17:15</t>
        </is>
      </c>
      <c r="E18" s="6" t="inlineStr">
        <is>
          <t>High</t>
        </is>
      </c>
      <c r="F18" s="7" t="n">
        <v>347000</v>
      </c>
      <c r="G18" s="8" t="n">
        <v>1370000</v>
      </c>
      <c r="H18" s="6" t="inlineStr">
        <is>
          <t>Current field plan and committed buyout reflected.</t>
        </is>
      </c>
      <c r="I18" s="6" t="inlineStr">
        <is>
          <t>Standard review</t>
        </is>
      </c>
    </row>
    <row r="19">
      <c r="A19" s="6" t="inlineStr">
        <is>
          <t>ARM-2602</t>
        </is>
      </c>
      <c r="B19" s="6" t="inlineStr">
        <is>
          <t>Pacific NW Distribution Center Heat Recovery</t>
        </is>
      </c>
      <c r="C19" s="6" t="inlineStr">
        <is>
          <t>Priya Raman</t>
        </is>
      </c>
      <c r="D19" s="6" t="inlineStr">
        <is>
          <t>2026-06-26 17:15</t>
        </is>
      </c>
      <c r="E19" s="6" t="inlineStr">
        <is>
          <t>High</t>
        </is>
      </c>
      <c r="F19" s="7" t="n">
        <v>3644000</v>
      </c>
      <c r="G19" s="8" t="n">
        <v>4455000</v>
      </c>
      <c r="H19" s="6" t="inlineStr">
        <is>
          <t>Current field plan and committed buyout reflected.</t>
        </is>
      </c>
      <c r="I19" s="6" t="inlineStr">
        <is>
          <t>Standard review</t>
        </is>
      </c>
    </row>
    <row r="20">
      <c r="A20" s="6" t="inlineStr">
        <is>
          <t>ARM-2605</t>
        </is>
      </c>
      <c r="B20" s="6" t="inlineStr">
        <is>
          <t>Rose Quarter Event Level Ventilation</t>
        </is>
      </c>
      <c r="C20" s="6" t="inlineStr">
        <is>
          <t>Elliot Marks</t>
        </is>
      </c>
      <c r="D20" s="6" t="inlineStr">
        <is>
          <t>2026-06-24 16:15</t>
        </is>
      </c>
      <c r="E20" s="6" t="inlineStr">
        <is>
          <t>Medium</t>
        </is>
      </c>
      <c r="F20" s="7" t="n">
        <v>4124000</v>
      </c>
      <c r="G20" s="8" t="n">
        <v>4782000</v>
      </c>
      <c r="H20" s="6" t="inlineStr">
        <is>
          <t>Current field plan and committed buyout reflected.</t>
        </is>
      </c>
      <c r="I20" s="6" t="inlineStr">
        <is>
          <t>Standard review</t>
        </is>
      </c>
    </row>
    <row r="21">
      <c r="A21" s="6" t="inlineStr">
        <is>
          <t>ARM-2608</t>
        </is>
      </c>
      <c r="B21" s="6" t="inlineStr">
        <is>
          <t>Cascade Health Imaging Suite Controls</t>
        </is>
      </c>
      <c r="C21" s="6" t="inlineStr">
        <is>
          <t>Sofia Alvarez</t>
        </is>
      </c>
      <c r="D21" s="6" t="inlineStr">
        <is>
          <t>2026-06-27 15:15</t>
        </is>
      </c>
      <c r="E21" s="6" t="inlineStr">
        <is>
          <t>High</t>
        </is>
      </c>
      <c r="F21" s="7" t="n">
        <v>881000</v>
      </c>
      <c r="G21" s="8" t="n">
        <v>1396000</v>
      </c>
      <c r="H21" s="6" t="inlineStr">
        <is>
          <t>Current field plan and committed buyout reflected.</t>
        </is>
      </c>
      <c r="I21" s="6" t="inlineStr">
        <is>
          <t>Standard review</t>
        </is>
      </c>
    </row>
  </sheetData>
  <mergeCells count="2">
    <mergeCell ref="A1:I1"/>
    <mergeCell ref="A2:I2"/>
  </mergeCells>
  <conditionalFormatting sqref="E6:E21">
    <cfRule type="containsText" priority="1" operator="containsText" dxfId="0" text="Low"/>
  </conditionalFormatting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 outlineLevelRow="0"/>
  <cols>
    <col width="13" customWidth="1" min="1" max="1"/>
    <col width="18" customWidth="1" min="2" max="2"/>
    <col width="19" customWidth="1" min="3" max="3"/>
    <col width="17" customWidth="1" min="4" max="4"/>
    <col width="22" customWidth="1" min="5" max="5"/>
    <col width="14" customWidth="1" min="6" max="6"/>
    <col width="17" customWidth="1" min="7" max="7"/>
    <col width="44" customWidth="1" min="8" max="8"/>
    <col width="58" customWidth="1" min="9" max="9"/>
    <col width="13" customWidth="1" min="10" max="10"/>
    <col width="48" customWidth="1" min="11" max="11"/>
  </cols>
  <sheetData>
    <row r="1" ht="23" customHeight="1">
      <c r="A1" s="1" t="inlineStr">
        <is>
          <t>PM Forecast Detail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 ht="23" customHeight="1">
      <c r="A2" s="2" t="inlineStr">
        <is>
          <t>Forecast ETC excludes accounting-system cost posted after each PM's field review unless noted</t>
        </is>
      </c>
    </row>
    <row r="3"/>
    <row r="4"/>
    <row r="5" ht="30" customHeight="1">
      <c r="A5" s="3" t="inlineStr">
        <is>
          <t>Project ID</t>
        </is>
      </c>
      <c r="B5" s="4" t="inlineStr">
        <is>
          <t>Remaining Field Labor</t>
        </is>
      </c>
      <c r="C5" s="4" t="inlineStr">
        <is>
          <t>Material / Equipment</t>
        </is>
      </c>
      <c r="D5" s="4" t="inlineStr">
        <is>
          <t>Subcontract</t>
        </is>
      </c>
      <c r="E5" s="4" t="inlineStr">
        <is>
          <t>Commissioning &amp; Close-out</t>
        </is>
      </c>
      <c r="F5" s="4" t="inlineStr">
        <is>
          <t>Contingency</t>
        </is>
      </c>
      <c r="G5" s="4" t="inlineStr">
        <is>
          <t>Forecast ETC</t>
        </is>
      </c>
      <c r="H5" s="4" t="inlineStr">
        <is>
          <t>Included Exposure</t>
        </is>
      </c>
      <c r="I5" s="4" t="inlineStr">
        <is>
          <t>Excluded / Pending Exposure</t>
        </is>
      </c>
      <c r="J5" s="4" t="inlineStr">
        <is>
          <t>Confidence</t>
        </is>
      </c>
      <c r="K5" s="5" t="inlineStr">
        <is>
          <t>Narrative</t>
        </is>
      </c>
    </row>
    <row r="6">
      <c r="A6" s="6" t="inlineStr">
        <is>
          <t>ARM-2318</t>
        </is>
      </c>
      <c r="B6" s="8" t="n">
        <v>62568</v>
      </c>
      <c r="C6" s="8" t="n">
        <v>53878</v>
      </c>
      <c r="D6" s="8" t="n">
        <v>31284</v>
      </c>
      <c r="E6" s="8" t="n">
        <v>15642</v>
      </c>
      <c r="F6" s="8" t="n">
        <v>10428</v>
      </c>
      <c r="G6" s="9">
        <f>SUM(B6:F6)</f>
        <v/>
      </c>
      <c r="H6" s="6" t="inlineStr">
        <is>
          <t>Remaining buyout, field labor, commissioning, punchlist and documented schedule effects</t>
        </is>
      </c>
      <c r="I6" s="6" t="inlineStr">
        <is>
          <t>Disputed validation retest support is not included.</t>
        </is>
      </c>
      <c r="J6" s="6" t="inlineStr">
        <is>
          <t>Medium</t>
        </is>
      </c>
      <c r="K6" s="6" t="inlineStr">
        <is>
          <t>Buyout and production forecast updated from weekly look-ahead.</t>
        </is>
      </c>
    </row>
    <row r="7">
      <c r="A7" s="6" t="inlineStr">
        <is>
          <t>ARM-2403</t>
        </is>
      </c>
      <c r="B7" s="8" t="n">
        <v>321120</v>
      </c>
      <c r="C7" s="8" t="n">
        <v>276520</v>
      </c>
      <c r="D7" s="8" t="n">
        <v>160560</v>
      </c>
      <c r="E7" s="8" t="n">
        <v>80280</v>
      </c>
      <c r="F7" s="8" t="n">
        <v>53520</v>
      </c>
      <c r="G7" s="9">
        <f>SUM(B7:F7)</f>
        <v/>
      </c>
      <c r="H7" s="6" t="inlineStr">
        <is>
          <t>Remaining buyout, field labor, commissioning, punchlist and documented schedule effects</t>
        </is>
      </c>
      <c r="I7" s="6" t="inlineStr">
        <is>
          <t>None reported</t>
        </is>
      </c>
      <c r="J7" s="6" t="inlineStr">
        <is>
          <t>High</t>
        </is>
      </c>
      <c r="K7" s="6" t="inlineStr">
        <is>
          <t>Labor forecast aligned to current crew plan and schedule logic.</t>
        </is>
      </c>
    </row>
    <row r="8">
      <c r="A8" s="6" t="inlineStr">
        <is>
          <t>ARM-2409</t>
        </is>
      </c>
      <c r="B8" s="8" t="n">
        <v>210240</v>
      </c>
      <c r="C8" s="8" t="n">
        <v>181040</v>
      </c>
      <c r="D8" s="8" t="n">
        <v>105120</v>
      </c>
      <c r="E8" s="8" t="n">
        <v>52560</v>
      </c>
      <c r="F8" s="8" t="n">
        <v>35040</v>
      </c>
      <c r="G8" s="9">
        <f>SUM(B8:F8)</f>
        <v/>
      </c>
      <c r="H8" s="6" t="inlineStr">
        <is>
          <t>Remaining buyout, field labor, commissioning, punchlist and documented schedule effects</t>
        </is>
      </c>
      <c r="I8" s="6" t="inlineStr">
        <is>
          <t>Forecast assumes $185k backcharge recovery from concrete trade.</t>
        </is>
      </c>
      <c r="J8" s="6" t="inlineStr">
        <is>
          <t>Low</t>
        </is>
      </c>
      <c r="K8" s="6" t="inlineStr">
        <is>
          <t>Remaining procurement tied to released packages and ordinary allowance.</t>
        </is>
      </c>
    </row>
    <row r="9">
      <c r="A9" s="6" t="inlineStr">
        <is>
          <t>ARM-2412</t>
        </is>
      </c>
      <c r="B9" s="8" t="n">
        <v>340920</v>
      </c>
      <c r="C9" s="8" t="n">
        <v>293570</v>
      </c>
      <c r="D9" s="8" t="n">
        <v>170460</v>
      </c>
      <c r="E9" s="8" t="n">
        <v>85230</v>
      </c>
      <c r="F9" s="8" t="n">
        <v>56820</v>
      </c>
      <c r="G9" s="9">
        <f>SUM(B9:F9)</f>
        <v/>
      </c>
      <c r="H9" s="6" t="inlineStr">
        <is>
          <t>Remaining buyout, field labor, commissioning, punchlist and documented schedule effects</t>
        </is>
      </c>
      <c r="I9" s="6" t="inlineStr">
        <is>
          <t>None reported</t>
        </is>
      </c>
      <c r="J9" s="6" t="inlineStr">
        <is>
          <t>High</t>
        </is>
      </c>
      <c r="K9" s="6" t="inlineStr">
        <is>
          <t>Buyout and production forecast updated from weekly look-ahead.</t>
        </is>
      </c>
    </row>
    <row r="10">
      <c r="A10" s="6" t="inlineStr">
        <is>
          <t>ARM-2417</t>
        </is>
      </c>
      <c r="B10" s="8" t="n">
        <v>1097280</v>
      </c>
      <c r="C10" s="8" t="n">
        <v>944880</v>
      </c>
      <c r="D10" s="8" t="n">
        <v>548640</v>
      </c>
      <c r="E10" s="8" t="n">
        <v>274320</v>
      </c>
      <c r="F10" s="8" t="n">
        <v>182880</v>
      </c>
      <c r="G10" s="9">
        <f>SUM(B10:F10)</f>
        <v/>
      </c>
      <c r="H10" s="6" t="inlineStr">
        <is>
          <t>Remaining buyout, field labor, commissioning, punchlist and documented schedule effects</t>
        </is>
      </c>
      <c r="I10" s="6" t="inlineStr">
        <is>
          <t>Night-shift premium is not included pending owner direction.</t>
        </is>
      </c>
      <c r="J10" s="6" t="inlineStr">
        <is>
          <t>Low</t>
        </is>
      </c>
      <c r="K10" s="6" t="inlineStr">
        <is>
          <t>Labor forecast aligned to current crew plan and schedule logic.</t>
        </is>
      </c>
    </row>
    <row r="11">
      <c r="A11" s="6" t="inlineStr">
        <is>
          <t>ARM-2421</t>
        </is>
      </c>
      <c r="B11" s="8" t="n">
        <v>11160</v>
      </c>
      <c r="C11" s="8" t="n">
        <v>9610</v>
      </c>
      <c r="D11" s="8" t="n">
        <v>5580</v>
      </c>
      <c r="E11" s="8" t="n">
        <v>2790</v>
      </c>
      <c r="F11" s="8" t="n">
        <v>1860</v>
      </c>
      <c r="G11" s="9">
        <f>SUM(B11:F11)</f>
        <v/>
      </c>
      <c r="H11" s="6" t="inlineStr">
        <is>
          <t>Remaining buyout, field labor, commissioning, punchlist and documented schedule effects</t>
        </is>
      </c>
      <c r="I11" s="6" t="inlineStr">
        <is>
          <t>None reported</t>
        </is>
      </c>
      <c r="J11" s="6" t="inlineStr">
        <is>
          <t>High</t>
        </is>
      </c>
      <c r="K11" s="6" t="inlineStr">
        <is>
          <t>Remaining procurement tied to released packages and ordinary allowance.</t>
        </is>
      </c>
    </row>
    <row r="12">
      <c r="A12" s="6" t="inlineStr">
        <is>
          <t>ARM-2501</t>
        </is>
      </c>
      <c r="B12" s="8" t="n">
        <v>329040</v>
      </c>
      <c r="C12" s="8" t="n">
        <v>283340</v>
      </c>
      <c r="D12" s="8" t="n">
        <v>164520</v>
      </c>
      <c r="E12" s="8" t="n">
        <v>82260</v>
      </c>
      <c r="F12" s="8" t="n">
        <v>54840</v>
      </c>
      <c r="G12" s="9">
        <f>SUM(B12:F12)</f>
        <v/>
      </c>
      <c r="H12" s="6" t="inlineStr">
        <is>
          <t>Remaining buyout, field labor, commissioning, punchlist and documented schedule effects</t>
        </is>
      </c>
      <c r="I12" s="6" t="inlineStr">
        <is>
          <t>None reported</t>
        </is>
      </c>
      <c r="J12" s="6" t="inlineStr">
        <is>
          <t>High</t>
        </is>
      </c>
      <c r="K12" s="6" t="inlineStr">
        <is>
          <t>Buyout and production forecast updated from weekly look-ahead.</t>
        </is>
      </c>
    </row>
    <row r="13">
      <c r="A13" s="6" t="inlineStr">
        <is>
          <t>ARM-2506</t>
        </is>
      </c>
      <c r="B13" s="8" t="n">
        <v>1703160</v>
      </c>
      <c r="C13" s="8" t="n">
        <v>1466610</v>
      </c>
      <c r="D13" s="8" t="n">
        <v>851580</v>
      </c>
      <c r="E13" s="8" t="n">
        <v>425790</v>
      </c>
      <c r="F13" s="8" t="n">
        <v>283860</v>
      </c>
      <c r="G13" s="9">
        <f>SUM(B13:F13)</f>
        <v/>
      </c>
      <c r="H13" s="6" t="inlineStr">
        <is>
          <t>Remaining buyout, field labor, commissioning, punchlist and documented schedule effects</t>
        </is>
      </c>
      <c r="I13" s="6" t="inlineStr">
        <is>
          <t>Electrical redesign exposure excluded pending approved PCO.</t>
        </is>
      </c>
      <c r="J13" s="6" t="inlineStr">
        <is>
          <t>Low</t>
        </is>
      </c>
      <c r="K13" s="6" t="inlineStr">
        <is>
          <t>Labor forecast aligned to current crew plan and schedule logic.</t>
        </is>
      </c>
    </row>
    <row r="14">
      <c r="A14" s="6" t="inlineStr">
        <is>
          <t>ARM-2510</t>
        </is>
      </c>
      <c r="B14" s="8" t="n">
        <v>1182240</v>
      </c>
      <c r="C14" s="8" t="n">
        <v>1018040</v>
      </c>
      <c r="D14" s="8" t="n">
        <v>591120</v>
      </c>
      <c r="E14" s="8" t="n">
        <v>295560</v>
      </c>
      <c r="F14" s="8" t="n">
        <v>197040</v>
      </c>
      <c r="G14" s="9">
        <f>SUM(B14:F14)</f>
        <v/>
      </c>
      <c r="H14" s="6" t="inlineStr">
        <is>
          <t>Remaining buyout, field labor, commissioning, punchlist and documented schedule effects</t>
        </is>
      </c>
      <c r="I14" s="6" t="inlineStr">
        <is>
          <t>None reported</t>
        </is>
      </c>
      <c r="J14" s="6" t="inlineStr">
        <is>
          <t>High</t>
        </is>
      </c>
      <c r="K14" s="6" t="inlineStr">
        <is>
          <t>Remaining procurement tied to released packages and ordinary allowance.</t>
        </is>
      </c>
    </row>
    <row r="15">
      <c r="A15" s="6" t="inlineStr">
        <is>
          <t>ARM-2514</t>
        </is>
      </c>
      <c r="B15" s="8" t="n">
        <v>537120</v>
      </c>
      <c r="C15" s="8" t="n">
        <v>462520</v>
      </c>
      <c r="D15" s="8" t="n">
        <v>268560</v>
      </c>
      <c r="E15" s="8" t="n">
        <v>134280</v>
      </c>
      <c r="F15" s="8" t="n">
        <v>89520</v>
      </c>
      <c r="G15" s="9">
        <f>SUM(B15:F15)</f>
        <v/>
      </c>
      <c r="H15" s="6" t="inlineStr">
        <is>
          <t>Remaining buyout, field labor, commissioning, punchlist and documented schedule effects</t>
        </is>
      </c>
      <c r="I15" s="6" t="inlineStr">
        <is>
          <t>None reported</t>
        </is>
      </c>
      <c r="J15" s="6" t="inlineStr">
        <is>
          <t>High</t>
        </is>
      </c>
      <c r="K15" s="6" t="inlineStr">
        <is>
          <t>Buyout and production forecast updated from weekly look-ahead.</t>
        </is>
      </c>
    </row>
    <row r="16">
      <c r="A16" s="6" t="inlineStr">
        <is>
          <t>ARM-2518</t>
        </is>
      </c>
      <c r="B16" s="8" t="n">
        <v>466560</v>
      </c>
      <c r="C16" s="8" t="n">
        <v>401760</v>
      </c>
      <c r="D16" s="8" t="n">
        <v>233280</v>
      </c>
      <c r="E16" s="8" t="n">
        <v>116640</v>
      </c>
      <c r="F16" s="8" t="n">
        <v>77760</v>
      </c>
      <c r="G16" s="9">
        <f>SUM(B16:F16)</f>
        <v/>
      </c>
      <c r="H16" s="6" t="inlineStr">
        <is>
          <t>Remaining buyout, field labor, commissioning, punchlist and documented schedule effects</t>
        </is>
      </c>
      <c r="I16" s="6" t="inlineStr">
        <is>
          <t>None reported</t>
        </is>
      </c>
      <c r="J16" s="6" t="inlineStr">
        <is>
          <t>High</t>
        </is>
      </c>
      <c r="K16" s="6" t="inlineStr">
        <is>
          <t>Labor forecast aligned to current crew plan and schedule logic.</t>
        </is>
      </c>
    </row>
    <row r="17">
      <c r="A17" s="6" t="inlineStr">
        <is>
          <t>ARM-2522</t>
        </is>
      </c>
      <c r="B17" s="8" t="n">
        <v>713520</v>
      </c>
      <c r="C17" s="8" t="n">
        <v>614420</v>
      </c>
      <c r="D17" s="8" t="n">
        <v>356760</v>
      </c>
      <c r="E17" s="8" t="n">
        <v>178380</v>
      </c>
      <c r="F17" s="8" t="n">
        <v>118920</v>
      </c>
      <c r="G17" s="9">
        <f>SUM(B17:F17)</f>
        <v/>
      </c>
      <c r="H17" s="6" t="inlineStr">
        <is>
          <t>Remaining buyout, field labor, commissioning, punchlist and documented schedule effects</t>
        </is>
      </c>
      <c r="I17" s="6" t="inlineStr">
        <is>
          <t>None reported</t>
        </is>
      </c>
      <c r="J17" s="6" t="inlineStr">
        <is>
          <t>High</t>
        </is>
      </c>
      <c r="K17" s="6" t="inlineStr">
        <is>
          <t>Remaining procurement tied to released packages and ordinary allowance.</t>
        </is>
      </c>
    </row>
    <row r="18">
      <c r="A18" s="6" t="inlineStr">
        <is>
          <t>ARM-2526</t>
        </is>
      </c>
      <c r="B18" s="8" t="n">
        <v>124920</v>
      </c>
      <c r="C18" s="8" t="n">
        <v>107570</v>
      </c>
      <c r="D18" s="8" t="n">
        <v>62460</v>
      </c>
      <c r="E18" s="8" t="n">
        <v>31230</v>
      </c>
      <c r="F18" s="8" t="n">
        <v>20820</v>
      </c>
      <c r="G18" s="9">
        <f>SUM(B18:F18)</f>
        <v/>
      </c>
      <c r="H18" s="6" t="inlineStr">
        <is>
          <t>Remaining buyout, field labor, commissioning, punchlist and documented schedule effects</t>
        </is>
      </c>
      <c r="I18" s="6" t="inlineStr">
        <is>
          <t>None reported</t>
        </is>
      </c>
      <c r="J18" s="6" t="inlineStr">
        <is>
          <t>High</t>
        </is>
      </c>
      <c r="K18" s="6" t="inlineStr">
        <is>
          <t>Buyout and production forecast updated from weekly look-ahead.</t>
        </is>
      </c>
    </row>
    <row r="19">
      <c r="A19" s="6" t="inlineStr">
        <is>
          <t>ARM-2602</t>
        </is>
      </c>
      <c r="B19" s="8" t="n">
        <v>1311840</v>
      </c>
      <c r="C19" s="8" t="n">
        <v>1129640</v>
      </c>
      <c r="D19" s="8" t="n">
        <v>655920</v>
      </c>
      <c r="E19" s="8" t="n">
        <v>327960</v>
      </c>
      <c r="F19" s="8" t="n">
        <v>218640</v>
      </c>
      <c r="G19" s="9">
        <f>SUM(B19:F19)</f>
        <v/>
      </c>
      <c r="H19" s="6" t="inlineStr">
        <is>
          <t>Remaining buyout, field labor, commissioning, punchlist and documented schedule effects</t>
        </is>
      </c>
      <c r="I19" s="6" t="inlineStr">
        <is>
          <t>None reported</t>
        </is>
      </c>
      <c r="J19" s="6" t="inlineStr">
        <is>
          <t>High</t>
        </is>
      </c>
      <c r="K19" s="6" t="inlineStr">
        <is>
          <t>Labor forecast aligned to current crew plan and schedule logic.</t>
        </is>
      </c>
    </row>
    <row r="20">
      <c r="A20" s="6" t="inlineStr">
        <is>
          <t>ARM-2605</t>
        </is>
      </c>
      <c r="B20" s="8" t="n">
        <v>1484640</v>
      </c>
      <c r="C20" s="8" t="n">
        <v>1278440</v>
      </c>
      <c r="D20" s="8" t="n">
        <v>742320</v>
      </c>
      <c r="E20" s="8" t="n">
        <v>371160</v>
      </c>
      <c r="F20" s="8" t="n">
        <v>247440</v>
      </c>
      <c r="G20" s="9">
        <f>SUM(B20:F20)</f>
        <v/>
      </c>
      <c r="H20" s="6" t="inlineStr">
        <is>
          <t>Remaining buyout, field labor, commissioning, punchlist and documented schedule effects</t>
        </is>
      </c>
      <c r="I20" s="6" t="inlineStr">
        <is>
          <t>None reported</t>
        </is>
      </c>
      <c r="J20" s="6" t="inlineStr">
        <is>
          <t>Medium</t>
        </is>
      </c>
      <c r="K20" s="6" t="inlineStr">
        <is>
          <t>Remaining procurement tied to released packages and ordinary allowance.</t>
        </is>
      </c>
    </row>
    <row r="21">
      <c r="A21" s="6" t="inlineStr">
        <is>
          <t>ARM-2608</t>
        </is>
      </c>
      <c r="B21" s="8" t="n">
        <v>317160</v>
      </c>
      <c r="C21" s="8" t="n">
        <v>273110</v>
      </c>
      <c r="D21" s="8" t="n">
        <v>158580</v>
      </c>
      <c r="E21" s="8" t="n">
        <v>79290</v>
      </c>
      <c r="F21" s="8" t="n">
        <v>52860</v>
      </c>
      <c r="G21" s="9">
        <f>SUM(B21:F21)</f>
        <v/>
      </c>
      <c r="H21" s="6" t="inlineStr">
        <is>
          <t>Remaining buyout, field labor, commissioning, punchlist and documented schedule effects</t>
        </is>
      </c>
      <c r="I21" s="6" t="inlineStr">
        <is>
          <t>None reported</t>
        </is>
      </c>
      <c r="J21" s="6" t="inlineStr">
        <is>
          <t>High</t>
        </is>
      </c>
      <c r="K21" s="6" t="inlineStr">
        <is>
          <t>Buyout and production forecast updated from weekly look-ahead.</t>
        </is>
      </c>
    </row>
  </sheetData>
  <mergeCells count="2">
    <mergeCell ref="A2:K2"/>
    <mergeCell ref="A1:K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 outlineLevelRow="0"/>
  <cols>
    <col width="13" customWidth="1" min="1" max="2"/>
    <col width="48" customWidth="1" min="3" max="3"/>
    <col width="19" customWidth="1" min="4" max="4"/>
    <col width="22" customWidth="1" min="5" max="5"/>
    <col width="18" customWidth="1" min="6" max="6"/>
    <col width="13" customWidth="1" min="7" max="7"/>
    <col width="18" customWidth="1" min="8" max="8"/>
    <col width="52" customWidth="1" min="9" max="9"/>
    <col width="44" customWidth="1" min="10" max="10"/>
  </cols>
  <sheetData>
    <row r="1" ht="23" customHeight="1">
      <c r="A1" s="1" t="inlineStr">
        <is>
          <t>Risks, Opportunities and Unpriced Exposure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</row>
    <row r="2" ht="23" customHeight="1">
      <c r="A2" s="2" t="inlineStr">
        <is>
          <t>This register informs EAC judgment; it is not authorization to recognize pending change-order revenue</t>
        </is>
      </c>
    </row>
    <row r="3"/>
    <row r="4"/>
    <row r="5" ht="30" customHeight="1">
      <c r="A5" s="3" t="inlineStr">
        <is>
          <t>Project ID</t>
        </is>
      </c>
      <c r="B5" s="4" t="inlineStr">
        <is>
          <t>Reference</t>
        </is>
      </c>
      <c r="C5" s="4" t="inlineStr">
        <is>
          <t>Description</t>
        </is>
      </c>
      <c r="D5" s="4" t="inlineStr">
        <is>
          <t>Revenue Opportunity</t>
        </is>
      </c>
      <c r="E5" s="4" t="inlineStr">
        <is>
          <t>Cost Exposure / (Recovery)</t>
        </is>
      </c>
      <c r="F5" s="4" t="inlineStr">
        <is>
          <t>Commercial Status</t>
        </is>
      </c>
      <c r="G5" s="4" t="inlineStr">
        <is>
          <t>Probability</t>
        </is>
      </c>
      <c r="H5" s="4" t="inlineStr">
        <is>
          <t>PM Forecast Treatment</t>
        </is>
      </c>
      <c r="I5" s="4" t="inlineStr">
        <is>
          <t>Finance Review Status</t>
        </is>
      </c>
      <c r="J5" s="5" t="inlineStr">
        <is>
          <t>Evidence / Owner</t>
        </is>
      </c>
    </row>
    <row r="6">
      <c r="A6" s="6" t="inlineStr">
        <is>
          <t>ARM-2417</t>
        </is>
      </c>
      <c r="B6" s="6" t="inlineStr">
        <is>
          <t>PCO-017</t>
        </is>
      </c>
      <c r="C6" s="6" t="inlineStr">
        <is>
          <t>OR congestion and after-hours premium</t>
        </is>
      </c>
      <c r="D6" s="8" t="n">
        <v>382000</v>
      </c>
      <c r="E6" s="8" t="n">
        <v>275000</v>
      </c>
      <c r="F6" s="6" t="inlineStr">
        <is>
          <t>Submitted</t>
        </is>
      </c>
      <c r="G6" s="6" t="inlineStr">
        <is>
          <t>75%</t>
        </is>
      </c>
      <c r="H6" s="6" t="inlineStr">
        <is>
          <t>Cost exposure excluded</t>
        </is>
      </c>
      <c r="I6" s="10" t="inlineStr">
        <is>
          <t>Pending controller assessment under signed WIP policy</t>
        </is>
      </c>
      <c r="J6" s="6" t="inlineStr">
        <is>
          <t>Owner review; no executed directive | Owner: Maya Chen</t>
        </is>
      </c>
    </row>
    <row r="7">
      <c r="A7" s="6" t="inlineStr">
        <is>
          <t>ARM-2409</t>
        </is>
      </c>
      <c r="B7" s="6" t="inlineStr">
        <is>
          <t>PCO-011</t>
        </is>
      </c>
      <c r="C7" s="6" t="inlineStr">
        <is>
          <t>Freezer slab rework backcharge to concrete trade</t>
        </is>
      </c>
      <c r="D7" s="8" t="n">
        <v>185000</v>
      </c>
      <c r="E7" s="8" t="n">
        <v>-185000</v>
      </c>
      <c r="F7" s="6" t="inlineStr">
        <is>
          <t>Draft</t>
        </is>
      </c>
      <c r="G7" s="6" t="inlineStr">
        <is>
          <t>40%</t>
        </is>
      </c>
      <c r="H7" s="6" t="inlineStr">
        <is>
          <t>Disputed recovery netted</t>
        </is>
      </c>
      <c r="I7" s="10" t="inlineStr">
        <is>
          <t>Pending controller assessment under signed WIP policy</t>
        </is>
      </c>
      <c r="J7" s="6" t="inlineStr">
        <is>
          <t>Recovery disputed; no subcontractor acceptance | Owner: Priya Raman</t>
        </is>
      </c>
    </row>
    <row r="8">
      <c r="A8" s="6" t="inlineStr">
        <is>
          <t>ARM-2506</t>
        </is>
      </c>
      <c r="B8" s="6" t="inlineStr">
        <is>
          <t>PCO-006</t>
        </is>
      </c>
      <c r="C8" s="6" t="inlineStr">
        <is>
          <t>Chiller electrical service redesign</t>
        </is>
      </c>
      <c r="D8" s="8" t="n">
        <v>296000</v>
      </c>
      <c r="E8" s="8" t="n">
        <v>210000</v>
      </c>
      <c r="F8" s="6" t="inlineStr">
        <is>
          <t>Pricing</t>
        </is>
      </c>
      <c r="G8" s="6" t="inlineStr">
        <is>
          <t>80%</t>
        </is>
      </c>
      <c r="H8" s="6" t="inlineStr">
        <is>
          <t>Cost exposure excluded</t>
        </is>
      </c>
      <c r="I8" s="10" t="inlineStr">
        <is>
          <t>Pending controller assessment under signed WIP policy</t>
        </is>
      </c>
      <c r="J8" s="6" t="inlineStr">
        <is>
          <t>Engineer-directed pricing only | Owner: Priya Raman</t>
        </is>
      </c>
    </row>
    <row r="9">
      <c r="A9" s="6" t="inlineStr">
        <is>
          <t>ARM-2514</t>
        </is>
      </c>
      <c r="B9" s="6" t="inlineStr">
        <is>
          <t>CO-008</t>
        </is>
      </c>
      <c r="C9" s="6" t="inlineStr">
        <is>
          <t>Gym ventilation scope revision</t>
        </is>
      </c>
      <c r="D9" s="8" t="n">
        <v>214000</v>
      </c>
      <c r="E9" s="8" t="n">
        <v>147000</v>
      </c>
      <c r="F9" s="6" t="inlineStr">
        <is>
          <t>Approved</t>
        </is>
      </c>
      <c r="G9" s="6" t="inlineStr">
        <is>
          <t>100%</t>
        </is>
      </c>
      <c r="H9" s="6" t="inlineStr">
        <is>
          <t>Reflected in approved forecast</t>
        </is>
      </c>
      <c r="I9" s="10" t="inlineStr">
        <is>
          <t>Executed before cutoff</t>
        </is>
      </c>
      <c r="J9" s="6" t="inlineStr">
        <is>
          <t>Executed bilateral change order | Owner: Lucas Bennett</t>
        </is>
      </c>
    </row>
    <row r="10">
      <c r="A10" s="6" t="inlineStr">
        <is>
          <t>ARM-2318</t>
        </is>
      </c>
      <c r="B10" s="6" t="inlineStr">
        <is>
          <t>PCO-029</t>
        </is>
      </c>
      <c r="C10" s="6" t="inlineStr">
        <is>
          <t>Final validation retest and extended support</t>
        </is>
      </c>
      <c r="D10" s="8" t="n">
        <v>68000</v>
      </c>
      <c r="E10" s="8" t="n">
        <v>45000</v>
      </c>
      <c r="F10" s="6" t="inlineStr">
        <is>
          <t>Submitted</t>
        </is>
      </c>
      <c r="G10" s="6" t="inlineStr">
        <is>
          <t>65%</t>
        </is>
      </c>
      <c r="H10" s="6" t="inlineStr">
        <is>
          <t>Cost exposure excluded</t>
        </is>
      </c>
      <c r="I10" s="10" t="inlineStr">
        <is>
          <t>Pending controller assessment under signed WIP policy</t>
        </is>
      </c>
      <c r="J10" s="6" t="inlineStr">
        <is>
          <t>Customer disputes responsibility | Owner: Maya Chen</t>
        </is>
      </c>
    </row>
    <row r="11">
      <c r="A11" s="6" t="inlineStr">
        <is>
          <t>ARM-2605</t>
        </is>
      </c>
      <c r="B11" s="6" t="inlineStr">
        <is>
          <t>PCO-002</t>
        </is>
      </c>
      <c r="C11" s="6" t="inlineStr">
        <is>
          <t>Temporary ventilation for summer events</t>
        </is>
      </c>
      <c r="D11" s="8" t="n">
        <v>174000</v>
      </c>
      <c r="E11" s="8" t="n">
        <v>121000</v>
      </c>
      <c r="F11" s="6" t="inlineStr">
        <is>
          <t>Under Review</t>
        </is>
      </c>
      <c r="G11" s="6" t="inlineStr">
        <is>
          <t>25%</t>
        </is>
      </c>
      <c r="H11" s="6" t="inlineStr">
        <is>
          <t>Cost exposure excluded</t>
        </is>
      </c>
      <c r="I11" s="10" t="inlineStr">
        <is>
          <t>Pending controller assessment under signed WIP policy</t>
        </is>
      </c>
      <c r="J11" s="6" t="inlineStr">
        <is>
          <t>Work not authorized at cutoff | Owner: Elliot Marks</t>
        </is>
      </c>
    </row>
    <row r="12">
      <c r="A12" s="6" t="inlineStr">
        <is>
          <t>ARM-2403</t>
        </is>
      </c>
      <c r="B12" s="6" t="inlineStr">
        <is>
          <t>CO-014</t>
        </is>
      </c>
      <c r="C12" s="6" t="inlineStr">
        <is>
          <t>AHU-4 controls sequence revision</t>
        </is>
      </c>
      <c r="D12" s="8" t="n">
        <v>96000</v>
      </c>
      <c r="E12" s="8" t="n">
        <v>62000</v>
      </c>
      <c r="F12" s="6" t="inlineStr">
        <is>
          <t>Approved</t>
        </is>
      </c>
      <c r="G12" s="6" t="inlineStr">
        <is>
          <t>100%</t>
        </is>
      </c>
      <c r="H12" s="6" t="inlineStr">
        <is>
          <t>Reflected in approved forecast</t>
        </is>
      </c>
      <c r="I12" s="10" t="inlineStr">
        <is>
          <t>Executed before cutoff</t>
        </is>
      </c>
      <c r="J12" s="6" t="inlineStr">
        <is>
          <t>Executed | Owner: Elliot Marks</t>
        </is>
      </c>
    </row>
    <row r="13">
      <c r="A13" s="6" t="inlineStr">
        <is>
          <t>ARM-2412</t>
        </is>
      </c>
      <c r="B13" s="6" t="inlineStr">
        <is>
          <t>CO-009</t>
        </is>
      </c>
      <c r="C13" s="6" t="inlineStr">
        <is>
          <t>Lab exhaust fan VFD replacements</t>
        </is>
      </c>
      <c r="D13" s="8" t="n">
        <v>133000</v>
      </c>
      <c r="E13" s="8" t="n">
        <v>88000</v>
      </c>
      <c r="F13" s="6" t="inlineStr">
        <is>
          <t>Approved</t>
        </is>
      </c>
      <c r="G13" s="6" t="inlineStr">
        <is>
          <t>100%</t>
        </is>
      </c>
      <c r="H13" s="6" t="inlineStr">
        <is>
          <t>Reflected in approved forecast</t>
        </is>
      </c>
      <c r="I13" s="10" t="inlineStr">
        <is>
          <t>Executed before cutoff</t>
        </is>
      </c>
      <c r="J13" s="6" t="inlineStr">
        <is>
          <t>Executed | Owner: Elliot Marks</t>
        </is>
      </c>
    </row>
  </sheetData>
  <mergeCells count="2">
    <mergeCell ref="A1:J1"/>
    <mergeCell ref="A2:J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 outlineLevelRow="0"/>
  <cols>
    <col width="8" customWidth="1" min="1" max="1"/>
    <col width="94" customWidth="1" min="2" max="2"/>
    <col width="12" customWidth="1" min="3" max="6"/>
  </cols>
  <sheetData>
    <row r="1" ht="23" customHeight="1">
      <c r="A1" s="1" t="inlineStr">
        <is>
          <t>Forecast Submission Protocol</t>
        </is>
      </c>
      <c r="B1" s="20" t="n"/>
      <c r="C1" s="20" t="n"/>
      <c r="D1" s="20" t="n"/>
      <c r="E1" s="20" t="n"/>
      <c r="F1" s="20" t="n"/>
    </row>
    <row r="2" ht="23" customHeight="1">
      <c r="A2" s="2" t="inlineStr">
        <is>
          <t>Operations Finance | Rev. 2026-03</t>
        </is>
      </c>
    </row>
    <row r="3"/>
    <row r="4">
      <c r="A4" s="11" t="inlineStr">
        <is>
          <t>Required close sequence</t>
        </is>
      </c>
      <c r="B4" s="21" t="n"/>
      <c r="C4" s="21" t="n"/>
      <c r="D4" s="21" t="n"/>
      <c r="E4" s="21" t="n"/>
      <c r="F4" s="21" t="n"/>
    </row>
    <row r="5"/>
    <row r="6" ht="35" customHeight="1">
      <c r="A6" s="12" t="n">
        <v>1</v>
      </c>
      <c r="B6" s="13" t="inlineStr">
        <is>
          <t>Reconcile posted job cost through the close cutoff to the accounting-system project summary.</t>
        </is>
      </c>
    </row>
    <row r="7" ht="35" customHeight="1">
      <c r="A7" s="12" t="n">
        <v>2</v>
      </c>
      <c r="B7" s="13" t="inlineStr">
        <is>
          <t>Carry the PM's remaining-cost forecast, not the submitted EAC total, when actual cost has moved after submission.</t>
        </is>
      </c>
    </row>
    <row r="8" ht="35" customHeight="1">
      <c r="A8" s="12" t="n">
        <v>3</v>
      </c>
      <c r="B8" s="13" t="inlineStr">
        <is>
          <t>Add probable cost exposures not included in PM ETC when supported by the risk register or contract evidence.</t>
        </is>
      </c>
    </row>
    <row r="9" ht="35" customHeight="1">
      <c r="A9" s="12" t="n">
        <v>4</v>
      </c>
      <c r="B9" s="13" t="inlineStr">
        <is>
          <t>Do not net disputed recoveries or unapproved backcharges against cost until enforceable and accepted.</t>
        </is>
      </c>
    </row>
    <row r="10" ht="35" customHeight="1">
      <c r="A10" s="12" t="n">
        <v>5</v>
      </c>
      <c r="B10" s="13" t="inlineStr">
        <is>
          <t>Include only executed change-order revenue in current contract value.</t>
        </is>
      </c>
    </row>
    <row r="11" ht="35" customHeight="1">
      <c r="A11" s="12" t="n">
        <v>6</v>
      </c>
      <c r="B11" s="13" t="inlineStr">
        <is>
          <t>Escalate any forecast loss, margin movement greater than 100 bps, or material estimate uncertainty.</t>
        </is>
      </c>
    </row>
    <row r="12" ht="35" customHeight="1">
      <c r="A12" s="12" t="n">
        <v>7</v>
      </c>
      <c r="B12" s="13" t="inlineStr">
        <is>
          <t>Document preparer and reviewer timestamps; this workbook is an input, not the final WIP schedule.</t>
        </is>
      </c>
    </row>
  </sheetData>
  <mergeCells count="3">
    <mergeCell ref="A2:F2"/>
    <mergeCell ref="A1:F1"/>
    <mergeCell ref="A4:F4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 outlineLevelRow="0"/>
  <cols>
    <col width="13" customWidth="1" min="1" max="1"/>
    <col width="20" customWidth="1" min="2" max="2"/>
    <col width="23" customWidth="1" min="3" max="3"/>
    <col width="16" customWidth="1" min="4" max="4"/>
    <col width="18" customWidth="1" min="5" max="5"/>
    <col width="70" customWidth="1" min="6" max="6"/>
    <col width="42" customWidth="1" min="7" max="7"/>
    <col width="34" customWidth="1" min="8" max="8"/>
  </cols>
  <sheetData>
    <row r="1">
      <c r="A1" s="14" t="inlineStr">
        <is>
          <t>Combined from individual PM files and two e-mail replies at 5:30pm 6/29. Timestamps differ because some files were resaved by Ops Finance.</t>
        </is>
      </c>
    </row>
    <row r="2"/>
    <row r="3">
      <c r="A3" s="15" t="inlineStr">
        <is>
          <t>job_no</t>
        </is>
      </c>
      <c r="B3" s="15" t="inlineStr">
        <is>
          <t>pm</t>
        </is>
      </c>
      <c r="C3" s="15" t="inlineStr">
        <is>
          <t>submitted</t>
        </is>
      </c>
      <c r="D3" s="15" t="inlineStr">
        <is>
          <t>etc_from_pm</t>
        </is>
      </c>
      <c r="E3" s="15" t="inlineStr">
        <is>
          <t>confidence typed</t>
        </is>
      </c>
      <c r="F3" s="15" t="inlineStr">
        <is>
          <t>comment copied</t>
        </is>
      </c>
      <c r="G3" s="15" t="inlineStr">
        <is>
          <t>source filename</t>
        </is>
      </c>
      <c r="H3" s="15" t="inlineStr">
        <is>
          <t>Ops Fin note</t>
        </is>
      </c>
    </row>
    <row r="4">
      <c r="A4" s="16" t="inlineStr">
        <is>
          <t>ARM-2318</t>
        </is>
      </c>
      <c r="B4" s="16" t="inlineStr">
        <is>
          <t>Maya Chen</t>
        </is>
      </c>
      <c r="C4" s="16" t="inlineStr">
        <is>
          <t>2026-06-27 15:15</t>
        </is>
      </c>
      <c r="D4" s="16" t="n">
        <v>173800</v>
      </c>
      <c r="E4" s="16" t="inlineStr">
        <is>
          <t>medium</t>
        </is>
      </c>
      <c r="F4" s="16" t="inlineStr">
        <is>
          <t>Disputed validation retest support is not included.</t>
        </is>
      </c>
      <c r="G4" s="16" t="inlineStr">
        <is>
          <t>ARM-2318_Maya_ETC_final.xlsx</t>
        </is>
      </c>
      <c r="H4" s="16" t="inlineStr">
        <is>
          <t>manual copy - formulas removed</t>
        </is>
      </c>
    </row>
    <row r="5">
      <c r="A5" s="16" t="inlineStr">
        <is>
          <t>ARM-2403</t>
        </is>
      </c>
      <c r="B5" s="16" t="inlineStr">
        <is>
          <t>Elliot Marks</t>
        </is>
      </c>
      <c r="C5" s="16" t="inlineStr">
        <is>
          <t>2026-06-27 18:15</t>
        </is>
      </c>
      <c r="D5" s="16" t="n">
        <v>892000</v>
      </c>
      <c r="E5" s="16" t="inlineStr">
        <is>
          <t>High</t>
        </is>
      </c>
      <c r="F5" s="16" t="inlineStr">
        <is>
          <t>Current field plan and committed buyout reflected.</t>
        </is>
      </c>
      <c r="G5" s="16" t="inlineStr">
        <is>
          <t>ARM-2403_Elliot_ETC_v2.xlsx</t>
        </is>
      </c>
      <c r="H5" s="16" t="inlineStr">
        <is>
          <t>linked then pasted values</t>
        </is>
      </c>
    </row>
    <row r="6">
      <c r="A6" s="16" t="inlineStr">
        <is>
          <t>ARM-2409</t>
        </is>
      </c>
      <c r="B6" s="16" t="inlineStr">
        <is>
          <t>Priya Raman</t>
        </is>
      </c>
      <c r="C6" s="16" t="inlineStr">
        <is>
          <t>2026-06-28 16:15</t>
        </is>
      </c>
      <c r="D6" s="16" t="n">
        <v>584000</v>
      </c>
      <c r="E6" s="16" t="inlineStr">
        <is>
          <t>Low</t>
        </is>
      </c>
      <c r="F6" s="16" t="inlineStr">
        <is>
          <t>Forecast assumes $185k backcharge recovery from concrete trade.</t>
        </is>
      </c>
      <c r="G6" s="16" t="inlineStr">
        <is>
          <t>ARM-2409_Priya_ETC_6.29.xlsx</t>
        </is>
      </c>
      <c r="H6" s="16" t="inlineStr">
        <is>
          <t>linked then pasted values</t>
        </is>
      </c>
    </row>
    <row r="7">
      <c r="A7" s="16" t="inlineStr">
        <is>
          <t>ARM-2412</t>
        </is>
      </c>
      <c r="B7" s="16" t="inlineStr">
        <is>
          <t>Elliot Marks</t>
        </is>
      </c>
      <c r="C7" s="16" t="inlineStr">
        <is>
          <t>2026-06-26 17:15</t>
        </is>
      </c>
      <c r="D7" s="16" t="n">
        <v>947000</v>
      </c>
      <c r="E7" s="16" t="inlineStr">
        <is>
          <t>High</t>
        </is>
      </c>
      <c r="F7" s="16" t="inlineStr">
        <is>
          <t>Current field plan and committed buyout reflected.</t>
        </is>
      </c>
      <c r="G7" s="16" t="inlineStr">
        <is>
          <t>ARM-2412_Elliot_ETC_USE THIS.xlsx</t>
        </is>
      </c>
      <c r="H7" s="16" t="inlineStr">
        <is>
          <t>linked then pasted values</t>
        </is>
      </c>
    </row>
    <row r="8">
      <c r="A8" s="16" t="inlineStr">
        <is>
          <t>ARM-2417</t>
        </is>
      </c>
      <c r="B8" s="16" t="inlineStr">
        <is>
          <t>Maya Chen</t>
        </is>
      </c>
      <c r="C8" s="16" t="inlineStr">
        <is>
          <t>2026-06-26 18:15</t>
        </is>
      </c>
      <c r="D8" s="16" t="n">
        <v>3048000</v>
      </c>
      <c r="E8" s="16" t="inlineStr">
        <is>
          <t>low</t>
        </is>
      </c>
      <c r="F8" s="16" t="inlineStr">
        <is>
          <t>Night-shift premium is not included pending owner direction.</t>
        </is>
      </c>
      <c r="G8" s="16" t="inlineStr">
        <is>
          <t>ARM-2417_Maya_ETC_final.xlsx</t>
        </is>
      </c>
      <c r="H8" s="16" t="inlineStr">
        <is>
          <t>linked then pasted values</t>
        </is>
      </c>
    </row>
    <row r="9">
      <c r="A9" s="16" t="inlineStr">
        <is>
          <t>ARM-2421</t>
        </is>
      </c>
      <c r="B9" s="16" t="inlineStr">
        <is>
          <t>Lucas Bennett</t>
        </is>
      </c>
      <c r="C9" s="16" t="inlineStr">
        <is>
          <t>2026-06-25 16:15</t>
        </is>
      </c>
      <c r="D9" s="16" t="n">
        <v>31000</v>
      </c>
      <c r="E9" s="16" t="inlineStr">
        <is>
          <t>High</t>
        </is>
      </c>
      <c r="F9" s="16" t="inlineStr">
        <is>
          <t>Current field plan and committed buyout reflected.</t>
        </is>
      </c>
      <c r="G9" s="16" t="inlineStr">
        <is>
          <t>ARM-2421_Lucas_ETC_v2.xlsx</t>
        </is>
      </c>
      <c r="H9" s="16" t="inlineStr">
        <is>
          <t>manual copy - formulas removed</t>
        </is>
      </c>
    </row>
    <row r="10">
      <c r="A10" s="16" t="inlineStr">
        <is>
          <t>ARM-2501</t>
        </is>
      </c>
      <c r="B10" s="16" t="inlineStr">
        <is>
          <t>Sofia Alvarez</t>
        </is>
      </c>
      <c r="C10" s="16" t="inlineStr">
        <is>
          <t>2026-06-25 16:15</t>
        </is>
      </c>
      <c r="D10" s="16" t="n">
        <v>914000</v>
      </c>
      <c r="E10" s="16" t="inlineStr">
        <is>
          <t>High</t>
        </is>
      </c>
      <c r="F10" s="16" t="inlineStr">
        <is>
          <t>Current field plan and committed buyout reflected.</t>
        </is>
      </c>
      <c r="G10" s="16" t="inlineStr">
        <is>
          <t>ARM-2501_Sofia_ETC_6.29.xlsx</t>
        </is>
      </c>
      <c r="H10" s="16" t="inlineStr">
        <is>
          <t>linked then pasted values</t>
        </is>
      </c>
    </row>
    <row r="11">
      <c r="A11" s="16" t="inlineStr">
        <is>
          <t>ARM-2506</t>
        </is>
      </c>
      <c r="B11" s="16" t="inlineStr">
        <is>
          <t>Priya Raman</t>
        </is>
      </c>
      <c r="C11" s="16" t="inlineStr">
        <is>
          <t>2026-06-25 17:15</t>
        </is>
      </c>
      <c r="D11" s="16" t="n">
        <v>4731000</v>
      </c>
      <c r="E11" s="16" t="inlineStr">
        <is>
          <t>Low</t>
        </is>
      </c>
      <c r="F11" s="16" t="inlineStr">
        <is>
          <t>Electrical redesign exposure excluded pending approved PCO.</t>
        </is>
      </c>
      <c r="G11" s="16" t="inlineStr">
        <is>
          <t>ARM-2506_Priya_ETC_USE THIS.xlsx</t>
        </is>
      </c>
      <c r="H11" s="16" t="inlineStr">
        <is>
          <t>linked then pasted values</t>
        </is>
      </c>
    </row>
    <row r="12">
      <c r="A12" s="16" t="inlineStr">
        <is>
          <t>ARM-2510</t>
        </is>
      </c>
      <c r="B12" s="16" t="inlineStr">
        <is>
          <t>Maya Chen</t>
        </is>
      </c>
      <c r="C12" s="16" t="inlineStr">
        <is>
          <t>2026-06-24 15:15</t>
        </is>
      </c>
      <c r="D12" s="16" t="n">
        <v>3284000</v>
      </c>
      <c r="E12" s="16" t="inlineStr">
        <is>
          <t>high</t>
        </is>
      </c>
      <c r="F12" s="16" t="inlineStr">
        <is>
          <t>Current field plan and committed buyout reflected.</t>
        </is>
      </c>
      <c r="G12" s="16" t="inlineStr">
        <is>
          <t>ARM-2510_Maya_ETC_final.xlsx</t>
        </is>
      </c>
      <c r="H12" s="16" t="inlineStr">
        <is>
          <t>linked then pasted values</t>
        </is>
      </c>
    </row>
    <row r="13">
      <c r="A13" s="16" t="inlineStr">
        <is>
          <t>ARM-2514</t>
        </is>
      </c>
      <c r="B13" s="16" t="inlineStr">
        <is>
          <t>Lucas Bennett</t>
        </is>
      </c>
      <c r="C13" s="16" t="inlineStr">
        <is>
          <t>2026-06-28 15:15</t>
        </is>
      </c>
      <c r="D13" s="16" t="n">
        <v>1492000</v>
      </c>
      <c r="E13" s="16" t="inlineStr">
        <is>
          <t>High</t>
        </is>
      </c>
      <c r="F13" s="16" t="inlineStr">
        <is>
          <t>Current field plan and committed buyout reflected.</t>
        </is>
      </c>
      <c r="G13" s="16" t="inlineStr">
        <is>
          <t>ARM-2514_Lucas_ETC_v2.xlsx</t>
        </is>
      </c>
      <c r="H13" s="16" t="inlineStr">
        <is>
          <t>linked then pasted values</t>
        </is>
      </c>
    </row>
    <row r="14">
      <c r="A14" s="16" t="inlineStr">
        <is>
          <t>ARM-2518</t>
        </is>
      </c>
      <c r="B14" s="16" t="inlineStr">
        <is>
          <t>Lucas Bennett</t>
        </is>
      </c>
      <c r="C14" s="16" t="inlineStr">
        <is>
          <t>2026-06-27 15:15</t>
        </is>
      </c>
      <c r="D14" s="16" t="n">
        <v>1296000</v>
      </c>
      <c r="E14" s="16" t="inlineStr">
        <is>
          <t>High</t>
        </is>
      </c>
      <c r="F14" s="16" t="inlineStr">
        <is>
          <t>Current field plan and committed buyout reflected.</t>
        </is>
      </c>
      <c r="G14" s="16" t="inlineStr">
        <is>
          <t>ARM-2518_Lucas_ETC_6.29.xlsx</t>
        </is>
      </c>
      <c r="H14" s="16" t="inlineStr">
        <is>
          <t>manual copy - formulas removed</t>
        </is>
      </c>
    </row>
    <row r="15">
      <c r="A15" s="16" t="inlineStr">
        <is>
          <t>ARM-2522</t>
        </is>
      </c>
      <c r="B15" s="16" t="inlineStr">
        <is>
          <t>Elliot Marks</t>
        </is>
      </c>
      <c r="C15" s="16" t="inlineStr">
        <is>
          <t>2026-06-26 17:15</t>
        </is>
      </c>
      <c r="D15" s="16" t="n">
        <v>1982000</v>
      </c>
      <c r="E15" s="16" t="inlineStr">
        <is>
          <t>High</t>
        </is>
      </c>
      <c r="F15" s="16" t="inlineStr">
        <is>
          <t>Current field plan and committed buyout reflected.</t>
        </is>
      </c>
      <c r="G15" s="16" t="inlineStr">
        <is>
          <t>ARM-2522_Elliot_ETC_USE THIS.xlsx</t>
        </is>
      </c>
      <c r="H15" s="16" t="inlineStr">
        <is>
          <t>linked then pasted values</t>
        </is>
      </c>
    </row>
    <row r="16">
      <c r="A16" s="16" t="inlineStr">
        <is>
          <t>ARM-2526</t>
        </is>
      </c>
      <c r="B16" s="16" t="inlineStr">
        <is>
          <t>Sofia Alvarez</t>
        </is>
      </c>
      <c r="C16" s="16" t="inlineStr">
        <is>
          <t>2026-06-25 17:15</t>
        </is>
      </c>
      <c r="D16" s="16" t="n">
        <v>347000</v>
      </c>
      <c r="E16" s="16" t="inlineStr">
        <is>
          <t>high</t>
        </is>
      </c>
      <c r="F16" s="16" t="inlineStr">
        <is>
          <t>Current field plan and committed buyout reflected.</t>
        </is>
      </c>
      <c r="G16" s="16" t="inlineStr">
        <is>
          <t>ARM-2526_Sofia_ETC_final.xlsx</t>
        </is>
      </c>
      <c r="H16" s="16" t="inlineStr">
        <is>
          <t>linked then pasted values</t>
        </is>
      </c>
    </row>
    <row r="17">
      <c r="A17" s="16" t="inlineStr">
        <is>
          <t>ARM-2602</t>
        </is>
      </c>
      <c r="B17" s="16" t="inlineStr">
        <is>
          <t>Priya Raman</t>
        </is>
      </c>
      <c r="C17" s="16" t="inlineStr">
        <is>
          <t>2026-06-26 17:15</t>
        </is>
      </c>
      <c r="D17" s="16" t="n">
        <v>3644000</v>
      </c>
      <c r="E17" s="16" t="inlineStr">
        <is>
          <t>High</t>
        </is>
      </c>
      <c r="F17" s="16" t="inlineStr">
        <is>
          <t>Current field plan and committed buyout reflected.</t>
        </is>
      </c>
      <c r="G17" s="16" t="inlineStr">
        <is>
          <t>ARM-2602_Priya_ETC_v2.xlsx</t>
        </is>
      </c>
      <c r="H17" s="16" t="inlineStr">
        <is>
          <t>linked then pasted values</t>
        </is>
      </c>
    </row>
    <row r="18">
      <c r="A18" s="16" t="inlineStr">
        <is>
          <t>ARM-2605</t>
        </is>
      </c>
      <c r="B18" s="16" t="inlineStr">
        <is>
          <t>Elliot Marks</t>
        </is>
      </c>
      <c r="C18" s="16" t="inlineStr">
        <is>
          <t>2026-06-24 16:15</t>
        </is>
      </c>
      <c r="D18" s="16" t="n">
        <v>4124000</v>
      </c>
      <c r="E18" s="16" t="inlineStr">
        <is>
          <t>Medium</t>
        </is>
      </c>
      <c r="F18" s="16" t="inlineStr">
        <is>
          <t>Current field plan and committed buyout reflected.</t>
        </is>
      </c>
      <c r="G18" s="16" t="inlineStr">
        <is>
          <t>ARM-2605_Elliot_ETC_6.29.xlsx</t>
        </is>
      </c>
      <c r="H18" s="16" t="inlineStr">
        <is>
          <t>linked then pasted values</t>
        </is>
      </c>
    </row>
    <row r="19">
      <c r="A19" s="17" t="inlineStr">
        <is>
          <t>ARM-2608</t>
        </is>
      </c>
      <c r="B19" s="17" t="inlineStr">
        <is>
          <t>Sofia Alvarez</t>
        </is>
      </c>
      <c r="C19" s="17" t="inlineStr">
        <is>
          <t>2026-06-27 15:15</t>
        </is>
      </c>
      <c r="D19" s="17" t="n">
        <v>881000</v>
      </c>
      <c r="E19" s="17" t="inlineStr">
        <is>
          <t>High</t>
        </is>
      </c>
      <c r="F19" s="17" t="inlineStr">
        <is>
          <t>Current field plan and committed buyout reflected.</t>
        </is>
      </c>
      <c r="G19" s="17" t="inlineStr">
        <is>
          <t>ARM-2608_Sofia_ETC_USE THIS.xlsx</t>
        </is>
      </c>
      <c r="H19" s="17" t="inlineStr">
        <is>
          <t>manual copy - formulas removed</t>
        </is>
      </c>
    </row>
  </sheetData>
  <mergeCells count="1"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 outlineLevelRow="0"/>
  <cols>
    <col width="13" customWidth="1" min="1" max="1"/>
    <col width="16" customWidth="1" min="2" max="2"/>
    <col width="18" customWidth="1" min="3" max="3"/>
    <col width="14" customWidth="1" min="4" max="4"/>
    <col width="17" customWidth="1" min="5" max="5"/>
    <col width="56" customWidth="1" min="6" max="6"/>
  </cols>
  <sheetData>
    <row r="1">
      <c r="A1" s="14" t="inlineStr">
        <is>
          <t>Copied from May combined file. Kept because Submission Register formulas used to reference columns C/F; no longer authoritative.</t>
        </is>
      </c>
    </row>
    <row r="2"/>
    <row r="3">
      <c r="A3" s="15" t="inlineStr">
        <is>
          <t>Job</t>
        </is>
      </c>
      <c r="B3" s="15" t="inlineStr">
        <is>
          <t>May ETC</t>
        </is>
      </c>
      <c r="C3" s="15" t="inlineStr">
        <is>
          <t>June placeholder</t>
        </is>
      </c>
      <c r="D3" s="15" t="inlineStr">
        <is>
          <t>delta</t>
        </is>
      </c>
      <c r="E3" s="15" t="inlineStr">
        <is>
          <t>old flag</t>
        </is>
      </c>
      <c r="F3" s="15" t="inlineStr">
        <is>
          <t>May reviewer note</t>
        </is>
      </c>
    </row>
    <row r="4">
      <c r="A4" s="16" t="inlineStr">
        <is>
          <t>ARM-2318</t>
        </is>
      </c>
      <c r="B4" s="18" t="n">
        <v>167543</v>
      </c>
      <c r="C4" s="18" t="n">
        <v>173800</v>
      </c>
      <c r="D4" s="18">
        <f>C4-B4</f>
        <v/>
      </c>
      <c r="E4" s="16" t="inlineStr">
        <is>
          <t>FOLLOW UP</t>
        </is>
      </c>
      <c r="F4" s="16" t="inlineStr">
        <is>
          <t>waiting on quote</t>
        </is>
      </c>
    </row>
    <row r="5">
      <c r="A5" s="16" t="inlineStr">
        <is>
          <t>ARM-2403</t>
        </is>
      </c>
      <c r="B5" s="18" t="n">
        <v>875944</v>
      </c>
      <c r="C5" s="18" t="n">
        <v>892000</v>
      </c>
      <c r="D5" s="18">
        <f>C5-B5</f>
        <v/>
      </c>
      <c r="E5" s="16" t="n"/>
      <c r="F5" s="16" t="inlineStr">
        <is>
          <t>crew plan updated</t>
        </is>
      </c>
    </row>
    <row r="6">
      <c r="A6" s="16" t="inlineStr">
        <is>
          <t>ARM-2409</t>
        </is>
      </c>
      <c r="B6" s="18" t="n">
        <v>584000</v>
      </c>
      <c r="C6" s="18" t="n">
        <v>584000</v>
      </c>
      <c r="D6" s="18">
        <f>C6-B6</f>
        <v/>
      </c>
      <c r="E6" s="16" t="n"/>
      <c r="F6" s="16" t="inlineStr">
        <is>
          <t>closeout only</t>
        </is>
      </c>
    </row>
    <row r="7">
      <c r="A7" s="16" t="inlineStr">
        <is>
          <t>ARM-2412</t>
        </is>
      </c>
      <c r="B7" s="18" t="n">
        <v>964046</v>
      </c>
      <c r="C7" s="18" t="n">
        <v>947000</v>
      </c>
      <c r="D7" s="18">
        <f>C7-B7</f>
        <v/>
      </c>
      <c r="E7" s="16" t="n"/>
      <c r="F7" s="16" t="inlineStr">
        <is>
          <t>carry prior until PM reply</t>
        </is>
      </c>
    </row>
    <row r="8">
      <c r="A8" s="16" t="inlineStr">
        <is>
          <t>ARM-2417</t>
        </is>
      </c>
      <c r="B8" s="18" t="n">
        <v>3157728</v>
      </c>
      <c r="C8" s="18" t="n">
        <v>3048000</v>
      </c>
      <c r="D8" s="18">
        <f>C8-B8</f>
        <v/>
      </c>
      <c r="E8" s="16" t="n"/>
      <c r="F8" s="16" t="inlineStr">
        <is>
          <t>waiting on quote</t>
        </is>
      </c>
    </row>
    <row r="9">
      <c r="A9" s="16" t="inlineStr">
        <is>
          <t>ARM-2421</t>
        </is>
      </c>
      <c r="B9" s="18" t="n">
        <v>29884</v>
      </c>
      <c r="C9" s="18" t="n">
        <v>31000</v>
      </c>
      <c r="D9" s="18">
        <f>C9-B9</f>
        <v/>
      </c>
      <c r="E9" s="16" t="n"/>
      <c r="F9" s="16" t="inlineStr">
        <is>
          <t>crew plan updated</t>
        </is>
      </c>
    </row>
    <row r="10">
      <c r="A10" s="16" t="inlineStr">
        <is>
          <t>ARM-2501</t>
        </is>
      </c>
      <c r="B10" s="18" t="n">
        <v>897548</v>
      </c>
      <c r="C10" s="18" t="n">
        <v>914000</v>
      </c>
      <c r="D10" s="18">
        <f>C10-B10</f>
        <v/>
      </c>
      <c r="E10" s="16" t="inlineStr">
        <is>
          <t>FOLLOW UP</t>
        </is>
      </c>
      <c r="F10" s="16" t="inlineStr">
        <is>
          <t>closeout only</t>
        </is>
      </c>
    </row>
    <row r="11">
      <c r="A11" s="16" t="inlineStr">
        <is>
          <t>ARM-2506</t>
        </is>
      </c>
      <c r="B11" s="18" t="n">
        <v>4731000</v>
      </c>
      <c r="C11" s="18" t="n">
        <v>4731000</v>
      </c>
      <c r="D11" s="18">
        <f>C11-B11</f>
        <v/>
      </c>
      <c r="E11" s="16" t="n"/>
      <c r="F11" s="16" t="inlineStr">
        <is>
          <t>carry prior until PM reply</t>
        </is>
      </c>
    </row>
    <row r="12">
      <c r="A12" s="16" t="inlineStr">
        <is>
          <t>ARM-2510</t>
        </is>
      </c>
      <c r="B12" s="18" t="n">
        <v>3343112</v>
      </c>
      <c r="C12" s="18" t="n">
        <v>3284000</v>
      </c>
      <c r="D12" s="18">
        <f>C12-B12</f>
        <v/>
      </c>
      <c r="E12" s="16" t="n"/>
      <c r="F12" s="16" t="inlineStr">
        <is>
          <t>waiting on quote</t>
        </is>
      </c>
    </row>
    <row r="13">
      <c r="A13" s="16" t="inlineStr">
        <is>
          <t>ARM-2514</t>
        </is>
      </c>
      <c r="B13" s="18" t="n">
        <v>1545712</v>
      </c>
      <c r="C13" s="18" t="n">
        <v>1492000</v>
      </c>
      <c r="D13" s="18">
        <f>C13-B13</f>
        <v/>
      </c>
      <c r="E13" s="16" t="n"/>
      <c r="F13" s="16" t="inlineStr">
        <is>
          <t>crew plan updated</t>
        </is>
      </c>
    </row>
    <row r="14">
      <c r="A14" s="16" t="inlineStr">
        <is>
          <t>ARM-2518</t>
        </is>
      </c>
      <c r="B14" s="18" t="n">
        <v>1249344</v>
      </c>
      <c r="C14" s="18" t="n">
        <v>1296000</v>
      </c>
      <c r="D14" s="18">
        <f>C14-B14</f>
        <v/>
      </c>
      <c r="E14" s="16" t="n"/>
      <c r="F14" s="16" t="inlineStr">
        <is>
          <t>closeout only</t>
        </is>
      </c>
    </row>
    <row r="15">
      <c r="A15" s="16" t="inlineStr">
        <is>
          <t>ARM-2522</t>
        </is>
      </c>
      <c r="B15" s="18" t="n">
        <v>1946324</v>
      </c>
      <c r="C15" s="18" t="n">
        <v>1982000</v>
      </c>
      <c r="D15" s="18">
        <f>C15-B15</f>
        <v/>
      </c>
      <c r="E15" s="16" t="n"/>
      <c r="F15" s="16" t="inlineStr">
        <is>
          <t>carry prior until PM reply</t>
        </is>
      </c>
    </row>
    <row r="16">
      <c r="A16" s="16" t="inlineStr">
        <is>
          <t>ARM-2526</t>
        </is>
      </c>
      <c r="B16" s="18" t="n">
        <v>347000</v>
      </c>
      <c r="C16" s="18" t="n">
        <v>347000</v>
      </c>
      <c r="D16" s="18">
        <f>C16-B16</f>
        <v/>
      </c>
      <c r="E16" s="16" t="inlineStr">
        <is>
          <t>FOLLOW UP</t>
        </is>
      </c>
      <c r="F16" s="16" t="inlineStr">
        <is>
          <t>waiting on quote</t>
        </is>
      </c>
    </row>
    <row r="17">
      <c r="A17" s="16" t="inlineStr">
        <is>
          <t>ARM-2602</t>
        </is>
      </c>
      <c r="B17" s="18" t="n">
        <v>3709592</v>
      </c>
      <c r="C17" s="18" t="n">
        <v>3644000</v>
      </c>
      <c r="D17" s="18">
        <f>C17-B17</f>
        <v/>
      </c>
      <c r="E17" s="16" t="n"/>
      <c r="F17" s="16" t="inlineStr">
        <is>
          <t>crew plan updated</t>
        </is>
      </c>
    </row>
    <row r="18">
      <c r="A18" s="16" t="inlineStr">
        <is>
          <t>ARM-2605</t>
        </is>
      </c>
      <c r="B18" s="18" t="n">
        <v>4272464</v>
      </c>
      <c r="C18" s="18" t="n">
        <v>4124000</v>
      </c>
      <c r="D18" s="18">
        <f>C18-B18</f>
        <v/>
      </c>
      <c r="E18" s="16" t="n"/>
      <c r="F18" s="16" t="inlineStr">
        <is>
          <t>closeout only</t>
        </is>
      </c>
    </row>
    <row r="19">
      <c r="A19" s="17" t="inlineStr">
        <is>
          <t>ARM-2608</t>
        </is>
      </c>
      <c r="B19" s="19" t="n">
        <v>849284</v>
      </c>
      <c r="C19" s="19" t="n">
        <v>881000</v>
      </c>
      <c r="D19" s="19">
        <f>C19-B19</f>
        <v/>
      </c>
      <c r="E19" s="17" t="n"/>
      <c r="F19" s="17" t="inlineStr">
        <is>
          <t>carry prior until PM reply</t>
        </is>
      </c>
    </row>
  </sheetData>
  <mergeCells count="1"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2026-08-07T05:43:56Z</dcterms:modified>
  <cp:lastModifiedBy>Unknown</cp:lastModifiedBy>
</cp:coreProperties>
</file>