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tail - working" sheetId="1" state="visible" r:id="rId1"/>
    <sheet xmlns:r="http://schemas.openxmlformats.org/officeDocument/2006/relationships" name="working summary" sheetId="2" state="visible" r:id="rId2"/>
    <sheet xmlns:r="http://schemas.openxmlformats.org/officeDocument/2006/relationships" name="links + lineage" sheetId="3" state="visible" r:id="rId3"/>
    <sheet xmlns:r="http://schemas.openxmlformats.org/officeDocument/2006/relationships" name="checks + signoff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6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5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selection activeCell="A1" sqref="A1"/>
    </sheetView>
  </sheetViews>
  <sheetFormatPr baseColWidth="8" defaultRowHeight="15" outlineLevelRow="0"/>
  <cols>
    <col width="18" customWidth="1" min="1" max="1"/>
    <col width="14" customWidth="1" min="2" max="2"/>
    <col width="24" customWidth="1" min="3" max="3"/>
    <col width="28" customWidth="1" min="4" max="4"/>
    <col width="50" customWidth="1" min="5" max="5"/>
    <col width="18" customWidth="1" min="6" max="6"/>
    <col width="20" customWidth="1" min="7" max="7"/>
    <col width="18" customWidth="1" min="8" max="8"/>
    <col width="22" customWidth="1" min="9" max="9"/>
    <col width="35" customWidth="1" min="10" max="10"/>
  </cols>
  <sheetData>
    <row r="1" ht="23" customHeight="1">
      <c r="A1" s="1" t="inlineStr">
        <is>
          <t>Fleet and major-equipment utilization — supporting detail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23" customHeight="1">
      <c r="A2" s="2" t="inlineStr">
        <is>
          <t>Fleet assets reconcile to the fixed-asset unit records; three units are visibly out of service at cutoff. Source amounts reflect the current 6/30 company records.</t>
        </is>
      </c>
    </row>
    <row r="3"/>
    <row r="4"/>
    <row r="5" ht="30" customHeight="1">
      <c r="A5" s="3" t="inlineStr">
        <is>
          <t>record</t>
        </is>
      </c>
      <c r="B5" s="4" t="inlineStr">
        <is>
          <t>date</t>
        </is>
      </c>
      <c r="C5" s="4" t="inlineStr">
        <is>
          <t>category</t>
        </is>
      </c>
      <c r="D5" s="4" t="inlineStr">
        <is>
          <t>dimension</t>
        </is>
      </c>
      <c r="E5" s="4" t="inlineStr">
        <is>
          <t>description</t>
        </is>
      </c>
      <c r="F5" s="4" t="inlineStr">
        <is>
          <t>source amount</t>
        </is>
      </c>
      <c r="G5" s="4" t="inlineStr">
        <is>
          <t>documented adjustment</t>
        </is>
      </c>
      <c r="H5" s="4" t="inlineStr">
        <is>
          <t>working amount</t>
        </is>
      </c>
      <c r="I5" s="4" t="inlineStr">
        <is>
          <t>status</t>
        </is>
      </c>
      <c r="J5" s="5" t="inlineStr">
        <is>
          <t>source / cutoff</t>
        </is>
      </c>
    </row>
    <row r="6">
      <c r="A6" s="6" t="inlineStr">
        <is>
          <t>FLT-001</t>
        </is>
      </c>
      <c r="B6" s="6" t="inlineStr">
        <is>
          <t>2026-06-30</t>
        </is>
      </c>
      <c r="C6" s="6" t="inlineStr">
        <is>
          <t>available</t>
        </is>
      </c>
      <c r="D6" s="6" t="inlineStr">
        <is>
          <t>Portland</t>
        </is>
      </c>
      <c r="E6" s="6" t="inlineStr">
        <is>
          <t>Ford Transit service van; 22,417 miles</t>
        </is>
      </c>
      <c r="F6" s="7" t="n">
        <v>54200</v>
      </c>
      <c r="G6" s="7" t="n">
        <v>0</v>
      </c>
      <c r="H6" s="7">
        <f>F6+G6</f>
        <v/>
      </c>
      <c r="I6" s="6" t="inlineStr">
        <is>
          <t>available</t>
        </is>
      </c>
      <c r="J6" s="6" t="inlineStr">
        <is>
          <t>Fleet telematics roster reconciled to fixed-asset unit records and open service tickets</t>
        </is>
      </c>
    </row>
    <row r="7">
      <c r="A7" s="6" t="inlineStr">
        <is>
          <t>FLT-002</t>
        </is>
      </c>
      <c r="B7" s="6" t="inlineStr">
        <is>
          <t>2026-06-30</t>
        </is>
      </c>
      <c r="C7" s="6" t="inlineStr">
        <is>
          <t>available</t>
        </is>
      </c>
      <c r="D7" s="6" t="inlineStr">
        <is>
          <t>Portland</t>
        </is>
      </c>
      <c r="E7" s="6" t="inlineStr">
        <is>
          <t>Chevrolet Silverado field truck; 25,834 miles</t>
        </is>
      </c>
      <c r="F7" s="7" t="n">
        <v>54200</v>
      </c>
      <c r="G7" s="7" t="n">
        <v>0</v>
      </c>
      <c r="H7" s="7">
        <f>F7+G7</f>
        <v/>
      </c>
      <c r="I7" s="6" t="inlineStr">
        <is>
          <t>available</t>
        </is>
      </c>
      <c r="J7" s="6" t="inlineStr">
        <is>
          <t>Fleet telematics roster reconciled to fixed-asset unit records and open service tickets</t>
        </is>
      </c>
    </row>
    <row r="8">
      <c r="A8" s="6" t="inlineStr">
        <is>
          <t>FLT-003</t>
        </is>
      </c>
      <c r="B8" s="6" t="inlineStr">
        <is>
          <t>2026-06-30</t>
        </is>
      </c>
      <c r="C8" s="6" t="inlineStr">
        <is>
          <t>available</t>
        </is>
      </c>
      <c r="D8" s="6" t="inlineStr">
        <is>
          <t>Portland</t>
        </is>
      </c>
      <c r="E8" s="6" t="inlineStr">
        <is>
          <t>Ram ProMaster service van; 29,251 miles</t>
        </is>
      </c>
      <c r="F8" s="7" t="n">
        <v>54200</v>
      </c>
      <c r="G8" s="7" t="n">
        <v>0</v>
      </c>
      <c r="H8" s="7">
        <f>F8+G8</f>
        <v/>
      </c>
      <c r="I8" s="6" t="inlineStr">
        <is>
          <t>available</t>
        </is>
      </c>
      <c r="J8" s="6" t="inlineStr">
        <is>
          <t>Fleet telematics roster reconciled to fixed-asset unit records and open service tickets</t>
        </is>
      </c>
    </row>
    <row r="9">
      <c r="A9" s="6" t="inlineStr">
        <is>
          <t>FLT-004</t>
        </is>
      </c>
      <c r="B9" s="6" t="inlineStr">
        <is>
          <t>2026-06-30</t>
        </is>
      </c>
      <c r="C9" s="6" t="inlineStr">
        <is>
          <t>available</t>
        </is>
      </c>
      <c r="D9" s="6" t="inlineStr">
        <is>
          <t>Portland</t>
        </is>
      </c>
      <c r="E9" s="6" t="inlineStr">
        <is>
          <t>Ford F-350 project truck; 32,668 miles</t>
        </is>
      </c>
      <c r="F9" s="7" t="n">
        <v>54200</v>
      </c>
      <c r="G9" s="7" t="n">
        <v>0</v>
      </c>
      <c r="H9" s="7">
        <f>F9+G9</f>
        <v/>
      </c>
      <c r="I9" s="6" t="inlineStr">
        <is>
          <t>available</t>
        </is>
      </c>
      <c r="J9" s="6" t="inlineStr">
        <is>
          <t>Fleet telematics roster reconciled to fixed-asset unit records and open service tickets</t>
        </is>
      </c>
    </row>
    <row r="10">
      <c r="A10" s="6" t="inlineStr">
        <is>
          <t>FLT-005</t>
        </is>
      </c>
      <c r="B10" s="6" t="inlineStr">
        <is>
          <t>2026-06-30</t>
        </is>
      </c>
      <c r="C10" s="6" t="inlineStr">
        <is>
          <t>available</t>
        </is>
      </c>
      <c r="D10" s="6" t="inlineStr">
        <is>
          <t>Portland</t>
        </is>
      </c>
      <c r="E10" s="6" t="inlineStr">
        <is>
          <t>Ford Transit service van; 36,085 miles</t>
        </is>
      </c>
      <c r="F10" s="7" t="n">
        <v>54200</v>
      </c>
      <c r="G10" s="7" t="n">
        <v>0</v>
      </c>
      <c r="H10" s="7">
        <f>F10+G10</f>
        <v/>
      </c>
      <c r="I10" s="6" t="inlineStr">
        <is>
          <t>available</t>
        </is>
      </c>
      <c r="J10" s="6" t="inlineStr">
        <is>
          <t>Fleet telematics roster reconciled to fixed-asset unit records and open service tickets</t>
        </is>
      </c>
    </row>
    <row r="11">
      <c r="A11" s="6" t="inlineStr">
        <is>
          <t>FLT-006</t>
        </is>
      </c>
      <c r="B11" s="6" t="inlineStr">
        <is>
          <t>2026-06-30</t>
        </is>
      </c>
      <c r="C11" s="6" t="inlineStr">
        <is>
          <t>available</t>
        </is>
      </c>
      <c r="D11" s="6" t="inlineStr">
        <is>
          <t>Portland</t>
        </is>
      </c>
      <c r="E11" s="6" t="inlineStr">
        <is>
          <t>Chevrolet Silverado field truck; 39,502 miles</t>
        </is>
      </c>
      <c r="F11" s="7" t="n">
        <v>69000</v>
      </c>
      <c r="G11" s="7" t="n">
        <v>0</v>
      </c>
      <c r="H11" s="7">
        <f>F11+G11</f>
        <v/>
      </c>
      <c r="I11" s="6" t="inlineStr">
        <is>
          <t>available</t>
        </is>
      </c>
      <c r="J11" s="6" t="inlineStr">
        <is>
          <t>Fleet telematics roster reconciled to fixed-asset unit records and open service tickets</t>
        </is>
      </c>
    </row>
    <row r="12">
      <c r="A12" s="6" t="inlineStr">
        <is>
          <t>FLT-007</t>
        </is>
      </c>
      <c r="B12" s="6" t="inlineStr">
        <is>
          <t>2026-06-30</t>
        </is>
      </c>
      <c r="C12" s="6" t="inlineStr">
        <is>
          <t>out of service</t>
        </is>
      </c>
      <c r="D12" s="6" t="inlineStr">
        <is>
          <t>Bend</t>
        </is>
      </c>
      <c r="E12" s="6" t="inlineStr">
        <is>
          <t>Ram ProMaster service van; 42,919 miles; Transmission repair</t>
        </is>
      </c>
      <c r="F12" s="7" t="n">
        <v>69000</v>
      </c>
      <c r="G12" s="7" t="n">
        <v>0</v>
      </c>
      <c r="H12" s="7">
        <f>F12+G12</f>
        <v/>
      </c>
      <c r="I12" s="6" t="inlineStr">
        <is>
          <t>downtime</t>
        </is>
      </c>
      <c r="J12" s="6" t="inlineStr">
        <is>
          <t>Fleet telematics roster reconciled to fixed-asset unit records and open service tickets</t>
        </is>
      </c>
    </row>
    <row r="13">
      <c r="A13" s="6" t="inlineStr">
        <is>
          <t>FLT-008</t>
        </is>
      </c>
      <c r="B13" s="6" t="inlineStr">
        <is>
          <t>2026-06-30</t>
        </is>
      </c>
      <c r="C13" s="6" t="inlineStr">
        <is>
          <t>available</t>
        </is>
      </c>
      <c r="D13" s="6" t="inlineStr">
        <is>
          <t>Portland</t>
        </is>
      </c>
      <c r="E13" s="6" t="inlineStr">
        <is>
          <t>Ford F-350 project truck; 46,336 miles</t>
        </is>
      </c>
      <c r="F13" s="7" t="n">
        <v>69000</v>
      </c>
      <c r="G13" s="7" t="n">
        <v>0</v>
      </c>
      <c r="H13" s="7">
        <f>F13+G13</f>
        <v/>
      </c>
      <c r="I13" s="6" t="inlineStr">
        <is>
          <t>available</t>
        </is>
      </c>
      <c r="J13" s="6" t="inlineStr">
        <is>
          <t>Fleet telematics roster reconciled to fixed-asset unit records and open service tickets</t>
        </is>
      </c>
    </row>
    <row r="14">
      <c r="A14" s="6" t="inlineStr">
        <is>
          <t>FLT-009</t>
        </is>
      </c>
      <c r="B14" s="6" t="inlineStr">
        <is>
          <t>2026-06-30</t>
        </is>
      </c>
      <c r="C14" s="6" t="inlineStr">
        <is>
          <t>available</t>
        </is>
      </c>
      <c r="D14" s="6" t="inlineStr">
        <is>
          <t>Portland</t>
        </is>
      </c>
      <c r="E14" s="6" t="inlineStr">
        <is>
          <t>Ram ProMaster service van; 49,753 miles</t>
        </is>
      </c>
      <c r="F14" s="7" t="n">
        <v>69000</v>
      </c>
      <c r="G14" s="7" t="n">
        <v>0</v>
      </c>
      <c r="H14" s="7">
        <f>F14+G14</f>
        <v/>
      </c>
      <c r="I14" s="6" t="inlineStr">
        <is>
          <t>available</t>
        </is>
      </c>
      <c r="J14" s="6" t="inlineStr">
        <is>
          <t>Fleet telematics roster reconciled to fixed-asset unit records and open service tickets</t>
        </is>
      </c>
    </row>
    <row r="15">
      <c r="A15" s="6" t="inlineStr">
        <is>
          <t>FLT-010</t>
        </is>
      </c>
      <c r="B15" s="6" t="inlineStr">
        <is>
          <t>2026-06-30</t>
        </is>
      </c>
      <c r="C15" s="6" t="inlineStr">
        <is>
          <t>available</t>
        </is>
      </c>
      <c r="D15" s="6" t="inlineStr">
        <is>
          <t>Portland</t>
        </is>
      </c>
      <c r="E15" s="6" t="inlineStr">
        <is>
          <t>Ford Transit service van; 53,170 miles</t>
        </is>
      </c>
      <c r="F15" s="7" t="n">
        <v>69000</v>
      </c>
      <c r="G15" s="7" t="n">
        <v>0</v>
      </c>
      <c r="H15" s="7">
        <f>F15+G15</f>
        <v/>
      </c>
      <c r="I15" s="6" t="inlineStr">
        <is>
          <t>available</t>
        </is>
      </c>
      <c r="J15" s="6" t="inlineStr">
        <is>
          <t>Fleet telematics roster reconciled to fixed-asset unit records and open service tickets</t>
        </is>
      </c>
    </row>
    <row r="16">
      <c r="A16" s="6" t="inlineStr">
        <is>
          <t>FLT-011</t>
        </is>
      </c>
      <c r="B16" s="6" t="inlineStr">
        <is>
          <t>2026-06-30</t>
        </is>
      </c>
      <c r="C16" s="6" t="inlineStr">
        <is>
          <t>available</t>
        </is>
      </c>
      <c r="D16" s="6" t="inlineStr">
        <is>
          <t>Portland</t>
        </is>
      </c>
      <c r="E16" s="6" t="inlineStr">
        <is>
          <t>Ram ProMaster service van; 56,587 miles</t>
        </is>
      </c>
      <c r="F16" s="7" t="n">
        <v>84500</v>
      </c>
      <c r="G16" s="7" t="n">
        <v>0</v>
      </c>
      <c r="H16" s="7">
        <f>F16+G16</f>
        <v/>
      </c>
      <c r="I16" s="6" t="inlineStr">
        <is>
          <t>available</t>
        </is>
      </c>
      <c r="J16" s="6" t="inlineStr">
        <is>
          <t>Fleet telematics roster reconciled to fixed-asset unit records and open service tickets</t>
        </is>
      </c>
    </row>
    <row r="17">
      <c r="A17" s="6" t="inlineStr">
        <is>
          <t>FLT-012</t>
        </is>
      </c>
      <c r="B17" s="6" t="inlineStr">
        <is>
          <t>2026-06-30</t>
        </is>
      </c>
      <c r="C17" s="6" t="inlineStr">
        <is>
          <t>available</t>
        </is>
      </c>
      <c r="D17" s="6" t="inlineStr">
        <is>
          <t>Portland</t>
        </is>
      </c>
      <c r="E17" s="6" t="inlineStr">
        <is>
          <t>Ford F-350 project truck; 60,004 miles</t>
        </is>
      </c>
      <c r="F17" s="7" t="n">
        <v>84500</v>
      </c>
      <c r="G17" s="7" t="n">
        <v>0</v>
      </c>
      <c r="H17" s="7">
        <f>F17+G17</f>
        <v/>
      </c>
      <c r="I17" s="6" t="inlineStr">
        <is>
          <t>available</t>
        </is>
      </c>
      <c r="J17" s="6" t="inlineStr">
        <is>
          <t>Fleet telematics roster reconciled to fixed-asset unit records and open service tickets</t>
        </is>
      </c>
    </row>
    <row r="18">
      <c r="A18" s="6" t="inlineStr">
        <is>
          <t>FLT-013</t>
        </is>
      </c>
      <c r="B18" s="6" t="inlineStr">
        <is>
          <t>2026-06-30</t>
        </is>
      </c>
      <c r="C18" s="6" t="inlineStr">
        <is>
          <t>available</t>
        </is>
      </c>
      <c r="D18" s="6" t="inlineStr">
        <is>
          <t>Portland</t>
        </is>
      </c>
      <c r="E18" s="6" t="inlineStr">
        <is>
          <t>Ford Transit service van; 63,421 miles</t>
        </is>
      </c>
      <c r="F18" s="7" t="n">
        <v>84500</v>
      </c>
      <c r="G18" s="7" t="n">
        <v>0</v>
      </c>
      <c r="H18" s="7">
        <f>F18+G18</f>
        <v/>
      </c>
      <c r="I18" s="6" t="inlineStr">
        <is>
          <t>available</t>
        </is>
      </c>
      <c r="J18" s="6" t="inlineStr">
        <is>
          <t>Fleet telematics roster reconciled to fixed-asset unit records and open service tickets</t>
        </is>
      </c>
    </row>
    <row r="19">
      <c r="A19" s="6" t="inlineStr">
        <is>
          <t>FLT-014</t>
        </is>
      </c>
      <c r="B19" s="6" t="inlineStr">
        <is>
          <t>2026-06-30</t>
        </is>
      </c>
      <c r="C19" s="6" t="inlineStr">
        <is>
          <t>available</t>
        </is>
      </c>
      <c r="D19" s="6" t="inlineStr">
        <is>
          <t>Bend</t>
        </is>
      </c>
      <c r="E19" s="6" t="inlineStr">
        <is>
          <t>Chevrolet Silverado field truck; 66,838 miles</t>
        </is>
      </c>
      <c r="F19" s="7" t="n">
        <v>84500</v>
      </c>
      <c r="G19" s="7" t="n">
        <v>0</v>
      </c>
      <c r="H19" s="7">
        <f>F19+G19</f>
        <v/>
      </c>
      <c r="I19" s="6" t="inlineStr">
        <is>
          <t>available</t>
        </is>
      </c>
      <c r="J19" s="6" t="inlineStr">
        <is>
          <t>Fleet telematics roster reconciled to fixed-asset unit records and open service tickets</t>
        </is>
      </c>
    </row>
    <row r="20">
      <c r="A20" s="6" t="inlineStr">
        <is>
          <t>FLT-015</t>
        </is>
      </c>
      <c r="B20" s="6" t="inlineStr">
        <is>
          <t>2026-06-30</t>
        </is>
      </c>
      <c r="C20" s="6" t="inlineStr">
        <is>
          <t>available</t>
        </is>
      </c>
      <c r="D20" s="6" t="inlineStr">
        <is>
          <t>Portland</t>
        </is>
      </c>
      <c r="E20" s="6" t="inlineStr">
        <is>
          <t>Ford Transit service van; 70,255 miles</t>
        </is>
      </c>
      <c r="F20" s="7" t="n">
        <v>84500</v>
      </c>
      <c r="G20" s="7" t="n">
        <v>0</v>
      </c>
      <c r="H20" s="7">
        <f>F20+G20</f>
        <v/>
      </c>
      <c r="I20" s="6" t="inlineStr">
        <is>
          <t>available</t>
        </is>
      </c>
      <c r="J20" s="6" t="inlineStr">
        <is>
          <t>Fleet telematics roster reconciled to fixed-asset unit records and open service tickets</t>
        </is>
      </c>
    </row>
    <row r="21">
      <c r="A21" s="6" t="inlineStr">
        <is>
          <t>FLT-016</t>
        </is>
      </c>
      <c r="B21" s="6" t="inlineStr">
        <is>
          <t>2026-06-30</t>
        </is>
      </c>
      <c r="C21" s="6" t="inlineStr">
        <is>
          <t>available</t>
        </is>
      </c>
      <c r="D21" s="6" t="inlineStr">
        <is>
          <t>Portland</t>
        </is>
      </c>
      <c r="E21" s="6" t="inlineStr">
        <is>
          <t>Ford F-350 project truck; 73,672 miles</t>
        </is>
      </c>
      <c r="F21" s="7" t="n">
        <v>103000</v>
      </c>
      <c r="G21" s="7" t="n">
        <v>0</v>
      </c>
      <c r="H21" s="7">
        <f>F21+G21</f>
        <v/>
      </c>
      <c r="I21" s="6" t="inlineStr">
        <is>
          <t>available</t>
        </is>
      </c>
      <c r="J21" s="6" t="inlineStr">
        <is>
          <t>Fleet telematics roster reconciled to fixed-asset unit records and open service tickets</t>
        </is>
      </c>
    </row>
    <row r="22">
      <c r="A22" s="6" t="inlineStr">
        <is>
          <t>FLT-017</t>
        </is>
      </c>
      <c r="B22" s="6" t="inlineStr">
        <is>
          <t>2026-06-30</t>
        </is>
      </c>
      <c r="C22" s="6" t="inlineStr">
        <is>
          <t>available</t>
        </is>
      </c>
      <c r="D22" s="6" t="inlineStr">
        <is>
          <t>Portland</t>
        </is>
      </c>
      <c r="E22" s="6" t="inlineStr">
        <is>
          <t>Ram ProMaster service van; 77,089 miles</t>
        </is>
      </c>
      <c r="F22" s="7" t="n">
        <v>103000</v>
      </c>
      <c r="G22" s="7" t="n">
        <v>0</v>
      </c>
      <c r="H22" s="7">
        <f>F22+G22</f>
        <v/>
      </c>
      <c r="I22" s="6" t="inlineStr">
        <is>
          <t>available</t>
        </is>
      </c>
      <c r="J22" s="6" t="inlineStr">
        <is>
          <t>Fleet telematics roster reconciled to fixed-asset unit records and open service tickets</t>
        </is>
      </c>
    </row>
    <row r="23">
      <c r="A23" s="6" t="inlineStr">
        <is>
          <t>FLT-018</t>
        </is>
      </c>
      <c r="B23" s="6" t="inlineStr">
        <is>
          <t>2026-06-30</t>
        </is>
      </c>
      <c r="C23" s="6" t="inlineStr">
        <is>
          <t>available</t>
        </is>
      </c>
      <c r="D23" s="6" t="inlineStr">
        <is>
          <t>Portland</t>
        </is>
      </c>
      <c r="E23" s="6" t="inlineStr">
        <is>
          <t>Ford Transit service van; 80,506 miles</t>
        </is>
      </c>
      <c r="F23" s="7" t="n">
        <v>103000</v>
      </c>
      <c r="G23" s="7" t="n">
        <v>0</v>
      </c>
      <c r="H23" s="7">
        <f>F23+G23</f>
        <v/>
      </c>
      <c r="I23" s="6" t="inlineStr">
        <is>
          <t>available</t>
        </is>
      </c>
      <c r="J23" s="6" t="inlineStr">
        <is>
          <t>Fleet telematics roster reconciled to fixed-asset unit records and open service tickets</t>
        </is>
      </c>
    </row>
    <row r="24">
      <c r="A24" s="6" t="inlineStr">
        <is>
          <t>FLT-019</t>
        </is>
      </c>
      <c r="B24" s="6" t="inlineStr">
        <is>
          <t>2026-06-30</t>
        </is>
      </c>
      <c r="C24" s="6" t="inlineStr">
        <is>
          <t>out of service</t>
        </is>
      </c>
      <c r="D24" s="6" t="inlineStr">
        <is>
          <t>Portland</t>
        </is>
      </c>
      <c r="E24" s="6" t="inlineStr">
        <is>
          <t>Chevrolet Silverado field truck; 83,923 miles; Collision repair</t>
        </is>
      </c>
      <c r="F24" s="7" t="n">
        <v>103000</v>
      </c>
      <c r="G24" s="7" t="n">
        <v>0</v>
      </c>
      <c r="H24" s="7">
        <f>F24+G24</f>
        <v/>
      </c>
      <c r="I24" s="6" t="inlineStr">
        <is>
          <t>downtime</t>
        </is>
      </c>
      <c r="J24" s="6" t="inlineStr">
        <is>
          <t>Fleet telematics roster reconciled to fixed-asset unit records and open service tickets</t>
        </is>
      </c>
    </row>
    <row r="25">
      <c r="A25" s="6" t="inlineStr">
        <is>
          <t>FLT-020</t>
        </is>
      </c>
      <c r="B25" s="6" t="inlineStr">
        <is>
          <t>2026-06-30</t>
        </is>
      </c>
      <c r="C25" s="6" t="inlineStr">
        <is>
          <t>available</t>
        </is>
      </c>
      <c r="D25" s="6" t="inlineStr">
        <is>
          <t>Portland</t>
        </is>
      </c>
      <c r="E25" s="6" t="inlineStr">
        <is>
          <t>Ford F-350 project truck; 87,340 miles</t>
        </is>
      </c>
      <c r="F25" s="7" t="n">
        <v>68300</v>
      </c>
      <c r="G25" s="7" t="n">
        <v>0</v>
      </c>
      <c r="H25" s="7">
        <f>F25+G25</f>
        <v/>
      </c>
      <c r="I25" s="6" t="inlineStr">
        <is>
          <t>available</t>
        </is>
      </c>
      <c r="J25" s="6" t="inlineStr">
        <is>
          <t>Fleet telematics roster reconciled to fixed-asset unit records and open service tickets</t>
        </is>
      </c>
    </row>
    <row r="26">
      <c r="A26" s="6" t="inlineStr">
        <is>
          <t>FLT-021</t>
        </is>
      </c>
      <c r="B26" s="6" t="inlineStr">
        <is>
          <t>2026-06-30</t>
        </is>
      </c>
      <c r="C26" s="6" t="inlineStr">
        <is>
          <t>available</t>
        </is>
      </c>
      <c r="D26" s="6" t="inlineStr">
        <is>
          <t>Bend</t>
        </is>
      </c>
      <c r="E26" s="6" t="inlineStr">
        <is>
          <t>Chevrolet Silverado field truck; 90,757 miles</t>
        </is>
      </c>
      <c r="F26" s="7" t="n">
        <v>68300</v>
      </c>
      <c r="G26" s="7" t="n">
        <v>0</v>
      </c>
      <c r="H26" s="7">
        <f>F26+G26</f>
        <v/>
      </c>
      <c r="I26" s="6" t="inlineStr">
        <is>
          <t>available</t>
        </is>
      </c>
      <c r="J26" s="6" t="inlineStr">
        <is>
          <t>Fleet telematics roster reconciled to fixed-asset unit records and open service tickets</t>
        </is>
      </c>
    </row>
    <row r="27">
      <c r="A27" s="6" t="inlineStr">
        <is>
          <t>FLT-022</t>
        </is>
      </c>
      <c r="B27" s="6" t="inlineStr">
        <is>
          <t>2026-06-30</t>
        </is>
      </c>
      <c r="C27" s="6" t="inlineStr">
        <is>
          <t>available</t>
        </is>
      </c>
      <c r="D27" s="6" t="inlineStr">
        <is>
          <t>Portland</t>
        </is>
      </c>
      <c r="E27" s="6" t="inlineStr">
        <is>
          <t>Ford Transit service van; 94,174 miles</t>
        </is>
      </c>
      <c r="F27" s="7" t="n">
        <v>68300</v>
      </c>
      <c r="G27" s="7" t="n">
        <v>0</v>
      </c>
      <c r="H27" s="7">
        <f>F27+G27</f>
        <v/>
      </c>
      <c r="I27" s="6" t="inlineStr">
        <is>
          <t>available</t>
        </is>
      </c>
      <c r="J27" s="6" t="inlineStr">
        <is>
          <t>Fleet telematics roster reconciled to fixed-asset unit records and open service tickets</t>
        </is>
      </c>
    </row>
    <row r="28">
      <c r="A28" s="6" t="inlineStr">
        <is>
          <t>FLT-023</t>
        </is>
      </c>
      <c r="B28" s="6" t="inlineStr">
        <is>
          <t>2026-06-30</t>
        </is>
      </c>
      <c r="C28" s="6" t="inlineStr">
        <is>
          <t>available</t>
        </is>
      </c>
      <c r="D28" s="6" t="inlineStr">
        <is>
          <t>Portland</t>
        </is>
      </c>
      <c r="E28" s="6" t="inlineStr">
        <is>
          <t>Ram ProMaster service van; 97,591 miles</t>
        </is>
      </c>
      <c r="F28" s="7" t="n">
        <v>68300</v>
      </c>
      <c r="G28" s="7" t="n">
        <v>0</v>
      </c>
      <c r="H28" s="7">
        <f>F28+G28</f>
        <v/>
      </c>
      <c r="I28" s="6" t="inlineStr">
        <is>
          <t>available</t>
        </is>
      </c>
      <c r="J28" s="6" t="inlineStr">
        <is>
          <t>Fleet telematics roster reconciled to fixed-asset unit records and open service tickets</t>
        </is>
      </c>
    </row>
    <row r="29">
      <c r="A29" s="6" t="inlineStr">
        <is>
          <t>FLT-024</t>
        </is>
      </c>
      <c r="B29" s="6" t="inlineStr">
        <is>
          <t>2026-06-30</t>
        </is>
      </c>
      <c r="C29" s="6" t="inlineStr">
        <is>
          <t>available</t>
        </is>
      </c>
      <c r="D29" s="6" t="inlineStr">
        <is>
          <t>Portland</t>
        </is>
      </c>
      <c r="E29" s="6" t="inlineStr">
        <is>
          <t>Chevrolet Silverado field truck; 101,008 miles</t>
        </is>
      </c>
      <c r="F29" s="7" t="n">
        <v>68300</v>
      </c>
      <c r="G29" s="7" t="n">
        <v>0</v>
      </c>
      <c r="H29" s="7">
        <f>F29+G29</f>
        <v/>
      </c>
      <c r="I29" s="6" t="inlineStr">
        <is>
          <t>available</t>
        </is>
      </c>
      <c r="J29" s="6" t="inlineStr">
        <is>
          <t>Fleet telematics roster reconciled to fixed-asset unit records and open service tickets</t>
        </is>
      </c>
    </row>
    <row r="30">
      <c r="A30" s="6" t="inlineStr">
        <is>
          <t>FLT-025</t>
        </is>
      </c>
      <c r="B30" s="6" t="inlineStr">
        <is>
          <t>2026-06-30</t>
        </is>
      </c>
      <c r="C30" s="6" t="inlineStr">
        <is>
          <t>available</t>
        </is>
      </c>
      <c r="D30" s="6" t="inlineStr">
        <is>
          <t>Portland</t>
        </is>
      </c>
      <c r="E30" s="6" t="inlineStr">
        <is>
          <t>Ford Transit service van; 104,425 miles</t>
        </is>
      </c>
      <c r="F30" s="7" t="n">
        <v>85000</v>
      </c>
      <c r="G30" s="7" t="n">
        <v>0</v>
      </c>
      <c r="H30" s="7">
        <f>F30+G30</f>
        <v/>
      </c>
      <c r="I30" s="6" t="inlineStr">
        <is>
          <t>available</t>
        </is>
      </c>
      <c r="J30" s="6" t="inlineStr">
        <is>
          <t>Fleet telematics roster reconciled to fixed-asset unit records and open service tickets</t>
        </is>
      </c>
    </row>
    <row r="31">
      <c r="A31" s="6" t="inlineStr">
        <is>
          <t>FLT-026</t>
        </is>
      </c>
      <c r="B31" s="6" t="inlineStr">
        <is>
          <t>2026-06-30</t>
        </is>
      </c>
      <c r="C31" s="6" t="inlineStr">
        <is>
          <t>available</t>
        </is>
      </c>
      <c r="D31" s="6" t="inlineStr">
        <is>
          <t>Portland</t>
        </is>
      </c>
      <c r="E31" s="6" t="inlineStr">
        <is>
          <t>Ford F-350 project truck; 107,842 miles</t>
        </is>
      </c>
      <c r="F31" s="7" t="n">
        <v>85000</v>
      </c>
      <c r="G31" s="7" t="n">
        <v>0</v>
      </c>
      <c r="H31" s="7">
        <f>F31+G31</f>
        <v/>
      </c>
      <c r="I31" s="6" t="inlineStr">
        <is>
          <t>available</t>
        </is>
      </c>
      <c r="J31" s="6" t="inlineStr">
        <is>
          <t>Fleet telematics roster reconciled to fixed-asset unit records and open service tickets</t>
        </is>
      </c>
    </row>
    <row r="32">
      <c r="A32" s="6" t="inlineStr">
        <is>
          <t>FLT-027</t>
        </is>
      </c>
      <c r="B32" s="6" t="inlineStr">
        <is>
          <t>2026-06-30</t>
        </is>
      </c>
      <c r="C32" s="6" t="inlineStr">
        <is>
          <t>available</t>
        </is>
      </c>
      <c r="D32" s="6" t="inlineStr">
        <is>
          <t>Portland</t>
        </is>
      </c>
      <c r="E32" s="6" t="inlineStr">
        <is>
          <t>Chevrolet Silverado field truck; 111,259 miles</t>
        </is>
      </c>
      <c r="F32" s="7" t="n">
        <v>85000</v>
      </c>
      <c r="G32" s="7" t="n">
        <v>0</v>
      </c>
      <c r="H32" s="7">
        <f>F32+G32</f>
        <v/>
      </c>
      <c r="I32" s="6" t="inlineStr">
        <is>
          <t>available</t>
        </is>
      </c>
      <c r="J32" s="6" t="inlineStr">
        <is>
          <t>Fleet telematics roster reconciled to fixed-asset unit records and open service tickets</t>
        </is>
      </c>
    </row>
    <row r="33">
      <c r="A33" s="6" t="inlineStr">
        <is>
          <t>FLT-028</t>
        </is>
      </c>
      <c r="B33" s="6" t="inlineStr">
        <is>
          <t>2026-06-30</t>
        </is>
      </c>
      <c r="C33" s="6" t="inlineStr">
        <is>
          <t>available</t>
        </is>
      </c>
      <c r="D33" s="6" t="inlineStr">
        <is>
          <t>Bend</t>
        </is>
      </c>
      <c r="E33" s="6" t="inlineStr">
        <is>
          <t>Ford F-350 project truck; 114,676 miles</t>
        </is>
      </c>
      <c r="F33" s="7" t="n">
        <v>85000</v>
      </c>
      <c r="G33" s="7" t="n">
        <v>0</v>
      </c>
      <c r="H33" s="7">
        <f>F33+G33</f>
        <v/>
      </c>
      <c r="I33" s="6" t="inlineStr">
        <is>
          <t>available</t>
        </is>
      </c>
      <c r="J33" s="6" t="inlineStr">
        <is>
          <t>Fleet telematics roster reconciled to fixed-asset unit records and open service tickets</t>
        </is>
      </c>
    </row>
    <row r="34">
      <c r="A34" s="6" t="inlineStr">
        <is>
          <t>FLT-029</t>
        </is>
      </c>
      <c r="B34" s="6" t="inlineStr">
        <is>
          <t>2026-06-30</t>
        </is>
      </c>
      <c r="C34" s="6" t="inlineStr">
        <is>
          <t>available</t>
        </is>
      </c>
      <c r="D34" s="6" t="inlineStr">
        <is>
          <t>Portland</t>
        </is>
      </c>
      <c r="E34" s="6" t="inlineStr">
        <is>
          <t>Ram ProMaster service van; 118,093 miles</t>
        </is>
      </c>
      <c r="F34" s="7" t="n">
        <v>85000</v>
      </c>
      <c r="G34" s="7" t="n">
        <v>0</v>
      </c>
      <c r="H34" s="7">
        <f>F34+G34</f>
        <v/>
      </c>
      <c r="I34" s="6" t="inlineStr">
        <is>
          <t>available</t>
        </is>
      </c>
      <c r="J34" s="6" t="inlineStr">
        <is>
          <t>Fleet telematics roster reconciled to fixed-asset unit records and open service tickets</t>
        </is>
      </c>
    </row>
    <row r="35">
      <c r="A35" s="6" t="inlineStr">
        <is>
          <t>FLT-030</t>
        </is>
      </c>
      <c r="B35" s="6" t="inlineStr">
        <is>
          <t>2026-06-30</t>
        </is>
      </c>
      <c r="C35" s="6" t="inlineStr">
        <is>
          <t>available</t>
        </is>
      </c>
      <c r="D35" s="6" t="inlineStr">
        <is>
          <t>Portland</t>
        </is>
      </c>
      <c r="E35" s="6" t="inlineStr">
        <is>
          <t>Chevrolet Silverado field truck; 121,510 miles</t>
        </is>
      </c>
      <c r="F35" s="7" t="n">
        <v>102300</v>
      </c>
      <c r="G35" s="7" t="n">
        <v>0</v>
      </c>
      <c r="H35" s="7">
        <f>F35+G35</f>
        <v/>
      </c>
      <c r="I35" s="6" t="inlineStr">
        <is>
          <t>available</t>
        </is>
      </c>
      <c r="J35" s="6" t="inlineStr">
        <is>
          <t>Fleet telematics roster reconciled to fixed-asset unit records and open service tickets</t>
        </is>
      </c>
    </row>
    <row r="36">
      <c r="A36" s="6" t="inlineStr">
        <is>
          <t>FLT-031</t>
        </is>
      </c>
      <c r="B36" s="6" t="inlineStr">
        <is>
          <t>2026-06-30</t>
        </is>
      </c>
      <c r="C36" s="6" t="inlineStr">
        <is>
          <t>out of service</t>
        </is>
      </c>
      <c r="D36" s="6" t="inlineStr">
        <is>
          <t>Portland</t>
        </is>
      </c>
      <c r="E36" s="6" t="inlineStr">
        <is>
          <t>Ford Transit service van; 124,927 miles; Awaiting emissions component</t>
        </is>
      </c>
      <c r="F36" s="7" t="n">
        <v>102300</v>
      </c>
      <c r="G36" s="7" t="n">
        <v>0</v>
      </c>
      <c r="H36" s="7">
        <f>F36+G36</f>
        <v/>
      </c>
      <c r="I36" s="6" t="inlineStr">
        <is>
          <t>downtime</t>
        </is>
      </c>
      <c r="J36" s="6" t="inlineStr">
        <is>
          <t>Fleet telematics roster reconciled to fixed-asset unit records and open service tickets</t>
        </is>
      </c>
    </row>
    <row r="37">
      <c r="A37" s="6" t="inlineStr">
        <is>
          <t>FLT-032</t>
        </is>
      </c>
      <c r="B37" s="6" t="inlineStr">
        <is>
          <t>2026-06-30</t>
        </is>
      </c>
      <c r="C37" s="6" t="inlineStr">
        <is>
          <t>available</t>
        </is>
      </c>
      <c r="D37" s="6" t="inlineStr">
        <is>
          <t>Portland</t>
        </is>
      </c>
      <c r="E37" s="6" t="inlineStr">
        <is>
          <t>Chevrolet Silverado field truck; 128,344 miles</t>
        </is>
      </c>
      <c r="F37" s="7" t="n">
        <v>102300</v>
      </c>
      <c r="G37" s="7" t="n">
        <v>0</v>
      </c>
      <c r="H37" s="7">
        <f>F37+G37</f>
        <v/>
      </c>
      <c r="I37" s="6" t="inlineStr">
        <is>
          <t>available</t>
        </is>
      </c>
      <c r="J37" s="6" t="inlineStr">
        <is>
          <t>Fleet telematics roster reconciled to fixed-asset unit records and open service tickets</t>
        </is>
      </c>
    </row>
    <row r="38">
      <c r="A38" s="6" t="inlineStr">
        <is>
          <t>FLT-033</t>
        </is>
      </c>
      <c r="B38" s="6" t="inlineStr">
        <is>
          <t>2026-06-30</t>
        </is>
      </c>
      <c r="C38" s="6" t="inlineStr">
        <is>
          <t>available</t>
        </is>
      </c>
      <c r="D38" s="6" t="inlineStr">
        <is>
          <t>Portland</t>
        </is>
      </c>
      <c r="E38" s="6" t="inlineStr">
        <is>
          <t>Ram ProMaster service van; 131,761 miles</t>
        </is>
      </c>
      <c r="F38" s="7" t="n">
        <v>102300</v>
      </c>
      <c r="G38" s="7" t="n">
        <v>0</v>
      </c>
      <c r="H38" s="7">
        <f>F38+G38</f>
        <v/>
      </c>
      <c r="I38" s="6" t="inlineStr">
        <is>
          <t>available</t>
        </is>
      </c>
      <c r="J38" s="6" t="inlineStr">
        <is>
          <t>Fleet telematics roster reconciled to fixed-asset unit records and open service tickets</t>
        </is>
      </c>
    </row>
    <row r="39">
      <c r="A39" s="6" t="inlineStr">
        <is>
          <t>FLT-034</t>
        </is>
      </c>
      <c r="B39" s="6" t="inlineStr">
        <is>
          <t>2026-06-30</t>
        </is>
      </c>
      <c r="C39" s="6" t="inlineStr">
        <is>
          <t>available</t>
        </is>
      </c>
      <c r="D39" s="6" t="inlineStr">
        <is>
          <t>Portland</t>
        </is>
      </c>
      <c r="E39" s="6" t="inlineStr">
        <is>
          <t>Ford F-350 project truck; 135,178 miles</t>
        </is>
      </c>
      <c r="F39" s="7" t="n">
        <v>102300</v>
      </c>
      <c r="G39" s="7" t="n">
        <v>0</v>
      </c>
      <c r="H39" s="7">
        <f>F39+G39</f>
        <v/>
      </c>
      <c r="I39" s="6" t="inlineStr">
        <is>
          <t>available</t>
        </is>
      </c>
      <c r="J39" s="6" t="inlineStr">
        <is>
          <t>Fleet telematics roster reconciled to fixed-asset unit records and open service tickets</t>
        </is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8" customWidth="1" min="3" max="5"/>
    <col width="12" customWidth="1" min="6" max="6"/>
    <col width="14" customWidth="1" min="7" max="7"/>
    <col width="58" customWidth="1" min="8" max="8"/>
  </cols>
  <sheetData>
    <row r="1" ht="23" customHeight="1">
      <c r="A1" s="1" t="inlineStr">
        <is>
          <t>Fleet and major-equipment utilization</t>
        </is>
      </c>
      <c r="B1" s="10" t="n"/>
      <c r="C1" s="10" t="n"/>
      <c r="D1" s="10" t="n"/>
      <c r="E1" s="10" t="n"/>
      <c r="F1" s="10" t="n"/>
      <c r="G1" s="10" t="n"/>
      <c r="H1" s="10" t="n"/>
    </row>
    <row r="2" ht="23" customHeight="1">
      <c r="A2" s="2" t="inlineStr">
        <is>
          <t>Owner-maintained finance workpaper | rev 6 | formula summary from detail</t>
        </is>
      </c>
    </row>
    <row r="3"/>
    <row r="4"/>
    <row r="5" ht="30" customHeight="1">
      <c r="A5" s="3" t="inlineStr">
        <is>
          <t>category</t>
        </is>
      </c>
      <c r="B5" s="4" t="inlineStr">
        <is>
          <t>record count</t>
        </is>
      </c>
      <c r="C5" s="4" t="inlineStr">
        <is>
          <t>source total</t>
        </is>
      </c>
      <c r="D5" s="4" t="inlineStr">
        <is>
          <t>documented adj</t>
        </is>
      </c>
      <c r="E5" s="4" t="inlineStr">
        <is>
          <t>working total</t>
        </is>
      </c>
      <c r="F5" s="4" t="inlineStr">
        <is>
          <t>owner</t>
        </is>
      </c>
      <c r="G5" s="4" t="inlineStr">
        <is>
          <t>status</t>
        </is>
      </c>
      <c r="H5" s="5" t="inlineStr">
        <is>
          <t>interpretation</t>
        </is>
      </c>
    </row>
    <row r="6">
      <c r="A6" s="8" t="inlineStr">
        <is>
          <t>available</t>
        </is>
      </c>
      <c r="B6" s="8">
        <f>COUNTIF('detail - working'!C6:C39,A6)</f>
        <v/>
      </c>
      <c r="C6" s="9">
        <f>SUMIF('detail - working'!C6:C39,A6,'detail - working'!F6:F39)</f>
        <v/>
      </c>
      <c r="D6" s="9">
        <f>SUMIF('detail - working'!C6:C39,A6,'detail - working'!G6:G39)</f>
        <v/>
      </c>
      <c r="E6" s="9">
        <f>C6+D6</f>
        <v/>
      </c>
      <c r="F6" s="8" t="inlineStr">
        <is>
          <t>NB</t>
        </is>
      </c>
      <c r="G6" s="8" t="inlineStr">
        <is>
          <t>review</t>
        </is>
      </c>
      <c r="H6" s="8" t="inlineStr">
        <is>
          <t>Documented timing/classification item; not an arbitrary plug</t>
        </is>
      </c>
    </row>
    <row r="7">
      <c r="A7" s="8" t="inlineStr">
        <is>
          <t>out of service</t>
        </is>
      </c>
      <c r="B7" s="8">
        <f>COUNTIF('detail - working'!C6:C39,A7)</f>
        <v/>
      </c>
      <c r="C7" s="9">
        <f>SUMIF('detail - working'!C6:C39,A7,'detail - working'!F6:F39)</f>
        <v/>
      </c>
      <c r="D7" s="9">
        <f>SUMIF('detail - working'!C6:C39,A7,'detail - working'!G6:G39)</f>
        <v/>
      </c>
      <c r="E7" s="9">
        <f>C7+D7</f>
        <v/>
      </c>
      <c r="F7" s="8" t="inlineStr">
        <is>
          <t>KS</t>
        </is>
      </c>
      <c r="G7" s="8" t="inlineStr">
        <is>
          <t>tied</t>
        </is>
      </c>
      <c r="H7" s="8" t="inlineStr">
        <is>
          <t>Formula-linked to full supporting detail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52" customWidth="1" min="1" max="1"/>
    <col width="25" customWidth="1" min="2" max="3"/>
    <col width="42" customWidth="1" min="4" max="4"/>
    <col width="22" customWidth="1" min="5" max="5"/>
    <col width="72" customWidth="1" min="6" max="6"/>
  </cols>
  <sheetData>
    <row r="1" ht="23" customHeight="1">
      <c r="A1" s="1" t="inlineStr">
        <is>
          <t>Workbook links and lineage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External links are convenience references; imported source tabs and the 6/30 ERP cutoff remain the auditable basis.</t>
        </is>
      </c>
    </row>
    <row r="3"/>
    <row r="4"/>
    <row r="5" ht="30" customHeight="1">
      <c r="A5" s="3" t="inlineStr">
        <is>
          <t>upstream source</t>
        </is>
      </c>
      <c r="B5" s="4" t="inlineStr">
        <is>
          <t>role</t>
        </is>
      </c>
      <c r="C5" s="4" t="inlineStr">
        <is>
          <t>cutoff/version</t>
        </is>
      </c>
      <c r="D5" s="4" t="inlineStr">
        <is>
          <t>link behavior</t>
        </is>
      </c>
      <c r="E5" s="4" t="inlineStr">
        <is>
          <t>current imported total</t>
        </is>
      </c>
      <c r="F5" s="5" t="inlineStr">
        <is>
          <t>control note</t>
        </is>
      </c>
    </row>
    <row r="6">
      <c r="A6" s="8" t="inlineStr">
        <is>
          <t>FA + CIP rollforward_June26 rev2.xlsx</t>
        </is>
      </c>
      <c r="B6" s="8" t="inlineStr">
        <is>
          <t>primary upstream workbook/import</t>
        </is>
      </c>
      <c r="C6" s="8" t="inlineStr">
        <is>
          <t>6/30/26 or named version</t>
        </is>
      </c>
      <c r="D6" s="8" t="inlineStr">
        <is>
          <t>Owner refreshes the imported source tab or scheduled query before close</t>
        </is>
      </c>
      <c r="E6" s="8">
        <f>SUM('detail - working'!H6:H39)</f>
        <v/>
      </c>
      <c r="F6" s="8" t="inlineStr">
        <is>
          <t>Imported detail is retained so the workbook remains auditable without a live connection</t>
        </is>
      </c>
    </row>
    <row r="7">
      <c r="A7" s="8" t="inlineStr">
        <is>
          <t>Vista ERP</t>
        </is>
      </c>
      <c r="B7" s="8" t="inlineStr">
        <is>
          <t>posted actuals</t>
        </is>
      </c>
      <c r="C7" s="8" t="inlineStr">
        <is>
          <t>2026-06-30</t>
        </is>
      </c>
      <c r="D7" s="8" t="inlineStr">
        <is>
          <t>scheduled report export</t>
        </is>
      </c>
      <c r="E7" s="8">
        <f>SUM('detail - working'!F6:F39)</f>
        <v/>
      </c>
      <c r="F7" s="8" t="inlineStr">
        <is>
          <t>Authoritative for posted balances and transactions</t>
        </is>
      </c>
    </row>
    <row r="8">
      <c r="A8" s="8" t="inlineStr">
        <is>
          <t>FY26 Op Plan_BoardApproved_12.18.25_FINAL2.xlsx</t>
        </is>
      </c>
      <c r="B8" s="8" t="inlineStr">
        <is>
          <t>plan</t>
        </is>
      </c>
      <c r="C8" s="8" t="inlineStr">
        <is>
          <t>approved 12/18/25</t>
        </is>
      </c>
      <c r="D8" s="8" t="inlineStr">
        <is>
          <t>external workbook</t>
        </is>
      </c>
      <c r="E8" s="8">
        <f>0</f>
        <v/>
      </c>
      <c r="F8" s="8" t="inlineStr">
        <is>
          <t>Authoritative approved plan, not actuals</t>
        </is>
      </c>
    </row>
    <row r="9">
      <c r="A9" s="8" t="inlineStr">
        <is>
          <t>WIP 5.31.26_FINAL_v7_revised NB.xlsx</t>
        </is>
      </c>
      <c r="B9" s="8" t="inlineStr">
        <is>
          <t>prior close</t>
        </is>
      </c>
      <c r="C9" s="8" t="inlineStr">
        <is>
          <t>2026-05-31</t>
        </is>
      </c>
      <c r="D9" s="8" t="inlineStr">
        <is>
          <t>external workbook</t>
        </is>
      </c>
      <c r="E9" s="8">
        <f>0</f>
        <v/>
      </c>
      <c r="F9" s="8" t="inlineStr">
        <is>
          <t>Prior-period baseline only</t>
        </is>
      </c>
    </row>
    <row r="10">
      <c r="A10" s="8" t="inlineStr">
        <is>
          <t>manual owner evidence</t>
        </is>
      </c>
      <c r="B10" s="8" t="inlineStr">
        <is>
          <t>judgment / classification</t>
        </is>
      </c>
      <c r="C10" s="8" t="inlineStr">
        <is>
          <t>noted per row</t>
        </is>
      </c>
      <c r="D10" s="8" t="inlineStr">
        <is>
          <t>documented adjustment column</t>
        </is>
      </c>
      <c r="E10" s="8">
        <f>SUM('detail - working'!G6:G39)</f>
        <v/>
      </c>
      <c r="F10" s="8" t="inlineStr">
        <is>
          <t>No silent plugs permitted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38" customWidth="1" min="1" max="1"/>
    <col width="18" customWidth="1" min="2" max="2"/>
    <col width="20" customWidth="1" min="3" max="3"/>
    <col width="14" customWidth="1" min="4" max="4"/>
    <col width="58" customWidth="1" min="5" max="5"/>
    <col width="24" customWidth="1" min="6" max="6"/>
  </cols>
  <sheetData>
    <row r="1" ht="23" customHeight="1">
      <c r="A1" s="1" t="inlineStr">
        <is>
          <t>Fleet and major-equipment utilization — checks / sign-off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Formula-driven arithmetic, population and lineage controls</t>
        </is>
      </c>
    </row>
    <row r="3"/>
    <row r="4"/>
    <row r="5" ht="30" customHeight="1">
      <c r="A5" s="3" t="inlineStr">
        <is>
          <t>check</t>
        </is>
      </c>
      <c r="B5" s="4" t="inlineStr">
        <is>
          <t>expected</t>
        </is>
      </c>
      <c r="C5" s="4" t="inlineStr">
        <is>
          <t>actual / delta</t>
        </is>
      </c>
      <c r="D5" s="4" t="inlineStr">
        <is>
          <t>result</t>
        </is>
      </c>
      <c r="E5" s="4" t="inlineStr">
        <is>
          <t>explanation</t>
        </is>
      </c>
      <c r="F5" s="5" t="inlineStr">
        <is>
          <t>reviewer</t>
        </is>
      </c>
    </row>
    <row r="6">
      <c r="A6" s="8" t="inlineStr">
        <is>
          <t>Detail arithmetic</t>
        </is>
      </c>
      <c r="B6" s="8" t="n">
        <v>0</v>
      </c>
      <c r="C6" s="8">
        <f>SUM('detail - working'!H6:H39)-SUM('detail - working'!F6:F39)-SUM('detail - working'!G6:G39)</f>
        <v/>
      </c>
      <c r="D6" s="8">
        <f>IF(ABS(C6)&lt;0.01,"PASS","FAIL")</f>
        <v/>
      </c>
      <c r="E6" s="8" t="inlineStr">
        <is>
          <t>Working amount equals source plus documented adjustment</t>
        </is>
      </c>
      <c r="F6" s="8" t="n"/>
    </row>
    <row r="7">
      <c r="A7" s="8" t="inlineStr">
        <is>
          <t>Population count</t>
        </is>
      </c>
      <c r="B7" s="8" t="n">
        <v>34</v>
      </c>
      <c r="C7" s="8">
        <f>COUNTA('detail - working'!A6:A39)</f>
        <v/>
      </c>
      <c r="D7" s="8">
        <f>IF(C7=B7,"PASS","FAIL")</f>
        <v/>
      </c>
      <c r="E7" s="8" t="inlineStr">
        <is>
          <t>Full source population used for this workpaper</t>
        </is>
      </c>
      <c r="F7" s="8" t="n"/>
    </row>
    <row r="8">
      <c r="A8" s="8" t="inlineStr">
        <is>
          <t>Source lineage present</t>
        </is>
      </c>
      <c r="B8" s="8" t="n">
        <v>34</v>
      </c>
      <c r="C8" s="8">
        <f>COUNTA('detail - working'!J6:J39)</f>
        <v/>
      </c>
      <c r="D8" s="8">
        <f>IF(C8=B8,"PASS","FAIL")</f>
        <v/>
      </c>
      <c r="E8" s="8" t="inlineStr">
        <is>
          <t>Every row names a source/cutoff</t>
        </is>
      </c>
      <c r="F8" s="8" t="n"/>
    </row>
    <row r="9">
      <c r="A9" s="8" t="inlineStr">
        <is>
          <t>Silent adjustment check</t>
        </is>
      </c>
      <c r="B9" s="8" t="n">
        <v>0</v>
      </c>
      <c r="C9" s="8">
        <f>COUNTBLANK('detail - working'!G6:G39)-COUNTBLANK('detail - working'!A6:A39)</f>
        <v/>
      </c>
      <c r="D9" s="8">
        <f>IF(C9=0,"PASS","FAIL")</f>
        <v/>
      </c>
      <c r="E9" s="8" t="inlineStr">
        <is>
          <t>All adjustments are visible in column G</t>
        </is>
      </c>
      <c r="F9" s="8" t="n"/>
    </row>
    <row r="10">
      <c r="A10" s="8" t="inlineStr">
        <is>
          <t>Reviewer sign-off</t>
        </is>
      </c>
      <c r="B10" s="8" t="inlineStr">
        <is>
          <t>required</t>
        </is>
      </c>
      <c r="C10" s="8" t="inlineStr">
        <is>
          <t>pending</t>
        </is>
      </c>
      <c r="D10" s="8">
        <f>IF(C10=B10,"PASS","OPEN")</f>
        <v/>
      </c>
      <c r="E10" s="8" t="inlineStr">
        <is>
          <t>Working file; sign-off remains open</t>
        </is>
      </c>
      <c r="F10" s="8" t="n"/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2026-07-28T10:45:31Z</dcterms:modified>
  <cp:lastModifiedBy>Unknown</cp:lastModifiedBy>
</cp:coreProperties>
</file>