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Maintenance" sheetId="2" r:id="rId5"/>
    <x:sheet xmlns:r="http://schemas.openxmlformats.org/officeDocument/2006/relationships" name="Asset Detail" sheetId="3" r:id="rI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D6673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Maintenance Downtime and Cost</x:v>
      </x:c>
      <x:c r="B1" s="3" t="str">
        <x:v>Maintenance Downtime and Cost</x:v>
      </x:c>
      <x:c r="C1" s="3" t="str">
        <x:v>Maintenance Downtime and Cost</x:v>
      </x:c>
      <x:c r="D1" s="3" t="str">
        <x:v>Maintenance Downtime and Cost</x:v>
      </x:c>
    </x:row>
    <x:row r="2">
      <x:c r="A2" s="6" t="str">
        <x:v>PINEHAVEN MOTION SYSTEMS  •  SUPPLY CHAIN ANALYTICS</x:v>
      </x:c>
      <x:c r="B2" s="6" t="str">
        <x:v>PINEHAVEN MOTION SYSTEMS  •  SUPPLY CHAIN ANALYTICS</x:v>
      </x:c>
      <x:c r="C2" s="6" t="str">
        <x:v>PINEHAVEN MOTION SYSTEMS  •  SUPPLY CHAIN ANALYTICS</x:v>
      </x:c>
      <x:c r="D2" s="6" t="str">
        <x:v>PINEHAVEN MOTION SYSTEMS  •  SUPPLY CHAIN ANALYTICS</x:v>
      </x:c>
    </x:row>
    <x:row r="3">
      <x:c r="A3" s="9" t="str">
        <x:v>Period / As of</x:v>
      </x:c>
      <x:c r="B3" s="10" t="str">
        <x:v>YTD through 2026-06-30</x:v>
      </x:c>
      <x:c r="C3" s="10"/>
      <x:c r="D3" s="10"/>
    </x:row>
    <x:row r="4">
      <x:c r="A4" s="9" t="str">
        <x:v>Prepared by</x:v>
      </x:c>
      <x:c r="B4" s="10" t="str">
        <x:v>Plant Finance</x:v>
      </x:c>
      <x:c r="C4" s="10"/>
      <x:c r="D4" s="10"/>
    </x:row>
    <x:row r="5">
      <x:c r="A5" s="9" t="str">
        <x:v>Primary system</x:v>
      </x:c>
      <x:c r="B5" s="10" t="str">
        <x:v>Pinehaven integrated ERP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Supply Chain and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Maintenance</x:v>
      </x:c>
      <x:c r="B11" s="23" t="n">
        <x:v>19</x:v>
      </x:c>
      <x:c r="C11" s="23" t="n">
        <x:f>MAX(0,COUNTA('Maintenance'!A2:A20))</x:f>
        <x:v>19</x:v>
      </x:c>
      <x:c r="D11" s="22" t="str">
        <x:f>IF(B11=C11,"OK","CHECK")</x:f>
        <x:v>OK</x:v>
      </x:c>
    </x:row>
    <x:row r="12">
      <x:c r="A12" s="22" t="str">
        <x:v>Asset Detail</x:v>
      </x:c>
      <x:c r="B12" s="23" t="n">
        <x:v>120</x:v>
      </x:c>
      <x:c r="C12" s="23" t="n">
        <x:f>MAX(0,COUNTA('Asset Detail'!A2:A121))</x:f>
        <x:v>120</x:v>
      </x:c>
      <x:c r="D12" s="22" t="str">
        <x:f>IF(B12=C12,"OK","CHECK")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0" hidden="0" customWidth="1"/>
    <x:col min="4" max="4" width="11" hidden="0" customWidth="1"/>
    <x:col min="5" max="5" width="13" hidden="0" customWidth="1"/>
    <x:col min="6" max="6" width="16" hidden="0" customWidth="1"/>
    <x:col min="7" max="7" width="10" hidden="0" customWidth="1"/>
  </x:cols>
  <x:sheetData>
    <x:row r="1">
      <x:c r="A1" s="15" t="str">
        <x:v>site_code</x:v>
      </x:c>
      <x:c r="B1" s="15" t="str">
        <x:v>work_type</x:v>
      </x:c>
      <x:c r="C1" s="15" t="str">
        <x:v>priority</x:v>
      </x:c>
      <x:c r="D1" s="15" t="str">
        <x:v>status</x:v>
      </x:c>
      <x:c r="E1" s="15" t="str">
        <x:v>work_orders</x:v>
      </x:c>
      <x:c r="F1" s="15" t="str">
        <x:v>downtime_hours</x:v>
      </x:c>
      <x:c r="G1" s="15" t="str">
        <x:v>cost</x:v>
      </x:c>
    </x:row>
    <x:row r="2">
      <x:c r="A2" s="17" t="str">
        <x:v>300</x:v>
      </x:c>
      <x:c r="B2" s="17" t="str">
        <x:v>Inspection</x:v>
      </x:c>
      <x:c r="C2" s="17" t="str">
        <x:v>High</x:v>
      </x:c>
      <x:c r="D2" s="17" t="str">
        <x:v>Completed</x:v>
      </x:c>
      <x:c r="E2" s="18" t="n">
        <x:v>49</x:v>
      </x:c>
      <x:c r="F2" s="18" t="n">
        <x:v>0</x:v>
      </x:c>
      <x:c r="G2" s="18" t="n">
        <x:v>219930</x:v>
      </x:c>
    </x:row>
    <x:row r="3">
      <x:c r="A3" s="17" t="str">
        <x:v>300</x:v>
      </x:c>
      <x:c r="B3" s="17" t="str">
        <x:v>Preventive</x:v>
      </x:c>
      <x:c r="C3" s="17" t="str">
        <x:v>Low</x:v>
      </x:c>
      <x:c r="D3" s="17" t="str">
        <x:v>Completed</x:v>
      </x:c>
      <x:c r="E3" s="18" t="n">
        <x:v>50</x:v>
      </x:c>
      <x:c r="F3" s="18" t="n">
        <x:v>0</x:v>
      </x:c>
      <x:c r="G3" s="18" t="n">
        <x:v>215835</x:v>
      </x:c>
    </x:row>
    <x:row r="4">
      <x:c r="A4" s="17" t="str">
        <x:v>300</x:v>
      </x:c>
      <x:c r="B4" s="17" t="str">
        <x:v>Calibration</x:v>
      </x:c>
      <x:c r="C4" s="17" t="str">
        <x:v>Critical</x:v>
      </x:c>
      <x:c r="D4" s="17" t="str">
        <x:v>Completed</x:v>
      </x:c>
      <x:c r="E4" s="18" t="n">
        <x:v>49</x:v>
      </x:c>
      <x:c r="F4" s="18" t="n">
        <x:v>358.75</x:v>
      </x:c>
      <x:c r="G4" s="18" t="n">
        <x:v>215780</x:v>
      </x:c>
    </x:row>
    <x:row r="5">
      <x:c r="A5" s="17" t="str">
        <x:v>300</x:v>
      </x:c>
      <x:c r="B5" s="17" t="str">
        <x:v>Corrective</x:v>
      </x:c>
      <x:c r="C5" s="17" t="str">
        <x:v>Medium</x:v>
      </x:c>
      <x:c r="D5" s="17" t="str">
        <x:v>Completed</x:v>
      </x:c>
      <x:c r="E5" s="18" t="n">
        <x:v>49</x:v>
      </x:c>
      <x:c r="F5" s="18" t="n">
        <x:v>339.25</x:v>
      </x:c>
      <x:c r="G5" s="18" t="n">
        <x:v>213510</x:v>
      </x:c>
    </x:row>
    <x:row r="6">
      <x:c r="A6" s="17" t="str">
        <x:v>200</x:v>
      </x:c>
      <x:c r="B6" s="17" t="str">
        <x:v>Preventive</x:v>
      </x:c>
      <x:c r="C6" s="17" t="str">
        <x:v>Low</x:v>
      </x:c>
      <x:c r="D6" s="17" t="str">
        <x:v>Completed</x:v>
      </x:c>
      <x:c r="E6" s="18" t="n">
        <x:v>48</x:v>
      </x:c>
      <x:c r="F6" s="18" t="n">
        <x:v>0</x:v>
      </x:c>
      <x:c r="G6" s="18" t="n">
        <x:v>211440</x:v>
      </x:c>
    </x:row>
    <x:row r="7">
      <x:c r="A7" s="17" t="str">
        <x:v>200</x:v>
      </x:c>
      <x:c r="B7" s="17" t="str">
        <x:v>Calibration</x:v>
      </x:c>
      <x:c r="C7" s="17" t="str">
        <x:v>Critical</x:v>
      </x:c>
      <x:c r="D7" s="17" t="str">
        <x:v>Completed</x:v>
      </x:c>
      <x:c r="E7" s="18" t="n">
        <x:v>47</x:v>
      </x:c>
      <x:c r="F7" s="18" t="n">
        <x:v>341</x:v>
      </x:c>
      <x:c r="G7" s="18" t="n">
        <x:v>201895</x:v>
      </x:c>
    </x:row>
    <x:row r="8">
      <x:c r="A8" s="17" t="str">
        <x:v>100</x:v>
      </x:c>
      <x:c r="B8" s="17" t="str">
        <x:v>Calibration</x:v>
      </x:c>
      <x:c r="C8" s="17" t="str">
        <x:v>Critical</x:v>
      </x:c>
      <x:c r="D8" s="17" t="str">
        <x:v>Completed</x:v>
      </x:c>
      <x:c r="E8" s="18" t="n">
        <x:v>46</x:v>
      </x:c>
      <x:c r="F8" s="18" t="n">
        <x:v>334.75</x:v>
      </x:c>
      <x:c r="G8" s="18" t="n">
        <x:v>201155</x:v>
      </x:c>
    </x:row>
    <x:row r="9">
      <x:c r="A9" s="17" t="str">
        <x:v>100</x:v>
      </x:c>
      <x:c r="B9" s="17" t="str">
        <x:v>Corrective</x:v>
      </x:c>
      <x:c r="C9" s="17" t="str">
        <x:v>Medium</x:v>
      </x:c>
      <x:c r="D9" s="17" t="str">
        <x:v>Completed</x:v>
      </x:c>
      <x:c r="E9" s="18" t="n">
        <x:v>45</x:v>
      </x:c>
      <x:c r="F9" s="18" t="n">
        <x:v>316.5</x:v>
      </x:c>
      <x:c r="G9" s="18" t="n">
        <x:v>199530</x:v>
      </x:c>
    </x:row>
    <x:row r="10">
      <x:c r="A10" s="17" t="str">
        <x:v>200</x:v>
      </x:c>
      <x:c r="B10" s="17" t="str">
        <x:v>Corrective</x:v>
      </x:c>
      <x:c r="C10" s="17" t="str">
        <x:v>Medium</x:v>
      </x:c>
      <x:c r="D10" s="17" t="str">
        <x:v>Completed</x:v>
      </x:c>
      <x:c r="E10" s="18" t="n">
        <x:v>46</x:v>
      </x:c>
      <x:c r="F10" s="18" t="n">
        <x:v>305.5</x:v>
      </x:c>
      <x:c r="G10" s="18" t="n">
        <x:v>194895</x:v>
      </x:c>
    </x:row>
    <x:row r="11">
      <x:c r="A11" s="17" t="str">
        <x:v>200</x:v>
      </x:c>
      <x:c r="B11" s="17" t="str">
        <x:v>Inspection</x:v>
      </x:c>
      <x:c r="C11" s="17" t="str">
        <x:v>High</x:v>
      </x:c>
      <x:c r="D11" s="17" t="str">
        <x:v>Completed</x:v>
      </x:c>
      <x:c r="E11" s="18" t="n">
        <x:v>46</x:v>
      </x:c>
      <x:c r="F11" s="18" t="n">
        <x:v>0</x:v>
      </x:c>
      <x:c r="G11" s="18" t="n">
        <x:v>191360</x:v>
      </x:c>
    </x:row>
    <x:row r="12">
      <x:c r="A12" s="17" t="str">
        <x:v>100</x:v>
      </x:c>
      <x:c r="B12" s="17" t="str">
        <x:v>Inspection</x:v>
      </x:c>
      <x:c r="C12" s="17" t="str">
        <x:v>High</x:v>
      </x:c>
      <x:c r="D12" s="17" t="str">
        <x:v>Completed</x:v>
      </x:c>
      <x:c r="E12" s="18" t="n">
        <x:v>43</x:v>
      </x:c>
      <x:c r="F12" s="18" t="n">
        <x:v>0</x:v>
      </x:c>
      <x:c r="G12" s="18" t="n">
        <x:v>183350</x:v>
      </x:c>
    </x:row>
    <x:row r="13">
      <x:c r="A13" s="17" t="str">
        <x:v>100</x:v>
      </x:c>
      <x:c r="B13" s="17" t="str">
        <x:v>Preventive</x:v>
      </x:c>
      <x:c r="C13" s="17" t="str">
        <x:v>Low</x:v>
      </x:c>
      <x:c r="D13" s="17" t="str">
        <x:v>Completed</x:v>
      </x:c>
      <x:c r="E13" s="18" t="n">
        <x:v>42</x:v>
      </x:c>
      <x:c r="F13" s="18" t="n">
        <x:v>0</x:v>
      </x:c>
      <x:c r="G13" s="18" t="n">
        <x:v>175730</x:v>
      </x:c>
    </x:row>
    <x:row r="14">
      <x:c r="A14" s="17" t="str">
        <x:v>200</x:v>
      </x:c>
      <x:c r="B14" s="17" t="str">
        <x:v>Preventive</x:v>
      </x:c>
      <x:c r="C14" s="17" t="str">
        <x:v>Low</x:v>
      </x:c>
      <x:c r="D14" s="17" t="str">
        <x:v>Open</x:v>
      </x:c>
      <x:c r="E14" s="18" t="n">
        <x:v>5</x:v>
      </x:c>
      <x:c r="F14" s="18" t="n">
        <x:v>0</x:v>
      </x:c>
      <x:c r="G14" s="18" t="n">
        <x:v>22135</x:v>
      </x:c>
    </x:row>
    <x:row r="15">
      <x:c r="A15" s="17" t="str">
        <x:v>200</x:v>
      </x:c>
      <x:c r="B15" s="17" t="str">
        <x:v>Inspection</x:v>
      </x:c>
      <x:c r="C15" s="17" t="str">
        <x:v>High</x:v>
      </x:c>
      <x:c r="D15" s="17" t="str">
        <x:v>Open</x:v>
      </x:c>
      <x:c r="E15" s="18" t="n">
        <x:v>6</x:v>
      </x:c>
      <x:c r="F15" s="18" t="n">
        <x:v>0</x:v>
      </x:c>
      <x:c r="G15" s="18" t="n">
        <x:v>21350</x:v>
      </x:c>
    </x:row>
    <x:row r="16">
      <x:c r="A16" s="17" t="str">
        <x:v>100</x:v>
      </x:c>
      <x:c r="B16" s="17" t="str">
        <x:v>Corrective</x:v>
      </x:c>
      <x:c r="C16" s="17" t="str">
        <x:v>Medium</x:v>
      </x:c>
      <x:c r="D16" s="17" t="str">
        <x:v>Open</x:v>
      </x:c>
      <x:c r="E16" s="18" t="n">
        <x:v>4</x:v>
      </x:c>
      <x:c r="F16" s="18" t="n">
        <x:v>25.75</x:v>
      </x:c>
      <x:c r="G16" s="18" t="n">
        <x:v>17540</x:v>
      </x:c>
    </x:row>
    <x:row r="17">
      <x:c r="A17" s="17" t="str">
        <x:v>300</x:v>
      </x:c>
      <x:c r="B17" s="17" t="str">
        <x:v>Inspection</x:v>
      </x:c>
      <x:c r="C17" s="17" t="str">
        <x:v>High</x:v>
      </x:c>
      <x:c r="D17" s="17" t="str">
        <x:v>Open</x:v>
      </x:c>
      <x:c r="E17" s="18" t="n">
        <x:v>2</x:v>
      </x:c>
      <x:c r="F17" s="18" t="n">
        <x:v>0</x:v>
      </x:c>
      <x:c r="G17" s="18" t="n">
        <x:v>11400</x:v>
      </x:c>
    </x:row>
    <x:row r="18">
      <x:c r="A18" s="17" t="str">
        <x:v>100</x:v>
      </x:c>
      <x:c r="B18" s="17" t="str">
        <x:v>Calibration</x:v>
      </x:c>
      <x:c r="C18" s="17" t="str">
        <x:v>Critical</x:v>
      </x:c>
      <x:c r="D18" s="17" t="str">
        <x:v>Open</x:v>
      </x:c>
      <x:c r="E18" s="18" t="n">
        <x:v>4</x:v>
      </x:c>
      <x:c r="F18" s="18" t="n">
        <x:v>19.75</x:v>
      </x:c>
      <x:c r="G18" s="18" t="n">
        <x:v>10530</x:v>
      </x:c>
    </x:row>
    <x:row r="19">
      <x:c r="A19" s="17" t="str">
        <x:v>300</x:v>
      </x:c>
      <x:c r="B19" s="17" t="str">
        <x:v>Calibration</x:v>
      </x:c>
      <x:c r="C19" s="17" t="str">
        <x:v>Critical</x:v>
      </x:c>
      <x:c r="D19" s="17" t="str">
        <x:v>Open</x:v>
      </x:c>
      <x:c r="E19" s="18" t="n">
        <x:v>2</x:v>
      </x:c>
      <x:c r="F19" s="18" t="n">
        <x:v>20</x:v>
      </x:c>
      <x:c r="G19" s="18" t="n">
        <x:v>8920</x:v>
      </x:c>
    </x:row>
    <x:row r="20">
      <x:c r="A20" s="17" t="str">
        <x:v>300</x:v>
      </x:c>
      <x:c r="B20" s="17" t="str">
        <x:v>Corrective</x:v>
      </x:c>
      <x:c r="C20" s="17" t="str">
        <x:v>Medium</x:v>
      </x:c>
      <x:c r="D20" s="17" t="str">
        <x:v>Open</x:v>
      </x:c>
      <x:c r="E20" s="18" t="n">
        <x:v>2</x:v>
      </x:c>
      <x:c r="F20" s="18" t="n">
        <x:v>10.25</x:v>
      </x:c>
      <x:c r="G20" s="18" t="n">
        <x:v>7100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8" hidden="0" customWidth="1"/>
    <x:col min="4" max="4" width="38" hidden="0" customWidth="1"/>
    <x:col min="5" max="5" width="19" hidden="0" customWidth="1"/>
    <x:col min="6" max="6" width="13" hidden="0" customWidth="1"/>
    <x:col min="7" max="7" width="13" hidden="0" customWidth="1"/>
    <x:col min="8" max="8" width="16" hidden="0" customWidth="1"/>
    <x:col min="9" max="9" width="10" hidden="0" customWidth="1"/>
  </x:cols>
  <x:sheetData>
    <x:row r="1">
      <x:c r="A1" s="15" t="str">
        <x:v>asset_id</x:v>
      </x:c>
      <x:c r="B1" s="15" t="str">
        <x:v>site_code</x:v>
      </x:c>
      <x:c r="C1" s="15" t="str">
        <x:v>work_center_code</x:v>
      </x:c>
      <x:c r="D1" s="15" t="str">
        <x:v>description</x:v>
      </x:c>
      <x:c r="E1" s="15" t="str">
        <x:v>asset_class</x:v>
      </x:c>
      <x:c r="F1" s="15" t="str">
        <x:v>criticality</x:v>
      </x:c>
      <x:c r="G1" s="15" t="str">
        <x:v>work_orders</x:v>
      </x:c>
      <x:c r="H1" s="15" t="str">
        <x:v>downtime_hours</x:v>
      </x:c>
      <x:c r="I1" s="15" t="str">
        <x:v>cost</x:v>
      </x:c>
    </x:row>
    <x:row r="2">
      <x:c r="A2" s="17" t="str">
        <x:v>MA-0092</x:v>
      </x:c>
      <x:c r="B2" s="17" t="str">
        <x:v>300</x:v>
      </x:c>
      <x:c r="C2" s="17" t="str">
        <x:v>WC-300-05</x:v>
      </x:c>
      <x:c r="D2" s="17" t="str">
        <x:v>Burn-in test rack — Greenville Programming</x:v>
      </x:c>
      <x:c r="E2" s="17" t="str">
        <x:v>Test</x:v>
      </x:c>
      <x:c r="F2" s="17" t="str">
        <x:v>C</x:v>
      </x:c>
      <x:c r="G2" s="18" t="n">
        <x:v>6</x:v>
      </x:c>
      <x:c r="H2" s="18" t="n">
        <x:v>53.25</x:v>
      </x:c>
      <x:c r="I2" s="18" t="n">
        <x:v>28705</x:v>
      </x:c>
    </x:row>
    <x:row r="3">
      <x:c r="A3" s="17" t="str">
        <x:v>MA-0048</x:v>
      </x:c>
      <x:c r="B3" s="17" t="str">
        <x:v>100</x:v>
      </x:c>
      <x:c r="C3" s="17" t="str">
        <x:v>WC-100-01</x:v>
      </x:c>
      <x:c r="D3" s="17" t="str">
        <x:v>Overhead material hoist — Grand Rapids Kitting</x:v>
      </x:c>
      <x:c r="E3" s="17" t="str">
        <x:v>Material Handling</x:v>
      </x:c>
      <x:c r="F3" s="17" t="str">
        <x:v>A</x:v>
      </x:c>
      <x:c r="G3" s="18" t="n">
        <x:v>6</x:v>
      </x:c>
      <x:c r="H3" s="18" t="n">
        <x:v>52.5</x:v>
      </x:c>
      <x:c r="I3" s="18" t="n">
        <x:v>26505</x:v>
      </x:c>
    </x:row>
    <x:row r="4">
      <x:c r="A4" s="17" t="str">
        <x:v>MA-0044</x:v>
      </x:c>
      <x:c r="B4" s="17" t="str">
        <x:v>300</x:v>
      </x:c>
      <x:c r="C4" s="17" t="str">
        <x:v>WC-300-05</x:v>
      </x:c>
      <x:c r="D4" s="17" t="str">
        <x:v>Emergency generator — Greenville Programming</x:v>
      </x:c>
      <x:c r="E4" s="17" t="str">
        <x:v>Facility</x:v>
      </x:c>
      <x:c r="F4" s="17" t="str">
        <x:v>C</x:v>
      </x:c>
      <x:c r="G4" s="18" t="n">
        <x:v>6</x:v>
      </x:c>
      <x:c r="H4" s="18" t="n">
        <x:v>49.5</x:v>
      </x:c>
      <x:c r="I4" s="18" t="n">
        <x:v>23040</x:v>
      </x:c>
    </x:row>
    <x:row r="5">
      <x:c r="A5" s="17" t="str">
        <x:v>MA-0054</x:v>
      </x:c>
      <x:c r="B5" s="17" t="str">
        <x:v>300</x:v>
      </x:c>
      <x:c r="C5" s="17" t="str">
        <x:v>WC-300-03</x:v>
      </x:c>
      <x:c r="D5" s="17" t="str">
        <x:v>Plant air compressor — Greenville Panel Build B</x:v>
      </x:c>
      <x:c r="E5" s="17" t="str">
        <x:v>Facility</x:v>
      </x:c>
      <x:c r="F5" s="17" t="str">
        <x:v>A</x:v>
      </x:c>
      <x:c r="G5" s="18" t="n">
        <x:v>5</x:v>
      </x:c>
      <x:c r="H5" s="18" t="n">
        <x:v>47.75</x:v>
      </x:c>
      <x:c r="I5" s="18" t="n">
        <x:v>20435</x:v>
      </x:c>
    </x:row>
    <x:row r="6">
      <x:c r="A6" s="17" t="str">
        <x:v>MA-0068</x:v>
      </x:c>
      <x:c r="B6" s="17" t="str">
        <x:v>300</x:v>
      </x:c>
      <x:c r="C6" s="17" t="str">
        <x:v>WC-300-05</x:v>
      </x:c>
      <x:c r="D6" s="17" t="str">
        <x:v>Pallet transfer system — Greenville Programming</x:v>
      </x:c>
      <x:c r="E6" s="17" t="str">
        <x:v>Material Handling</x:v>
      </x:c>
      <x:c r="F6" s="17" t="str">
        <x:v>C</x:v>
      </x:c>
      <x:c r="G6" s="18" t="n">
        <x:v>6</x:v>
      </x:c>
      <x:c r="H6" s="18" t="n">
        <x:v>47.25</x:v>
      </x:c>
      <x:c r="I6" s="18" t="n">
        <x:v>26685</x:v>
      </x:c>
    </x:row>
    <x:row r="7">
      <x:c r="A7" s="17" t="str">
        <x:v>MA-0012</x:v>
      </x:c>
      <x:c r="B7" s="17" t="str">
        <x:v>200</x:v>
      </x:c>
      <x:c r="C7" s="17" t="str">
        <x:v>WC-200-05</x:v>
      </x:c>
      <x:c r="D7" s="17" t="str">
        <x:v>Leak-test station — Dayton Gear Cut</x:v>
      </x:c>
      <x:c r="E7" s="17" t="str">
        <x:v>Test</x:v>
      </x:c>
      <x:c r="F7" s="17" t="str">
        <x:v>A</x:v>
      </x:c>
      <x:c r="G7" s="18" t="n">
        <x:v>5</x:v>
      </x:c>
      <x:c r="H7" s="18" t="n">
        <x:v>46.25</x:v>
      </x:c>
      <x:c r="I7" s="18" t="n">
        <x:v>21075</x:v>
      </x:c>
    </x:row>
    <x:row r="8">
      <x:c r="A8" s="17" t="str">
        <x:v>MA-0112</x:v>
      </x:c>
      <x:c r="B8" s="17" t="str">
        <x:v>300</x:v>
      </x:c>
      <x:c r="C8" s="17" t="str">
        <x:v>WC-300-01</x:v>
      </x:c>
      <x:c r="D8" s="17" t="str">
        <x:v>Leak-test station — Greenville PCB Prep</x:v>
      </x:c>
      <x:c r="E8" s="17" t="str">
        <x:v>Test</x:v>
      </x:c>
      <x:c r="F8" s="17" t="str">
        <x:v>B</x:v>
      </x:c>
      <x:c r="G8" s="18" t="n">
        <x:v>6</x:v>
      </x:c>
      <x:c r="H8" s="18" t="n">
        <x:v>45.75</x:v>
      </x:c>
      <x:c r="I8" s="18" t="n">
        <x:v>30330</x:v>
      </x:c>
    </x:row>
    <x:row r="9">
      <x:c r="A9" s="17" t="str">
        <x:v>MA-0058</x:v>
      </x:c>
      <x:c r="B9" s="17" t="str">
        <x:v>300</x:v>
      </x:c>
      <x:c r="C9" s="17" t="str">
        <x:v>WC-300-07</x:v>
      </x:c>
      <x:c r="D9" s="17" t="str">
        <x:v>Powered roller conveyor — Greenville Burn-In</x:v>
      </x:c>
      <x:c r="E9" s="17" t="str">
        <x:v>Material Handling</x:v>
      </x:c>
      <x:c r="F9" s="17" t="str">
        <x:v>B</x:v>
      </x:c>
      <x:c r="G9" s="18" t="n">
        <x:v>6</x:v>
      </x:c>
      <x:c r="H9" s="18" t="n">
        <x:v>43.5</x:v>
      </x:c>
      <x:c r="I9" s="18" t="n">
        <x:v>26640</x:v>
      </x:c>
    </x:row>
    <x:row r="10">
      <x:c r="A10" s="17" t="str">
        <x:v>MA-0098</x:v>
      </x:c>
      <x:c r="B10" s="17" t="str">
        <x:v>200</x:v>
      </x:c>
      <x:c r="C10" s="17" t="str">
        <x:v>WC-200-07</x:v>
      </x:c>
      <x:c r="D10" s="17" t="str">
        <x:v>Overhead material hoist — Dayton Inspection</x:v>
      </x:c>
      <x:c r="E10" s="17" t="str">
        <x:v>Material Handling</x:v>
      </x:c>
      <x:c r="F10" s="17" t="str">
        <x:v>C</x:v>
      </x:c>
      <x:c r="G10" s="18" t="n">
        <x:v>5</x:v>
      </x:c>
      <x:c r="H10" s="18" t="n">
        <x:v>43.25</x:v>
      </x:c>
      <x:c r="I10" s="18" t="n">
        <x:v>20150</x:v>
      </x:c>
    </x:row>
    <x:row r="11">
      <x:c r="A11" s="17" t="str">
        <x:v>MA-0010</x:v>
      </x:c>
      <x:c r="B11" s="17" t="str">
        <x:v>300</x:v>
      </x:c>
      <x:c r="C11" s="17" t="str">
        <x:v>WC-300-07</x:v>
      </x:c>
      <x:c r="D11" s="17" t="str">
        <x:v>CNC turning center — Greenville Burn-In</x:v>
      </x:c>
      <x:c r="E11" s="17" t="str">
        <x:v>CNC</x:v>
      </x:c>
      <x:c r="F11" s="17" t="str">
        <x:v>B</x:v>
      </x:c>
      <x:c r="G11" s="18" t="n">
        <x:v>5</x:v>
      </x:c>
      <x:c r="H11" s="18" t="n">
        <x:v>42.5</x:v>
      </x:c>
      <x:c r="I11" s="18" t="n">
        <x:v>19105</x:v>
      </x:c>
    </x:row>
    <x:row r="12">
      <x:c r="A12" s="17" t="str">
        <x:v>MA-0062</x:v>
      </x:c>
      <x:c r="B12" s="17" t="str">
        <x:v>100</x:v>
      </x:c>
      <x:c r="C12" s="17" t="str">
        <x:v>WC-100-03</x:v>
      </x:c>
      <x:c r="D12" s="17" t="str">
        <x:v>Leak-test station — Grand Rapids Final Assembly A</x:v>
      </x:c>
      <x:c r="E12" s="17" t="str">
        <x:v>Test</x:v>
      </x:c>
      <x:c r="F12" s="17" t="str">
        <x:v>C</x:v>
      </x:c>
      <x:c r="G12" s="18" t="n">
        <x:v>6</x:v>
      </x:c>
      <x:c r="H12" s="18" t="n">
        <x:v>42</x:v>
      </x:c>
      <x:c r="I12" s="18" t="n">
        <x:v>26975</x:v>
      </x:c>
    </x:row>
    <x:row r="13">
      <x:c r="A13" s="17" t="str">
        <x:v>MA-0004</x:v>
      </x:c>
      <x:c r="B13" s="17" t="str">
        <x:v>100</x:v>
      </x:c>
      <x:c r="C13" s="17" t="str">
        <x:v>WC-100-05</x:v>
      </x:c>
      <x:c r="D13" s="17" t="str">
        <x:v>Plant air compressor — Grand Rapids Test</x:v>
      </x:c>
      <x:c r="E13" s="17" t="str">
        <x:v>Facility</x:v>
      </x:c>
      <x:c r="F13" s="17" t="str">
        <x:v>B</x:v>
      </x:c>
      <x:c r="G13" s="18" t="n">
        <x:v>5</x:v>
      </x:c>
      <x:c r="H13" s="18" t="n">
        <x:v>41.75</x:v>
      </x:c>
      <x:c r="I13" s="18" t="n">
        <x:v>23340</x:v>
      </x:c>
    </x:row>
    <x:row r="14">
      <x:c r="A14" s="17" t="str">
        <x:v>MA-0018</x:v>
      </x:c>
      <x:c r="B14" s="17" t="str">
        <x:v>100</x:v>
      </x:c>
      <x:c r="C14" s="17" t="str">
        <x:v>WC-100-07</x:v>
      </x:c>
      <x:c r="D14" s="17" t="str">
        <x:v>Pallet transfer system — Grand Rapids Systems Integration</x:v>
      </x:c>
      <x:c r="E14" s="17" t="str">
        <x:v>Material Handling</x:v>
      </x:c>
      <x:c r="F14" s="17" t="str">
        <x:v>A</x:v>
      </x:c>
      <x:c r="G14" s="18" t="n">
        <x:v>6</x:v>
      </x:c>
      <x:c r="H14" s="18" t="n">
        <x:v>41.25</x:v>
      </x:c>
      <x:c r="I14" s="18" t="n">
        <x:v>28295</x:v>
      </x:c>
    </x:row>
    <x:row r="15">
      <x:c r="A15" s="17" t="str">
        <x:v>MA-0118</x:v>
      </x:c>
      <x:c r="B15" s="17" t="str">
        <x:v>200</x:v>
      </x:c>
      <x:c r="C15" s="17" t="str">
        <x:v>WC-200-03</x:v>
      </x:c>
      <x:c r="D15" s="17" t="str">
        <x:v>Pallet transfer system — Dayton CNC Mill B</x:v>
      </x:c>
      <x:c r="E15" s="17" t="str">
        <x:v>Material Handling</x:v>
      </x:c>
      <x:c r="F15" s="17" t="str">
        <x:v>B</x:v>
      </x:c>
      <x:c r="G15" s="18" t="n">
        <x:v>5</x:v>
      </x:c>
      <x:c r="H15" s="18" t="n">
        <x:v>41</x:v>
      </x:c>
      <x:c r="I15" s="18" t="n">
        <x:v>23925</x:v>
      </x:c>
    </x:row>
    <x:row r="16">
      <x:c r="A16" s="17" t="str">
        <x:v>MA-0064</x:v>
      </x:c>
      <x:c r="B16" s="17" t="str">
        <x:v>300</x:v>
      </x:c>
      <x:c r="C16" s="17" t="str">
        <x:v>WC-300-01</x:v>
      </x:c>
      <x:c r="D16" s="17" t="str">
        <x:v>Dust collection system — Greenville PCB Prep</x:v>
      </x:c>
      <x:c r="E16" s="17" t="str">
        <x:v>Facility</x:v>
      </x:c>
      <x:c r="F16" s="17" t="str">
        <x:v>B</x:v>
      </x:c>
      <x:c r="G16" s="18" t="n">
        <x:v>5</x:v>
      </x:c>
      <x:c r="H16" s="18" t="n">
        <x:v>40.25</x:v>
      </x:c>
      <x:c r="I16" s="18" t="n">
        <x:v>17900</x:v>
      </x:c>
    </x:row>
    <x:row r="17">
      <x:c r="A17" s="17" t="str">
        <x:v>MA-0024</x:v>
      </x:c>
      <x:c r="B17" s="17" t="str">
        <x:v>100</x:v>
      </x:c>
      <x:c r="C17" s="17" t="str">
        <x:v>WC-100-01</x:v>
      </x:c>
      <x:c r="D17" s="17" t="str">
        <x:v>Main electrical switchgear — Grand Rapids Kitting</x:v>
      </x:c>
      <x:c r="E17" s="17" t="str">
        <x:v>Facility</x:v>
      </x:c>
      <x:c r="F17" s="17" t="str">
        <x:v>A</x:v>
      </x:c>
      <x:c r="G17" s="18" t="n">
        <x:v>5</x:v>
      </x:c>
      <x:c r="H17" s="18" t="n">
        <x:v>39.5</x:v>
      </x:c>
      <x:c r="I17" s="18" t="n">
        <x:v>21790</x:v>
      </x:c>
    </x:row>
    <x:row r="18">
      <x:c r="A18" s="17" t="str">
        <x:v>MA-0056</x:v>
      </x:c>
      <x:c r="B18" s="17" t="str">
        <x:v>200</x:v>
      </x:c>
      <x:c r="C18" s="17" t="str">
        <x:v>WC-200-01</x:v>
      </x:c>
      <x:c r="D18" s="17" t="str">
        <x:v>Servo press station — Dayton Saw</x:v>
      </x:c>
      <x:c r="E18" s="17" t="str">
        <x:v>Assembly</x:v>
      </x:c>
      <x:c r="F18" s="17" t="str">
        <x:v>C</x:v>
      </x:c>
      <x:c r="G18" s="18" t="n">
        <x:v>4</x:v>
      </x:c>
      <x:c r="H18" s="18" t="n">
        <x:v>39.25</x:v>
      </x:c>
      <x:c r="I18" s="18" t="n">
        <x:v>20240</x:v>
      </x:c>
    </x:row>
    <x:row r="19">
      <x:c r="A19" s="17" t="str">
        <x:v>MA-0022</x:v>
      </x:c>
      <x:c r="B19" s="17" t="str">
        <x:v>200</x:v>
      </x:c>
      <x:c r="C19" s="17" t="str">
        <x:v>WC-200-03</x:v>
      </x:c>
      <x:c r="D19" s="17" t="str">
        <x:v>Calibration stand — Dayton CNC Mill B</x:v>
      </x:c>
      <x:c r="E19" s="17" t="str">
        <x:v>Test</x:v>
      </x:c>
      <x:c r="F19" s="17" t="str">
        <x:v>B</x:v>
      </x:c>
      <x:c r="G19" s="18" t="n">
        <x:v>5</x:v>
      </x:c>
      <x:c r="H19" s="18" t="n">
        <x:v>38.75</x:v>
      </x:c>
      <x:c r="I19" s="18" t="n">
        <x:v>20345</x:v>
      </x:c>
    </x:row>
    <x:row r="20">
      <x:c r="A20" s="17" t="str">
        <x:v>MA-0088</x:v>
      </x:c>
      <x:c r="B20" s="17" t="str">
        <x:v>300</x:v>
      </x:c>
      <x:c r="C20" s="17" t="str">
        <x:v>WC-300-01</x:v>
      </x:c>
      <x:c r="D20" s="17" t="str">
        <x:v>Dock lift — Greenville PCB Prep</x:v>
      </x:c>
      <x:c r="E20" s="17" t="str">
        <x:v>Material Handling</x:v>
      </x:c>
      <x:c r="F20" s="17" t="str">
        <x:v>B</x:v>
      </x:c>
      <x:c r="G20" s="18" t="n">
        <x:v>5</x:v>
      </x:c>
      <x:c r="H20" s="18" t="n">
        <x:v>38</x:v>
      </x:c>
      <x:c r="I20" s="18" t="n">
        <x:v>24580</x:v>
      </x:c>
    </x:row>
    <x:row r="21">
      <x:c r="A21" s="17" t="str">
        <x:v>MA-0102</x:v>
      </x:c>
      <x:c r="B21" s="17" t="str">
        <x:v>300</x:v>
      </x:c>
      <x:c r="C21" s="17" t="str">
        <x:v>WC-300-03</x:v>
      </x:c>
      <x:c r="D21" s="17" t="str">
        <x:v>End-of-line dynamometer — Greenville Panel Build B</x:v>
      </x:c>
      <x:c r="E21" s="17" t="str">
        <x:v>Test</x:v>
      </x:c>
      <x:c r="F21" s="17" t="str">
        <x:v>A</x:v>
      </x:c>
      <x:c r="G21" s="18" t="n">
        <x:v>5</x:v>
      </x:c>
      <x:c r="H21" s="18" t="n">
        <x:v>38</x:v>
      </x:c>
      <x:c r="I21" s="18" t="n">
        <x:v>20625</x:v>
      </x:c>
    </x:row>
    <x:row r="22">
      <x:c r="A22" s="17" t="str">
        <x:v>MA-0008</x:v>
      </x:c>
      <x:c r="B22" s="17" t="str">
        <x:v>200</x:v>
      </x:c>
      <x:c r="C22" s="17" t="str">
        <x:v>WC-200-01</x:v>
      </x:c>
      <x:c r="D22" s="17" t="str">
        <x:v>Powered roller conveyor — Dayton Saw</x:v>
      </x:c>
      <x:c r="E22" s="17" t="str">
        <x:v>Material Handling</x:v>
      </x:c>
      <x:c r="F22" s="17" t="str">
        <x:v>C</x:v>
      </x:c>
      <x:c r="G22" s="18" t="n">
        <x:v>6</x:v>
      </x:c>
      <x:c r="H22" s="18" t="n">
        <x:v>37.5</x:v>
      </x:c>
      <x:c r="I22" s="18" t="n">
        <x:v>24940</x:v>
      </x:c>
    </x:row>
    <x:row r="23">
      <x:c r="A23" s="17" t="str">
        <x:v>MA-0096</x:v>
      </x:c>
      <x:c r="B23" s="17" t="str">
        <x:v>100</x:v>
      </x:c>
      <x:c r="C23" s="17" t="str">
        <x:v>WC-100-01</x:v>
      </x:c>
      <x:c r="D23" s="17" t="str">
        <x:v>Subassembly workcell — Grand Rapids Kitting</x:v>
      </x:c>
      <x:c r="E23" s="17" t="str">
        <x:v>Assembly</x:v>
      </x:c>
      <x:c r="F23" s="17" t="str">
        <x:v>A</x:v>
      </x:c>
      <x:c r="G23" s="18" t="n">
        <x:v>5</x:v>
      </x:c>
      <x:c r="H23" s="18" t="n">
        <x:v>37.25</x:v>
      </x:c>
      <x:c r="I23" s="18" t="n">
        <x:v>19405</x:v>
      </x:c>
    </x:row>
    <x:row r="24">
      <x:c r="A24" s="17" t="str">
        <x:v>MA-0100</x:v>
      </x:c>
      <x:c r="B24" s="17" t="str">
        <x:v>100</x:v>
      </x:c>
      <x:c r="C24" s="17" t="str">
        <x:v>WC-100-05</x:v>
      </x:c>
      <x:c r="D24" s="17" t="str">
        <x:v>Horizontal machining center — Grand Rapids Test</x:v>
      </x:c>
      <x:c r="E24" s="17" t="str">
        <x:v>CNC</x:v>
      </x:c>
      <x:c r="F24" s="17" t="str">
        <x:v>B</x:v>
      </x:c>
      <x:c r="G24" s="18" t="n">
        <x:v>4</x:v>
      </x:c>
      <x:c r="H24" s="18" t="n">
        <x:v>37</x:v>
      </x:c>
      <x:c r="I24" s="18" t="n">
        <x:v>13535</x:v>
      </x:c>
    </x:row>
    <x:row r="25">
      <x:c r="A25" s="17" t="str">
        <x:v>MA-0082</x:v>
      </x:c>
      <x:c r="B25" s="17" t="str">
        <x:v>300</x:v>
      </x:c>
      <x:c r="C25" s="17" t="str">
        <x:v>WC-300-07</x:v>
      </x:c>
      <x:c r="D25" s="17" t="str">
        <x:v>Electrical test bench — Greenville Burn-In</x:v>
      </x:c>
      <x:c r="E25" s="17" t="str">
        <x:v>Test</x:v>
      </x:c>
      <x:c r="F25" s="17" t="str">
        <x:v>B</x:v>
      </x:c>
      <x:c r="G25" s="18" t="n">
        <x:v>6</x:v>
      </x:c>
      <x:c r="H25" s="18" t="n">
        <x:v>36.75</x:v>
      </x:c>
      <x:c r="I25" s="18" t="n">
        <x:v>30375</x:v>
      </x:c>
    </x:row>
    <x:row r="26">
      <x:c r="A26" s="17" t="str">
        <x:v>MA-0042</x:v>
      </x:c>
      <x:c r="B26" s="17" t="str">
        <x:v>100</x:v>
      </x:c>
      <x:c r="C26" s="17" t="str">
        <x:v>WC-100-07</x:v>
      </x:c>
      <x:c r="D26" s="17" t="str">
        <x:v>Burn-in test rack — Grand Rapids Systems Integration</x:v>
      </x:c>
      <x:c r="E26" s="17" t="str">
        <x:v>Test</x:v>
      </x:c>
      <x:c r="F26" s="17" t="str">
        <x:v>A</x:v>
      </x:c>
      <x:c r="G26" s="18" t="n">
        <x:v>5</x:v>
      </x:c>
      <x:c r="H26" s="18" t="n">
        <x:v>36.5</x:v>
      </x:c>
      <x:c r="I26" s="18" t="n">
        <x:v>16900</x:v>
      </x:c>
    </x:row>
    <x:row r="27">
      <x:c r="A27" s="17" t="str">
        <x:v>MA-0080</x:v>
      </x:c>
      <x:c r="B27" s="17" t="str">
        <x:v>200</x:v>
      </x:c>
      <x:c r="C27" s="17" t="str">
        <x:v>WC-200-01</x:v>
      </x:c>
      <x:c r="D27" s="17" t="str">
        <x:v>Vertical machining center — Dayton Saw</x:v>
      </x:c>
      <x:c r="E27" s="17" t="str">
        <x:v>CNC</x:v>
      </x:c>
      <x:c r="F27" s="17" t="str">
        <x:v>C</x:v>
      </x:c>
      <x:c r="G27" s="18" t="n">
        <x:v>4</x:v>
      </x:c>
      <x:c r="H27" s="18" t="n">
        <x:v>36.25</x:v>
      </x:c>
      <x:c r="I27" s="18" t="n">
        <x:v>16995</x:v>
      </x:c>
    </x:row>
    <x:row r="28">
      <x:c r="A28" s="17" t="str">
        <x:v>MA-0038</x:v>
      </x:c>
      <x:c r="B28" s="17" t="str">
        <x:v>100</x:v>
      </x:c>
      <x:c r="C28" s="17" t="str">
        <x:v>WC-100-03</x:v>
      </x:c>
      <x:c r="D28" s="17" t="str">
        <x:v>Dock lift — Grand Rapids Final Assembly A</x:v>
      </x:c>
      <x:c r="E28" s="17" t="str">
        <x:v>Material Handling</x:v>
      </x:c>
      <x:c r="F28" s="17" t="str">
        <x:v>C</x:v>
      </x:c>
      <x:c r="G28" s="18" t="n">
        <x:v>6</x:v>
      </x:c>
      <x:c r="H28" s="18" t="n">
        <x:v>36</x:v>
      </x:c>
      <x:c r="I28" s="18" t="n">
        <x:v>24955</x:v>
      </x:c>
    </x:row>
    <x:row r="29">
      <x:c r="A29" s="17" t="str">
        <x:v>MA-0108</x:v>
      </x:c>
      <x:c r="B29" s="17" t="str">
        <x:v>200</x:v>
      </x:c>
      <x:c r="C29" s="17" t="str">
        <x:v>WC-200-05</x:v>
      </x:c>
      <x:c r="D29" s="17" t="str">
        <x:v>Powered roller conveyor — Dayton Gear Cut</x:v>
      </x:c>
      <x:c r="E29" s="17" t="str">
        <x:v>Material Handling</x:v>
      </x:c>
      <x:c r="F29" s="17" t="str">
        <x:v>A</x:v>
      </x:c>
      <x:c r="G29" s="18" t="n">
        <x:v>5</x:v>
      </x:c>
      <x:c r="H29" s="18" t="n">
        <x:v>35.75</x:v>
      </x:c>
      <x:c r="I29" s="18" t="n">
        <x:v>22940</x:v>
      </x:c>
    </x:row>
    <x:row r="30">
      <x:c r="A30" s="17" t="str">
        <x:v>MA-0014</x:v>
      </x:c>
      <x:c r="B30" s="17" t="str">
        <x:v>100</x:v>
      </x:c>
      <x:c r="C30" s="17" t="str">
        <x:v>WC-100-03</x:v>
      </x:c>
      <x:c r="D30" s="17" t="str">
        <x:v>Dust collection system — Grand Rapids Final Assembly A</x:v>
      </x:c>
      <x:c r="E30" s="17" t="str">
        <x:v>Facility</x:v>
      </x:c>
      <x:c r="F30" s="17" t="str">
        <x:v>C</x:v>
      </x:c>
      <x:c r="G30" s="18" t="n">
        <x:v>5</x:v>
      </x:c>
      <x:c r="H30" s="18" t="n">
        <x:v>34.25</x:v>
      </x:c>
      <x:c r="I30" s="18" t="n">
        <x:v>22520</x:v>
      </x:c>
    </x:row>
    <x:row r="31">
      <x:c r="A31" s="17" t="str">
        <x:v>MA-0086</x:v>
      </x:c>
      <x:c r="B31" s="17" t="str">
        <x:v>100</x:v>
      </x:c>
      <x:c r="C31" s="17" t="str">
        <x:v>WC-100-03</x:v>
      </x:c>
      <x:c r="D31" s="17" t="str">
        <x:v>Torque-controlled assembly station — Grand Rapids Final Assembly A</x:v>
      </x:c>
      <x:c r="E31" s="17" t="str">
        <x:v>Assembly</x:v>
      </x:c>
      <x:c r="F31" s="17" t="str">
        <x:v>C</x:v>
      </x:c>
      <x:c r="G31" s="18" t="n">
        <x:v>4</x:v>
      </x:c>
      <x:c r="H31" s="18" t="n">
        <x:v>34</x:v>
      </x:c>
      <x:c r="I31" s="18" t="n">
        <x:v>18705</x:v>
      </x:c>
    </x:row>
    <x:row r="32">
      <x:c r="A32" s="17" t="str">
        <x:v>MA-0066</x:v>
      </x:c>
      <x:c r="B32" s="17" t="str">
        <x:v>100</x:v>
      </x:c>
      <x:c r="C32" s="17" t="str">
        <x:v>WC-100-07</x:v>
      </x:c>
      <x:c r="D32" s="17" t="str">
        <x:v>Final assembly conveyor — Grand Rapids Systems Integration</x:v>
      </x:c>
      <x:c r="E32" s="17" t="str">
        <x:v>Assembly</x:v>
      </x:c>
      <x:c r="F32" s="17" t="str">
        <x:v>A</x:v>
      </x:c>
      <x:c r="G32" s="18" t="n">
        <x:v>4</x:v>
      </x:c>
      <x:c r="H32" s="18" t="n">
        <x:v>33.25</x:v>
      </x:c>
      <x:c r="I32" s="18" t="n">
        <x:v>16750</x:v>
      </x:c>
    </x:row>
    <x:row r="33">
      <x:c r="A33" s="17" t="str">
        <x:v>MA-0072</x:v>
      </x:c>
      <x:c r="B33" s="17" t="str">
        <x:v>100</x:v>
      </x:c>
      <x:c r="C33" s="17" t="str">
        <x:v>WC-100-01</x:v>
      </x:c>
      <x:c r="D33" s="17" t="str">
        <x:v>Calibration stand — Grand Rapids Kitting</x:v>
      </x:c>
      <x:c r="E33" s="17" t="str">
        <x:v>Test</x:v>
      </x:c>
      <x:c r="F33" s="17" t="str">
        <x:v>A</x:v>
      </x:c>
      <x:c r="G33" s="18" t="n">
        <x:v>6</x:v>
      </x:c>
      <x:c r="H33" s="18" t="n">
        <x:v>33</x:v>
      </x:c>
      <x:c r="I33" s="18" t="n">
        <x:v>26720</x:v>
      </x:c>
    </x:row>
    <x:row r="34">
      <x:c r="A34" s="17" t="str">
        <x:v>MA-0074</x:v>
      </x:c>
      <x:c r="B34" s="17" t="str">
        <x:v>200</x:v>
      </x:c>
      <x:c r="C34" s="17" t="str">
        <x:v>WC-200-07</x:v>
      </x:c>
      <x:c r="D34" s="17" t="str">
        <x:v>Main electrical switchgear — Dayton Inspection</x:v>
      </x:c>
      <x:c r="E34" s="17" t="str">
        <x:v>Facility</x:v>
      </x:c>
      <x:c r="F34" s="17" t="str">
        <x:v>C</x:v>
      </x:c>
      <x:c r="G34" s="18" t="n">
        <x:v>5</x:v>
      </x:c>
      <x:c r="H34" s="18" t="n">
        <x:v>32.75</x:v>
      </x:c>
      <x:c r="I34" s="18" t="n">
        <x:v>18495</x:v>
      </x:c>
    </x:row>
    <x:row r="35">
      <x:c r="A35" s="17" t="str">
        <x:v>MA-0016</x:v>
      </x:c>
      <x:c r="B35" s="17" t="str">
        <x:v>300</x:v>
      </x:c>
      <x:c r="C35" s="17" t="str">
        <x:v>WC-300-01</x:v>
      </x:c>
      <x:c r="D35" s="17" t="str">
        <x:v>Final assembly conveyor — Greenville PCB Prep</x:v>
      </x:c>
      <x:c r="E35" s="17" t="str">
        <x:v>Assembly</x:v>
      </x:c>
      <x:c r="F35" s="17" t="str">
        <x:v>B</x:v>
      </x:c>
      <x:c r="G35" s="18" t="n">
        <x:v>4</x:v>
      </x:c>
      <x:c r="H35" s="18" t="n">
        <x:v>32.5</x:v>
      </x:c>
      <x:c r="I35" s="18" t="n">
        <x:v>17120</x:v>
      </x:c>
    </x:row>
    <x:row r="36">
      <x:c r="A36" s="17" t="str">
        <x:v>MA-0060</x:v>
      </x:c>
      <x:c r="B36" s="17" t="str">
        <x:v>200</x:v>
      </x:c>
      <x:c r="C36" s="17" t="str">
        <x:v>WC-200-05</x:v>
      </x:c>
      <x:c r="D36" s="17" t="str">
        <x:v>CNC turning center — Dayton Gear Cut</x:v>
      </x:c>
      <x:c r="E36" s="17" t="str">
        <x:v>CNC</x:v>
      </x:c>
      <x:c r="F36" s="17" t="str">
        <x:v>A</x:v>
      </x:c>
      <x:c r="G36" s="18" t="n">
        <x:v>4</x:v>
      </x:c>
      <x:c r="H36" s="18" t="n">
        <x:v>32.5</x:v>
      </x:c>
      <x:c r="I36" s="18" t="n">
        <x:v>19875</x:v>
      </x:c>
    </x:row>
    <x:row r="37">
      <x:c r="A37" s="17" t="str">
        <x:v>MA-0028</x:v>
      </x:c>
      <x:c r="B37" s="17" t="str">
        <x:v>100</x:v>
      </x:c>
      <x:c r="C37" s="17" t="str">
        <x:v>WC-100-05</x:v>
      </x:c>
      <x:c r="D37" s="17" t="str">
        <x:v>Automated storage crane — Grand Rapids Test</x:v>
      </x:c>
      <x:c r="E37" s="17" t="str">
        <x:v>Material Handling</x:v>
      </x:c>
      <x:c r="F37" s="17" t="str">
        <x:v>B</x:v>
      </x:c>
      <x:c r="G37" s="18" t="n">
        <x:v>6</x:v>
      </x:c>
      <x:c r="H37" s="18" t="n">
        <x:v>32.25</x:v>
      </x:c>
      <x:c r="I37" s="18" t="n">
        <x:v>26625</x:v>
      </x:c>
    </x:row>
    <x:row r="38">
      <x:c r="A38" s="17" t="str">
        <x:v>MA-0034</x:v>
      </x:c>
      <x:c r="B38" s="17" t="str">
        <x:v>300</x:v>
      </x:c>
      <x:c r="C38" s="17" t="str">
        <x:v>WC-300-07</x:v>
      </x:c>
      <x:c r="D38" s="17" t="str">
        <x:v>Process chiller — Greenville Burn-In</x:v>
      </x:c>
      <x:c r="E38" s="17" t="str">
        <x:v>Facility</x:v>
      </x:c>
      <x:c r="F38" s="17" t="str">
        <x:v>B</x:v>
      </x:c>
      <x:c r="G38" s="18" t="n">
        <x:v>5</x:v>
      </x:c>
      <x:c r="H38" s="18" t="n">
        <x:v>32</x:v>
      </x:c>
      <x:c r="I38" s="18" t="n">
        <x:v>20970</x:v>
      </x:c>
    </x:row>
    <x:row r="39">
      <x:c r="A39" s="17" t="str">
        <x:v>MA-0032</x:v>
      </x:c>
      <x:c r="B39" s="17" t="str">
        <x:v>200</x:v>
      </x:c>
      <x:c r="C39" s="17" t="str">
        <x:v>WC-200-01</x:v>
      </x:c>
      <x:c r="D39" s="17" t="str">
        <x:v>Electrical test bench — Dayton Saw</x:v>
      </x:c>
      <x:c r="E39" s="17" t="str">
        <x:v>Test</x:v>
      </x:c>
      <x:c r="F39" s="17" t="str">
        <x:v>C</x:v>
      </x:c>
      <x:c r="G39" s="18" t="n">
        <x:v>5</x:v>
      </x:c>
      <x:c r="H39" s="18" t="n">
        <x:v>31.25</x:v>
      </x:c>
      <x:c r="I39" s="18" t="n">
        <x:v>17720</x:v>
      </x:c>
    </x:row>
    <x:row r="40">
      <x:c r="A40" s="17" t="str">
        <x:v>MA-0104</x:v>
      </x:c>
      <x:c r="B40" s="17" t="str">
        <x:v>200</x:v>
      </x:c>
      <x:c r="C40" s="17" t="str">
        <x:v>WC-200-01</x:v>
      </x:c>
      <x:c r="D40" s="17" t="str">
        <x:v>Plant air compressor — Dayton Saw</x:v>
      </x:c>
      <x:c r="E40" s="17" t="str">
        <x:v>Facility</x:v>
      </x:c>
      <x:c r="F40" s="17" t="str">
        <x:v>C</x:v>
      </x:c>
      <x:c r="G40" s="18" t="n">
        <x:v>5</x:v>
      </x:c>
      <x:c r="H40" s="18" t="n">
        <x:v>31.25</x:v>
      </x:c>
      <x:c r="I40" s="18" t="n">
        <x:v>19955</x:v>
      </x:c>
    </x:row>
    <x:row r="41">
      <x:c r="A41" s="17" t="str">
        <x:v>MA-0020</x:v>
      </x:c>
      <x:c r="B41" s="17" t="str">
        <x:v>300</x:v>
      </x:c>
      <x:c r="C41" s="17" t="str">
        <x:v>WC-300-05</x:v>
      </x:c>
      <x:c r="D41" s="17" t="str">
        <x:v>Precision grinding center — Greenville Programming</x:v>
      </x:c>
      <x:c r="E41" s="17" t="str">
        <x:v>CNC</x:v>
      </x:c>
      <x:c r="F41" s="17" t="str">
        <x:v>C</x:v>
      </x:c>
      <x:c r="G41" s="18" t="n">
        <x:v>4</x:v>
      </x:c>
      <x:c r="H41" s="18" t="n">
        <x:v>31</x:v>
      </x:c>
      <x:c r="I41" s="18" t="n">
        <x:v>18460</x:v>
      </x:c>
    </x:row>
    <x:row r="42">
      <x:c r="A42" s="17" t="str">
        <x:v>MA-0110</x:v>
      </x:c>
      <x:c r="B42" s="17" t="str">
        <x:v>100</x:v>
      </x:c>
      <x:c r="C42" s="17" t="str">
        <x:v>WC-100-03</x:v>
      </x:c>
      <x:c r="D42" s="17" t="str">
        <x:v>CNC turning center — Grand Rapids Final Assembly A</x:v>
      </x:c>
      <x:c r="E42" s="17" t="str">
        <x:v>CNC</x:v>
      </x:c>
      <x:c r="F42" s="17" t="str">
        <x:v>C</x:v>
      </x:c>
      <x:c r="G42" s="18" t="n">
        <x:v>4</x:v>
      </x:c>
      <x:c r="H42" s="18" t="n">
        <x:v>31</x:v>
      </x:c>
      <x:c r="I42" s="18" t="n">
        <x:v>17175</x:v>
      </x:c>
    </x:row>
    <x:row r="43">
      <x:c r="A43" s="17" t="str">
        <x:v>MA-0026</x:v>
      </x:c>
      <x:c r="B43" s="17" t="str">
        <x:v>200</x:v>
      </x:c>
      <x:c r="C43" s="17" t="str">
        <x:v>WC-200-07</x:v>
      </x:c>
      <x:c r="D43" s="17" t="str">
        <x:v>Robotic assembly cell — Dayton Inspection</x:v>
      </x:c>
      <x:c r="E43" s="17" t="str">
        <x:v>Assembly</x:v>
      </x:c>
      <x:c r="F43" s="17" t="str">
        <x:v>C</x:v>
      </x:c>
      <x:c r="G43" s="18" t="n">
        <x:v>5</x:v>
      </x:c>
      <x:c r="H43" s="18" t="n">
        <x:v>30.5</x:v>
      </x:c>
      <x:c r="I43" s="18" t="n">
        <x:v>21955</x:v>
      </x:c>
    </x:row>
    <x:row r="44">
      <x:c r="A44" s="17" t="str">
        <x:v>MA-0094</x:v>
      </x:c>
      <x:c r="B44" s="17" t="str">
        <x:v>200</x:v>
      </x:c>
      <x:c r="C44" s="17" t="str">
        <x:v>WC-200-03</x:v>
      </x:c>
      <x:c r="D44" s="17" t="str">
        <x:v>Emergency generator — Dayton CNC Mill B</x:v>
      </x:c>
      <x:c r="E44" s="17" t="str">
        <x:v>Facility</x:v>
      </x:c>
      <x:c r="F44" s="17" t="str">
        <x:v>B</x:v>
      </x:c>
      <x:c r="G44" s="18" t="n">
        <x:v>5</x:v>
      </x:c>
      <x:c r="H44" s="18" t="n">
        <x:v>30.5</x:v>
      </x:c>
      <x:c r="I44" s="18" t="n">
        <x:v>20465</x:v>
      </x:c>
    </x:row>
    <x:row r="45">
      <x:c r="A45" s="17" t="str">
        <x:v>MA-0090</x:v>
      </x:c>
      <x:c r="B45" s="17" t="str">
        <x:v>100</x:v>
      </x:c>
      <x:c r="C45" s="17" t="str">
        <x:v>WC-100-07</x:v>
      </x:c>
      <x:c r="D45" s="17" t="str">
        <x:v>Gear hobbing center — Grand Rapids Systems Integration</x:v>
      </x:c>
      <x:c r="E45" s="17" t="str">
        <x:v>CNC</x:v>
      </x:c>
      <x:c r="F45" s="17" t="str">
        <x:v>A</x:v>
      </x:c>
      <x:c r="G45" s="18" t="n">
        <x:v>4</x:v>
      </x:c>
      <x:c r="H45" s="18" t="n">
        <x:v>30.25</x:v>
      </x:c>
      <x:c r="I45" s="18" t="n">
        <x:v>18830</x:v>
      </x:c>
    </x:row>
    <x:row r="46">
      <x:c r="A46" s="17" t="str">
        <x:v>MA-0106</x:v>
      </x:c>
      <x:c r="B46" s="17" t="str">
        <x:v>300</x:v>
      </x:c>
      <x:c r="C46" s="17" t="str">
        <x:v>WC-300-07</x:v>
      </x:c>
      <x:c r="D46" s="17" t="str">
        <x:v>Servo press station — Greenville Burn-In</x:v>
      </x:c>
      <x:c r="E46" s="17" t="str">
        <x:v>Assembly</x:v>
      </x:c>
      <x:c r="F46" s="17" t="str">
        <x:v>B</x:v>
      </x:c>
      <x:c r="G46" s="18" t="n">
        <x:v>5</x:v>
      </x:c>
      <x:c r="H46" s="18" t="n">
        <x:v>29.75</x:v>
      </x:c>
      <x:c r="I46" s="18" t="n">
        <x:v>20390</x:v>
      </x:c>
    </x:row>
    <x:row r="47">
      <x:c r="A47" s="17" t="str">
        <x:v>MA-0052</x:v>
      </x:c>
      <x:c r="B47" s="17" t="str">
        <x:v>100</x:v>
      </x:c>
      <x:c r="C47" s="17" t="str">
        <x:v>WC-100-05</x:v>
      </x:c>
      <x:c r="D47" s="17" t="str">
        <x:v>End-of-line dynamometer — Grand Rapids Test</x:v>
      </x:c>
      <x:c r="E47" s="17" t="str">
        <x:v>Test</x:v>
      </x:c>
      <x:c r="F47" s="17" t="str">
        <x:v>B</x:v>
      </x:c>
      <x:c r="G47" s="18" t="n">
        <x:v>5</x:v>
      </x:c>
      <x:c r="H47" s="18" t="n">
        <x:v>29</x:v>
      </x:c>
      <x:c r="I47" s="18" t="n">
        <x:v>19690</x:v>
      </x:c>
    </x:row>
    <x:row r="48">
      <x:c r="A48" s="17" t="str">
        <x:v>MA-0078</x:v>
      </x:c>
      <x:c r="B48" s="17" t="str">
        <x:v>300</x:v>
      </x:c>
      <x:c r="C48" s="17" t="str">
        <x:v>WC-300-03</x:v>
      </x:c>
      <x:c r="D48" s="17" t="str">
        <x:v>Automated storage crane — Greenville Panel Build B</x:v>
      </x:c>
      <x:c r="E48" s="17" t="str">
        <x:v>Material Handling</x:v>
      </x:c>
      <x:c r="F48" s="17" t="str">
        <x:v>A</x:v>
      </x:c>
      <x:c r="G48" s="18" t="n">
        <x:v>6</x:v>
      </x:c>
      <x:c r="H48" s="18" t="n">
        <x:v>28.5</x:v>
      </x:c>
      <x:c r="I48" s="18" t="n">
        <x:v>28295</x:v>
      </x:c>
    </x:row>
    <x:row r="49">
      <x:c r="A49" s="17" t="str">
        <x:v>MA-0002</x:v>
      </x:c>
      <x:c r="B49" s="17" t="str">
        <x:v>200</x:v>
      </x:c>
      <x:c r="C49" s="17" t="str">
        <x:v>WC-200-07</x:v>
      </x:c>
      <x:c r="D49" s="17" t="str">
        <x:v>End-of-line dynamometer — Dayton Inspection</x:v>
      </x:c>
      <x:c r="E49" s="17" t="str">
        <x:v>Test</x:v>
      </x:c>
      <x:c r="F49" s="17" t="str">
        <x:v>C</x:v>
      </x:c>
      <x:c r="G49" s="18" t="n">
        <x:v>5</x:v>
      </x:c>
      <x:c r="H49" s="18" t="n">
        <x:v>28.25</x:v>
      </x:c>
      <x:c r="I49" s="18" t="n">
        <x:v>20090</x:v>
      </x:c>
    </x:row>
    <x:row r="50">
      <x:c r="A50" s="17" t="str">
        <x:v>MA-0076</x:v>
      </x:c>
      <x:c r="B50" s="17" t="str">
        <x:v>100</x:v>
      </x:c>
      <x:c r="C50" s="17" t="str">
        <x:v>WC-100-05</x:v>
      </x:c>
      <x:c r="D50" s="17" t="str">
        <x:v>Robotic assembly cell — Grand Rapids Test</x:v>
      </x:c>
      <x:c r="E50" s="17" t="str">
        <x:v>Assembly</x:v>
      </x:c>
      <x:c r="F50" s="17" t="str">
        <x:v>B</x:v>
      </x:c>
      <x:c r="G50" s="18" t="n">
        <x:v>4</x:v>
      </x:c>
      <x:c r="H50" s="18" t="n">
        <x:v>27.25</x:v>
      </x:c>
      <x:c r="I50" s="18" t="n">
        <x:v>18585</x:v>
      </x:c>
    </x:row>
    <x:row r="51">
      <x:c r="A51" s="17" t="str">
        <x:v>MA-0006</x:v>
      </x:c>
      <x:c r="B51" s="17" t="str">
        <x:v>300</x:v>
      </x:c>
      <x:c r="C51" s="17" t="str">
        <x:v>WC-300-03</x:v>
      </x:c>
      <x:c r="D51" s="17" t="str">
        <x:v>Servo press station — Greenville Panel Build B</x:v>
      </x:c>
      <x:c r="E51" s="17" t="str">
        <x:v>Assembly</x:v>
      </x:c>
      <x:c r="F51" s="17" t="str">
        <x:v>A</x:v>
      </x:c>
      <x:c r="G51" s="18" t="n">
        <x:v>4</x:v>
      </x:c>
      <x:c r="H51" s="18" t="n">
        <x:v>25.75</x:v>
      </x:c>
      <x:c r="I51" s="18" t="n">
        <x:v>18805</x:v>
      </x:c>
    </x:row>
    <x:row r="52">
      <x:c r="A52" s="17" t="str">
        <x:v>MA-0036</x:v>
      </x:c>
      <x:c r="B52" s="17" t="str">
        <x:v>200</x:v>
      </x:c>
      <x:c r="C52" s="17" t="str">
        <x:v>WC-200-05</x:v>
      </x:c>
      <x:c r="D52" s="17" t="str">
        <x:v>Torque-controlled assembly station — Dayton Gear Cut</x:v>
      </x:c>
      <x:c r="E52" s="17" t="str">
        <x:v>Assembly</x:v>
      </x:c>
      <x:c r="F52" s="17" t="str">
        <x:v>A</x:v>
      </x:c>
      <x:c r="G52" s="18" t="n">
        <x:v>4</x:v>
      </x:c>
      <x:c r="H52" s="18" t="n">
        <x:v>25.75</x:v>
      </x:c>
      <x:c r="I52" s="18" t="n">
        <x:v>16870</x:v>
      </x:c>
    </x:row>
    <x:row r="53">
      <x:c r="A53" s="17" t="str">
        <x:v>MA-0050</x:v>
      </x:c>
      <x:c r="B53" s="17" t="str">
        <x:v>200</x:v>
      </x:c>
      <x:c r="C53" s="17" t="str">
        <x:v>WC-200-07</x:v>
      </x:c>
      <x:c r="D53" s="17" t="str">
        <x:v>Horizontal machining center — Dayton Inspection</x:v>
      </x:c>
      <x:c r="E53" s="17" t="str">
        <x:v>CNC</x:v>
      </x:c>
      <x:c r="F53" s="17" t="str">
        <x:v>C</x:v>
      </x:c>
      <x:c r="G53" s="18" t="n">
        <x:v>4</x:v>
      </x:c>
      <x:c r="H53" s="18" t="n">
        <x:v>25.75</x:v>
      </x:c>
      <x:c r="I53" s="18" t="n">
        <x:v>18340</x:v>
      </x:c>
    </x:row>
    <x:row r="54">
      <x:c r="A54" s="17" t="str">
        <x:v>MA-0084</x:v>
      </x:c>
      <x:c r="B54" s="17" t="str">
        <x:v>200</x:v>
      </x:c>
      <x:c r="C54" s="17" t="str">
        <x:v>WC-200-05</x:v>
      </x:c>
      <x:c r="D54" s="17" t="str">
        <x:v>Process chiller — Dayton Gear Cut</x:v>
      </x:c>
      <x:c r="E54" s="17" t="str">
        <x:v>Facility</x:v>
      </x:c>
      <x:c r="F54" s="17" t="str">
        <x:v>A</x:v>
      </x:c>
      <x:c r="G54" s="18" t="n">
        <x:v>5</x:v>
      </x:c>
      <x:c r="H54" s="18" t="n">
        <x:v>25.25</x:v>
      </x:c>
      <x:c r="I54" s="18" t="n">
        <x:v>21285</x:v>
      </x:c>
    </x:row>
    <x:row r="55">
      <x:c r="A55" s="17" t="str">
        <x:v>MA-0030</x:v>
      </x:c>
      <x:c r="B55" s="17" t="str">
        <x:v>300</x:v>
      </x:c>
      <x:c r="C55" s="17" t="str">
        <x:v>WC-300-03</x:v>
      </x:c>
      <x:c r="D55" s="17" t="str">
        <x:v>Vertical machining center — Greenville Panel Build B</x:v>
      </x:c>
      <x:c r="E55" s="17" t="str">
        <x:v>CNC</x:v>
      </x:c>
      <x:c r="F55" s="17" t="str">
        <x:v>A</x:v>
      </x:c>
      <x:c r="G55" s="18" t="n">
        <x:v>4</x:v>
      </x:c>
      <x:c r="H55" s="18" t="n">
        <x:v>25</x:v>
      </x:c>
      <x:c r="I55" s="18" t="n">
        <x:v>14970</x:v>
      </x:c>
    </x:row>
    <x:row r="56">
      <x:c r="A56" s="17" t="str">
        <x:v>MA-0120</x:v>
      </x:c>
      <x:c r="B56" s="17" t="str">
        <x:v>100</x:v>
      </x:c>
      <x:c r="C56" s="17" t="str">
        <x:v>WC-100-01</x:v>
      </x:c>
      <x:c r="D56" s="17" t="str">
        <x:v>Precision grinding center — Grand Rapids Kitting</x:v>
      </x:c>
      <x:c r="E56" s="17" t="str">
        <x:v>CNC</x:v>
      </x:c>
      <x:c r="F56" s="17" t="str">
        <x:v>A</x:v>
      </x:c>
      <x:c r="G56" s="18" t="n">
        <x:v>4</x:v>
      </x:c>
      <x:c r="H56" s="18" t="n">
        <x:v>25</x:v>
      </x:c>
      <x:c r="I56" s="18" t="n">
        <x:v>15490</x:v>
      </x:c>
    </x:row>
    <x:row r="57">
      <x:c r="A57" s="17" t="str">
        <x:v>MA-0114</x:v>
      </x:c>
      <x:c r="B57" s="17" t="str">
        <x:v>100</x:v>
      </x:c>
      <x:c r="C57" s="17" t="str">
        <x:v>WC-100-07</x:v>
      </x:c>
      <x:c r="D57" s="17" t="str">
        <x:v>Dust collection system — Grand Rapids Systems Integration</x:v>
      </x:c>
      <x:c r="E57" s="17" t="str">
        <x:v>Facility</x:v>
      </x:c>
      <x:c r="F57" s="17" t="str">
        <x:v>A</x:v>
      </x:c>
      <x:c r="G57" s="18" t="n">
        <x:v>5</x:v>
      </x:c>
      <x:c r="H57" s="18" t="n">
        <x:v>23.75</x:v>
      </x:c>
      <x:c r="I57" s="18" t="n">
        <x:v>25965</x:v>
      </x:c>
    </x:row>
    <x:row r="58">
      <x:c r="A58" s="17" t="str">
        <x:v>MA-0116</x:v>
      </x:c>
      <x:c r="B58" s="17" t="str">
        <x:v>300</x:v>
      </x:c>
      <x:c r="C58" s="17" t="str">
        <x:v>WC-300-05</x:v>
      </x:c>
      <x:c r="D58" s="17" t="str">
        <x:v>Final assembly conveyor — Greenville Programming</x:v>
      </x:c>
      <x:c r="E58" s="17" t="str">
        <x:v>Assembly</x:v>
      </x:c>
      <x:c r="F58" s="17" t="str">
        <x:v>C</x:v>
      </x:c>
      <x:c r="G58" s="18" t="n">
        <x:v>5</x:v>
      </x:c>
      <x:c r="H58" s="18" t="n">
        <x:v>22.25</x:v>
      </x:c>
      <x:c r="I58" s="18" t="n">
        <x:v>21075</x:v>
      </x:c>
    </x:row>
    <x:row r="59">
      <x:c r="A59" s="17" t="str">
        <x:v>MA-0046</x:v>
      </x:c>
      <x:c r="B59" s="17" t="str">
        <x:v>200</x:v>
      </x:c>
      <x:c r="C59" s="17" t="str">
        <x:v>WC-200-03</x:v>
      </x:c>
      <x:c r="D59" s="17" t="str">
        <x:v>Subassembly workcell — Dayton CNC Mill B</x:v>
      </x:c>
      <x:c r="E59" s="17" t="str">
        <x:v>Assembly</x:v>
      </x:c>
      <x:c r="F59" s="17" t="str">
        <x:v>B</x:v>
      </x:c>
      <x:c r="G59" s="18" t="n">
        <x:v>4</x:v>
      </x:c>
      <x:c r="H59" s="18" t="n">
        <x:v>19.75</x:v>
      </x:c>
      <x:c r="I59" s="18" t="n">
        <x:v>18405</x:v>
      </x:c>
    </x:row>
    <x:row r="60">
      <x:c r="A60" s="17" t="str">
        <x:v>MA-0040</x:v>
      </x:c>
      <x:c r="B60" s="17" t="str">
        <x:v>300</x:v>
      </x:c>
      <x:c r="C60" s="17" t="str">
        <x:v>WC-300-01</x:v>
      </x:c>
      <x:c r="D60" s="17" t="str">
        <x:v>Gear hobbing center — Greenville PCB Prep</x:v>
      </x:c>
      <x:c r="E60" s="17" t="str">
        <x:v>CNC</x:v>
      </x:c>
      <x:c r="F60" s="17" t="str">
        <x:v>B</x:v>
      </x:c>
      <x:c r="G60" s="18" t="n">
        <x:v>4</x:v>
      </x:c>
      <x:c r="H60" s="18" t="n">
        <x:v>19</x:v>
      </x:c>
      <x:c r="I60" s="18" t="n">
        <x:v>16805</x:v>
      </x:c>
    </x:row>
    <x:row r="61">
      <x:c r="A61" s="17" t="str">
        <x:v>MA-0070</x:v>
      </x:c>
      <x:c r="B61" s="17" t="str">
        <x:v>200</x:v>
      </x:c>
      <x:c r="C61" s="17" t="str">
        <x:v>WC-200-03</x:v>
      </x:c>
      <x:c r="D61" s="17" t="str">
        <x:v>Precision grinding center — Dayton CNC Mill B</x:v>
      </x:c>
      <x:c r="E61" s="17" t="str">
        <x:v>CNC</x:v>
      </x:c>
      <x:c r="F61" s="17" t="str">
        <x:v>B</x:v>
      </x:c>
      <x:c r="G61" s="18" t="n">
        <x:v>3</x:v>
      </x:c>
      <x:c r="H61" s="18" t="n">
        <x:v>15</x:v>
      </x:c>
      <x:c r="I61" s="18" t="n">
        <x:v>12725</x:v>
      </x:c>
    </x:row>
    <x:row r="62">
      <x:c r="A62" s="17" t="str">
        <x:v>MA-0001</x:v>
      </x:c>
      <x:c r="B62" s="17" t="str">
        <x:v>100</x:v>
      </x:c>
      <x:c r="C62" s="17" t="str">
        <x:v>WC-100-08</x:v>
      </x:c>
      <x:c r="D62" s="17" t="str">
        <x:v>Robotic assembly cell — Grand Rapids Pack</x:v>
      </x:c>
      <x:c r="E62" s="17" t="str">
        <x:v>Assembly</x:v>
      </x:c>
      <x:c r="F62" s="17" t="str">
        <x:v>B</x:v>
      </x:c>
      <x:c r="G62" s="18" t="n">
        <x:v>5</x:v>
      </x:c>
      <x:c r="H62" s="18" t="n">
        <x:v>0</x:v>
      </x:c>
      <x:c r="I62" s="18" t="n">
        <x:v>19210</x:v>
      </x:c>
    </x:row>
    <x:row r="63">
      <x:c r="A63" s="17" t="str">
        <x:v>MA-0003</x:v>
      </x:c>
      <x:c r="B63" s="17" t="str">
        <x:v>300</x:v>
      </x:c>
      <x:c r="C63" s="17" t="str">
        <x:v>WC-300-06</x:v>
      </x:c>
      <x:c r="D63" s="17" t="str">
        <x:v>Automated storage crane — Greenville Electrical Test</x:v>
      </x:c>
      <x:c r="E63" s="17" t="str">
        <x:v>Material Handling</x:v>
      </x:c>
      <x:c r="F63" s="17" t="str">
        <x:v>A</x:v>
      </x:c>
      <x:c r="G63" s="18" t="n">
        <x:v>4</x:v>
      </x:c>
      <x:c r="H63" s="18" t="n">
        <x:v>0</x:v>
      </x:c>
      <x:c r="I63" s="18" t="n">
        <x:v>16240</x:v>
      </x:c>
    </x:row>
    <x:row r="64">
      <x:c r="A64" s="17" t="str">
        <x:v>MA-0005</x:v>
      </x:c>
      <x:c r="B64" s="17" t="str">
        <x:v>200</x:v>
      </x:c>
      <x:c r="C64" s="17" t="str">
        <x:v>WC-200-04</x:v>
      </x:c>
      <x:c r="D64" s="17" t="str">
        <x:v>Vertical machining center — Dayton CNC Turn</x:v>
      </x:c>
      <x:c r="E64" s="17" t="str">
        <x:v>CNC</x:v>
      </x:c>
      <x:c r="F64" s="17" t="str">
        <x:v>C</x:v>
      </x:c>
      <x:c r="G64" s="18" t="n">
        <x:v>6</x:v>
      </x:c>
      <x:c r="H64" s="18" t="n">
        <x:v>0</x:v>
      </x:c>
      <x:c r="I64" s="18" t="n">
        <x:v>26675</x:v>
      </x:c>
    </x:row>
    <x:row r="65">
      <x:c r="A65" s="17" t="str">
        <x:v>MA-0007</x:v>
      </x:c>
      <x:c r="B65" s="17" t="str">
        <x:v>100</x:v>
      </x:c>
      <x:c r="C65" s="17" t="str">
        <x:v>WC-100-02</x:v>
      </x:c>
      <x:c r="D65" s="17" t="str">
        <x:v>Electrical test bench — Grand Rapids Subassembly</x:v>
      </x:c>
      <x:c r="E65" s="17" t="str">
        <x:v>Test</x:v>
      </x:c>
      <x:c r="F65" s="17" t="str">
        <x:v>B</x:v>
      </x:c>
      <x:c r="G65" s="18" t="n">
        <x:v>4</x:v>
      </x:c>
      <x:c r="H65" s="18" t="n">
        <x:v>0</x:v>
      </x:c>
      <x:c r="I65" s="18" t="n">
        <x:v>15875</x:v>
      </x:c>
    </x:row>
    <x:row r="66">
      <x:c r="A66" s="17" t="str">
        <x:v>MA-0009</x:v>
      </x:c>
      <x:c r="B66" s="17" t="str">
        <x:v>200</x:v>
      </x:c>
      <x:c r="C66" s="17" t="str">
        <x:v>WC-200-08</x:v>
      </x:c>
      <x:c r="D66" s="17" t="str">
        <x:v>Process chiller — Dayton Outside Process</x:v>
      </x:c>
      <x:c r="E66" s="17" t="str">
        <x:v>Facility</x:v>
      </x:c>
      <x:c r="F66" s="17" t="str">
        <x:v>A</x:v>
      </x:c>
      <x:c r="G66" s="18" t="n">
        <x:v>6</x:v>
      </x:c>
      <x:c r="H66" s="18" t="n">
        <x:v>0</x:v>
      </x:c>
      <x:c r="I66" s="18" t="n">
        <x:v>28635</x:v>
      </x:c>
    </x:row>
    <x:row r="67">
      <x:c r="A67" s="17" t="str">
        <x:v>MA-0011</x:v>
      </x:c>
      <x:c r="B67" s="17" t="str">
        <x:v>100</x:v>
      </x:c>
      <x:c r="C67" s="17" t="str">
        <x:v>WC-100-06</x:v>
      </x:c>
      <x:c r="D67" s="17" t="str">
        <x:v>Torque-controlled assembly station — Grand Rapids Paint</x:v>
      </x:c>
      <x:c r="E67" s="17" t="str">
        <x:v>Assembly</x:v>
      </x:c>
      <x:c r="F67" s="17" t="str">
        <x:v>C</x:v>
      </x:c>
      <x:c r="G67" s="18" t="n">
        <x:v>5</x:v>
      </x:c>
      <x:c r="H67" s="18" t="n">
        <x:v>0</x:v>
      </x:c>
      <x:c r="I67" s="18" t="n">
        <x:v>22000</x:v>
      </x:c>
    </x:row>
    <x:row r="68">
      <x:c r="A68" s="17" t="str">
        <x:v>MA-0013</x:v>
      </x:c>
      <x:c r="B68" s="17" t="str">
        <x:v>300</x:v>
      </x:c>
      <x:c r="C68" s="17" t="str">
        <x:v>WC-300-04</x:v>
      </x:c>
      <x:c r="D68" s="17" t="str">
        <x:v>Dock lift — Greenville Wiring</x:v>
      </x:c>
      <x:c r="E68" s="17" t="str">
        <x:v>Material Handling</x:v>
      </x:c>
      <x:c r="F68" s="17" t="str">
        <x:v>B</x:v>
      </x:c>
      <x:c r="G68" s="18" t="n">
        <x:v>4</x:v>
      </x:c>
      <x:c r="H68" s="18" t="n">
        <x:v>0</x:v>
      </x:c>
      <x:c r="I68" s="18" t="n">
        <x:v>14555</x:v>
      </x:c>
    </x:row>
    <x:row r="69">
      <x:c r="A69" s="17" t="str">
        <x:v>MA-0015</x:v>
      </x:c>
      <x:c r="B69" s="17" t="str">
        <x:v>200</x:v>
      </x:c>
      <x:c r="C69" s="17" t="str">
        <x:v>WC-200-02</x:v>
      </x:c>
      <x:c r="D69" s="17" t="str">
        <x:v>Gear hobbing center — Dayton CNC Mill A</x:v>
      </x:c>
      <x:c r="E69" s="17" t="str">
        <x:v>CNC</x:v>
      </x:c>
      <x:c r="F69" s="17" t="str">
        <x:v>A</x:v>
      </x:c>
      <x:c r="G69" s="18" t="n">
        <x:v>6</x:v>
      </x:c>
      <x:c r="H69" s="18" t="n">
        <x:v>0</x:v>
      </x:c>
      <x:c r="I69" s="18" t="n">
        <x:v>25005</x:v>
      </x:c>
    </x:row>
    <x:row r="70">
      <x:c r="A70" s="17" t="str">
        <x:v>MA-0017</x:v>
      </x:c>
      <x:c r="B70" s="17" t="str">
        <x:v>300</x:v>
      </x:c>
      <x:c r="C70" s="17" t="str">
        <x:v>WC-300-08</x:v>
      </x:c>
      <x:c r="D70" s="17" t="str">
        <x:v>Burn-in test rack — Greenville Pack</x:v>
      </x:c>
      <x:c r="E70" s="17" t="str">
        <x:v>Test</x:v>
      </x:c>
      <x:c r="F70" s="17" t="str">
        <x:v>C</x:v>
      </x:c>
      <x:c r="G70" s="18" t="n">
        <x:v>4</x:v>
      </x:c>
      <x:c r="H70" s="18" t="n">
        <x:v>0</x:v>
      </x:c>
      <x:c r="I70" s="18" t="n">
        <x:v>17710</x:v>
      </x:c>
    </x:row>
    <x:row r="71">
      <x:c r="A71" s="17" t="str">
        <x:v>MA-0019</x:v>
      </x:c>
      <x:c r="B71" s="17" t="str">
        <x:v>200</x:v>
      </x:c>
      <x:c r="C71" s="17" t="str">
        <x:v>WC-200-06</x:v>
      </x:c>
      <x:c r="D71" s="17" t="str">
        <x:v>Emergency generator — Dayton Deburr</x:v>
      </x:c>
      <x:c r="E71" s="17" t="str">
        <x:v>Facility</x:v>
      </x:c>
      <x:c r="F71" s="17" t="str">
        <x:v>B</x:v>
      </x:c>
      <x:c r="G71" s="18" t="n">
        <x:v>5</x:v>
      </x:c>
      <x:c r="H71" s="18" t="n">
        <x:v>0</x:v>
      </x:c>
      <x:c r="I71" s="18" t="n">
        <x:v>22865</x:v>
      </x:c>
    </x:row>
    <x:row r="72">
      <x:c r="A72" s="17" t="str">
        <x:v>MA-0021</x:v>
      </x:c>
      <x:c r="B72" s="17" t="str">
        <x:v>100</x:v>
      </x:c>
      <x:c r="C72" s="17" t="str">
        <x:v>WC-100-04</x:v>
      </x:c>
      <x:c r="D72" s="17" t="str">
        <x:v>Subassembly workcell — Grand Rapids Final Assembly B</x:v>
      </x:c>
      <x:c r="E72" s="17" t="str">
        <x:v>Assembly</x:v>
      </x:c>
      <x:c r="F72" s="17" t="str">
        <x:v>A</x:v>
      </x:c>
      <x:c r="G72" s="18" t="n">
        <x:v>5</x:v>
      </x:c>
      <x:c r="H72" s="18" t="n">
        <x:v>0</x:v>
      </x:c>
      <x:c r="I72" s="18" t="n">
        <x:v>22595</x:v>
      </x:c>
    </x:row>
    <x:row r="73">
      <x:c r="A73" s="17" t="str">
        <x:v>MA-0023</x:v>
      </x:c>
      <x:c r="B73" s="17" t="str">
        <x:v>300</x:v>
      </x:c>
      <x:c r="C73" s="17" t="str">
        <x:v>WC-300-02</x:v>
      </x:c>
      <x:c r="D73" s="17" t="str">
        <x:v>Overhead material hoist — Greenville Panel Build A</x:v>
      </x:c>
      <x:c r="E73" s="17" t="str">
        <x:v>Material Handling</x:v>
      </x:c>
      <x:c r="F73" s="17" t="str">
        <x:v>C</x:v>
      </x:c>
      <x:c r="G73" s="18" t="n">
        <x:v>4</x:v>
      </x:c>
      <x:c r="H73" s="18" t="n">
        <x:v>0</x:v>
      </x:c>
      <x:c r="I73" s="18" t="n">
        <x:v>17805</x:v>
      </x:c>
    </x:row>
    <x:row r="74">
      <x:c r="A74" s="17" t="str">
        <x:v>MA-0025</x:v>
      </x:c>
      <x:c r="B74" s="17" t="str">
        <x:v>100</x:v>
      </x:c>
      <x:c r="C74" s="17" t="str">
        <x:v>WC-100-08</x:v>
      </x:c>
      <x:c r="D74" s="17" t="str">
        <x:v>Horizontal machining center — Grand Rapids Pack</x:v>
      </x:c>
      <x:c r="E74" s="17" t="str">
        <x:v>CNC</x:v>
      </x:c>
      <x:c r="F74" s="17" t="str">
        <x:v>B</x:v>
      </x:c>
      <x:c r="G74" s="18" t="n">
        <x:v>5</x:v>
      </x:c>
      <x:c r="H74" s="18" t="n">
        <x:v>0</x:v>
      </x:c>
      <x:c r="I74" s="18" t="n">
        <x:v>17645</x:v>
      </x:c>
    </x:row>
    <x:row r="75">
      <x:c r="A75" s="17" t="str">
        <x:v>MA-0027</x:v>
      </x:c>
      <x:c r="B75" s="17" t="str">
        <x:v>300</x:v>
      </x:c>
      <x:c r="C75" s="17" t="str">
        <x:v>WC-300-06</x:v>
      </x:c>
      <x:c r="D75" s="17" t="str">
        <x:v>End-of-line dynamometer — Greenville Electrical Test</x:v>
      </x:c>
      <x:c r="E75" s="17" t="str">
        <x:v>Test</x:v>
      </x:c>
      <x:c r="F75" s="17" t="str">
        <x:v>A</x:v>
      </x:c>
      <x:c r="G75" s="18" t="n">
        <x:v>5</x:v>
      </x:c>
      <x:c r="H75" s="18" t="n">
        <x:v>0</x:v>
      </x:c>
      <x:c r="I75" s="18" t="n">
        <x:v>16555</x:v>
      </x:c>
    </x:row>
    <x:row r="76">
      <x:c r="A76" s="17" t="str">
        <x:v>MA-0029</x:v>
      </x:c>
      <x:c r="B76" s="17" t="str">
        <x:v>200</x:v>
      </x:c>
      <x:c r="C76" s="17" t="str">
        <x:v>WC-200-04</x:v>
      </x:c>
      <x:c r="D76" s="17" t="str">
        <x:v>Plant air compressor — Dayton CNC Turn</x:v>
      </x:c>
      <x:c r="E76" s="17" t="str">
        <x:v>Facility</x:v>
      </x:c>
      <x:c r="F76" s="17" t="str">
        <x:v>C</x:v>
      </x:c>
      <x:c r="G76" s="18" t="n">
        <x:v>5</x:v>
      </x:c>
      <x:c r="H76" s="18" t="n">
        <x:v>0</x:v>
      </x:c>
      <x:c r="I76" s="18" t="n">
        <x:v>23850</x:v>
      </x:c>
    </x:row>
    <x:row r="77">
      <x:c r="A77" s="17" t="str">
        <x:v>MA-0031</x:v>
      </x:c>
      <x:c r="B77" s="17" t="str">
        <x:v>100</x:v>
      </x:c>
      <x:c r="C77" s="17" t="str">
        <x:v>WC-100-02</x:v>
      </x:c>
      <x:c r="D77" s="17" t="str">
        <x:v>Servo press station — Grand Rapids Subassembly</x:v>
      </x:c>
      <x:c r="E77" s="17" t="str">
        <x:v>Assembly</x:v>
      </x:c>
      <x:c r="F77" s="17" t="str">
        <x:v>B</x:v>
      </x:c>
      <x:c r="G77" s="18" t="n">
        <x:v>5</x:v>
      </x:c>
      <x:c r="H77" s="18" t="n">
        <x:v>0</x:v>
      </x:c>
      <x:c r="I77" s="18" t="n">
        <x:v>21775</x:v>
      </x:c>
    </x:row>
    <x:row r="78">
      <x:c r="A78" s="17" t="str">
        <x:v>MA-0033</x:v>
      </x:c>
      <x:c r="B78" s="17" t="str">
        <x:v>200</x:v>
      </x:c>
      <x:c r="C78" s="17" t="str">
        <x:v>WC-200-08</x:v>
      </x:c>
      <x:c r="D78" s="17" t="str">
        <x:v>Powered roller conveyor — Dayton Outside Process</x:v>
      </x:c>
      <x:c r="E78" s="17" t="str">
        <x:v>Material Handling</x:v>
      </x:c>
      <x:c r="F78" s="17" t="str">
        <x:v>A</x:v>
      </x:c>
      <x:c r="G78" s="18" t="n">
        <x:v>4</x:v>
      </x:c>
      <x:c r="H78" s="18" t="n">
        <x:v>0</x:v>
      </x:c>
      <x:c r="I78" s="18" t="n">
        <x:v>19340</x:v>
      </x:c>
    </x:row>
    <x:row r="79">
      <x:c r="A79" s="17" t="str">
        <x:v>MA-0035</x:v>
      </x:c>
      <x:c r="B79" s="17" t="str">
        <x:v>100</x:v>
      </x:c>
      <x:c r="C79" s="17" t="str">
        <x:v>WC-100-06</x:v>
      </x:c>
      <x:c r="D79" s="17" t="str">
        <x:v>CNC turning center — Grand Rapids Paint</x:v>
      </x:c>
      <x:c r="E79" s="17" t="str">
        <x:v>CNC</x:v>
      </x:c>
      <x:c r="F79" s="17" t="str">
        <x:v>C</x:v>
      </x:c>
      <x:c r="G79" s="18" t="n">
        <x:v>5</x:v>
      </x:c>
      <x:c r="H79" s="18" t="n">
        <x:v>0</x:v>
      </x:c>
      <x:c r="I79" s="18" t="n">
        <x:v>23655</x:v>
      </x:c>
    </x:row>
    <x:row r="80">
      <x:c r="A80" s="17" t="str">
        <x:v>MA-0037</x:v>
      </x:c>
      <x:c r="B80" s="17" t="str">
        <x:v>300</x:v>
      </x:c>
      <x:c r="C80" s="17" t="str">
        <x:v>WC-300-04</x:v>
      </x:c>
      <x:c r="D80" s="17" t="str">
        <x:v>Leak-test station — Greenville Wiring</x:v>
      </x:c>
      <x:c r="E80" s="17" t="str">
        <x:v>Test</x:v>
      </x:c>
      <x:c r="F80" s="17" t="str">
        <x:v>B</x:v>
      </x:c>
      <x:c r="G80" s="18" t="n">
        <x:v>5</x:v>
      </x:c>
      <x:c r="H80" s="18" t="n">
        <x:v>0</x:v>
      </x:c>
      <x:c r="I80" s="18" t="n">
        <x:v>19465</x:v>
      </x:c>
    </x:row>
    <x:row r="81">
      <x:c r="A81" s="17" t="str">
        <x:v>MA-0039</x:v>
      </x:c>
      <x:c r="B81" s="17" t="str">
        <x:v>200</x:v>
      </x:c>
      <x:c r="C81" s="17" t="str">
        <x:v>WC-200-02</x:v>
      </x:c>
      <x:c r="D81" s="17" t="str">
        <x:v>Dust collection system — Dayton CNC Mill A</x:v>
      </x:c>
      <x:c r="E81" s="17" t="str">
        <x:v>Facility</x:v>
      </x:c>
      <x:c r="F81" s="17" t="str">
        <x:v>A</x:v>
      </x:c>
      <x:c r="G81" s="18" t="n">
        <x:v>5</x:v>
      </x:c>
      <x:c r="H81" s="18" t="n">
        <x:v>0</x:v>
      </x:c>
      <x:c r="I81" s="18" t="n">
        <x:v>23120</x:v>
      </x:c>
    </x:row>
    <x:row r="82">
      <x:c r="A82" s="17" t="str">
        <x:v>MA-0041</x:v>
      </x:c>
      <x:c r="B82" s="17" t="str">
        <x:v>300</x:v>
      </x:c>
      <x:c r="C82" s="17" t="str">
        <x:v>WC-300-08</x:v>
      </x:c>
      <x:c r="D82" s="17" t="str">
        <x:v>Final assembly conveyor — Greenville Pack</x:v>
      </x:c>
      <x:c r="E82" s="17" t="str">
        <x:v>Assembly</x:v>
      </x:c>
      <x:c r="F82" s="17" t="str">
        <x:v>C</x:v>
      </x:c>
      <x:c r="G82" s="18" t="n">
        <x:v>5</x:v>
      </x:c>
      <x:c r="H82" s="18" t="n">
        <x:v>0</x:v>
      </x:c>
      <x:c r="I82" s="18" t="n">
        <x:v>24565</x:v>
      </x:c>
    </x:row>
    <x:row r="83">
      <x:c r="A83" s="17" t="str">
        <x:v>MA-0043</x:v>
      </x:c>
      <x:c r="B83" s="17" t="str">
        <x:v>200</x:v>
      </x:c>
      <x:c r="C83" s="17" t="str">
        <x:v>WC-200-06</x:v>
      </x:c>
      <x:c r="D83" s="17" t="str">
        <x:v>Pallet transfer system — Dayton Deburr</x:v>
      </x:c>
      <x:c r="E83" s="17" t="str">
        <x:v>Material Handling</x:v>
      </x:c>
      <x:c r="F83" s="17" t="str">
        <x:v>B</x:v>
      </x:c>
      <x:c r="G83" s="18" t="n">
        <x:v>5</x:v>
      </x:c>
      <x:c r="H83" s="18" t="n">
        <x:v>0</x:v>
      </x:c>
      <x:c r="I83" s="18" t="n">
        <x:v>21210</x:v>
      </x:c>
    </x:row>
    <x:row r="84">
      <x:c r="A84" s="17" t="str">
        <x:v>MA-0045</x:v>
      </x:c>
      <x:c r="B84" s="17" t="str">
        <x:v>100</x:v>
      </x:c>
      <x:c r="C84" s="17" t="str">
        <x:v>WC-100-04</x:v>
      </x:c>
      <x:c r="D84" s="17" t="str">
        <x:v>Precision grinding center — Grand Rapids Final Assembly B</x:v>
      </x:c>
      <x:c r="E84" s="17" t="str">
        <x:v>CNC</x:v>
      </x:c>
      <x:c r="F84" s="17" t="str">
        <x:v>A</x:v>
      </x:c>
      <x:c r="G84" s="18" t="n">
        <x:v>5</x:v>
      </x:c>
      <x:c r="H84" s="18" t="n">
        <x:v>0</x:v>
      </x:c>
      <x:c r="I84" s="18" t="n">
        <x:v>26055</x:v>
      </x:c>
    </x:row>
    <x:row r="85">
      <x:c r="A85" s="17" t="str">
        <x:v>MA-0047</x:v>
      </x:c>
      <x:c r="B85" s="17" t="str">
        <x:v>300</x:v>
      </x:c>
      <x:c r="C85" s="17" t="str">
        <x:v>WC-300-02</x:v>
      </x:c>
      <x:c r="D85" s="17" t="str">
        <x:v>Calibration stand — Greenville Panel Build A</x:v>
      </x:c>
      <x:c r="E85" s="17" t="str">
        <x:v>Test</x:v>
      </x:c>
      <x:c r="F85" s="17" t="str">
        <x:v>C</x:v>
      </x:c>
      <x:c r="G85" s="18" t="n">
        <x:v>5</x:v>
      </x:c>
      <x:c r="H85" s="18" t="n">
        <x:v>0</x:v>
      </x:c>
      <x:c r="I85" s="18" t="n">
        <x:v>21865</x:v>
      </x:c>
    </x:row>
    <x:row r="86">
      <x:c r="A86" s="17" t="str">
        <x:v>MA-0049</x:v>
      </x:c>
      <x:c r="B86" s="17" t="str">
        <x:v>100</x:v>
      </x:c>
      <x:c r="C86" s="17" t="str">
        <x:v>WC-100-08</x:v>
      </x:c>
      <x:c r="D86" s="17" t="str">
        <x:v>Main electrical switchgear — Grand Rapids Pack</x:v>
      </x:c>
      <x:c r="E86" s="17" t="str">
        <x:v>Facility</x:v>
      </x:c>
      <x:c r="F86" s="17" t="str">
        <x:v>B</x:v>
      </x:c>
      <x:c r="G86" s="18" t="n">
        <x:v>4</x:v>
      </x:c>
      <x:c r="H86" s="18" t="n">
        <x:v>0</x:v>
      </x:c>
      <x:c r="I86" s="18" t="n">
        <x:v>14530</x:v>
      </x:c>
    </x:row>
    <x:row r="87">
      <x:c r="A87" s="17" t="str">
        <x:v>MA-0051</x:v>
      </x:c>
      <x:c r="B87" s="17" t="str">
        <x:v>300</x:v>
      </x:c>
      <x:c r="C87" s="17" t="str">
        <x:v>WC-300-06</x:v>
      </x:c>
      <x:c r="D87" s="17" t="str">
        <x:v>Robotic assembly cell — Greenville Electrical Test</x:v>
      </x:c>
      <x:c r="E87" s="17" t="str">
        <x:v>Assembly</x:v>
      </x:c>
      <x:c r="F87" s="17" t="str">
        <x:v>A</x:v>
      </x:c>
      <x:c r="G87" s="18" t="n">
        <x:v>5</x:v>
      </x:c>
      <x:c r="H87" s="18" t="n">
        <x:v>0</x:v>
      </x:c>
      <x:c r="I87" s="18" t="n">
        <x:v>21940</x:v>
      </x:c>
    </x:row>
    <x:row r="88">
      <x:c r="A88" s="17" t="str">
        <x:v>MA-0053</x:v>
      </x:c>
      <x:c r="B88" s="17" t="str">
        <x:v>200</x:v>
      </x:c>
      <x:c r="C88" s="17" t="str">
        <x:v>WC-200-04</x:v>
      </x:c>
      <x:c r="D88" s="17" t="str">
        <x:v>Automated storage crane — Dayton CNC Turn</x:v>
      </x:c>
      <x:c r="E88" s="17" t="str">
        <x:v>Material Handling</x:v>
      </x:c>
      <x:c r="F88" s="17" t="str">
        <x:v>C</x:v>
      </x:c>
      <x:c r="G88" s="18" t="n">
        <x:v>4</x:v>
      </x:c>
      <x:c r="H88" s="18" t="n">
        <x:v>0</x:v>
      </x:c>
      <x:c r="I88" s="18" t="n">
        <x:v>13765</x:v>
      </x:c>
    </x:row>
    <x:row r="89">
      <x:c r="A89" s="17" t="str">
        <x:v>MA-0055</x:v>
      </x:c>
      <x:c r="B89" s="17" t="str">
        <x:v>100</x:v>
      </x:c>
      <x:c r="C89" s="17" t="str">
        <x:v>WC-100-02</x:v>
      </x:c>
      <x:c r="D89" s="17" t="str">
        <x:v>Vertical machining center — Grand Rapids Subassembly</x:v>
      </x:c>
      <x:c r="E89" s="17" t="str">
        <x:v>CNC</x:v>
      </x:c>
      <x:c r="F89" s="17" t="str">
        <x:v>B</x:v>
      </x:c>
      <x:c r="G89" s="18" t="n">
        <x:v>5</x:v>
      </x:c>
      <x:c r="H89" s="18" t="n">
        <x:v>0</x:v>
      </x:c>
      <x:c r="I89" s="18" t="n">
        <x:v>19910</x:v>
      </x:c>
    </x:row>
    <x:row r="90">
      <x:c r="A90" s="17" t="str">
        <x:v>MA-0057</x:v>
      </x:c>
      <x:c r="B90" s="17" t="str">
        <x:v>200</x:v>
      </x:c>
      <x:c r="C90" s="17" t="str">
        <x:v>WC-200-08</x:v>
      </x:c>
      <x:c r="D90" s="17" t="str">
        <x:v>Electrical test bench — Dayton Outside Process</x:v>
      </x:c>
      <x:c r="E90" s="17" t="str">
        <x:v>Test</x:v>
      </x:c>
      <x:c r="F90" s="17" t="str">
        <x:v>A</x:v>
      </x:c>
      <x:c r="G90" s="18" t="n">
        <x:v>5</x:v>
      </x:c>
      <x:c r="H90" s="18" t="n">
        <x:v>0</x:v>
      </x:c>
      <x:c r="I90" s="18" t="n">
        <x:v>21045</x:v>
      </x:c>
    </x:row>
    <x:row r="91">
      <x:c r="A91" s="17" t="str">
        <x:v>MA-0059</x:v>
      </x:c>
      <x:c r="B91" s="17" t="str">
        <x:v>100</x:v>
      </x:c>
      <x:c r="C91" s="17" t="str">
        <x:v>WC-100-06</x:v>
      </x:c>
      <x:c r="D91" s="17" t="str">
        <x:v>Process chiller — Grand Rapids Paint</x:v>
      </x:c>
      <x:c r="E91" s="17" t="str">
        <x:v>Facility</x:v>
      </x:c>
      <x:c r="F91" s="17" t="str">
        <x:v>C</x:v>
      </x:c>
      <x:c r="G91" s="18" t="n">
        <x:v>4</x:v>
      </x:c>
      <x:c r="H91" s="18" t="n">
        <x:v>0</x:v>
      </x:c>
      <x:c r="I91" s="18" t="n">
        <x:v>16365</x:v>
      </x:c>
    </x:row>
    <x:row r="92">
      <x:c r="A92" s="17" t="str">
        <x:v>MA-0061</x:v>
      </x:c>
      <x:c r="B92" s="17" t="str">
        <x:v>300</x:v>
      </x:c>
      <x:c r="C92" s="17" t="str">
        <x:v>WC-300-04</x:v>
      </x:c>
      <x:c r="D92" s="17" t="str">
        <x:v>Torque-controlled assembly station — Greenville Wiring</x:v>
      </x:c>
      <x:c r="E92" s="17" t="str">
        <x:v>Assembly</x:v>
      </x:c>
      <x:c r="F92" s="17" t="str">
        <x:v>B</x:v>
      </x:c>
      <x:c r="G92" s="18" t="n">
        <x:v>7</x:v>
      </x:c>
      <x:c r="H92" s="18" t="n">
        <x:v>0</x:v>
      </x:c>
      <x:c r="I92" s="18" t="n">
        <x:v>30455</x:v>
      </x:c>
    </x:row>
    <x:row r="93">
      <x:c r="A93" s="17" t="str">
        <x:v>MA-0063</x:v>
      </x:c>
      <x:c r="B93" s="17" t="str">
        <x:v>200</x:v>
      </x:c>
      <x:c r="C93" s="17" t="str">
        <x:v>WC-200-02</x:v>
      </x:c>
      <x:c r="D93" s="17" t="str">
        <x:v>Dock lift — Dayton CNC Mill A</x:v>
      </x:c>
      <x:c r="E93" s="17" t="str">
        <x:v>Material Handling</x:v>
      </x:c>
      <x:c r="F93" s="17" t="str">
        <x:v>A</x:v>
      </x:c>
      <x:c r="G93" s="18" t="n">
        <x:v>4</x:v>
      </x:c>
      <x:c r="H93" s="18" t="n">
        <x:v>0</x:v>
      </x:c>
      <x:c r="I93" s="18" t="n">
        <x:v>13885</x:v>
      </x:c>
    </x:row>
    <x:row r="94">
      <x:c r="A94" s="17" t="str">
        <x:v>MA-0065</x:v>
      </x:c>
      <x:c r="B94" s="17" t="str">
        <x:v>300</x:v>
      </x:c>
      <x:c r="C94" s="17" t="str">
        <x:v>WC-300-08</x:v>
      </x:c>
      <x:c r="D94" s="17" t="str">
        <x:v>Gear hobbing center — Greenville Pack</x:v>
      </x:c>
      <x:c r="E94" s="17" t="str">
        <x:v>CNC</x:v>
      </x:c>
      <x:c r="F94" s="17" t="str">
        <x:v>C</x:v>
      </x:c>
      <x:c r="G94" s="18" t="n">
        <x:v>5</x:v>
      </x:c>
      <x:c r="H94" s="18" t="n">
        <x:v>0</x:v>
      </x:c>
      <x:c r="I94" s="18" t="n">
        <x:v>22700</x:v>
      </x:c>
    </x:row>
    <x:row r="95">
      <x:c r="A95" s="17" t="str">
        <x:v>MA-0067</x:v>
      </x:c>
      <x:c r="B95" s="17" t="str">
        <x:v>200</x:v>
      </x:c>
      <x:c r="C95" s="17" t="str">
        <x:v>WC-200-06</x:v>
      </x:c>
      <x:c r="D95" s="17" t="str">
        <x:v>Burn-in test rack — Dayton Deburr</x:v>
      </x:c>
      <x:c r="E95" s="17" t="str">
        <x:v>Test</x:v>
      </x:c>
      <x:c r="F95" s="17" t="str">
        <x:v>B</x:v>
      </x:c>
      <x:c r="G95" s="18" t="n">
        <x:v>5</x:v>
      </x:c>
      <x:c r="H95" s="18" t="n">
        <x:v>0</x:v>
      </x:c>
      <x:c r="I95" s="18" t="n">
        <x:v>22030</x:v>
      </x:c>
    </x:row>
    <x:row r="96">
      <x:c r="A96" s="17" t="str">
        <x:v>MA-0069</x:v>
      </x:c>
      <x:c r="B96" s="17" t="str">
        <x:v>100</x:v>
      </x:c>
      <x:c r="C96" s="17" t="str">
        <x:v>WC-100-04</x:v>
      </x:c>
      <x:c r="D96" s="17" t="str">
        <x:v>Emergency generator — Grand Rapids Final Assembly B</x:v>
      </x:c>
      <x:c r="E96" s="17" t="str">
        <x:v>Facility</x:v>
      </x:c>
      <x:c r="F96" s="17" t="str">
        <x:v>A</x:v>
      </x:c>
      <x:c r="G96" s="18" t="n">
        <x:v>4</x:v>
      </x:c>
      <x:c r="H96" s="18" t="n">
        <x:v>0</x:v>
      </x:c>
      <x:c r="I96" s="18" t="n">
        <x:v>16485</x:v>
      </x:c>
    </x:row>
    <x:row r="97">
      <x:c r="A97" s="17" t="str">
        <x:v>MA-0071</x:v>
      </x:c>
      <x:c r="B97" s="17" t="str">
        <x:v>300</x:v>
      </x:c>
      <x:c r="C97" s="17" t="str">
        <x:v>WC-300-02</x:v>
      </x:c>
      <x:c r="D97" s="17" t="str">
        <x:v>Subassembly workcell — Greenville Panel Build A</x:v>
      </x:c>
      <x:c r="E97" s="17" t="str">
        <x:v>Assembly</x:v>
      </x:c>
      <x:c r="F97" s="17" t="str">
        <x:v>C</x:v>
      </x:c>
      <x:c r="G97" s="18" t="n">
        <x:v>6</x:v>
      </x:c>
      <x:c r="H97" s="18" t="n">
        <x:v>0</x:v>
      </x:c>
      <x:c r="I97" s="18" t="n">
        <x:v>29965</x:v>
      </x:c>
    </x:row>
    <x:row r="98">
      <x:c r="A98" s="17" t="str">
        <x:v>MA-0073</x:v>
      </x:c>
      <x:c r="B98" s="17" t="str">
        <x:v>100</x:v>
      </x:c>
      <x:c r="C98" s="17" t="str">
        <x:v>WC-100-08</x:v>
      </x:c>
      <x:c r="D98" s="17" t="str">
        <x:v>Overhead material hoist — Grand Rapids Pack</x:v>
      </x:c>
      <x:c r="E98" s="17" t="str">
        <x:v>Material Handling</x:v>
      </x:c>
      <x:c r="F98" s="17" t="str">
        <x:v>B</x:v>
      </x:c>
      <x:c r="G98" s="18" t="n">
        <x:v>3</x:v>
      </x:c>
      <x:c r="H98" s="18" t="n">
        <x:v>0</x:v>
      </x:c>
      <x:c r="I98" s="18" t="n">
        <x:v>11195</x:v>
      </x:c>
    </x:row>
    <x:row r="99">
      <x:c r="A99" s="17" t="str">
        <x:v>MA-0075</x:v>
      </x:c>
      <x:c r="B99" s="17" t="str">
        <x:v>300</x:v>
      </x:c>
      <x:c r="C99" s="17" t="str">
        <x:v>WC-300-06</x:v>
      </x:c>
      <x:c r="D99" s="17" t="str">
        <x:v>Horizontal machining center — Greenville Electrical Test</x:v>
      </x:c>
      <x:c r="E99" s="17" t="str">
        <x:v>CNC</x:v>
      </x:c>
      <x:c r="F99" s="17" t="str">
        <x:v>A</x:v>
      </x:c>
      <x:c r="G99" s="18" t="n">
        <x:v>5</x:v>
      </x:c>
      <x:c r="H99" s="18" t="n">
        <x:v>0</x:v>
      </x:c>
      <x:c r="I99" s="18" t="n">
        <x:v>25100</x:v>
      </x:c>
    </x:row>
    <x:row r="100">
      <x:c r="A100" s="17" t="str">
        <x:v>MA-0077</x:v>
      </x:c>
      <x:c r="B100" s="17" t="str">
        <x:v>200</x:v>
      </x:c>
      <x:c r="C100" s="17" t="str">
        <x:v>WC-200-04</x:v>
      </x:c>
      <x:c r="D100" s="17" t="str">
        <x:v>End-of-line dynamometer — Dayton CNC Turn</x:v>
      </x:c>
      <x:c r="E100" s="17" t="str">
        <x:v>Test</x:v>
      </x:c>
      <x:c r="F100" s="17" t="str">
        <x:v>C</x:v>
      </x:c>
      <x:c r="G100" s="18" t="n">
        <x:v>5</x:v>
      </x:c>
      <x:c r="H100" s="18" t="n">
        <x:v>0</x:v>
      </x:c>
      <x:c r="I100" s="18" t="n">
        <x:v>24430</x:v>
      </x:c>
    </x:row>
    <x:row r="101">
      <x:c r="A101" s="17" t="str">
        <x:v>MA-0079</x:v>
      </x:c>
      <x:c r="B101" s="17" t="str">
        <x:v>100</x:v>
      </x:c>
      <x:c r="C101" s="17" t="str">
        <x:v>WC-100-02</x:v>
      </x:c>
      <x:c r="D101" s="17" t="str">
        <x:v>Plant air compressor — Grand Rapids Subassembly</x:v>
      </x:c>
      <x:c r="E101" s="17" t="str">
        <x:v>Facility</x:v>
      </x:c>
      <x:c r="F101" s="17" t="str">
        <x:v>B</x:v>
      </x:c>
      <x:c r="G101" s="18" t="n">
        <x:v>5</x:v>
      </x:c>
      <x:c r="H101" s="18" t="n">
        <x:v>0</x:v>
      </x:c>
      <x:c r="I101" s="18" t="n">
        <x:v>16630</x:v>
      </x:c>
    </x:row>
    <x:row r="102">
      <x:c r="A102" s="17" t="str">
        <x:v>MA-0081</x:v>
      </x:c>
      <x:c r="B102" s="17" t="str">
        <x:v>200</x:v>
      </x:c>
      <x:c r="C102" s="17" t="str">
        <x:v>WC-200-08</x:v>
      </x:c>
      <x:c r="D102" s="17" t="str">
        <x:v>Servo press station — Dayton Outside Process</x:v>
      </x:c>
      <x:c r="E102" s="17" t="str">
        <x:v>Assembly</x:v>
      </x:c>
      <x:c r="F102" s="17" t="str">
        <x:v>A</x:v>
      </x:c>
      <x:c r="G102" s="18" t="n">
        <x:v>6</x:v>
      </x:c>
      <x:c r="H102" s="18" t="n">
        <x:v>0</x:v>
      </x:c>
      <x:c r="I102" s="18" t="n">
        <x:v>22970</x:v>
      </x:c>
    </x:row>
    <x:row r="103">
      <x:c r="A103" s="17" t="str">
        <x:v>MA-0083</x:v>
      </x:c>
      <x:c r="B103" s="17" t="str">
        <x:v>100</x:v>
      </x:c>
      <x:c r="C103" s="17" t="str">
        <x:v>WC-100-06</x:v>
      </x:c>
      <x:c r="D103" s="17" t="str">
        <x:v>Powered roller conveyor — Grand Rapids Paint</x:v>
      </x:c>
      <x:c r="E103" s="17" t="str">
        <x:v>Material Handling</x:v>
      </x:c>
      <x:c r="F103" s="17" t="str">
        <x:v>C</x:v>
      </x:c>
      <x:c r="G103" s="18" t="n">
        <x:v>3</x:v>
      </x:c>
      <x:c r="H103" s="18" t="n">
        <x:v>0</x:v>
      </x:c>
      <x:c r="I103" s="18" t="n">
        <x:v>13880</x:v>
      </x:c>
    </x:row>
    <x:row r="104">
      <x:c r="A104" s="17" t="str">
        <x:v>MA-0085</x:v>
      </x:c>
      <x:c r="B104" s="17" t="str">
        <x:v>300</x:v>
      </x:c>
      <x:c r="C104" s="17" t="str">
        <x:v>WC-300-04</x:v>
      </x:c>
      <x:c r="D104" s="17" t="str">
        <x:v>CNC turning center — Greenville Wiring</x:v>
      </x:c>
      <x:c r="E104" s="17" t="str">
        <x:v>CNC</x:v>
      </x:c>
      <x:c r="F104" s="17" t="str">
        <x:v>B</x:v>
      </x:c>
      <x:c r="G104" s="18" t="n">
        <x:v>6</x:v>
      </x:c>
      <x:c r="H104" s="18" t="n">
        <x:v>0</x:v>
      </x:c>
      <x:c r="I104" s="18" t="n">
        <x:v>23405</x:v>
      </x:c>
    </x:row>
    <x:row r="105">
      <x:c r="A105" s="17" t="str">
        <x:v>MA-0087</x:v>
      </x:c>
      <x:c r="B105" s="17" t="str">
        <x:v>200</x:v>
      </x:c>
      <x:c r="C105" s="17" t="str">
        <x:v>WC-200-02</x:v>
      </x:c>
      <x:c r="D105" s="17" t="str">
        <x:v>Leak-test station — Dayton CNC Mill A</x:v>
      </x:c>
      <x:c r="E105" s="17" t="str">
        <x:v>Test</x:v>
      </x:c>
      <x:c r="F105" s="17" t="str">
        <x:v>A</x:v>
      </x:c>
      <x:c r="G105" s="18" t="n">
        <x:v>4</x:v>
      </x:c>
      <x:c r="H105" s="18" t="n">
        <x:v>0</x:v>
      </x:c>
      <x:c r="I105" s="18" t="n">
        <x:v>19095</x:v>
      </x:c>
    </x:row>
    <x:row r="106">
      <x:c r="A106" s="17" t="str">
        <x:v>MA-0089</x:v>
      </x:c>
      <x:c r="B106" s="17" t="str">
        <x:v>300</x:v>
      </x:c>
      <x:c r="C106" s="17" t="str">
        <x:v>WC-300-08</x:v>
      </x:c>
      <x:c r="D106" s="17" t="str">
        <x:v>Dust collection system — Greenville Pack</x:v>
      </x:c>
      <x:c r="E106" s="17" t="str">
        <x:v>Facility</x:v>
      </x:c>
      <x:c r="F106" s="17" t="str">
        <x:v>C</x:v>
      </x:c>
      <x:c r="G106" s="18" t="n">
        <x:v>5</x:v>
      </x:c>
      <x:c r="H106" s="18" t="n">
        <x:v>0</x:v>
      </x:c>
      <x:c r="I106" s="18" t="n">
        <x:v>20835</x:v>
      </x:c>
    </x:row>
    <x:row r="107">
      <x:c r="A107" s="17" t="str">
        <x:v>MA-0091</x:v>
      </x:c>
      <x:c r="B107" s="17" t="str">
        <x:v>200</x:v>
      </x:c>
      <x:c r="C107" s="17" t="str">
        <x:v>WC-200-06</x:v>
      </x:c>
      <x:c r="D107" s="17" t="str">
        <x:v>Final assembly conveyor — Dayton Deburr</x:v>
      </x:c>
      <x:c r="E107" s="17" t="str">
        <x:v>Assembly</x:v>
      </x:c>
      <x:c r="F107" s="17" t="str">
        <x:v>B</x:v>
      </x:c>
      <x:c r="G107" s="18" t="n">
        <x:v>6</x:v>
      </x:c>
      <x:c r="H107" s="18" t="n">
        <x:v>0</x:v>
      </x:c>
      <x:c r="I107" s="18" t="n">
        <x:v>21300</x:v>
      </x:c>
    </x:row>
    <x:row r="108">
      <x:c r="A108" s="17" t="str">
        <x:v>MA-0093</x:v>
      </x:c>
      <x:c r="B108" s="17" t="str">
        <x:v>100</x:v>
      </x:c>
      <x:c r="C108" s="17" t="str">
        <x:v>WC-100-04</x:v>
      </x:c>
      <x:c r="D108" s="17" t="str">
        <x:v>Pallet transfer system — Grand Rapids Final Assembly B</x:v>
      </x:c>
      <x:c r="E108" s="17" t="str">
        <x:v>Material Handling</x:v>
      </x:c>
      <x:c r="F108" s="17" t="str">
        <x:v>A</x:v>
      </x:c>
      <x:c r="G108" s="18" t="n">
        <x:v>3</x:v>
      </x:c>
      <x:c r="H108" s="18" t="n">
        <x:v>0</x:v>
      </x:c>
      <x:c r="I108" s="18" t="n">
        <x:v>13045</x:v>
      </x:c>
    </x:row>
    <x:row r="109">
      <x:c r="A109" s="17" t="str">
        <x:v>MA-0095</x:v>
      </x:c>
      <x:c r="B109" s="17" t="str">
        <x:v>300</x:v>
      </x:c>
      <x:c r="C109" s="17" t="str">
        <x:v>WC-300-02</x:v>
      </x:c>
      <x:c r="D109" s="17" t="str">
        <x:v>Precision grinding center — Greenville Panel Build A</x:v>
      </x:c>
      <x:c r="E109" s="17" t="str">
        <x:v>CNC</x:v>
      </x:c>
      <x:c r="F109" s="17" t="str">
        <x:v>C</x:v>
      </x:c>
      <x:c r="G109" s="18" t="n">
        <x:v>7</x:v>
      </x:c>
      <x:c r="H109" s="18" t="n">
        <x:v>0</x:v>
      </x:c>
      <x:c r="I109" s="18" t="n">
        <x:v>33420</x:v>
      </x:c>
    </x:row>
    <x:row r="110">
      <x:c r="A110" s="17" t="str">
        <x:v>MA-0097</x:v>
      </x:c>
      <x:c r="B110" s="17" t="str">
        <x:v>100</x:v>
      </x:c>
      <x:c r="C110" s="17" t="str">
        <x:v>WC-100-08</x:v>
      </x:c>
      <x:c r="D110" s="17" t="str">
        <x:v>Calibration stand — Grand Rapids Pack</x:v>
      </x:c>
      <x:c r="E110" s="17" t="str">
        <x:v>Test</x:v>
      </x:c>
      <x:c r="F110" s="17" t="str">
        <x:v>B</x:v>
      </x:c>
      <x:c r="G110" s="18" t="n">
        <x:v>4</x:v>
      </x:c>
      <x:c r="H110" s="18" t="n">
        <x:v>0</x:v>
      </x:c>
      <x:c r="I110" s="18" t="n">
        <x:v>19215</x:v>
      </x:c>
    </x:row>
    <x:row r="111">
      <x:c r="A111" s="17" t="str">
        <x:v>MA-0099</x:v>
      </x:c>
      <x:c r="B111" s="17" t="str">
        <x:v>300</x:v>
      </x:c>
      <x:c r="C111" s="17" t="str">
        <x:v>WC-300-06</x:v>
      </x:c>
      <x:c r="D111" s="17" t="str">
        <x:v>Main electrical switchgear — Greenville Electrical Test</x:v>
      </x:c>
      <x:c r="E111" s="17" t="str">
        <x:v>Facility</x:v>
      </x:c>
      <x:c r="F111" s="17" t="str">
        <x:v>A</x:v>
      </x:c>
      <x:c r="G111" s="18" t="n">
        <x:v>5</x:v>
      </x:c>
      <x:c r="H111" s="18" t="n">
        <x:v>0</x:v>
      </x:c>
      <x:c r="I111" s="18" t="n">
        <x:v>25040</x:v>
      </x:c>
    </x:row>
    <x:row r="112">
      <x:c r="A112" s="17" t="str">
        <x:v>MA-0101</x:v>
      </x:c>
      <x:c r="B112" s="17" t="str">
        <x:v>200</x:v>
      </x:c>
      <x:c r="C112" s="17" t="str">
        <x:v>WC-200-04</x:v>
      </x:c>
      <x:c r="D112" s="17" t="str">
        <x:v>Robotic assembly cell — Dayton CNC Turn</x:v>
      </x:c>
      <x:c r="E112" s="17" t="str">
        <x:v>Assembly</x:v>
      </x:c>
      <x:c r="F112" s="17" t="str">
        <x:v>C</x:v>
      </x:c>
      <x:c r="G112" s="18" t="n">
        <x:v>6</x:v>
      </x:c>
      <x:c r="H112" s="18" t="n">
        <x:v>0</x:v>
      </x:c>
      <x:c r="I112" s="18" t="n">
        <x:v>28175</x:v>
      </x:c>
    </x:row>
    <x:row r="113">
      <x:c r="A113" s="17" t="str">
        <x:v>MA-0103</x:v>
      </x:c>
      <x:c r="B113" s="17" t="str">
        <x:v>100</x:v>
      </x:c>
      <x:c r="C113" s="17" t="str">
        <x:v>WC-100-02</x:v>
      </x:c>
      <x:c r="D113" s="17" t="str">
        <x:v>Automated storage crane — Grand Rapids Subassembly</x:v>
      </x:c>
      <x:c r="E113" s="17" t="str">
        <x:v>Material Handling</x:v>
      </x:c>
      <x:c r="F113" s="17" t="str">
        <x:v>B</x:v>
      </x:c>
      <x:c r="G113" s="18" t="n">
        <x:v>3</x:v>
      </x:c>
      <x:c r="H113" s="18" t="n">
        <x:v>0</x:v>
      </x:c>
      <x:c r="I113" s="18" t="n">
        <x:v>12210</x:v>
      </x:c>
    </x:row>
    <x:row r="114">
      <x:c r="A114" s="17" t="str">
        <x:v>MA-0105</x:v>
      </x:c>
      <x:c r="B114" s="17" t="str">
        <x:v>200</x:v>
      </x:c>
      <x:c r="C114" s="17" t="str">
        <x:v>WC-200-08</x:v>
      </x:c>
      <x:c r="D114" s="17" t="str">
        <x:v>Vertical machining center — Dayton Outside Process</x:v>
      </x:c>
      <x:c r="E114" s="17" t="str">
        <x:v>CNC</x:v>
      </x:c>
      <x:c r="F114" s="17" t="str">
        <x:v>A</x:v>
      </x:c>
      <x:c r="G114" s="18" t="n">
        <x:v>6</x:v>
      </x:c>
      <x:c r="H114" s="18" t="n">
        <x:v>0</x:v>
      </x:c>
      <x:c r="I114" s="18" t="n">
        <x:v>24690</x:v>
      </x:c>
    </x:row>
    <x:row r="115">
      <x:c r="A115" s="17" t="str">
        <x:v>MA-0107</x:v>
      </x:c>
      <x:c r="B115" s="17" t="str">
        <x:v>100</x:v>
      </x:c>
      <x:c r="C115" s="17" t="str">
        <x:v>WC-100-06</x:v>
      </x:c>
      <x:c r="D115" s="17" t="str">
        <x:v>Electrical test bench — Grand Rapids Paint</x:v>
      </x:c>
      <x:c r="E115" s="17" t="str">
        <x:v>Test</x:v>
      </x:c>
      <x:c r="F115" s="17" t="str">
        <x:v>C</x:v>
      </x:c>
      <x:c r="G115" s="18" t="n">
        <x:v>4</x:v>
      </x:c>
      <x:c r="H115" s="18" t="n">
        <x:v>0</x:v>
      </x:c>
      <x:c r="I115" s="18" t="n">
        <x:v>21050</x:v>
      </x:c>
    </x:row>
    <x:row r="116">
      <x:c r="A116" s="17" t="str">
        <x:v>MA-0109</x:v>
      </x:c>
      <x:c r="B116" s="17" t="str">
        <x:v>300</x:v>
      </x:c>
      <x:c r="C116" s="17" t="str">
        <x:v>WC-300-04</x:v>
      </x:c>
      <x:c r="D116" s="17" t="str">
        <x:v>Process chiller — Greenville Wiring</x:v>
      </x:c>
      <x:c r="E116" s="17" t="str">
        <x:v>Facility</x:v>
      </x:c>
      <x:c r="F116" s="17" t="str">
        <x:v>B</x:v>
      </x:c>
      <x:c r="G116" s="18" t="n">
        <x:v>5</x:v>
      </x:c>
      <x:c r="H116" s="18" t="n">
        <x:v>0</x:v>
      </x:c>
      <x:c r="I116" s="18" t="n">
        <x:v>24220</x:v>
      </x:c>
    </x:row>
    <x:row r="117">
      <x:c r="A117" s="17" t="str">
        <x:v>MA-0111</x:v>
      </x:c>
      <x:c r="B117" s="17" t="str">
        <x:v>200</x:v>
      </x:c>
      <x:c r="C117" s="17" t="str">
        <x:v>WC-200-02</x:v>
      </x:c>
      <x:c r="D117" s="17" t="str">
        <x:v>Torque-controlled assembly station — Dayton CNC Mill A</x:v>
      </x:c>
      <x:c r="E117" s="17" t="str">
        <x:v>Assembly</x:v>
      </x:c>
      <x:c r="F117" s="17" t="str">
        <x:v>A</x:v>
      </x:c>
      <x:c r="G117" s="18" t="n">
        <x:v>6</x:v>
      </x:c>
      <x:c r="H117" s="18" t="n">
        <x:v>0</x:v>
      </x:c>
      <x:c r="I117" s="18" t="n">
        <x:v>22985</x:v>
      </x:c>
    </x:row>
    <x:row r="118">
      <x:c r="A118" s="17" t="str">
        <x:v>MA-0113</x:v>
      </x:c>
      <x:c r="B118" s="17" t="str">
        <x:v>300</x:v>
      </x:c>
      <x:c r="C118" s="17" t="str">
        <x:v>WC-300-08</x:v>
      </x:c>
      <x:c r="D118" s="17" t="str">
        <x:v>Dock lift — Greenville Pack</x:v>
      </x:c>
      <x:c r="E118" s="17" t="str">
        <x:v>Material Handling</x:v>
      </x:c>
      <x:c r="F118" s="17" t="str">
        <x:v>C</x:v>
      </x:c>
      <x:c r="G118" s="18" t="n">
        <x:v>4</x:v>
      </x:c>
      <x:c r="H118" s="18" t="n">
        <x:v>0</x:v>
      </x:c>
      <x:c r="I118" s="18" t="n">
        <x:v>17925</x:v>
      </x:c>
    </x:row>
    <x:row r="119">
      <x:c r="A119" s="17" t="str">
        <x:v>MA-0115</x:v>
      </x:c>
      <x:c r="B119" s="17" t="str">
        <x:v>200</x:v>
      </x:c>
      <x:c r="C119" s="17" t="str">
        <x:v>WC-200-06</x:v>
      </x:c>
      <x:c r="D119" s="17" t="str">
        <x:v>Gear hobbing center — Dayton Deburr</x:v>
      </x:c>
      <x:c r="E119" s="17" t="str">
        <x:v>CNC</x:v>
      </x:c>
      <x:c r="F119" s="17" t="str">
        <x:v>B</x:v>
      </x:c>
      <x:c r="G119" s="18" t="n">
        <x:v>6</x:v>
      </x:c>
      <x:c r="H119" s="18" t="n">
        <x:v>0</x:v>
      </x:c>
      <x:c r="I119" s="18" t="n">
        <x:v>21215</x:v>
      </x:c>
    </x:row>
    <x:row r="120">
      <x:c r="A120" s="17" t="str">
        <x:v>MA-0117</x:v>
      </x:c>
      <x:c r="B120" s="17" t="str">
        <x:v>100</x:v>
      </x:c>
      <x:c r="C120" s="17" t="str">
        <x:v>WC-100-04</x:v>
      </x:c>
      <x:c r="D120" s="17" t="str">
        <x:v>Burn-in test rack — Grand Rapids Final Assembly B</x:v>
      </x:c>
      <x:c r="E120" s="17" t="str">
        <x:v>Test</x:v>
      </x:c>
      <x:c r="F120" s="17" t="str">
        <x:v>A</x:v>
      </x:c>
      <x:c r="G120" s="18" t="n">
        <x:v>4</x:v>
      </x:c>
      <x:c r="H120" s="18" t="n">
        <x:v>0</x:v>
      </x:c>
      <x:c r="I120" s="18" t="n">
        <x:v>15755</x:v>
      </x:c>
    </x:row>
    <x:row r="121">
      <x:c r="A121" s="17" t="str">
        <x:v>MA-0119</x:v>
      </x:c>
      <x:c r="B121" s="17" t="str">
        <x:v>300</x:v>
      </x:c>
      <x:c r="C121" s="17" t="str">
        <x:v>WC-300-02</x:v>
      </x:c>
      <x:c r="D121" s="17" t="str">
        <x:v>Emergency generator — Greenville Panel Build A</x:v>
      </x:c>
      <x:c r="E121" s="17" t="str">
        <x:v>Facility</x:v>
      </x:c>
      <x:c r="F121" s="17" t="str">
        <x:v>C</x:v>
      </x:c>
      <x:c r="G121" s="18" t="n">
        <x:v>5</x:v>
      </x:c>
      <x:c r="H121" s="18" t="n">
        <x:v>0</x:v>
      </x:c>
      <x:c r="I121" s="18" t="n">
        <x:v>23400</x:v>
      </x:c>
    </x:row>
  </x:sheetData>
  <x:pageMargins left="0.7" right="0.7" top="0.75" bottom="0.75" header="0.3" footer="0.3"/>
</x:worksheet>
</file>