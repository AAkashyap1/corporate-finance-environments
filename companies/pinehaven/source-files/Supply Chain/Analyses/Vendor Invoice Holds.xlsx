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Open Holds" sheetId="2" r:id="rId5"/>
    <x:sheet xmlns:r="http://schemas.openxmlformats.org/officeDocument/2006/relationships" name="Scope Totals" sheetId="3" r:id="rI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Vendor Invoice Holds</x:v>
      </x:c>
      <x:c r="B1" s="3" t="str">
        <x:v>Vendor Invoice Holds</x:v>
      </x:c>
      <x:c r="C1" s="3" t="str">
        <x:v>Vendor Invoice Holds</x:v>
      </x:c>
      <x:c r="D1" s="3" t="str">
        <x:v>Vendor Invoice Holds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Accounts Payable Manager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Open Holds</x:v>
      </x:c>
      <x:c r="B11" s="23" t="n">
        <x:v>5</x:v>
      </x:c>
      <x:c r="C11" s="23" t="n">
        <x:f>MAX(0,COUNTA('Open Holds'!A2:A6))</x:f>
        <x:v>5</x:v>
      </x:c>
      <x:c r="D11" s="22" t="str">
        <x:f>IF(B11=C11,"OK","CHECK")</x:f>
        <x:v>OK</x:v>
      </x:c>
    </x:row>
    <x:row r="12">
      <x:c r="A12" s="22" t="str">
        <x:v>Scope Totals</x:v>
      </x:c>
      <x:c r="B12" s="23" t="n">
        <x:v>1</x:v>
      </x:c>
      <x:c r="C12" s="23" t="n">
        <x:f>MAX(0,COUNTA('Scope Totals'!A2:A2))</x:f>
        <x:v>1</x:v>
      </x:c>
      <x:c r="D12" s="22" t="str">
        <x:f>IF(B12=C12,"OK","CHECK")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21" hidden="0" customWidth="1"/>
    <x:col min="4" max="4" width="14" hidden="0" customWidth="1"/>
    <x:col min="5" max="5" width="12" hidden="0" customWidth="1"/>
    <x:col min="6" max="6" width="14" hidden="0" customWidth="1"/>
    <x:col min="7" max="7" width="13" hidden="0" customWidth="1"/>
    <x:col min="8" max="8" width="14" hidden="0" customWidth="1"/>
  </x:cols>
  <x:sheetData>
    <x:row r="1">
      <x:c r="A1" s="15" t="str">
        <x:v>invoice_number</x:v>
      </x:c>
      <x:c r="B1" s="15" t="str">
        <x:v>vendor_id</x:v>
      </x:c>
      <x:c r="C1" s="15" t="str">
        <x:v>vendor_name</x:v>
      </x:c>
      <x:c r="D1" s="15" t="str">
        <x:v>invoice_date</x:v>
      </x:c>
      <x:c r="E1" s="15" t="str">
        <x:v>due_date</x:v>
      </x:c>
      <x:c r="F1" s="15" t="str">
        <x:v>match_status</x:v>
      </x:c>
      <x:c r="G1" s="15" t="str">
        <x:v>open_amount</x:v>
      </x:c>
      <x:c r="H1" s="15" t="str">
        <x:v>aging_status</x:v>
      </x:c>
    </x:row>
    <x:row r="2">
      <x:c r="A2" s="17" t="str">
        <x:v>VI-0013217</x:v>
      </x:c>
      <x:c r="B2" s="17" t="str">
        <x:v>VEND-0151</x:v>
      </x:c>
      <x:c r="C2" s="17" t="str">
        <x:v>Summit Logistics</x:v>
      </x:c>
      <x:c r="D2" s="17" t="str">
        <x:v>2026-06-25</x:v>
      </x:c>
      <x:c r="E2" s="17" t="str">
        <x:v>2026-08-09</x:v>
      </x:c>
      <x:c r="F2" s="17" t="str">
        <x:v>Quality Hold</x:v>
      </x:c>
      <x:c r="G2" s="18" t="n">
        <x:v>60429.41</x:v>
      </x:c>
      <x:c r="H2" s="17" t="str">
        <x:v>Current</x:v>
      </x:c>
    </x:row>
    <x:row r="3">
      <x:c r="A3" s="17" t="str">
        <x:v>VI-0003351</x:v>
      </x:c>
      <x:c r="B3" s="17" t="str">
        <x:v>VEND-0060</x:v>
      </x:c>
      <x:c r="C3" s="17" t="str">
        <x:v>Fairview Metals</x:v>
      </x:c>
      <x:c r="D3" s="17" t="str">
        <x:v>2026-06-10</x:v>
      </x:c>
      <x:c r="E3" s="17" t="str">
        <x:v>2026-07-10</x:v>
      </x:c>
      <x:c r="F3" s="17" t="str">
        <x:v>Quality Hold</x:v>
      </x:c>
      <x:c r="G3" s="18" t="n">
        <x:v>20631.03</x:v>
      </x:c>
      <x:c r="H3" s="17" t="str">
        <x:v>Current</x:v>
      </x:c>
    </x:row>
    <x:row r="4">
      <x:c r="A4" s="17" t="str">
        <x:v>VI-0010842</x:v>
      </x:c>
      <x:c r="B4" s="17" t="str">
        <x:v>VEND-0055</x:v>
      </x:c>
      <x:c r="C4" s="17" t="str">
        <x:v>Fairview Packaging</x:v>
      </x:c>
      <x:c r="D4" s="17" t="str">
        <x:v>2026-06-01</x:v>
      </x:c>
      <x:c r="E4" s="17" t="str">
        <x:v>2026-07-16</x:v>
      </x:c>
      <x:c r="F4" s="17" t="str">
        <x:v>Quality Hold</x:v>
      </x:c>
      <x:c r="G4" s="18" t="n">
        <x:v>12785.99</x:v>
      </x:c>
      <x:c r="H4" s="17" t="str">
        <x:v>Current</x:v>
      </x:c>
    </x:row>
    <x:row r="5">
      <x:c r="A5" s="17" t="str">
        <x:v>VI-0002559</x:v>
      </x:c>
      <x:c r="B5" s="17" t="str">
        <x:v>VEND-0170</x:v>
      </x:c>
      <x:c r="C5" s="17" t="str">
        <x:v>Westfield Metals</x:v>
      </x:c>
      <x:c r="D5" s="17" t="str">
        <x:v>2026-06-02</x:v>
      </x:c>
      <x:c r="E5" s="17" t="str">
        <x:v>2026-08-01</x:v>
      </x:c>
      <x:c r="F5" s="17" t="str">
        <x:v>Quality Hold</x:v>
      </x:c>
      <x:c r="G5" s="18" t="n">
        <x:v>9672.57</x:v>
      </x:c>
      <x:c r="H5" s="17" t="str">
        <x:v>Current</x:v>
      </x:c>
    </x:row>
    <x:row r="6">
      <x:c r="A6" s="17" t="str">
        <x:v>VI-0012424</x:v>
      </x:c>
      <x:c r="B6" s="17" t="str">
        <x:v>VEND-0135</x:v>
      </x:c>
      <x:c r="C6" s="17" t="str">
        <x:v>Riverbend Packaging</x:v>
      </x:c>
      <x:c r="D6" s="17" t="str">
        <x:v>2026-06-17</x:v>
      </x:c>
      <x:c r="E6" s="17" t="str">
        <x:v>2026-07-17</x:v>
      </x:c>
      <x:c r="F6" s="17" t="str">
        <x:v>Quality Hold</x:v>
      </x:c>
      <x:c r="G6" s="18" t="n">
        <x:v>5644.21</x:v>
      </x:c>
      <x:c r="H6" s="17" t="str">
        <x:v>Current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3" hidden="0" customWidth="1"/>
    <x:col min="4" max="4" width="21" hidden="0" customWidth="1"/>
    <x:col min="5" max="5" width="22" hidden="0" customWidth="1"/>
  </x:cols>
  <x:sheetData>
    <x:row r="1">
      <x:c r="A1" s="15" t="str">
        <x:v>held_invoices</x:v>
      </x:c>
      <x:c r="B1" s="15" t="str">
        <x:v>held_amount</x:v>
      </x:c>
      <x:c r="C1" s="15" t="str">
        <x:v>quality_hold_invoices</x:v>
      </x:c>
      <x:c r="D1" s="15" t="str">
        <x:v>quality_hold_amount</x:v>
      </x:c>
      <x:c r="E1" s="15" t="str">
        <x:v>past_due_held_amount</x:v>
      </x:c>
    </x:row>
    <x:row r="2">
      <x:c r="A2" s="18" t="n">
        <x:v>5</x:v>
      </x:c>
      <x:c r="B2" s="18" t="n">
        <x:v>109163.21</x:v>
      </x:c>
      <x:c r="C2" s="18" t="n">
        <x:v>5</x:v>
      </x:c>
      <x:c r="D2" s="18" t="n">
        <x:v>109163.21</x:v>
      </x:c>
      <x:c r="E2" s="18" t="n">
        <x:v>0</x:v>
      </x:c>
    </x:row>
  </x:sheetData>
  <x:pageMargins left="0.7" right="0.7" top="0.75" bottom="0.75" header="0.3" footer="0.3"/>
</x:worksheet>
</file>