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Forecast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6673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Consensus Demand Plan</x:v>
      </x:c>
      <x:c r="B1" s="3" t="str">
        <x:v>Consensus Demand Plan</x:v>
      </x:c>
      <x:c r="C1" s="3" t="str">
        <x:v>Consensus Demand Plan</x:v>
      </x:c>
      <x:c r="D1" s="3" t="str">
        <x:v>Consensus Demand Plan</x:v>
      </x:c>
    </x:row>
    <x:row r="2">
      <x:c r="A2" s="6" t="str">
        <x:v>PINEHAVEN MOTION SYSTEMS  •  SUPPLY CHAIN ANALYTICS</x:v>
      </x:c>
      <x:c r="B2" s="6" t="str">
        <x:v>PINEHAVEN MOTION SYSTEMS  •  SUPPLY CHAIN ANALYTICS</x:v>
      </x:c>
      <x:c r="C2" s="6" t="str">
        <x:v>PINEHAVEN MOTION SYSTEMS  •  SUPPLY CHAIN ANALYTICS</x:v>
      </x:c>
      <x:c r="D2" s="6" t="str">
        <x:v>PINEHAVEN MOTION SYSTEMS  •  SUPPLY CHAIN ANALYTICS</x:v>
      </x:c>
    </x:row>
    <x:row r="3">
      <x:c r="A3" s="9" t="str">
        <x:v>Period / As of</x:v>
      </x:c>
      <x:c r="B3" s="10" t="str">
        <x:v>Jul-Dec 2026</x:v>
      </x:c>
      <x:c r="C3" s="10"/>
      <x:c r="D3" s="10"/>
    </x:row>
    <x:row r="4">
      <x:c r="A4" s="9" t="str">
        <x:v>Prepared by</x:v>
      </x:c>
      <x:c r="B4" s="10" t="str">
        <x:v>S&amp;OP Manager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Supply Chain and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Forecast</x:v>
      </x:c>
      <x:c r="B11" s="23" t="n">
        <x:v>54</x:v>
      </x:c>
      <x:c r="C11" s="23" t="n">
        <x:f>MAX(0,COUNTA('Forecast'!A2:A55))</x:f>
        <x:v>54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16" hidden="0" customWidth="1"/>
    <x:col min="4" max="4" width="10" hidden="0" customWidth="1"/>
    <x:col min="5" max="5" width="12" hidden="0" customWidth="1"/>
  </x:cols>
  <x:sheetData>
    <x:row r="1">
      <x:c r="A1" s="15" t="str">
        <x:v>forecast_month</x:v>
      </x:c>
      <x:c r="B1" s="15" t="str">
        <x:v>site_code</x:v>
      </x:c>
      <x:c r="C1" s="15" t="str">
        <x:v>product_family</x:v>
      </x:c>
      <x:c r="D1" s="15" t="str">
        <x:v>quantity</x:v>
      </x:c>
      <x:c r="E1" s="15" t="str">
        <x:v>revenue</x:v>
      </x:c>
    </x:row>
    <x:row r="2">
      <x:c r="A2" s="17" t="str">
        <x:v>2026-07</x:v>
      </x:c>
      <x:c r="B2" s="17" t="str">
        <x:v>100</x:v>
      </x:c>
      <x:c r="C2" s="17" t="str">
        <x:v>ACT</x:v>
      </x:c>
      <x:c r="D2" s="18" t="n">
        <x:v>1123.2</x:v>
      </x:c>
      <x:c r="E2" s="18" t="n">
        <x:v>2416421.63</x:v>
      </x:c>
    </x:row>
    <x:row r="3">
      <x:c r="A3" s="17" t="str">
        <x:v>2026-07</x:v>
      </x:c>
      <x:c r="B3" s="17" t="str">
        <x:v>100</x:v>
      </x:c>
      <x:c r="C3" s="17" t="str">
        <x:v>AFT</x:v>
      </x:c>
      <x:c r="D3" s="18" t="n">
        <x:v>1643.2</x:v>
      </x:c>
      <x:c r="E3" s="18" t="n">
        <x:v>2374135.21</x:v>
      </x:c>
    </x:row>
    <x:row r="4">
      <x:c r="A4" s="17" t="str">
        <x:v>2026-07</x:v>
      </x:c>
      <x:c r="B4" s="17" t="str">
        <x:v>100</x:v>
      </x:c>
      <x:c r="C4" s="17" t="str">
        <x:v>DRV</x:v>
      </x:c>
      <x:c r="D4" s="18" t="n">
        <x:v>1123.2</x:v>
      </x:c>
      <x:c r="E4" s="18" t="n">
        <x:v>3096107.12</x:v>
      </x:c>
    </x:row>
    <x:row r="5">
      <x:c r="A5" s="17" t="str">
        <x:v>2026-07</x:v>
      </x:c>
      <x:c r="B5" s="17" t="str">
        <x:v>100</x:v>
      </x:c>
      <x:c r="C5" s="17" t="str">
        <x:v>SYS</x:v>
      </x:c>
      <x:c r="D5" s="18" t="n">
        <x:v>561.6</x:v>
      </x:c>
      <x:c r="E5" s="18" t="n">
        <x:v>1250082.12</x:v>
      </x:c>
    </x:row>
    <x:row r="6">
      <x:c r="A6" s="17" t="str">
        <x:v>2026-07</x:v>
      </x:c>
      <x:c r="B6" s="17" t="str">
        <x:v>200</x:v>
      </x:c>
      <x:c r="C6" s="17" t="str">
        <x:v>ACT</x:v>
      </x:c>
      <x:c r="D6" s="18" t="n">
        <x:v>1341.6</x:v>
      </x:c>
      <x:c r="E6" s="18" t="n">
        <x:v>1406563</x:v>
      </x:c>
    </x:row>
    <x:row r="7">
      <x:c r="A7" s="17" t="str">
        <x:v>2026-07</x:v>
      </x:c>
      <x:c r="B7" s="17" t="str">
        <x:v>200</x:v>
      </x:c>
      <x:c r="C7" s="17" t="str">
        <x:v>DRV</x:v>
      </x:c>
      <x:c r="D7" s="18" t="n">
        <x:v>1341.6</x:v>
      </x:c>
      <x:c r="E7" s="18" t="n">
        <x:v>2333530.33</x:v>
      </x:c>
    </x:row>
    <x:row r="8">
      <x:c r="A8" s="17" t="str">
        <x:v>2026-07</x:v>
      </x:c>
      <x:c r="B8" s="17" t="str">
        <x:v>300</x:v>
      </x:c>
      <x:c r="C8" s="17" t="str">
        <x:v>AFT</x:v>
      </x:c>
      <x:c r="D8" s="18" t="n">
        <x:v>821.6</x:v>
      </x:c>
      <x:c r="E8" s="18" t="n">
        <x:v>2172769.28</x:v>
      </x:c>
    </x:row>
    <x:row r="9">
      <x:c r="A9" s="17" t="str">
        <x:v>2026-07</x:v>
      </x:c>
      <x:c r="B9" s="17" t="str">
        <x:v>300</x:v>
      </x:c>
      <x:c r="C9" s="17" t="str">
        <x:v>CTL</x:v>
      </x:c>
      <x:c r="D9" s="18" t="n">
        <x:v>1643.2</x:v>
      </x:c>
      <x:c r="E9" s="18" t="n">
        <x:v>4244715.58</x:v>
      </x:c>
    </x:row>
    <x:row r="10">
      <x:c r="A10" s="17" t="str">
        <x:v>2026-07</x:v>
      </x:c>
      <x:c r="B10" s="17" t="str">
        <x:v>300</x:v>
      </x:c>
      <x:c r="C10" s="17" t="str">
        <x:v>SYS</x:v>
      </x:c>
      <x:c r="D10" s="18" t="n">
        <x:v>670.8</x:v>
      </x:c>
      <x:c r="E10" s="18" t="n">
        <x:v>1898957.65</x:v>
      </x:c>
    </x:row>
    <x:row r="11">
      <x:c r="A11" s="17" t="str">
        <x:v>2026-08</x:v>
      </x:c>
      <x:c r="B11" s="17" t="str">
        <x:v>100</x:v>
      </x:c>
      <x:c r="C11" s="17" t="str">
        <x:v>ACT</x:v>
      </x:c>
      <x:c r="D11" s="18" t="n">
        <x:v>1466.4</x:v>
      </x:c>
      <x:c r="E11" s="18" t="n">
        <x:v>3191993.92</x:v>
      </x:c>
    </x:row>
    <x:row r="12">
      <x:c r="A12" s="17" t="str">
        <x:v>2026-08</x:v>
      </x:c>
      <x:c r="B12" s="17" t="str">
        <x:v>100</x:v>
      </x:c>
      <x:c r="C12" s="17" t="str">
        <x:v>AFT</x:v>
      </x:c>
      <x:c r="D12" s="18" t="n">
        <x:v>1809.6</x:v>
      </x:c>
      <x:c r="E12" s="18" t="n">
        <x:v>2603161.88</x:v>
      </x:c>
    </x:row>
    <x:row r="13">
      <x:c r="A13" s="17" t="str">
        <x:v>2026-08</x:v>
      </x:c>
      <x:c r="B13" s="17" t="str">
        <x:v>100</x:v>
      </x:c>
      <x:c r="C13" s="17" t="str">
        <x:v>DRV</x:v>
      </x:c>
      <x:c r="D13" s="18" t="n">
        <x:v>1466.4</x:v>
      </x:c>
      <x:c r="E13" s="18" t="n">
        <x:v>3975726.66</x:v>
      </x:c>
    </x:row>
    <x:row r="14">
      <x:c r="A14" s="17" t="str">
        <x:v>2026-08</x:v>
      </x:c>
      <x:c r="B14" s="17" t="str">
        <x:v>100</x:v>
      </x:c>
      <x:c r="C14" s="17" t="str">
        <x:v>SYS</x:v>
      </x:c>
      <x:c r="D14" s="18" t="n">
        <x:v>733.2</x:v>
      </x:c>
      <x:c r="E14" s="18" t="n">
        <x:v>1627095.33</x:v>
      </x:c>
    </x:row>
    <x:row r="15">
      <x:c r="A15" s="17" t="str">
        <x:v>2026-08</x:v>
      </x:c>
      <x:c r="B15" s="17" t="str">
        <x:v>200</x:v>
      </x:c>
      <x:c r="C15" s="17" t="str">
        <x:v>ACT</x:v>
      </x:c>
      <x:c r="D15" s="18" t="n">
        <x:v>1248</x:v>
      </x:c>
      <x:c r="E15" s="18" t="n">
        <x:v>1261729.52</x:v>
      </x:c>
    </x:row>
    <x:row r="16">
      <x:c r="A16" s="17" t="str">
        <x:v>2026-08</x:v>
      </x:c>
      <x:c r="B16" s="17" t="str">
        <x:v>200</x:v>
      </x:c>
      <x:c r="C16" s="17" t="str">
        <x:v>DRV</x:v>
      </x:c>
      <x:c r="D16" s="18" t="n">
        <x:v>1248</x:v>
      </x:c>
      <x:c r="E16" s="18" t="n">
        <x:v>2347192.41</x:v>
      </x:c>
    </x:row>
    <x:row r="17">
      <x:c r="A17" s="17" t="str">
        <x:v>2026-08</x:v>
      </x:c>
      <x:c r="B17" s="17" t="str">
        <x:v>300</x:v>
      </x:c>
      <x:c r="C17" s="17" t="str">
        <x:v>AFT</x:v>
      </x:c>
      <x:c r="D17" s="18" t="n">
        <x:v>904.8</x:v>
      </x:c>
      <x:c r="E17" s="18" t="n">
        <x:v>2647199.34</x:v>
      </x:c>
    </x:row>
    <x:row r="18">
      <x:c r="A18" s="17" t="str">
        <x:v>2026-08</x:v>
      </x:c>
      <x:c r="B18" s="17" t="str">
        <x:v>300</x:v>
      </x:c>
      <x:c r="C18" s="17" t="str">
        <x:v>CTL</x:v>
      </x:c>
      <x:c r="D18" s="18" t="n">
        <x:v>1809.6</x:v>
      </x:c>
      <x:c r="E18" s="18" t="n">
        <x:v>4325305.03</x:v>
      </x:c>
    </x:row>
    <x:row r="19">
      <x:c r="A19" s="17" t="str">
        <x:v>2026-08</x:v>
      </x:c>
      <x:c r="B19" s="17" t="str">
        <x:v>300</x:v>
      </x:c>
      <x:c r="C19" s="17" t="str">
        <x:v>SYS</x:v>
      </x:c>
      <x:c r="D19" s="18" t="n">
        <x:v>624</x:v>
      </x:c>
      <x:c r="E19" s="18" t="n">
        <x:v>1494796.85</x:v>
      </x:c>
    </x:row>
    <x:row r="20">
      <x:c r="A20" s="17" t="str">
        <x:v>2026-09</x:v>
      </x:c>
      <x:c r="B20" s="17" t="str">
        <x:v>100</x:v>
      </x:c>
      <x:c r="C20" s="17" t="str">
        <x:v>ACT</x:v>
      </x:c>
      <x:c r="D20" s="18" t="n">
        <x:v>1372.8</x:v>
      </x:c>
      <x:c r="E20" s="18" t="n">
        <x:v>3426191.18</x:v>
      </x:c>
    </x:row>
    <x:row r="21">
      <x:c r="A21" s="17" t="str">
        <x:v>2026-09</x:v>
      </x:c>
      <x:c r="B21" s="17" t="str">
        <x:v>100</x:v>
      </x:c>
      <x:c r="C21" s="17" t="str">
        <x:v>AFT</x:v>
      </x:c>
      <x:c r="D21" s="18" t="n">
        <x:v>1684.8</x:v>
      </x:c>
      <x:c r="E21" s="18" t="n">
        <x:v>2788064.47</x:v>
      </x:c>
    </x:row>
    <x:row r="22">
      <x:c r="A22" s="17" t="str">
        <x:v>2026-09</x:v>
      </x:c>
      <x:c r="B22" s="17" t="str">
        <x:v>100</x:v>
      </x:c>
      <x:c r="C22" s="17" t="str">
        <x:v>DRV</x:v>
      </x:c>
      <x:c r="D22" s="18" t="n">
        <x:v>1372.8</x:v>
      </x:c>
      <x:c r="E22" s="18" t="n">
        <x:v>3880323.43</x:v>
      </x:c>
    </x:row>
    <x:row r="23">
      <x:c r="A23" s="17" t="str">
        <x:v>2026-09</x:v>
      </x:c>
      <x:c r="B23" s="17" t="str">
        <x:v>100</x:v>
      </x:c>
      <x:c r="C23" s="17" t="str">
        <x:v>SYS</x:v>
      </x:c>
      <x:c r="D23" s="18" t="n">
        <x:v>686.4</x:v>
      </x:c>
      <x:c r="E23" s="18" t="n">
        <x:v>1630341.69</x:v>
      </x:c>
    </x:row>
    <x:row r="24">
      <x:c r="A24" s="17" t="str">
        <x:v>2026-09</x:v>
      </x:c>
      <x:c r="B24" s="17" t="str">
        <x:v>200</x:v>
      </x:c>
      <x:c r="C24" s="17" t="str">
        <x:v>ACT</x:v>
      </x:c>
      <x:c r="D24" s="18" t="n">
        <x:v>1154.4</x:v>
      </x:c>
      <x:c r="E24" s="18" t="n">
        <x:v>1340850.68</x:v>
      </x:c>
    </x:row>
    <x:row r="25">
      <x:c r="A25" s="17" t="str">
        <x:v>2026-09</x:v>
      </x:c>
      <x:c r="B25" s="17" t="str">
        <x:v>200</x:v>
      </x:c>
      <x:c r="C25" s="17" t="str">
        <x:v>DRV</x:v>
      </x:c>
      <x:c r="D25" s="18" t="n">
        <x:v>1154.4</x:v>
      </x:c>
      <x:c r="E25" s="18" t="n">
        <x:v>2151831.14</x:v>
      </x:c>
    </x:row>
    <x:row r="26">
      <x:c r="A26" s="17" t="str">
        <x:v>2026-09</x:v>
      </x:c>
      <x:c r="B26" s="17" t="str">
        <x:v>300</x:v>
      </x:c>
      <x:c r="C26" s="17" t="str">
        <x:v>AFT</x:v>
      </x:c>
      <x:c r="D26" s="18" t="n">
        <x:v>842.4</x:v>
      </x:c>
      <x:c r="E26" s="18" t="n">
        <x:v>1901907.62</x:v>
      </x:c>
    </x:row>
    <x:row r="27">
      <x:c r="A27" s="17" t="str">
        <x:v>2026-09</x:v>
      </x:c>
      <x:c r="B27" s="17" t="str">
        <x:v>300</x:v>
      </x:c>
      <x:c r="C27" s="17" t="str">
        <x:v>CTL</x:v>
      </x:c>
      <x:c r="D27" s="18" t="n">
        <x:v>1684.8</x:v>
      </x:c>
      <x:c r="E27" s="18" t="n">
        <x:v>4390760.81</x:v>
      </x:c>
    </x:row>
    <x:row r="28">
      <x:c r="A28" s="17" t="str">
        <x:v>2026-09</x:v>
      </x:c>
      <x:c r="B28" s="17" t="str">
        <x:v>300</x:v>
      </x:c>
      <x:c r="C28" s="17" t="str">
        <x:v>SYS</x:v>
      </x:c>
      <x:c r="D28" s="18" t="n">
        <x:v>577.2</x:v>
      </x:c>
      <x:c r="E28" s="18" t="n">
        <x:v>1664657.49</x:v>
      </x:c>
    </x:row>
    <x:row r="29">
      <x:c r="A29" s="17" t="str">
        <x:v>2026-10</x:v>
      </x:c>
      <x:c r="B29" s="17" t="str">
        <x:v>100</x:v>
      </x:c>
      <x:c r="C29" s="17" t="str">
        <x:v>ACT</x:v>
      </x:c>
      <x:c r="D29" s="18" t="n">
        <x:v>1279.2</x:v>
      </x:c>
      <x:c r="E29" s="18" t="n">
        <x:v>2751040.74</x:v>
      </x:c>
    </x:row>
    <x:row r="30">
      <x:c r="A30" s="17" t="str">
        <x:v>2026-10</x:v>
      </x:c>
      <x:c r="B30" s="17" t="str">
        <x:v>100</x:v>
      </x:c>
      <x:c r="C30" s="17" t="str">
        <x:v>AFT</x:v>
      </x:c>
      <x:c r="D30" s="18" t="n">
        <x:v>1851.2</x:v>
      </x:c>
      <x:c r="E30" s="18" t="n">
        <x:v>2689850.77</x:v>
      </x:c>
    </x:row>
    <x:row r="31">
      <x:c r="A31" s="17" t="str">
        <x:v>2026-10</x:v>
      </x:c>
      <x:c r="B31" s="17" t="str">
        <x:v>100</x:v>
      </x:c>
      <x:c r="C31" s="17" t="str">
        <x:v>DRV</x:v>
      </x:c>
      <x:c r="D31" s="18" t="n">
        <x:v>1279.2</x:v>
      </x:c>
      <x:c r="E31" s="18" t="n">
        <x:v>3086276.07</x:v>
      </x:c>
    </x:row>
    <x:row r="32">
      <x:c r="A32" s="17" t="str">
        <x:v>2026-10</x:v>
      </x:c>
      <x:c r="B32" s="17" t="str">
        <x:v>100</x:v>
      </x:c>
      <x:c r="C32" s="17" t="str">
        <x:v>SYS</x:v>
      </x:c>
      <x:c r="D32" s="18" t="n">
        <x:v>639.6</x:v>
      </x:c>
      <x:c r="E32" s="18" t="n">
        <x:v>1483973.86</x:v>
      </x:c>
    </x:row>
    <x:row r="33">
      <x:c r="A33" s="17" t="str">
        <x:v>2026-10</x:v>
      </x:c>
      <x:c r="B33" s="17" t="str">
        <x:v>200</x:v>
      </x:c>
      <x:c r="C33" s="17" t="str">
        <x:v>ACT</x:v>
      </x:c>
      <x:c r="D33" s="18" t="n">
        <x:v>1497.6</x:v>
      </x:c>
      <x:c r="E33" s="18" t="n">
        <x:v>1708735.23</x:v>
      </x:c>
    </x:row>
    <x:row r="34">
      <x:c r="A34" s="17" t="str">
        <x:v>2026-10</x:v>
      </x:c>
      <x:c r="B34" s="17" t="str">
        <x:v>200</x:v>
      </x:c>
      <x:c r="C34" s="17" t="str">
        <x:v>DRV</x:v>
      </x:c>
      <x:c r="D34" s="18" t="n">
        <x:v>1497.6</x:v>
      </x:c>
      <x:c r="E34" s="18" t="n">
        <x:v>2776716.2</x:v>
      </x:c>
    </x:row>
    <x:row r="35">
      <x:c r="A35" s="17" t="str">
        <x:v>2026-10</x:v>
      </x:c>
      <x:c r="B35" s="17" t="str">
        <x:v>300</x:v>
      </x:c>
      <x:c r="C35" s="17" t="str">
        <x:v>AFT</x:v>
      </x:c>
      <x:c r="D35" s="18" t="n">
        <x:v>925.6</x:v>
      </x:c>
      <x:c r="E35" s="18" t="n">
        <x:v>2350997.46</x:v>
      </x:c>
    </x:row>
    <x:row r="36">
      <x:c r="A36" s="17" t="str">
        <x:v>2026-10</x:v>
      </x:c>
      <x:c r="B36" s="17" t="str">
        <x:v>300</x:v>
      </x:c>
      <x:c r="C36" s="17" t="str">
        <x:v>CTL</x:v>
      </x:c>
      <x:c r="D36" s="18" t="n">
        <x:v>1851.2</x:v>
      </x:c>
      <x:c r="E36" s="18" t="n">
        <x:v>4745750.19</x:v>
      </x:c>
    </x:row>
    <x:row r="37">
      <x:c r="A37" s="17" t="str">
        <x:v>2026-10</x:v>
      </x:c>
      <x:c r="B37" s="17" t="str">
        <x:v>300</x:v>
      </x:c>
      <x:c r="C37" s="17" t="str">
        <x:v>SYS</x:v>
      </x:c>
      <x:c r="D37" s="18" t="n">
        <x:v>748.8</x:v>
      </x:c>
      <x:c r="E37" s="18" t="n">
        <x:v>2156259.91</x:v>
      </x:c>
    </x:row>
    <x:row r="38">
      <x:c r="A38" s="17" t="str">
        <x:v>2026-11</x:v>
      </x:c>
      <x:c r="B38" s="17" t="str">
        <x:v>100</x:v>
      </x:c>
      <x:c r="C38" s="17" t="str">
        <x:v>ACT</x:v>
      </x:c>
      <x:c r="D38" s="18" t="n">
        <x:v>1185.6</x:v>
      </x:c>
      <x:c r="E38" s="18" t="n">
        <x:v>2528064.2</x:v>
      </x:c>
    </x:row>
    <x:row r="39">
      <x:c r="A39" s="17" t="str">
        <x:v>2026-11</x:v>
      </x:c>
      <x:c r="B39" s="17" t="str">
        <x:v>100</x:v>
      </x:c>
      <x:c r="C39" s="17" t="str">
        <x:v>AFT</x:v>
      </x:c>
      <x:c r="D39" s="18" t="n">
        <x:v>1726.4</x:v>
      </x:c>
      <x:c r="E39" s="18" t="n">
        <x:v>2464410.33</x:v>
      </x:c>
    </x:row>
    <x:row r="40">
      <x:c r="A40" s="17" t="str">
        <x:v>2026-11</x:v>
      </x:c>
      <x:c r="B40" s="17" t="str">
        <x:v>100</x:v>
      </x:c>
      <x:c r="C40" s="17" t="str">
        <x:v>DRV</x:v>
      </x:c>
      <x:c r="D40" s="18" t="n">
        <x:v>1185.6</x:v>
      </x:c>
      <x:c r="E40" s="18" t="n">
        <x:v>2722406.09</x:v>
      </x:c>
    </x:row>
    <x:row r="41">
      <x:c r="A41" s="17" t="str">
        <x:v>2026-11</x:v>
      </x:c>
      <x:c r="B41" s="17" t="str">
        <x:v>100</x:v>
      </x:c>
      <x:c r="C41" s="17" t="str">
        <x:v>SYS</x:v>
      </x:c>
      <x:c r="D41" s="18" t="n">
        <x:v>592.8</x:v>
      </x:c>
      <x:c r="E41" s="18" t="n">
        <x:v>1172811.58</x:v>
      </x:c>
    </x:row>
    <x:row r="42">
      <x:c r="A42" s="17" t="str">
        <x:v>2026-11</x:v>
      </x:c>
      <x:c r="B42" s="17" t="str">
        <x:v>200</x:v>
      </x:c>
      <x:c r="C42" s="17" t="str">
        <x:v>ACT</x:v>
      </x:c>
      <x:c r="D42" s="18" t="n">
        <x:v>1404</x:v>
      </x:c>
      <x:c r="E42" s="18" t="n">
        <x:v>1661892.73</x:v>
      </x:c>
    </x:row>
    <x:row r="43">
      <x:c r="A43" s="17" t="str">
        <x:v>2026-11</x:v>
      </x:c>
      <x:c r="B43" s="17" t="str">
        <x:v>200</x:v>
      </x:c>
      <x:c r="C43" s="17" t="str">
        <x:v>DRV</x:v>
      </x:c>
      <x:c r="D43" s="18" t="n">
        <x:v>1404</x:v>
      </x:c>
      <x:c r="E43" s="18" t="n">
        <x:v>2496926.58</x:v>
      </x:c>
    </x:row>
    <x:row r="44">
      <x:c r="A44" s="17" t="str">
        <x:v>2026-11</x:v>
      </x:c>
      <x:c r="B44" s="17" t="str">
        <x:v>300</x:v>
      </x:c>
      <x:c r="C44" s="17" t="str">
        <x:v>AFT</x:v>
      </x:c>
      <x:c r="D44" s="18" t="n">
        <x:v>863.2</x:v>
      </x:c>
      <x:c r="E44" s="18" t="n">
        <x:v>1913563.11</x:v>
      </x:c>
    </x:row>
    <x:row r="45">
      <x:c r="A45" s="17" t="str">
        <x:v>2026-11</x:v>
      </x:c>
      <x:c r="B45" s="17" t="str">
        <x:v>300</x:v>
      </x:c>
      <x:c r="C45" s="17" t="str">
        <x:v>CTL</x:v>
      </x:c>
      <x:c r="D45" s="18" t="n">
        <x:v>1726.4</x:v>
      </x:c>
      <x:c r="E45" s="18" t="n">
        <x:v>4584837.29</x:v>
      </x:c>
    </x:row>
    <x:row r="46">
      <x:c r="A46" s="17" t="str">
        <x:v>2026-11</x:v>
      </x:c>
      <x:c r="B46" s="17" t="str">
        <x:v>300</x:v>
      </x:c>
      <x:c r="C46" s="17" t="str">
        <x:v>SYS</x:v>
      </x:c>
      <x:c r="D46" s="18" t="n">
        <x:v>702</x:v>
      </x:c>
      <x:c r="E46" s="18" t="n">
        <x:v>2232962.76</x:v>
      </x:c>
    </x:row>
    <x:row r="47">
      <x:c r="A47" s="17" t="str">
        <x:v>2026-12</x:v>
      </x:c>
      <x:c r="B47" s="17" t="str">
        <x:v>100</x:v>
      </x:c>
      <x:c r="C47" s="17" t="str">
        <x:v>ACT</x:v>
      </x:c>
      <x:c r="D47" s="18" t="n">
        <x:v>1528.8</x:v>
      </x:c>
      <x:c r="E47" s="18" t="n">
        <x:v>3303636.48</x:v>
      </x:c>
    </x:row>
    <x:row r="48">
      <x:c r="A48" s="17" t="str">
        <x:v>2026-12</x:v>
      </x:c>
      <x:c r="B48" s="17" t="str">
        <x:v>100</x:v>
      </x:c>
      <x:c r="C48" s="17" t="str">
        <x:v>AFT</x:v>
      </x:c>
      <x:c r="D48" s="18" t="n">
        <x:v>1892.8</x:v>
      </x:c>
      <x:c r="E48" s="18" t="n">
        <x:v>2644506.66</x:v>
      </x:c>
    </x:row>
    <x:row r="49">
      <x:c r="A49" s="17" t="str">
        <x:v>2026-12</x:v>
      </x:c>
      <x:c r="B49" s="17" t="str">
        <x:v>100</x:v>
      </x:c>
      <x:c r="C49" s="17" t="str">
        <x:v>DRV</x:v>
      </x:c>
      <x:c r="D49" s="18" t="n">
        <x:v>1528.8</x:v>
      </x:c>
      <x:c r="E49" s="18" t="n">
        <x:v>3602025.63</x:v>
      </x:c>
    </x:row>
    <x:row r="50">
      <x:c r="A50" s="17" t="str">
        <x:v>2026-12</x:v>
      </x:c>
      <x:c r="B50" s="17" t="str">
        <x:v>100</x:v>
      </x:c>
      <x:c r="C50" s="17" t="str">
        <x:v>SYS</x:v>
      </x:c>
      <x:c r="D50" s="18" t="n">
        <x:v>764.4</x:v>
      </x:c>
      <x:c r="E50" s="18" t="n">
        <x:v>1549824.79</x:v>
      </x:c>
    </x:row>
    <x:row r="51">
      <x:c r="A51" s="17" t="str">
        <x:v>2026-12</x:v>
      </x:c>
      <x:c r="B51" s="17" t="str">
        <x:v>200</x:v>
      </x:c>
      <x:c r="C51" s="17" t="str">
        <x:v>ACT</x:v>
      </x:c>
      <x:c r="D51" s="18" t="n">
        <x:v>1310.4</x:v>
      </x:c>
      <x:c r="E51" s="18" t="n">
        <x:v>1251882.34</x:v>
      </x:c>
    </x:row>
    <x:row r="52">
      <x:c r="A52" s="17" t="str">
        <x:v>2026-12</x:v>
      </x:c>
      <x:c r="B52" s="17" t="str">
        <x:v>200</x:v>
      </x:c>
      <x:c r="C52" s="17" t="str">
        <x:v>DRV</x:v>
      </x:c>
      <x:c r="D52" s="18" t="n">
        <x:v>1310.4</x:v>
      </x:c>
      <x:c r="E52" s="18" t="n">
        <x:v>2429720.24</x:v>
      </x:c>
    </x:row>
    <x:row r="53">
      <x:c r="A53" s="17" t="str">
        <x:v>2026-12</x:v>
      </x:c>
      <x:c r="B53" s="17" t="str">
        <x:v>300</x:v>
      </x:c>
      <x:c r="C53" s="17" t="str">
        <x:v>AFT</x:v>
      </x:c>
      <x:c r="D53" s="18" t="n">
        <x:v>946.4</x:v>
      </x:c>
      <x:c r="E53" s="18" t="n">
        <x:v>2370114.22</x:v>
      </x:c>
    </x:row>
    <x:row r="54">
      <x:c r="A54" s="17" t="str">
        <x:v>2026-12</x:v>
      </x:c>
      <x:c r="B54" s="17" t="str">
        <x:v>300</x:v>
      </x:c>
      <x:c r="C54" s="17" t="str">
        <x:v>CTL</x:v>
      </x:c>
      <x:c r="D54" s="18" t="n">
        <x:v>1892.8</x:v>
      </x:c>
      <x:c r="E54" s="18" t="n">
        <x:v>5280838.62</x:v>
      </x:c>
    </x:row>
    <x:row r="55">
      <x:c r="A55" s="17" t="str">
        <x:v>2026-12</x:v>
      </x:c>
      <x:c r="B55" s="17" t="str">
        <x:v>300</x:v>
      </x:c>
      <x:c r="C55" s="17" t="str">
        <x:v>SYS</x:v>
      </x:c>
      <x:c r="D55" s="18" t="n">
        <x:v>655.2</x:v>
      </x:c>
      <x:c r="E55" s="18" t="n">
        <x:v>1959689.08</x:v>
      </x:c>
    </x:row>
  </x:sheetData>
  <x:pageMargins left="0.7" right="0.7" top="0.75" bottom="0.75" header="0.3" footer="0.3"/>
</x:worksheet>
</file>