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PV by Vendor" sheetId="2" r:id="rId5"/>
    <x:sheet xmlns:r="http://schemas.openxmlformats.org/officeDocument/2006/relationships" name="Scope Totals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Purchase Price Variance</x:v>
      </x:c>
      <x:c r="B1" s="3" t="str">
        <x:v>Purchase Price Variance</x:v>
      </x:c>
      <x:c r="C1" s="3" t="str">
        <x:v>Purchase Price Variance</x:v>
      </x:c>
      <x:c r="D1" s="3" t="str">
        <x:v>Purchase Price Variance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Procurement Finance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PPV by Vendor</x:v>
      </x:c>
      <x:c r="B11" s="23" t="n">
        <x:v>156</x:v>
      </x:c>
      <x:c r="C11" s="23" t="n">
        <x:f>MAX(0,COUNTA('PPV by Vendor'!A2:A157))</x:f>
        <x:v>156</x:v>
      </x:c>
      <x:c r="D11" s="22" t="str">
        <x:f>IF(B11=C11,"OK","CHECK")</x:f>
        <x:v>OK</x:v>
      </x:c>
    </x:row>
    <x:row r="12">
      <x:c r="A12" s="22" t="str">
        <x:v>Scope Totals</x:v>
      </x:c>
      <x:c r="B12" s="23" t="n">
        <x:v>1</x:v>
      </x:c>
      <x:c r="C12" s="23" t="n">
        <x:f>MAX(0,COUNTA('Scope Totals'!A2:A2))</x:f>
        <x:v>1</x:v>
      </x:c>
      <x:c r="D12" s="22" t="str">
        <x:f>IF(B12=C12,"OK","CHECK")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23" hidden="0" customWidth="1"/>
    <x:col min="4" max="4" width="15" hidden="0" customWidth="1"/>
    <x:col min="5" max="5" width="19" hidden="0" customWidth="1"/>
    <x:col min="6" max="6" width="13" hidden="0" customWidth="1"/>
    <x:col min="7" max="7" width="15" hidden="0" customWidth="1"/>
    <x:col min="8" max="8" width="19" hidden="0" customWidth="1"/>
    <x:col min="9" max="9" width="24" hidden="0" customWidth="1"/>
    <x:col min="10" max="10" width="10" hidden="0" customWidth="1"/>
  </x:cols>
  <x:sheetData>
    <x:row r="1">
      <x:c r="A1" s="15" t="str">
        <x:v>vendor_id</x:v>
      </x:c>
      <x:c r="B1" s="15" t="str">
        <x:v>name</x:v>
      </x:c>
      <x:c r="C1" s="15" t="str">
        <x:v>category</x:v>
      </x:c>
      <x:c r="D1" s="15" t="str">
        <x:v>invoice_count</x:v>
      </x:c>
      <x:c r="E1" s="15" t="str">
        <x:v>purchase_quantity</x:v>
      </x:c>
      <x:c r="F1" s="15" t="str">
        <x:v>actual_cost</x:v>
      </x:c>
      <x:c r="G1" s="15" t="str">
        <x:v>standard_cost</x:v>
      </x:c>
      <x:c r="H1" s="15" t="str">
        <x:v>po_price_variance</x:v>
      </x:c>
      <x:c r="I1" s="15" t="str">
        <x:v>invoice_price_variance</x:v>
      </x:c>
      <x:c r="J1" s="15" t="str">
        <x:v>ppv</x:v>
      </x:c>
    </x:row>
    <x:row r="2">
      <x:c r="A2" s="17" t="str">
        <x:v>VEND-0141</x:v>
      </x:c>
      <x:c r="B2" s="17" t="str">
        <x:v>Seaboard Logistics</x:v>
      </x:c>
      <x:c r="C2" s="17" t="str">
        <x:v>Freight</x:v>
      </x:c>
      <x:c r="D2" s="18" t="n">
        <x:v>32</x:v>
      </x:c>
      <x:c r="E2" s="18" t="n">
        <x:v>10367.6643</x:v>
      </x:c>
      <x:c r="F2" s="18" t="n">
        <x:v>563305.97</x:v>
      </x:c>
      <x:c r="G2" s="18" t="n">
        <x:v>551517.85</x:v>
      </x:c>
      <x:c r="H2" s="18" t="n">
        <x:v>11788.12</x:v>
      </x:c>
      <x:c r="I2" s="18" t="n">
        <x:v>0</x:v>
      </x:c>
      <x:c r="J2" s="18" t="n">
        <x:v>11788.12</x:v>
      </x:c>
    </x:row>
    <x:row r="3">
      <x:c r="A3" s="17" t="str">
        <x:v>VEND-0039</x:v>
      </x:c>
      <x:c r="B3" s="17" t="str">
        <x:v>Continental Controls</x:v>
      </x:c>
      <x:c r="C3" s="17" t="str">
        <x:v>Electronics</x:v>
      </x:c>
      <x:c r="D3" s="18" t="n">
        <x:v>22</x:v>
      </x:c>
      <x:c r="E3" s="18" t="n">
        <x:v>7707.3598</x:v>
      </x:c>
      <x:c r="F3" s="18" t="n">
        <x:v>544845.87</x:v>
      </x:c>
      <x:c r="G3" s="18" t="n">
        <x:v>536981.29</x:v>
      </x:c>
      <x:c r="H3" s="18" t="n">
        <x:v>7864.59</x:v>
      </x:c>
      <x:c r="I3" s="18" t="n">
        <x:v>0</x:v>
      </x:c>
      <x:c r="J3" s="18" t="n">
        <x:v>7864.59</x:v>
      </x:c>
    </x:row>
    <x:row r="4">
      <x:c r="A4" s="17" t="str">
        <x:v>VEND-0052</x:v>
      </x:c>
      <x:c r="B4" s="17" t="str">
        <x:v>Easton Surface Technologies</x:v>
      </x:c>
      <x:c r="C4" s="17" t="str">
        <x:v>Outside Processing</x:v>
      </x:c>
      <x:c r="D4" s="18" t="n">
        <x:v>27</x:v>
      </x:c>
      <x:c r="E4" s="18" t="n">
        <x:v>12510.5317</x:v>
      </x:c>
      <x:c r="F4" s="18" t="n">
        <x:v>1109802.49</x:v>
      </x:c>
      <x:c r="G4" s="18" t="n">
        <x:v>1102534.77</x:v>
      </x:c>
      <x:c r="H4" s="18" t="n">
        <x:v>7267.72</x:v>
      </x:c>
      <x:c r="I4" s="18" t="n">
        <x:v>0</x:v>
      </x:c>
      <x:c r="J4" s="18" t="n">
        <x:v>7267.72</x:v>
      </x:c>
    </x:row>
    <x:row r="5">
      <x:c r="A5" s="17" t="str">
        <x:v>VEND-0076</x:v>
      </x:c>
      <x:c r="B5" s="17" t="str">
        <x:v>Keystone Drive Systems</x:v>
      </x:c>
      <x:c r="C5" s="17" t="str">
        <x:v>Motors &amp; Drives</x:v>
      </x:c>
      <x:c r="D5" s="18" t="n">
        <x:v>36</x:v>
      </x:c>
      <x:c r="E5" s="18" t="n">
        <x:v>11485.7309</x:v>
      </x:c>
      <x:c r="F5" s="18" t="n">
        <x:v>527240.78</x:v>
      </x:c>
      <x:c r="G5" s="18" t="n">
        <x:v>519985.35</x:v>
      </x:c>
      <x:c r="H5" s="18" t="n">
        <x:v>7255.42</x:v>
      </x:c>
      <x:c r="I5" s="18" t="n">
        <x:v>0</x:v>
      </x:c>
      <x:c r="J5" s="18" t="n">
        <x:v>7255.42</x:v>
      </x:c>
    </x:row>
    <x:row r="6">
      <x:c r="A6" s="17" t="str">
        <x:v>VEND-0163</x:v>
      </x:c>
      <x:c r="B6" s="17" t="str">
        <x:v>Valley Motion Components</x:v>
      </x:c>
      <x:c r="C6" s="17" t="str">
        <x:v>Bearings &amp; Mechanical</x:v>
      </x:c>
      <x:c r="D6" s="18" t="n">
        <x:v>16</x:v>
      </x:c>
      <x:c r="E6" s="18" t="n">
        <x:v>5950.4594</x:v>
      </x:c>
      <x:c r="F6" s="18" t="n">
        <x:v>423693.75</x:v>
      </x:c>
      <x:c r="G6" s="18" t="n">
        <x:v>416729.88</x:v>
      </x:c>
      <x:c r="H6" s="18" t="n">
        <x:v>6963.87</x:v>
      </x:c>
      <x:c r="I6" s="18" t="n">
        <x:v>0</x:v>
      </x:c>
      <x:c r="J6" s="18" t="n">
        <x:v>6963.87</x:v>
      </x:c>
    </x:row>
    <x:row r="7">
      <x:c r="A7" s="17" t="str">
        <x:v>VEND-0137</x:v>
      </x:c>
      <x:c r="B7" s="17" t="str">
        <x:v>Riverbend Energy Services</x:v>
      </x:c>
      <x:c r="C7" s="17" t="str">
        <x:v>Utilities</x:v>
      </x:c>
      <x:c r="D7" s="18" t="n">
        <x:v>13</x:v>
      </x:c>
      <x:c r="E7" s="18" t="n">
        <x:v>5834.1681</x:v>
      </x:c>
      <x:c r="F7" s="18" t="n">
        <x:v>379674.14</x:v>
      </x:c>
      <x:c r="G7" s="18" t="n">
        <x:v>372918.37</x:v>
      </x:c>
      <x:c r="H7" s="18" t="n">
        <x:v>6755.78</x:v>
      </x:c>
      <x:c r="I7" s="18" t="n">
        <x:v>0</x:v>
      </x:c>
      <x:c r="J7" s="18" t="n">
        <x:v>6755.78</x:v>
      </x:c>
    </x:row>
    <x:row r="8">
      <x:c r="A8" s="17" t="str">
        <x:v>VEND-0074</x:v>
      </x:c>
      <x:c r="B8" s="17" t="str">
        <x:v>Keystone Advisory</x:v>
      </x:c>
      <x:c r="C8" s="17" t="str">
        <x:v>Professional Services</x:v>
      </x:c>
      <x:c r="D8" s="18" t="n">
        <x:v>23</x:v>
      </x:c>
      <x:c r="E8" s="18" t="n">
        <x:v>6041.5443</x:v>
      </x:c>
      <x:c r="F8" s="18" t="n">
        <x:v>624968.21</x:v>
      </x:c>
      <x:c r="G8" s="18" t="n">
        <x:v>631581.95</x:v>
      </x:c>
      <x:c r="H8" s="18" t="n">
        <x:v>-6613.74</x:v>
      </x:c>
      <x:c r="I8" s="18" t="n">
        <x:v>0</x:v>
      </x:c>
      <x:c r="J8" s="18" t="n">
        <x:v>-6613.74</x:v>
      </x:c>
    </x:row>
    <x:row r="9">
      <x:c r="A9" s="17" t="str">
        <x:v>VEND-0121</x:v>
      </x:c>
      <x:c r="B9" s="17" t="str">
        <x:v>Redstone Logistics</x:v>
      </x:c>
      <x:c r="C9" s="17" t="str">
        <x:v>Freight</x:v>
      </x:c>
      <x:c r="D9" s="18" t="n">
        <x:v>20</x:v>
      </x:c>
      <x:c r="E9" s="18" t="n">
        <x:v>5831.963</x:v>
      </x:c>
      <x:c r="F9" s="18" t="n">
        <x:v>292936.19</x:v>
      </x:c>
      <x:c r="G9" s="18" t="n">
        <x:v>286538.59</x:v>
      </x:c>
      <x:c r="H9" s="18" t="n">
        <x:v>6397.61</x:v>
      </x:c>
      <x:c r="I9" s="18" t="n">
        <x:v>0</x:v>
      </x:c>
      <x:c r="J9" s="18" t="n">
        <x:v>6397.61</x:v>
      </x:c>
    </x:row>
    <x:row r="10">
      <x:c r="A10" s="17" t="str">
        <x:v>VEND-0176</x:v>
      </x:c>
      <x:c r="B10" s="17" t="str">
        <x:v>Woodcrest Drive Systems</x:v>
      </x:c>
      <x:c r="C10" s="17" t="str">
        <x:v>Motors &amp; Drives</x:v>
      </x:c>
      <x:c r="D10" s="18" t="n">
        <x:v>29</x:v>
      </x:c>
      <x:c r="E10" s="18" t="n">
        <x:v>6837.9224</x:v>
      </x:c>
      <x:c r="F10" s="18" t="n">
        <x:v>357493.04</x:v>
      </x:c>
      <x:c r="G10" s="18" t="n">
        <x:v>351197.3</x:v>
      </x:c>
      <x:c r="H10" s="18" t="n">
        <x:v>6295.74</x:v>
      </x:c>
      <x:c r="I10" s="18" t="n">
        <x:v>0</x:v>
      </x:c>
      <x:c r="J10" s="18" t="n">
        <x:v>6295.74</x:v>
      </x:c>
    </x:row>
    <x:row r="11">
      <x:c r="A11" s="17" t="str">
        <x:v>VEND-0154</x:v>
      </x:c>
      <x:c r="B11" s="17" t="str">
        <x:v>Summit Advisory</x:v>
      </x:c>
      <x:c r="C11" s="17" t="str">
        <x:v>Professional Services</x:v>
      </x:c>
      <x:c r="D11" s="18" t="n">
        <x:v>24</x:v>
      </x:c>
      <x:c r="E11" s="18" t="n">
        <x:v>6568.6674</x:v>
      </x:c>
      <x:c r="F11" s="18" t="n">
        <x:v>458492.96</x:v>
      </x:c>
      <x:c r="G11" s="18" t="n">
        <x:v>464486.13</x:v>
      </x:c>
      <x:c r="H11" s="18" t="n">
        <x:v>-5993.17</x:v>
      </x:c>
      <x:c r="I11" s="18" t="n">
        <x:v>0</x:v>
      </x:c>
      <x:c r="J11" s="18" t="n">
        <x:v>-5993.17</x:v>
      </x:c>
    </x:row>
    <x:row r="12">
      <x:c r="A12" s="17" t="str">
        <x:v>VEND-0166</x:v>
      </x:c>
      <x:c r="B12" s="17" t="str">
        <x:v>Valley Drive Systems</x:v>
      </x:c>
      <x:c r="C12" s="17" t="str">
        <x:v>Motors &amp; Drives</x:v>
      </x:c>
      <x:c r="D12" s="18" t="n">
        <x:v>16</x:v>
      </x:c>
      <x:c r="E12" s="18" t="n">
        <x:v>6671.2955</x:v>
      </x:c>
      <x:c r="F12" s="18" t="n">
        <x:v>360570.08</x:v>
      </x:c>
      <x:c r="G12" s="18" t="n">
        <x:v>366333.4</x:v>
      </x:c>
      <x:c r="H12" s="18" t="n">
        <x:v>-5763.32</x:v>
      </x:c>
      <x:c r="I12" s="18" t="n">
        <x:v>0</x:v>
      </x:c>
      <x:c r="J12" s="18" t="n">
        <x:v>-5763.32</x:v>
      </x:c>
    </x:row>
    <x:row r="13">
      <x:c r="A13" s="17" t="str">
        <x:v>VEND-0150</x:v>
      </x:c>
      <x:c r="B13" s="17" t="str">
        <x:v>Stonebridge Metals</x:v>
      </x:c>
      <x:c r="C13" s="17" t="str">
        <x:v>Metals</x:v>
      </x:c>
      <x:c r="D13" s="18" t="n">
        <x:v>20</x:v>
      </x:c>
      <x:c r="E13" s="18" t="n">
        <x:v>3919.0789</x:v>
      </x:c>
      <x:c r="F13" s="18" t="n">
        <x:v>263215.44</x:v>
      </x:c>
      <x:c r="G13" s="18" t="n">
        <x:v>268880.69</x:v>
      </x:c>
      <x:c r="H13" s="18" t="n">
        <x:v>-5665.25</x:v>
      </x:c>
      <x:c r="I13" s="18" t="n">
        <x:v>0</x:v>
      </x:c>
      <x:c r="J13" s="18" t="n">
        <x:v>-5665.25</x:v>
      </x:c>
    </x:row>
    <x:row r="14">
      <x:c r="A14" s="17" t="str">
        <x:v>VEND-0165</x:v>
      </x:c>
      <x:c r="B14" s="17" t="str">
        <x:v>Valley Packaging</x:v>
      </x:c>
      <x:c r="C14" s="17" t="str">
        <x:v>Packaging</x:v>
      </x:c>
      <x:c r="D14" s="18" t="n">
        <x:v>14</x:v>
      </x:c>
      <x:c r="E14" s="18" t="n">
        <x:v>5348.1657</x:v>
      </x:c>
      <x:c r="F14" s="18" t="n">
        <x:v>238960.23</x:v>
      </x:c>
      <x:c r="G14" s="18" t="n">
        <x:v>233370.74</x:v>
      </x:c>
      <x:c r="H14" s="18" t="n">
        <x:v>5589.49</x:v>
      </x:c>
      <x:c r="I14" s="18" t="n">
        <x:v>0</x:v>
      </x:c>
      <x:c r="J14" s="18" t="n">
        <x:v>5589.49</x:v>
      </x:c>
    </x:row>
    <x:row r="15">
      <x:c r="A15" s="17" t="str">
        <x:v>VEND-0131</x:v>
      </x:c>
      <x:c r="B15" s="17" t="str">
        <x:v>Ridgeway Logistics</x:v>
      </x:c>
      <x:c r="C15" s="17" t="str">
        <x:v>Freight</x:v>
      </x:c>
      <x:c r="D15" s="18" t="n">
        <x:v>31</x:v>
      </x:c>
      <x:c r="E15" s="18" t="n">
        <x:v>10372.1194</x:v>
      </x:c>
      <x:c r="F15" s="18" t="n">
        <x:v>429410.21</x:v>
      </x:c>
      <x:c r="G15" s="18" t="n">
        <x:v>434873.29</x:v>
      </x:c>
      <x:c r="H15" s="18" t="n">
        <x:v>-5463.08</x:v>
      </x:c>
      <x:c r="I15" s="18" t="n">
        <x:v>0</x:v>
      </x:c>
      <x:c r="J15" s="18" t="n">
        <x:v>-5463.08</x:v>
      </x:c>
    </x:row>
    <x:row r="16">
      <x:c r="A16" s="17" t="str">
        <x:v>VEND-0106</x:v>
      </x:c>
      <x:c r="B16" s="17" t="str">
        <x:v>Orchard Drive Systems</x:v>
      </x:c>
      <x:c r="C16" s="17" t="str">
        <x:v>Motors &amp; Drives</x:v>
      </x:c>
      <x:c r="D16" s="18" t="n">
        <x:v>19</x:v>
      </x:c>
      <x:c r="E16" s="18" t="n">
        <x:v>6452.2061</x:v>
      </x:c>
      <x:c r="F16" s="18" t="n">
        <x:v>243047.06</x:v>
      </x:c>
      <x:c r="G16" s="18" t="n">
        <x:v>237724.07</x:v>
      </x:c>
      <x:c r="H16" s="18" t="n">
        <x:v>5322.99</x:v>
      </x:c>
      <x:c r="I16" s="18" t="n">
        <x:v>0</x:v>
      </x:c>
      <x:c r="J16" s="18" t="n">
        <x:v>5322.99</x:v>
      </x:c>
    </x:row>
    <x:row r="17">
      <x:c r="A17" s="17" t="str">
        <x:v>VEND-0151</x:v>
      </x:c>
      <x:c r="B17" s="17" t="str">
        <x:v>Summit Logistics</x:v>
      </x:c>
      <x:c r="C17" s="17" t="str">
        <x:v>Freight</x:v>
      </x:c>
      <x:c r="D17" s="18" t="n">
        <x:v>24</x:v>
      </x:c>
      <x:c r="E17" s="18" t="n">
        <x:v>6297.8614</x:v>
      </x:c>
      <x:c r="F17" s="18" t="n">
        <x:v>284228.2</x:v>
      </x:c>
      <x:c r="G17" s="18" t="n">
        <x:v>278926.62</x:v>
      </x:c>
      <x:c r="H17" s="18" t="n">
        <x:v>5301.58</x:v>
      </x:c>
      <x:c r="I17" s="18" t="n">
        <x:v>0</x:v>
      </x:c>
      <x:c r="J17" s="18" t="n">
        <x:v>5301.58</x:v>
      </x:c>
    </x:row>
    <x:row r="18">
      <x:c r="A18" s="17" t="str">
        <x:v>VEND-0048</x:v>
      </x:c>
      <x:c r="B18" s="17" t="str">
        <x:v>Crown Industrial Supply</x:v>
      </x:c>
      <x:c r="C18" s="17" t="str">
        <x:v>MRO</x:v>
      </x:c>
      <x:c r="D18" s="18" t="n">
        <x:v>18</x:v>
      </x:c>
      <x:c r="E18" s="18" t="n">
        <x:v>4295.9931</x:v>
      </x:c>
      <x:c r="F18" s="18" t="n">
        <x:v>394843.73</x:v>
      </x:c>
      <x:c r="G18" s="18" t="n">
        <x:v>390040.6</x:v>
      </x:c>
      <x:c r="H18" s="18" t="n">
        <x:v>4803.13</x:v>
      </x:c>
      <x:c r="I18" s="18" t="n">
        <x:v>0</x:v>
      </x:c>
      <x:c r="J18" s="18" t="n">
        <x:v>4803.13</x:v>
      </x:c>
    </x:row>
    <x:row r="19">
      <x:c r="A19" s="17" t="str">
        <x:v>VEND-0085</x:v>
      </x:c>
      <x:c r="B19" s="17" t="str">
        <x:v>Landmark Packaging</x:v>
      </x:c>
      <x:c r="C19" s="17" t="str">
        <x:v>Packaging</x:v>
      </x:c>
      <x:c r="D19" s="18" t="n">
        <x:v>15</x:v>
      </x:c>
      <x:c r="E19" s="18" t="n">
        <x:v>4119.6782</x:v>
      </x:c>
      <x:c r="F19" s="18" t="n">
        <x:v>282042.69</x:v>
      </x:c>
      <x:c r="G19" s="18" t="n">
        <x:v>286843.3</x:v>
      </x:c>
      <x:c r="H19" s="18" t="n">
        <x:v>-4800.62</x:v>
      </x:c>
      <x:c r="I19" s="18" t="n">
        <x:v>0</x:v>
      </x:c>
      <x:c r="J19" s="18" t="n">
        <x:v>-4800.62</x:v>
      </x:c>
    </x:row>
    <x:row r="20">
      <x:c r="A20" s="17" t="str">
        <x:v>VEND-0001</x:v>
      </x:c>
      <x:c r="B20" s="17" t="str">
        <x:v>Allegheny Logistics</x:v>
      </x:c>
      <x:c r="C20" s="17" t="str">
        <x:v>Freight</x:v>
      </x:c>
      <x:c r="D20" s="18" t="n">
        <x:v>14</x:v>
      </x:c>
      <x:c r="E20" s="18" t="n">
        <x:v>5022.9279</x:v>
      </x:c>
      <x:c r="F20" s="18" t="n">
        <x:v>239773.67</x:v>
      </x:c>
      <x:c r="G20" s="18" t="n">
        <x:v>235132.36</x:v>
      </x:c>
      <x:c r="H20" s="18" t="n">
        <x:v>4641.31</x:v>
      </x:c>
      <x:c r="I20" s="18" t="n">
        <x:v>0</x:v>
      </x:c>
      <x:c r="J20" s="18" t="n">
        <x:v>4641.31</x:v>
      </x:c>
    </x:row>
    <x:row r="21">
      <x:c r="A21" s="17" t="str">
        <x:v>VEND-0078</x:v>
      </x:c>
      <x:c r="B21" s="17" t="str">
        <x:v>Keystone Industrial Supply</x:v>
      </x:c>
      <x:c r="C21" s="17" t="str">
        <x:v>MRO</x:v>
      </x:c>
      <x:c r="D21" s="18" t="n">
        <x:v>11</x:v>
      </x:c>
      <x:c r="E21" s="18" t="n">
        <x:v>3302.4023</x:v>
      </x:c>
      <x:c r="F21" s="18" t="n">
        <x:v>337236.44</x:v>
      </x:c>
      <x:c r="G21" s="18" t="n">
        <x:v>341862.89</x:v>
      </x:c>
      <x:c r="H21" s="18" t="n">
        <x:v>-4626.44</x:v>
      </x:c>
      <x:c r="I21" s="18" t="n">
        <x:v>0</x:v>
      </x:c>
      <x:c r="J21" s="18" t="n">
        <x:v>-4626.44</x:v>
      </x:c>
    </x:row>
    <x:row r="22">
      <x:c r="A22" s="17" t="str">
        <x:v>VEND-0011</x:v>
      </x:c>
      <x:c r="B22" s="17" t="str">
        <x:v>Arcadia Logistics</x:v>
      </x:c>
      <x:c r="C22" s="17" t="str">
        <x:v>Freight</x:v>
      </x:c>
      <x:c r="D22" s="18" t="n">
        <x:v>36</x:v>
      </x:c>
      <x:c r="E22" s="18" t="n">
        <x:v>12716.3907</x:v>
      </x:c>
      <x:c r="F22" s="18" t="n">
        <x:v>561524.24</x:v>
      </x:c>
      <x:c r="G22" s="18" t="n">
        <x:v>557255.28</x:v>
      </x:c>
      <x:c r="H22" s="18" t="n">
        <x:v>4268.96</x:v>
      </x:c>
      <x:c r="I22" s="18" t="n">
        <x:v>0</x:v>
      </x:c>
      <x:c r="J22" s="18" t="n">
        <x:v>4268.96</x:v>
      </x:c>
    </x:row>
    <x:row r="23">
      <x:c r="A23" s="17" t="str">
        <x:v>VEND-0046</x:v>
      </x:c>
      <x:c r="B23" s="17" t="str">
        <x:v>Crown Drive Systems</x:v>
      </x:c>
      <x:c r="C23" s="17" t="str">
        <x:v>Motors &amp; Drives</x:v>
      </x:c>
      <x:c r="D23" s="18" t="n">
        <x:v>28</x:v>
      </x:c>
      <x:c r="E23" s="18" t="n">
        <x:v>7928.3599</x:v>
      </x:c>
      <x:c r="F23" s="18" t="n">
        <x:v>396037.03</x:v>
      </x:c>
      <x:c r="G23" s="18" t="n">
        <x:v>391780.01</x:v>
      </x:c>
      <x:c r="H23" s="18" t="n">
        <x:v>4257.03</x:v>
      </x:c>
      <x:c r="I23" s="18" t="n">
        <x:v>0</x:v>
      </x:c>
      <x:c r="J23" s="18" t="n">
        <x:v>4257.03</x:v>
      </x:c>
    </x:row>
    <x:row r="24">
      <x:c r="A24" s="17" t="str">
        <x:v>VEND-0098</x:v>
      </x:c>
      <x:c r="B24" s="17" t="str">
        <x:v>Oak River Industrial Supply</x:v>
      </x:c>
      <x:c r="C24" s="17" t="str">
        <x:v>MRO</x:v>
      </x:c>
      <x:c r="D24" s="18" t="n">
        <x:v>12</x:v>
      </x:c>
      <x:c r="E24" s="18" t="n">
        <x:v>4632.4656</x:v>
      </x:c>
      <x:c r="F24" s="18" t="n">
        <x:v>285655.08</x:v>
      </x:c>
      <x:c r="G24" s="18" t="n">
        <x:v>281523.23</x:v>
      </x:c>
      <x:c r="H24" s="18" t="n">
        <x:v>4131.85</x:v>
      </x:c>
      <x:c r="I24" s="18" t="n">
        <x:v>0</x:v>
      </x:c>
      <x:c r="J24" s="18" t="n">
        <x:v>4131.85</x:v>
      </x:c>
    </x:row>
    <x:row r="25">
      <x:c r="A25" s="17" t="str">
        <x:v>VEND-0056</x:v>
      </x:c>
      <x:c r="B25" s="17" t="str">
        <x:v>Fairview Drive Systems</x:v>
      </x:c>
      <x:c r="C25" s="17" t="str">
        <x:v>Motors &amp; Drives</x:v>
      </x:c>
      <x:c r="D25" s="18" t="n">
        <x:v>21</x:v>
      </x:c>
      <x:c r="E25" s="18" t="n">
        <x:v>8537.2183</x:v>
      </x:c>
      <x:c r="F25" s="18" t="n">
        <x:v>470554.51</x:v>
      </x:c>
      <x:c r="G25" s="18" t="n">
        <x:v>474650.53</x:v>
      </x:c>
      <x:c r="H25" s="18" t="n">
        <x:v>-4096.03</x:v>
      </x:c>
      <x:c r="I25" s="18" t="n">
        <x:v>0</x:v>
      </x:c>
      <x:c r="J25" s="18" t="n">
        <x:v>-4096.03</x:v>
      </x:c>
    </x:row>
    <x:row r="26">
      <x:c r="A26" s="17" t="str">
        <x:v>VEND-0029</x:v>
      </x:c>
      <x:c r="B26" s="17" t="str">
        <x:v>Cedar Valley Controls</x:v>
      </x:c>
      <x:c r="C26" s="17" t="str">
        <x:v>Electronics</x:v>
      </x:c>
      <x:c r="D26" s="18" t="n">
        <x:v>25</x:v>
      </x:c>
      <x:c r="E26" s="18" t="n">
        <x:v>8879.6172</x:v>
      </x:c>
      <x:c r="F26" s="18" t="n">
        <x:v>445187.69</x:v>
      </x:c>
      <x:c r="G26" s="18" t="n">
        <x:v>449154.21</x:v>
      </x:c>
      <x:c r="H26" s="18" t="n">
        <x:v>-3966.52</x:v>
      </x:c>
      <x:c r="I26" s="18" t="n">
        <x:v>0</x:v>
      </x:c>
      <x:c r="J26" s="18" t="n">
        <x:v>-3966.52</x:v>
      </x:c>
    </x:row>
    <x:row r="27">
      <x:c r="A27" s="17" t="str">
        <x:v>VEND-0104</x:v>
      </x:c>
      <x:c r="B27" s="17" t="str">
        <x:v>Orchard Advisory</x:v>
      </x:c>
      <x:c r="C27" s="17" t="str">
        <x:v>Professional Services</x:v>
      </x:c>
      <x:c r="D27" s="18" t="n">
        <x:v>22</x:v>
      </x:c>
      <x:c r="E27" s="18" t="n">
        <x:v>4131.7249</x:v>
      </x:c>
      <x:c r="F27" s="18" t="n">
        <x:v>379303.51</x:v>
      </x:c>
      <x:c r="G27" s="18" t="n">
        <x:v>375421.32</x:v>
      </x:c>
      <x:c r="H27" s="18" t="n">
        <x:v>3882.19</x:v>
      </x:c>
      <x:c r="I27" s="18" t="n">
        <x:v>0</x:v>
      </x:c>
      <x:c r="J27" s="18" t="n">
        <x:v>3882.19</x:v>
      </x:c>
    </x:row>
    <x:row r="28">
      <x:c r="A28" s="17" t="str">
        <x:v>VEND-0101</x:v>
      </x:c>
      <x:c r="B28" s="17" t="str">
        <x:v>Oak River Logistics</x:v>
      </x:c>
      <x:c r="C28" s="17" t="str">
        <x:v>Freight</x:v>
      </x:c>
      <x:c r="D28" s="18" t="n">
        <x:v>17</x:v>
      </x:c>
      <x:c r="E28" s="18" t="n">
        <x:v>4341.6692</x:v>
      </x:c>
      <x:c r="F28" s="18" t="n">
        <x:v>289820.8</x:v>
      </x:c>
      <x:c r="G28" s="18" t="n">
        <x:v>285942.68</x:v>
      </x:c>
      <x:c r="H28" s="18" t="n">
        <x:v>3878.12</x:v>
      </x:c>
      <x:c r="I28" s="18" t="n">
        <x:v>0</x:v>
      </x:c>
      <x:c r="J28" s="18" t="n">
        <x:v>3878.12</x:v>
      </x:c>
    </x:row>
    <x:row r="29">
      <x:c r="A29" s="17" t="str">
        <x:v>VEND-0013</x:v>
      </x:c>
      <x:c r="B29" s="17" t="str">
        <x:v>Bayshore Motion Components</x:v>
      </x:c>
      <x:c r="C29" s="17" t="str">
        <x:v>Bearings &amp; Mechanical</x:v>
      </x:c>
      <x:c r="D29" s="18" t="n">
        <x:v>28</x:v>
      </x:c>
      <x:c r="E29" s="18" t="n">
        <x:v>8283.3066</x:v>
      </x:c>
      <x:c r="F29" s="18" t="n">
        <x:v>735221.46</x:v>
      </x:c>
      <x:c r="G29" s="18" t="n">
        <x:v>731485.85</x:v>
      </x:c>
      <x:c r="H29" s="18" t="n">
        <x:v>3735.62</x:v>
      </x:c>
      <x:c r="I29" s="18" t="n">
        <x:v>0</x:v>
      </x:c>
      <x:c r="J29" s="18" t="n">
        <x:v>3735.62</x:v>
      </x:c>
    </x:row>
    <x:row r="30">
      <x:c r="A30" s="17" t="str">
        <x:v>VEND-0113</x:v>
      </x:c>
      <x:c r="B30" s="17" t="str">
        <x:v>Pinnacle Motion Components</x:v>
      </x:c>
      <x:c r="C30" s="17" t="str">
        <x:v>Bearings &amp; Mechanical</x:v>
      </x:c>
      <x:c r="D30" s="18" t="n">
        <x:v>22</x:v>
      </x:c>
      <x:c r="E30" s="18" t="n">
        <x:v>8985.0099</x:v>
      </x:c>
      <x:c r="F30" s="18" t="n">
        <x:v>238087.57</x:v>
      </x:c>
      <x:c r="G30" s="18" t="n">
        <x:v>241802.8</x:v>
      </x:c>
      <x:c r="H30" s="18" t="n">
        <x:v>-3715.23</x:v>
      </x:c>
      <x:c r="I30" s="18" t="n">
        <x:v>0</x:v>
      </x:c>
      <x:c r="J30" s="18" t="n">
        <x:v>-3715.23</x:v>
      </x:c>
    </x:row>
    <x:row r="31">
      <x:c r="A31" s="17" t="str">
        <x:v>VEND-0051</x:v>
      </x:c>
      <x:c r="B31" s="17" t="str">
        <x:v>Easton Logistics</x:v>
      </x:c>
      <x:c r="C31" s="17" t="str">
        <x:v>Freight</x:v>
      </x:c>
      <x:c r="D31" s="18" t="n">
        <x:v>18</x:v>
      </x:c>
      <x:c r="E31" s="18" t="n">
        <x:v>4424.3851</x:v>
      </x:c>
      <x:c r="F31" s="18" t="n">
        <x:v>255203.6</x:v>
      </x:c>
      <x:c r="G31" s="18" t="n">
        <x:v>258685.62</x:v>
      </x:c>
      <x:c r="H31" s="18" t="n">
        <x:v>-3482.02</x:v>
      </x:c>
      <x:c r="I31" s="18" t="n">
        <x:v>0</x:v>
      </x:c>
      <x:c r="J31" s="18" t="n">
        <x:v>-3482.02</x:v>
      </x:c>
    </x:row>
    <x:row r="32">
      <x:c r="A32" s="17" t="str">
        <x:v>VEND-0115</x:v>
      </x:c>
      <x:c r="B32" s="17" t="str">
        <x:v>Prairie Packaging</x:v>
      </x:c>
      <x:c r="C32" s="17" t="str">
        <x:v>Packaging</x:v>
      </x:c>
      <x:c r="D32" s="18" t="n">
        <x:v>28</x:v>
      </x:c>
      <x:c r="E32" s="18" t="n">
        <x:v>10017.9495</x:v>
      </x:c>
      <x:c r="F32" s="18" t="n">
        <x:v>529038.09</x:v>
      </x:c>
      <x:c r="G32" s="18" t="n">
        <x:v>525571.51</x:v>
      </x:c>
      <x:c r="H32" s="18" t="n">
        <x:v>3466.57</x:v>
      </x:c>
      <x:c r="I32" s="18" t="n">
        <x:v>0</x:v>
      </x:c>
      <x:c r="J32" s="18" t="n">
        <x:v>3466.57</x:v>
      </x:c>
    </x:row>
    <x:row r="33">
      <x:c r="A33" s="17" t="str">
        <x:v>VEND-0026</x:v>
      </x:c>
      <x:c r="B33" s="17" t="str">
        <x:v>Cedar Valley Drive Systems</x:v>
      </x:c>
      <x:c r="C33" s="17" t="str">
        <x:v>Motors &amp; Drives</x:v>
      </x:c>
      <x:c r="D33" s="18" t="n">
        <x:v>32</x:v>
      </x:c>
      <x:c r="E33" s="18" t="n">
        <x:v>10743.208</x:v>
      </x:c>
      <x:c r="F33" s="18" t="n">
        <x:v>555297.82</x:v>
      </x:c>
      <x:c r="G33" s="18" t="n">
        <x:v>558755.87</x:v>
      </x:c>
      <x:c r="H33" s="18" t="n">
        <x:v>-3458.05</x:v>
      </x:c>
      <x:c r="I33" s="18" t="n">
        <x:v>0</x:v>
      </x:c>
      <x:c r="J33" s="18" t="n">
        <x:v>-3458.05</x:v>
      </x:c>
    </x:row>
    <x:row r="34">
      <x:c r="A34" s="17" t="str">
        <x:v>VEND-0031</x:v>
      </x:c>
      <x:c r="B34" s="17" t="str">
        <x:v>Clearpoint Logistics</x:v>
      </x:c>
      <x:c r="C34" s="17" t="str">
        <x:v>Freight</x:v>
      </x:c>
      <x:c r="D34" s="18" t="n">
        <x:v>35</x:v>
      </x:c>
      <x:c r="E34" s="18" t="n">
        <x:v>11603.3192</x:v>
      </x:c>
      <x:c r="F34" s="18" t="n">
        <x:v>764676.56</x:v>
      </x:c>
      <x:c r="G34" s="18" t="n">
        <x:v>768035.07</x:v>
      </x:c>
      <x:c r="H34" s="18" t="n">
        <x:v>-3358.51</x:v>
      </x:c>
      <x:c r="I34" s="18" t="n">
        <x:v>0</x:v>
      </x:c>
      <x:c r="J34" s="18" t="n">
        <x:v>-3358.51</x:v>
      </x:c>
    </x:row>
    <x:row r="35">
      <x:c r="A35" s="17" t="str">
        <x:v>VEND-0128</x:v>
      </x:c>
      <x:c r="B35" s="17" t="str">
        <x:v>Ridgeway Industrial Supply</x:v>
      </x:c>
      <x:c r="C35" s="17" t="str">
        <x:v>MRO</x:v>
      </x:c>
      <x:c r="D35" s="18" t="n">
        <x:v>19</x:v>
      </x:c>
      <x:c r="E35" s="18" t="n">
        <x:v>5746.613</x:v>
      </x:c>
      <x:c r="F35" s="18" t="n">
        <x:v>240862.36</x:v>
      </x:c>
      <x:c r="G35" s="18" t="n">
        <x:v>244208.21</x:v>
      </x:c>
      <x:c r="H35" s="18" t="n">
        <x:v>-3345.85</x:v>
      </x:c>
      <x:c r="I35" s="18" t="n">
        <x:v>0</x:v>
      </x:c>
      <x:c r="J35" s="18" t="n">
        <x:v>-3345.85</x:v>
      </x:c>
    </x:row>
    <x:row r="36">
      <x:c r="A36" s="17" t="str">
        <x:v>VEND-0066</x:v>
      </x:c>
      <x:c r="B36" s="17" t="str">
        <x:v>Great Lakes Drive Systems</x:v>
      </x:c>
      <x:c r="C36" s="17" t="str">
        <x:v>Motors &amp; Drives</x:v>
      </x:c>
      <x:c r="D36" s="18" t="n">
        <x:v>35</x:v>
      </x:c>
      <x:c r="E36" s="18" t="n">
        <x:v>11641.6013</x:v>
      </x:c>
      <x:c r="F36" s="18" t="n">
        <x:v>429559.78</x:v>
      </x:c>
      <x:c r="G36" s="18" t="n">
        <x:v>432673.41</x:v>
      </x:c>
      <x:c r="H36" s="18" t="n">
        <x:v>-3113.63</x:v>
      </x:c>
      <x:c r="I36" s="18" t="n">
        <x:v>0</x:v>
      </x:c>
      <x:c r="J36" s="18" t="n">
        <x:v>-3113.63</x:v>
      </x:c>
    </x:row>
    <x:row r="37">
      <x:c r="A37" s="17" t="str">
        <x:v>VEND-0171</x:v>
      </x:c>
      <x:c r="B37" s="17" t="str">
        <x:v>Westfield Logistics</x:v>
      </x:c>
      <x:c r="C37" s="17" t="str">
        <x:v>Freight</x:v>
      </x:c>
      <x:c r="D37" s="18" t="n">
        <x:v>27</x:v>
      </x:c>
      <x:c r="E37" s="18" t="n">
        <x:v>8364.6984</x:v>
      </x:c>
      <x:c r="F37" s="18" t="n">
        <x:v>287741.4</x:v>
      </x:c>
      <x:c r="G37" s="18" t="n">
        <x:v>284697.1</x:v>
      </x:c>
      <x:c r="H37" s="18" t="n">
        <x:v>3044.3</x:v>
      </x:c>
      <x:c r="I37" s="18" t="n">
        <x:v>0</x:v>
      </x:c>
      <x:c r="J37" s="18" t="n">
        <x:v>3044.3</x:v>
      </x:c>
    </x:row>
    <x:row r="38">
      <x:c r="A38" s="17" t="str">
        <x:v>VEND-0146</x:v>
      </x:c>
      <x:c r="B38" s="17" t="str">
        <x:v>Stonebridge Drive Systems</x:v>
      </x:c>
      <x:c r="C38" s="17" t="str">
        <x:v>Motors &amp; Drives</x:v>
      </x:c>
      <x:c r="D38" s="18" t="n">
        <x:v>29</x:v>
      </x:c>
      <x:c r="E38" s="18" t="n">
        <x:v>9098.1277</x:v>
      </x:c>
      <x:c r="F38" s="18" t="n">
        <x:v>685721.72</x:v>
      </x:c>
      <x:c r="G38" s="18" t="n">
        <x:v>682971.3</x:v>
      </x:c>
      <x:c r="H38" s="18" t="n">
        <x:v>2750.42</x:v>
      </x:c>
      <x:c r="I38" s="18" t="n">
        <x:v>0</x:v>
      </x:c>
      <x:c r="J38" s="18" t="n">
        <x:v>2750.42</x:v>
      </x:c>
    </x:row>
    <x:row r="39">
      <x:c r="A39" s="17" t="str">
        <x:v>VEND-0081</x:v>
      </x:c>
      <x:c r="B39" s="17" t="str">
        <x:v>Lakefront Logistics</x:v>
      </x:c>
      <x:c r="C39" s="17" t="str">
        <x:v>Freight</x:v>
      </x:c>
      <x:c r="D39" s="18" t="n">
        <x:v>34</x:v>
      </x:c>
      <x:c r="E39" s="18" t="n">
        <x:v>12734.4777</x:v>
      </x:c>
      <x:c r="F39" s="18" t="n">
        <x:v>693816.73</x:v>
      </x:c>
      <x:c r="G39" s="18" t="n">
        <x:v>691127.84</x:v>
      </x:c>
      <x:c r="H39" s="18" t="n">
        <x:v>2688.89</x:v>
      </x:c>
      <x:c r="I39" s="18" t="n">
        <x:v>0</x:v>
      </x:c>
      <x:c r="J39" s="18" t="n">
        <x:v>2688.89</x:v>
      </x:c>
    </x:row>
    <x:row r="40">
      <x:c r="A40" s="17" t="str">
        <x:v>VEND-0089</x:v>
      </x:c>
      <x:c r="B40" s="17" t="str">
        <x:v>Landmark Controls</x:v>
      </x:c>
      <x:c r="C40" s="17" t="str">
        <x:v>Electronics</x:v>
      </x:c>
      <x:c r="D40" s="18" t="n">
        <x:v>20</x:v>
      </x:c>
      <x:c r="E40" s="18" t="n">
        <x:v>4450.2547</x:v>
      </x:c>
      <x:c r="F40" s="18" t="n">
        <x:v>291308.21</x:v>
      </x:c>
      <x:c r="G40" s="18" t="n">
        <x:v>288639.57</x:v>
      </x:c>
      <x:c r="H40" s="18" t="n">
        <x:v>2668.64</x:v>
      </x:c>
      <x:c r="I40" s="18" t="n">
        <x:v>0</x:v>
      </x:c>
      <x:c r="J40" s="18" t="n">
        <x:v>2668.64</x:v>
      </x:c>
    </x:row>
    <x:row r="41">
      <x:c r="A41" s="17" t="str">
        <x:v>VEND-0144</x:v>
      </x:c>
      <x:c r="B41" s="17" t="str">
        <x:v>Seaboard Advisory</x:v>
      </x:c>
      <x:c r="C41" s="17" t="str">
        <x:v>Professional Services</x:v>
      </x:c>
      <x:c r="D41" s="18" t="n">
        <x:v>12</x:v>
      </x:c>
      <x:c r="E41" s="18" t="n">
        <x:v>3551.5892</x:v>
      </x:c>
      <x:c r="F41" s="18" t="n">
        <x:v>171867.87</x:v>
      </x:c>
      <x:c r="G41" s="18" t="n">
        <x:v>174529.14</x:v>
      </x:c>
      <x:c r="H41" s="18" t="n">
        <x:v>-2661.27</x:v>
      </x:c>
      <x:c r="I41" s="18" t="n">
        <x:v>0</x:v>
      </x:c>
      <x:c r="J41" s="18" t="n">
        <x:v>-2661.27</x:v>
      </x:c>
    </x:row>
    <x:row r="42">
      <x:c r="A42" s="17" t="str">
        <x:v>VEND-0071</x:v>
      </x:c>
      <x:c r="B42" s="17" t="str">
        <x:v>Horizon Logistics</x:v>
      </x:c>
      <x:c r="C42" s="17" t="str">
        <x:v>Freight</x:v>
      </x:c>
      <x:c r="D42" s="18" t="n">
        <x:v>24</x:v>
      </x:c>
      <x:c r="E42" s="18" t="n">
        <x:v>6898.2553</x:v>
      </x:c>
      <x:c r="F42" s="18" t="n">
        <x:v>241134.47</x:v>
      </x:c>
      <x:c r="G42" s="18" t="n">
        <x:v>243771.88</x:v>
      </x:c>
      <x:c r="H42" s="18" t="n">
        <x:v>-2637.41</x:v>
      </x:c>
      <x:c r="I42" s="18" t="n">
        <x:v>0</x:v>
      </x:c>
      <x:c r="J42" s="18" t="n">
        <x:v>-2637.41</x:v>
      </x:c>
    </x:row>
    <x:row r="43">
      <x:c r="A43" s="17" t="str">
        <x:v>VEND-0040</x:v>
      </x:c>
      <x:c r="B43" s="17" t="str">
        <x:v>Continental Metals</x:v>
      </x:c>
      <x:c r="C43" s="17" t="str">
        <x:v>Metals</x:v>
      </x:c>
      <x:c r="D43" s="18" t="n">
        <x:v>14</x:v>
      </x:c>
      <x:c r="E43" s="18" t="n">
        <x:v>5441.1191</x:v>
      </x:c>
      <x:c r="F43" s="18" t="n">
        <x:v>143179.43</x:v>
      </x:c>
      <x:c r="G43" s="18" t="n">
        <x:v>145782.41</x:v>
      </x:c>
      <x:c r="H43" s="18" t="n">
        <x:v>-2602.98</x:v>
      </x:c>
      <x:c r="I43" s="18" t="n">
        <x:v>0</x:v>
      </x:c>
      <x:c r="J43" s="18" t="n">
        <x:v>-2602.98</x:v>
      </x:c>
    </x:row>
    <x:row r="44">
      <x:c r="A44" s="17" t="str">
        <x:v>VEND-0061</x:v>
      </x:c>
      <x:c r="B44" s="17" t="str">
        <x:v>Great Lakes Logistics</x:v>
      </x:c>
      <x:c r="C44" s="17" t="str">
        <x:v>Freight</x:v>
      </x:c>
      <x:c r="D44" s="18" t="n">
        <x:v>29</x:v>
      </x:c>
      <x:c r="E44" s="18" t="n">
        <x:v>8128.9223</x:v>
      </x:c>
      <x:c r="F44" s="18" t="n">
        <x:v>477631.72</x:v>
      </x:c>
      <x:c r="G44" s="18" t="n">
        <x:v>475179.83</x:v>
      </x:c>
      <x:c r="H44" s="18" t="n">
        <x:v>2451.9</x:v>
      </x:c>
      <x:c r="I44" s="18" t="n">
        <x:v>0</x:v>
      </x:c>
      <x:c r="J44" s="18" t="n">
        <x:v>2451.9</x:v>
      </x:c>
    </x:row>
    <x:row r="45">
      <x:c r="A45" s="17" t="str">
        <x:v>VEND-0180</x:v>
      </x:c>
      <x:c r="B45" s="17" t="str">
        <x:v>Woodcrest Metals</x:v>
      </x:c>
      <x:c r="C45" s="17" t="str">
        <x:v>Metals</x:v>
      </x:c>
      <x:c r="D45" s="18" t="n">
        <x:v>13</x:v>
      </x:c>
      <x:c r="E45" s="18" t="n">
        <x:v>4179.2705</x:v>
      </x:c>
      <x:c r="F45" s="18" t="n">
        <x:v>282144.5</x:v>
      </x:c>
      <x:c r="G45" s="18" t="n">
        <x:v>284533.2</x:v>
      </x:c>
      <x:c r="H45" s="18" t="n">
        <x:v>-2388.69</x:v>
      </x:c>
      <x:c r="I45" s="18" t="n">
        <x:v>0</x:v>
      </x:c>
      <x:c r="J45" s="18" t="n">
        <x:v>-2388.69</x:v>
      </x:c>
    </x:row>
    <x:row r="46">
      <x:c r="A46" s="17" t="str">
        <x:v>VEND-0111</x:v>
      </x:c>
      <x:c r="B46" s="17" t="str">
        <x:v>Pinnacle Logistics</x:v>
      </x:c>
      <x:c r="C46" s="17" t="str">
        <x:v>Freight</x:v>
      </x:c>
      <x:c r="D46" s="18" t="n">
        <x:v>36</x:v>
      </x:c>
      <x:c r="E46" s="18" t="n">
        <x:v>11862.1901</x:v>
      </x:c>
      <x:c r="F46" s="18" t="n">
        <x:v>550984.36</x:v>
      </x:c>
      <x:c r="G46" s="18" t="n">
        <x:v>553000.88</x:v>
      </x:c>
      <x:c r="H46" s="18" t="n">
        <x:v>-2016.52</x:v>
      </x:c>
      <x:c r="I46" s="18" t="n">
        <x:v>0</x:v>
      </x:c>
      <x:c r="J46" s="18" t="n">
        <x:v>-2016.52</x:v>
      </x:c>
    </x:row>
    <x:row r="47">
      <x:c r="A47" s="17" t="str">
        <x:v>VEND-0107</x:v>
      </x:c>
      <x:c r="B47" s="17" t="str">
        <x:v>Orchard Energy Services</x:v>
      </x:c>
      <x:c r="C47" s="17" t="str">
        <x:v>Utilities</x:v>
      </x:c>
      <x:c r="D47" s="18" t="n">
        <x:v>17</x:v>
      </x:c>
      <x:c r="E47" s="18" t="n">
        <x:v>6582.4822</x:v>
      </x:c>
      <x:c r="F47" s="18" t="n">
        <x:v>338006.73</x:v>
      </x:c>
      <x:c r="G47" s="18" t="n">
        <x:v>340013.55</x:v>
      </x:c>
      <x:c r="H47" s="18" t="n">
        <x:v>-2006.82</x:v>
      </x:c>
      <x:c r="I47" s="18" t="n">
        <x:v>0</x:v>
      </x:c>
      <x:c r="J47" s="18" t="n">
        <x:v>-2006.82</x:v>
      </x:c>
    </x:row>
    <x:row r="48">
      <x:c r="A48" s="17" t="str">
        <x:v>VEND-0005</x:v>
      </x:c>
      <x:c r="B48" s="17" t="str">
        <x:v>Allegheny Packaging</x:v>
      </x:c>
      <x:c r="C48" s="17" t="str">
        <x:v>Packaging</x:v>
      </x:c>
      <x:c r="D48" s="18" t="n">
        <x:v>20</x:v>
      </x:c>
      <x:c r="E48" s="18" t="n">
        <x:v>7419.4331</x:v>
      </x:c>
      <x:c r="F48" s="18" t="n">
        <x:v>519877.18</x:v>
      </x:c>
      <x:c r="G48" s="18" t="n">
        <x:v>521858.79</x:v>
      </x:c>
      <x:c r="H48" s="18" t="n">
        <x:v>-1981.61</x:v>
      </x:c>
      <x:c r="I48" s="18" t="n">
        <x:v>0</x:v>
      </x:c>
      <x:c r="J48" s="18" t="n">
        <x:v>-1981.61</x:v>
      </x:c>
    </x:row>
    <x:row r="49">
      <x:c r="A49" s="17" t="str">
        <x:v>VEND-0136</x:v>
      </x:c>
      <x:c r="B49" s="17" t="str">
        <x:v>Riverbend Drive Systems</x:v>
      </x:c>
      <x:c r="C49" s="17" t="str">
        <x:v>Motors &amp; Drives</x:v>
      </x:c>
      <x:c r="D49" s="18" t="n">
        <x:v>27</x:v>
      </x:c>
      <x:c r="E49" s="18" t="n">
        <x:v>7017.6962</x:v>
      </x:c>
      <x:c r="F49" s="18" t="n">
        <x:v>232423.92</x:v>
      </x:c>
      <x:c r="G49" s="18" t="n">
        <x:v>230462.49</x:v>
      </x:c>
      <x:c r="H49" s="18" t="n">
        <x:v>1961.44</x:v>
      </x:c>
      <x:c r="I49" s="18" t="n">
        <x:v>0</x:v>
      </x:c>
      <x:c r="J49" s="18" t="n">
        <x:v>1961.44</x:v>
      </x:c>
    </x:row>
    <x:row r="50">
      <x:c r="A50" s="17" t="str">
        <x:v>VEND-0174</x:v>
      </x:c>
      <x:c r="B50" s="17" t="str">
        <x:v>Westfield Advisory</x:v>
      </x:c>
      <x:c r="C50" s="17" t="str">
        <x:v>Professional Services</x:v>
      </x:c>
      <x:c r="D50" s="18" t="n">
        <x:v>21</x:v>
      </x:c>
      <x:c r="E50" s="18" t="n">
        <x:v>6271.4906</x:v>
      </x:c>
      <x:c r="F50" s="18" t="n">
        <x:v>264396.19</x:v>
      </x:c>
      <x:c r="G50" s="18" t="n">
        <x:v>262462.87</x:v>
      </x:c>
      <x:c r="H50" s="18" t="n">
        <x:v>1933.32</x:v>
      </x:c>
      <x:c r="I50" s="18" t="n">
        <x:v>0</x:v>
      </x:c>
      <x:c r="J50" s="18" t="n">
        <x:v>1933.32</x:v>
      </x:c>
    </x:row>
    <x:row r="51">
      <x:c r="A51" s="17" t="str">
        <x:v>VEND-0055</x:v>
      </x:c>
      <x:c r="B51" s="17" t="str">
        <x:v>Fairview Packaging</x:v>
      </x:c>
      <x:c r="C51" s="17" t="str">
        <x:v>Packaging</x:v>
      </x:c>
      <x:c r="D51" s="18" t="n">
        <x:v>13</x:v>
      </x:c>
      <x:c r="E51" s="18" t="n">
        <x:v>7340.1828</x:v>
      </x:c>
      <x:c r="F51" s="18" t="n">
        <x:v>323428.93</x:v>
      </x:c>
      <x:c r="G51" s="18" t="n">
        <x:v>321508.04</x:v>
      </x:c>
      <x:c r="H51" s="18" t="n">
        <x:v>1920.89</x:v>
      </x:c>
      <x:c r="I51" s="18" t="n">
        <x:v>0</x:v>
      </x:c>
      <x:c r="J51" s="18" t="n">
        <x:v>1920.89</x:v>
      </x:c>
    </x:row>
    <x:row r="52">
      <x:c r="A52" s="17" t="str">
        <x:v>VEND-0091</x:v>
      </x:c>
      <x:c r="B52" s="17" t="str">
        <x:v>Northstar Logistics</x:v>
      </x:c>
      <x:c r="C52" s="17" t="str">
        <x:v>Freight</x:v>
      </x:c>
      <x:c r="D52" s="18" t="n">
        <x:v>38</x:v>
      </x:c>
      <x:c r="E52" s="18" t="n">
        <x:v>11181.7882</x:v>
      </x:c>
      <x:c r="F52" s="18" t="n">
        <x:v>809486.45</x:v>
      </x:c>
      <x:c r="G52" s="18" t="n">
        <x:v>811325.22</x:v>
      </x:c>
      <x:c r="H52" s="18" t="n">
        <x:v>-1838.78</x:v>
      </x:c>
      <x:c r="I52" s="18" t="n">
        <x:v>0</x:v>
      </x:c>
      <x:c r="J52" s="18" t="n">
        <x:v>-1838.78</x:v>
      </x:c>
    </x:row>
    <x:row r="53">
      <x:c r="A53" s="17" t="str">
        <x:v>VEND-0116</x:v>
      </x:c>
      <x:c r="B53" s="17" t="str">
        <x:v>Prairie Drive Systems</x:v>
      </x:c>
      <x:c r="C53" s="17" t="str">
        <x:v>Motors &amp; Drives</x:v>
      </x:c>
      <x:c r="D53" s="18" t="n">
        <x:v>15</x:v>
      </x:c>
      <x:c r="E53" s="18" t="n">
        <x:v>5582.9119</x:v>
      </x:c>
      <x:c r="F53" s="18" t="n">
        <x:v>208348.37</x:v>
      </x:c>
      <x:c r="G53" s="18" t="n">
        <x:v>210147.95</x:v>
      </x:c>
      <x:c r="H53" s="18" t="n">
        <x:v>-1799.58</x:v>
      </x:c>
      <x:c r="I53" s="18" t="n">
        <x:v>0</x:v>
      </x:c>
      <x:c r="J53" s="18" t="n">
        <x:v>-1799.58</x:v>
      </x:c>
    </x:row>
    <x:row r="54">
      <x:c r="A54" s="17" t="str">
        <x:v>VEND-0122</x:v>
      </x:c>
      <x:c r="B54" s="17" t="str">
        <x:v>Redstone Surface Technologies</x:v>
      </x:c>
      <x:c r="C54" s="17" t="str">
        <x:v>Outside Processing</x:v>
      </x:c>
      <x:c r="D54" s="18" t="n">
        <x:v>23</x:v>
      </x:c>
      <x:c r="E54" s="18" t="n">
        <x:v>5842.4113</x:v>
      </x:c>
      <x:c r="F54" s="18" t="n">
        <x:v>290198.9</x:v>
      </x:c>
      <x:c r="G54" s="18" t="n">
        <x:v>288430.61</x:v>
      </x:c>
      <x:c r="H54" s="18" t="n">
        <x:v>1768.29</x:v>
      </x:c>
      <x:c r="I54" s="18" t="n">
        <x:v>0</x:v>
      </x:c>
      <x:c r="J54" s="18" t="n">
        <x:v>1768.29</x:v>
      </x:c>
    </x:row>
    <x:row r="55">
      <x:c r="A55" s="17" t="str">
        <x:v>VEND-0172</x:v>
      </x:c>
      <x:c r="B55" s="17" t="str">
        <x:v>Westfield Surface Technologies</x:v>
      </x:c>
      <x:c r="C55" s="17" t="str">
        <x:v>Outside Processing</x:v>
      </x:c>
      <x:c r="D55" s="18" t="n">
        <x:v>21</x:v>
      </x:c>
      <x:c r="E55" s="18" t="n">
        <x:v>7621.3042</x:v>
      </x:c>
      <x:c r="F55" s="18" t="n">
        <x:v>502542.84</x:v>
      </x:c>
      <x:c r="G55" s="18" t="n">
        <x:v>500801.44</x:v>
      </x:c>
      <x:c r="H55" s="18" t="n">
        <x:v>1741.4</x:v>
      </x:c>
      <x:c r="I55" s="18" t="n">
        <x:v>0</x:v>
      </x:c>
      <x:c r="J55" s="18" t="n">
        <x:v>1741.4</x:v>
      </x:c>
    </x:row>
    <x:row r="56">
      <x:c r="A56" s="17" t="str">
        <x:v>VEND-0006</x:v>
      </x:c>
      <x:c r="B56" s="17" t="str">
        <x:v>Allegheny Drive Systems</x:v>
      </x:c>
      <x:c r="C56" s="17" t="str">
        <x:v>Motors &amp; Drives</x:v>
      </x:c>
      <x:c r="D56" s="18" t="n">
        <x:v>23</x:v>
      </x:c>
      <x:c r="E56" s="18" t="n">
        <x:v>6865.1754</x:v>
      </x:c>
      <x:c r="F56" s="18" t="n">
        <x:v>361642.29</x:v>
      </x:c>
      <x:c r="G56" s="18" t="n">
        <x:v>363338.47</x:v>
      </x:c>
      <x:c r="H56" s="18" t="n">
        <x:v>-1696.18</x:v>
      </x:c>
      <x:c r="I56" s="18" t="n">
        <x:v>0</x:v>
      </x:c>
      <x:c r="J56" s="18" t="n">
        <x:v>-1696.18</x:v>
      </x:c>
    </x:row>
    <x:row r="57">
      <x:c r="A57" s="17" t="str">
        <x:v>VEND-0035</x:v>
      </x:c>
      <x:c r="B57" s="17" t="str">
        <x:v>Clearpoint Packaging</x:v>
      </x:c>
      <x:c r="C57" s="17" t="str">
        <x:v>Packaging</x:v>
      </x:c>
      <x:c r="D57" s="18" t="n">
        <x:v>19</x:v>
      </x:c>
      <x:c r="E57" s="18" t="n">
        <x:v>7788.8496</x:v>
      </x:c>
      <x:c r="F57" s="18" t="n">
        <x:v>542441.08</x:v>
      </x:c>
      <x:c r="G57" s="18" t="n">
        <x:v>540761.79</x:v>
      </x:c>
      <x:c r="H57" s="18" t="n">
        <x:v>1679.29</x:v>
      </x:c>
      <x:c r="I57" s="18" t="n">
        <x:v>0</x:v>
      </x:c>
      <x:c r="J57" s="18" t="n">
        <x:v>1679.29</x:v>
      </x:c>
    </x:row>
    <x:row r="58">
      <x:c r="A58" s="17" t="str">
        <x:v>VEND-0086</x:v>
      </x:c>
      <x:c r="B58" s="17" t="str">
        <x:v>Landmark Drive Systems</x:v>
      </x:c>
      <x:c r="C58" s="17" t="str">
        <x:v>Motors &amp; Drives</x:v>
      </x:c>
      <x:c r="D58" s="18" t="n">
        <x:v>24</x:v>
      </x:c>
      <x:c r="E58" s="18" t="n">
        <x:v>6192.1186</x:v>
      </x:c>
      <x:c r="F58" s="18" t="n">
        <x:v>265733.89</x:v>
      </x:c>
      <x:c r="G58" s="18" t="n">
        <x:v>264131.35</x:v>
      </x:c>
      <x:c r="H58" s="18" t="n">
        <x:v>1602.53</x:v>
      </x:c>
      <x:c r="I58" s="18" t="n">
        <x:v>0</x:v>
      </x:c>
      <x:c r="J58" s="18" t="n">
        <x:v>1602.53</x:v>
      </x:c>
    </x:row>
    <x:row r="59">
      <x:c r="A59" s="17" t="str">
        <x:v>VEND-0068</x:v>
      </x:c>
      <x:c r="B59" s="17" t="str">
        <x:v>Horizon Industrial Supply</x:v>
      </x:c>
      <x:c r="C59" s="17" t="str">
        <x:v>MRO</x:v>
      </x:c>
      <x:c r="D59" s="18" t="n">
        <x:v>16</x:v>
      </x:c>
      <x:c r="E59" s="18" t="n">
        <x:v>4065.9792</x:v>
      </x:c>
      <x:c r="F59" s="18" t="n">
        <x:v>232560.84</x:v>
      </x:c>
      <x:c r="G59" s="18" t="n">
        <x:v>234147.92</x:v>
      </x:c>
      <x:c r="H59" s="18" t="n">
        <x:v>-1587.08</x:v>
      </x:c>
      <x:c r="I59" s="18" t="n">
        <x:v>0</x:v>
      </x:c>
      <x:c r="J59" s="18" t="n">
        <x:v>-1587.08</x:v>
      </x:c>
    </x:row>
    <x:row r="60">
      <x:c r="A60" s="17" t="str">
        <x:v>VEND-0050</x:v>
      </x:c>
      <x:c r="B60" s="17" t="str">
        <x:v>Easton Metals</x:v>
      </x:c>
      <x:c r="C60" s="17" t="str">
        <x:v>Metals</x:v>
      </x:c>
      <x:c r="D60" s="18" t="n">
        <x:v>14</x:v>
      </x:c>
      <x:c r="E60" s="18" t="n">
        <x:v>5429.3175</x:v>
      </x:c>
      <x:c r="F60" s="18" t="n">
        <x:v>232404.57</x:v>
      </x:c>
      <x:c r="G60" s="18" t="n">
        <x:v>230921.34</x:v>
      </x:c>
      <x:c r="H60" s="18" t="n">
        <x:v>1483.23</x:v>
      </x:c>
      <x:c r="I60" s="18" t="n">
        <x:v>0</x:v>
      </x:c>
      <x:c r="J60" s="18" t="n">
        <x:v>1483.23</x:v>
      </x:c>
    </x:row>
    <x:row r="61">
      <x:c r="A61" s="17" t="str">
        <x:v>VEND-0036</x:v>
      </x:c>
      <x:c r="B61" s="17" t="str">
        <x:v>Clearpoint Drive Systems</x:v>
      </x:c>
      <x:c r="C61" s="17" t="str">
        <x:v>Motors &amp; Drives</x:v>
      </x:c>
      <x:c r="D61" s="18" t="n">
        <x:v>16</x:v>
      </x:c>
      <x:c r="E61" s="18" t="n">
        <x:v>5352.1433</x:v>
      </x:c>
      <x:c r="F61" s="18" t="n">
        <x:v>235458.03</x:v>
      </x:c>
      <x:c r="G61" s="18" t="n">
        <x:v>234019.31</x:v>
      </x:c>
      <x:c r="H61" s="18" t="n">
        <x:v>1438.72</x:v>
      </x:c>
      <x:c r="I61" s="18" t="n">
        <x:v>0</x:v>
      </x:c>
      <x:c r="J61" s="18" t="n">
        <x:v>1438.72</x:v>
      </x:c>
    </x:row>
    <x:row r="62">
      <x:c r="A62" s="17" t="str">
        <x:v>VEND-0057</x:v>
      </x:c>
      <x:c r="B62" s="17" t="str">
        <x:v>Fairview Energy Services</x:v>
      </x:c>
      <x:c r="C62" s="17" t="str">
        <x:v>Utilities</x:v>
      </x:c>
      <x:c r="D62" s="18" t="n">
        <x:v>16</x:v>
      </x:c>
      <x:c r="E62" s="18" t="n">
        <x:v>7962.4499</x:v>
      </x:c>
      <x:c r="F62" s="18" t="n">
        <x:v>140286.68</x:v>
      </x:c>
      <x:c r="G62" s="18" t="n">
        <x:v>141672.24</x:v>
      </x:c>
      <x:c r="H62" s="18" t="n">
        <x:v>-1385.56</x:v>
      </x:c>
      <x:c r="I62" s="18" t="n">
        <x:v>0</x:v>
      </x:c>
      <x:c r="J62" s="18" t="n">
        <x:v>-1385.56</x:v>
      </x:c>
    </x:row>
    <x:row r="63">
      <x:c r="A63" s="17" t="str">
        <x:v>VEND-0161</x:v>
      </x:c>
      <x:c r="B63" s="17" t="str">
        <x:v>Tri-County Logistics</x:v>
      </x:c>
      <x:c r="C63" s="17" t="str">
        <x:v>Freight</x:v>
      </x:c>
      <x:c r="D63" s="18" t="n">
        <x:v>35</x:v>
      </x:c>
      <x:c r="E63" s="18" t="n">
        <x:v>11918.9778</x:v>
      </x:c>
      <x:c r="F63" s="18" t="n">
        <x:v>388423.56</x:v>
      </x:c>
      <x:c r="G63" s="18" t="n">
        <x:v>389799.73</x:v>
      </x:c>
      <x:c r="H63" s="18" t="n">
        <x:v>-1376.16</x:v>
      </x:c>
      <x:c r="I63" s="18" t="n">
        <x:v>0</x:v>
      </x:c>
      <x:c r="J63" s="18" t="n">
        <x:v>-1376.16</x:v>
      </x:c>
    </x:row>
    <x:row r="64">
      <x:c r="A64" s="17" t="str">
        <x:v>VEND-0003</x:v>
      </x:c>
      <x:c r="B64" s="17" t="str">
        <x:v>Allegheny Motion Components</x:v>
      </x:c>
      <x:c r="C64" s="17" t="str">
        <x:v>Bearings &amp; Mechanical</x:v>
      </x:c>
      <x:c r="D64" s="18" t="n">
        <x:v>22</x:v>
      </x:c>
      <x:c r="E64" s="18" t="n">
        <x:v>7425.4994</x:v>
      </x:c>
      <x:c r="F64" s="18" t="n">
        <x:v>510029.02</x:v>
      </x:c>
      <x:c r="G64" s="18" t="n">
        <x:v>511391.51</x:v>
      </x:c>
      <x:c r="H64" s="18" t="n">
        <x:v>-1362.49</x:v>
      </x:c>
      <x:c r="I64" s="18" t="n">
        <x:v>0</x:v>
      </x:c>
      <x:c r="J64" s="18" t="n">
        <x:v>-1362.49</x:v>
      </x:c>
    </x:row>
    <x:row r="65">
      <x:c r="A65" s="17" t="str">
        <x:v>VEND-0125</x:v>
      </x:c>
      <x:c r="B65" s="17" t="str">
        <x:v>Redstone Packaging</x:v>
      </x:c>
      <x:c r="C65" s="17" t="str">
        <x:v>Packaging</x:v>
      </x:c>
      <x:c r="D65" s="18" t="n">
        <x:v>6</x:v>
      </x:c>
      <x:c r="E65" s="18" t="n">
        <x:v>1486.9138</x:v>
      </x:c>
      <x:c r="F65" s="18" t="n">
        <x:v>44482.62</x:v>
      </x:c>
      <x:c r="G65" s="18" t="n">
        <x:v>45796.95</x:v>
      </x:c>
      <x:c r="H65" s="18" t="n">
        <x:v>-1314.33</x:v>
      </x:c>
      <x:c r="I65" s="18" t="n">
        <x:v>0</x:v>
      </x:c>
      <x:c r="J65" s="18" t="n">
        <x:v>-1314.33</x:v>
      </x:c>
    </x:row>
    <x:row r="66">
      <x:c r="A66" s="17" t="str">
        <x:v>VEND-0094</x:v>
      </x:c>
      <x:c r="B66" s="17" t="str">
        <x:v>Northstar Advisory</x:v>
      </x:c>
      <x:c r="C66" s="17" t="str">
        <x:v>Professional Services</x:v>
      </x:c>
      <x:c r="D66" s="18" t="n">
        <x:v>23</x:v>
      </x:c>
      <x:c r="E66" s="18" t="n">
        <x:v>5866.1871</x:v>
      </x:c>
      <x:c r="F66" s="18" t="n">
        <x:v>410341.3</x:v>
      </x:c>
      <x:c r="G66" s="18" t="n">
        <x:v>411620</x:v>
      </x:c>
      <x:c r="H66" s="18" t="n">
        <x:v>-1278.7</x:v>
      </x:c>
      <x:c r="I66" s="18" t="n">
        <x:v>0</x:v>
      </x:c>
      <x:c r="J66" s="18" t="n">
        <x:v>-1278.7</x:v>
      </x:c>
    </x:row>
    <x:row r="67">
      <x:c r="A67" s="17" t="str">
        <x:v>VEND-0041</x:v>
      </x:c>
      <x:c r="B67" s="17" t="str">
        <x:v>Continental Logistics</x:v>
      </x:c>
      <x:c r="C67" s="17" t="str">
        <x:v>Freight</x:v>
      </x:c>
      <x:c r="D67" s="18" t="n">
        <x:v>25</x:v>
      </x:c>
      <x:c r="E67" s="18" t="n">
        <x:v>10859.9229</x:v>
      </x:c>
      <x:c r="F67" s="18" t="n">
        <x:v>383740.51</x:v>
      </x:c>
      <x:c r="G67" s="18" t="n">
        <x:v>385017.6</x:v>
      </x:c>
      <x:c r="H67" s="18" t="n">
        <x:v>-1277.09</x:v>
      </x:c>
      <x:c r="I67" s="18" t="n">
        <x:v>0</x:v>
      </x:c>
      <x:c r="J67" s="18" t="n">
        <x:v>-1277.09</x:v>
      </x:c>
    </x:row>
    <x:row r="68">
      <x:c r="A68" s="17" t="str">
        <x:v>VEND-0079</x:v>
      </x:c>
      <x:c r="B68" s="17" t="str">
        <x:v>Lakefront Controls</x:v>
      </x:c>
      <x:c r="C68" s="17" t="str">
        <x:v>Electronics</x:v>
      </x:c>
      <x:c r="D68" s="18" t="n">
        <x:v>11</x:v>
      </x:c>
      <x:c r="E68" s="18" t="n">
        <x:v>5044.9181</x:v>
      </x:c>
      <x:c r="F68" s="18" t="n">
        <x:v>95865.55</x:v>
      </x:c>
      <x:c r="G68" s="18" t="n">
        <x:v>94596.86</x:v>
      </x:c>
      <x:c r="H68" s="18" t="n">
        <x:v>1268.68</x:v>
      </x:c>
      <x:c r="I68" s="18" t="n">
        <x:v>0</x:v>
      </x:c>
      <x:c r="J68" s="18" t="n">
        <x:v>1268.68</x:v>
      </x:c>
    </x:row>
    <x:row r="69">
      <x:c r="A69" s="17" t="str">
        <x:v>VEND-0060</x:v>
      </x:c>
      <x:c r="B69" s="17" t="str">
        <x:v>Fairview Metals</x:v>
      </x:c>
      <x:c r="C69" s="17" t="str">
        <x:v>Metals</x:v>
      </x:c>
      <x:c r="D69" s="18" t="n">
        <x:v>10</x:v>
      </x:c>
      <x:c r="E69" s="18" t="n">
        <x:v>3477.0565</x:v>
      </x:c>
      <x:c r="F69" s="18" t="n">
        <x:v>94119.15</x:v>
      </x:c>
      <x:c r="G69" s="18" t="n">
        <x:v>92872.18</x:v>
      </x:c>
      <x:c r="H69" s="18" t="n">
        <x:v>1246.97</x:v>
      </x:c>
      <x:c r="I69" s="18" t="n">
        <x:v>0</x:v>
      </x:c>
      <x:c r="J69" s="18" t="n">
        <x:v>1246.97</x:v>
      </x:c>
    </x:row>
    <x:row r="70">
      <x:c r="A70" s="17" t="str">
        <x:v>VEND-0156</x:v>
      </x:c>
      <x:c r="B70" s="17" t="str">
        <x:v>Summit Drive Systems</x:v>
      </x:c>
      <x:c r="C70" s="17" t="str">
        <x:v>Motors &amp; Drives</x:v>
      </x:c>
      <x:c r="D70" s="18" t="n">
        <x:v>29</x:v>
      </x:c>
      <x:c r="E70" s="18" t="n">
        <x:v>7774.939</x:v>
      </x:c>
      <x:c r="F70" s="18" t="n">
        <x:v>262879.37</x:v>
      </x:c>
      <x:c r="G70" s="18" t="n">
        <x:v>261636.16</x:v>
      </x:c>
      <x:c r="H70" s="18" t="n">
        <x:v>1243.21</x:v>
      </x:c>
      <x:c r="I70" s="18" t="n">
        <x:v>0</x:v>
      </x:c>
      <x:c r="J70" s="18" t="n">
        <x:v>1243.21</x:v>
      </x:c>
    </x:row>
    <x:row r="71">
      <x:c r="A71" s="17" t="str">
        <x:v>VEND-0070</x:v>
      </x:c>
      <x:c r="B71" s="17" t="str">
        <x:v>Horizon Metals</x:v>
      </x:c>
      <x:c r="C71" s="17" t="str">
        <x:v>Metals</x:v>
      </x:c>
      <x:c r="D71" s="18" t="n">
        <x:v>23</x:v>
      </x:c>
      <x:c r="E71" s="18" t="n">
        <x:v>6850.796</x:v>
      </x:c>
      <x:c r="F71" s="18" t="n">
        <x:v>210773.42</x:v>
      </x:c>
      <x:c r="G71" s="18" t="n">
        <x:v>209531.36</x:v>
      </x:c>
      <x:c r="H71" s="18" t="n">
        <x:v>1242.06</x:v>
      </x:c>
      <x:c r="I71" s="18" t="n">
        <x:v>0</x:v>
      </x:c>
      <x:c r="J71" s="18" t="n">
        <x:v>1242.06</x:v>
      </x:c>
    </x:row>
    <x:row r="72">
      <x:c r="A72" s="17" t="str">
        <x:v>VEND-0102</x:v>
      </x:c>
      <x:c r="B72" s="17" t="str">
        <x:v>Oak River Surface Technologies</x:v>
      </x:c>
      <x:c r="C72" s="17" t="str">
        <x:v>Outside Processing</x:v>
      </x:c>
      <x:c r="D72" s="18" t="n">
        <x:v>19</x:v>
      </x:c>
      <x:c r="E72" s="18" t="n">
        <x:v>5325.815</x:v>
      </x:c>
      <x:c r="F72" s="18" t="n">
        <x:v>295600.13</x:v>
      </x:c>
      <x:c r="G72" s="18" t="n">
        <x:v>296809.91</x:v>
      </x:c>
      <x:c r="H72" s="18" t="n">
        <x:v>-1209.78</x:v>
      </x:c>
      <x:c r="I72" s="18" t="n">
        <x:v>0</x:v>
      </x:c>
      <x:c r="J72" s="18" t="n">
        <x:v>-1209.78</x:v>
      </x:c>
    </x:row>
    <x:row r="73">
      <x:c r="A73" s="17" t="str">
        <x:v>VEND-0124</x:v>
      </x:c>
      <x:c r="B73" s="17" t="str">
        <x:v>Redstone Advisory</x:v>
      </x:c>
      <x:c r="C73" s="17" t="str">
        <x:v>Professional Services</x:v>
      </x:c>
      <x:c r="D73" s="18" t="n">
        <x:v>20</x:v>
      </x:c>
      <x:c r="E73" s="18" t="n">
        <x:v>5089.0164</x:v>
      </x:c>
      <x:c r="F73" s="18" t="n">
        <x:v>282046.02</x:v>
      </x:c>
      <x:c r="G73" s="18" t="n">
        <x:v>280855.4</x:v>
      </x:c>
      <x:c r="H73" s="18" t="n">
        <x:v>1190.62</x:v>
      </x:c>
      <x:c r="I73" s="18" t="n">
        <x:v>0</x:v>
      </x:c>
      <x:c r="J73" s="18" t="n">
        <x:v>1190.62</x:v>
      </x:c>
    </x:row>
    <x:row r="74">
      <x:c r="A74" s="17" t="str">
        <x:v>VEND-0149</x:v>
      </x:c>
      <x:c r="B74" s="17" t="str">
        <x:v>Stonebridge Controls</x:v>
      </x:c>
      <x:c r="C74" s="17" t="str">
        <x:v>Electronics</x:v>
      </x:c>
      <x:c r="D74" s="18" t="n">
        <x:v>11</x:v>
      </x:c>
      <x:c r="E74" s="18" t="n">
        <x:v>2839.3156</x:v>
      </x:c>
      <x:c r="F74" s="18" t="n">
        <x:v>58385.95</x:v>
      </x:c>
      <x:c r="G74" s="18" t="n">
        <x:v>59568.84</x:v>
      </x:c>
      <x:c r="H74" s="18" t="n">
        <x:v>-1182.89</x:v>
      </x:c>
      <x:c r="I74" s="18" t="n">
        <x:v>0</x:v>
      </x:c>
      <x:c r="J74" s="18" t="n">
        <x:v>-1182.89</x:v>
      </x:c>
    </x:row>
    <x:row r="75">
      <x:c r="A75" s="17" t="str">
        <x:v>VEND-0047</x:v>
      </x:c>
      <x:c r="B75" s="17" t="str">
        <x:v>Crown Energy Services</x:v>
      </x:c>
      <x:c r="C75" s="17" t="str">
        <x:v>Utilities</x:v>
      </x:c>
      <x:c r="D75" s="18" t="n">
        <x:v>3</x:v>
      </x:c>
      <x:c r="E75" s="18" t="n">
        <x:v>1329.7638</x:v>
      </x:c>
      <x:c r="F75" s="18" t="n">
        <x:v>35531.29</x:v>
      </x:c>
      <x:c r="G75" s="18" t="n">
        <x:v>34427.58</x:v>
      </x:c>
      <x:c r="H75" s="18" t="n">
        <x:v>1103.7</x:v>
      </x:c>
      <x:c r="I75" s="18" t="n">
        <x:v>0</x:v>
      </x:c>
      <x:c r="J75" s="18" t="n">
        <x:v>1103.7</x:v>
      </x:c>
    </x:row>
    <x:row r="76">
      <x:c r="A76" s="17" t="str">
        <x:v>VEND-0099</x:v>
      </x:c>
      <x:c r="B76" s="17" t="str">
        <x:v>Oak River Controls</x:v>
      </x:c>
      <x:c r="C76" s="17" t="str">
        <x:v>Electronics</x:v>
      </x:c>
      <x:c r="D76" s="18" t="n">
        <x:v>13</x:v>
      </x:c>
      <x:c r="E76" s="18" t="n">
        <x:v>5014.4791</x:v>
      </x:c>
      <x:c r="F76" s="18" t="n">
        <x:v>147323.82</x:v>
      </x:c>
      <x:c r="G76" s="18" t="n">
        <x:v>146222.21</x:v>
      </x:c>
      <x:c r="H76" s="18" t="n">
        <x:v>1101.61</x:v>
      </x:c>
      <x:c r="I76" s="18" t="n">
        <x:v>0</x:v>
      </x:c>
      <x:c r="J76" s="18" t="n">
        <x:v>1101.61</x:v>
      </x:c>
    </x:row>
    <x:row r="77">
      <x:c r="A77" s="17" t="str">
        <x:v>VEND-0152</x:v>
      </x:c>
      <x:c r="B77" s="17" t="str">
        <x:v>Summit Surface Technologies</x:v>
      </x:c>
      <x:c r="C77" s="17" t="str">
        <x:v>Outside Processing</x:v>
      </x:c>
      <x:c r="D77" s="18" t="n">
        <x:v>16</x:v>
      </x:c>
      <x:c r="E77" s="18" t="n">
        <x:v>7407.5871</x:v>
      </x:c>
      <x:c r="F77" s="18" t="n">
        <x:v>255156.58</x:v>
      </x:c>
      <x:c r="G77" s="18" t="n">
        <x:v>256257.95</x:v>
      </x:c>
      <x:c r="H77" s="18" t="n">
        <x:v>-1101.37</x:v>
      </x:c>
      <x:c r="I77" s="18" t="n">
        <x:v>0</x:v>
      </x:c>
      <x:c r="J77" s="18" t="n">
        <x:v>-1101.37</x:v>
      </x:c>
    </x:row>
    <x:row r="78">
      <x:c r="A78" s="17" t="str">
        <x:v>VEND-0092</x:v>
      </x:c>
      <x:c r="B78" s="17" t="str">
        <x:v>Northstar Surface Technologies</x:v>
      </x:c>
      <x:c r="C78" s="17" t="str">
        <x:v>Outside Processing</x:v>
      </x:c>
      <x:c r="D78" s="18" t="n">
        <x:v>18</x:v>
      </x:c>
      <x:c r="E78" s="18" t="n">
        <x:v>4582.679</x:v>
      </x:c>
      <x:c r="F78" s="18" t="n">
        <x:v>156777.93</x:v>
      </x:c>
      <x:c r="G78" s="18" t="n">
        <x:v>155690.86</x:v>
      </x:c>
      <x:c r="H78" s="18" t="n">
        <x:v>1087.08</x:v>
      </x:c>
      <x:c r="I78" s="18" t="n">
        <x:v>0</x:v>
      </x:c>
      <x:c r="J78" s="18" t="n">
        <x:v>1087.08</x:v>
      </x:c>
    </x:row>
    <x:row r="79">
      <x:c r="A79" s="17" t="str">
        <x:v>VEND-0126</x:v>
      </x:c>
      <x:c r="B79" s="17" t="str">
        <x:v>Redstone Drive Systems</x:v>
      </x:c>
      <x:c r="C79" s="17" t="str">
        <x:v>Motors &amp; Drives</x:v>
      </x:c>
      <x:c r="D79" s="18" t="n">
        <x:v>39</x:v>
      </x:c>
      <x:c r="E79" s="18" t="n">
        <x:v>8754.6272</x:v>
      </x:c>
      <x:c r="F79" s="18" t="n">
        <x:v>364367.05</x:v>
      </x:c>
      <x:c r="G79" s="18" t="n">
        <x:v>365424.99</x:v>
      </x:c>
      <x:c r="H79" s="18" t="n">
        <x:v>-1057.94</x:v>
      </x:c>
      <x:c r="I79" s="18" t="n">
        <x:v>0</x:v>
      </x:c>
      <x:c r="J79" s="18" t="n">
        <x:v>-1057.94</x:v>
      </x:c>
    </x:row>
    <x:row r="80">
      <x:c r="A80" s="17" t="str">
        <x:v>VEND-0117</x:v>
      </x:c>
      <x:c r="B80" s="17" t="str">
        <x:v>Prairie Energy Services</x:v>
      </x:c>
      <x:c r="C80" s="17" t="str">
        <x:v>Utilities</x:v>
      </x:c>
      <x:c r="D80" s="18" t="n">
        <x:v>18</x:v>
      </x:c>
      <x:c r="E80" s="18" t="n">
        <x:v>4169.832</x:v>
      </x:c>
      <x:c r="F80" s="18" t="n">
        <x:v>262554.55</x:v>
      </x:c>
      <x:c r="G80" s="18" t="n">
        <x:v>261502.64</x:v>
      </x:c>
      <x:c r="H80" s="18" t="n">
        <x:v>1051.91</x:v>
      </x:c>
      <x:c r="I80" s="18" t="n">
        <x:v>0</x:v>
      </x:c>
      <x:c r="J80" s="18" t="n">
        <x:v>1051.91</x:v>
      </x:c>
    </x:row>
    <x:row r="81">
      <x:c r="A81" s="17" t="str">
        <x:v>VEND-0143</x:v>
      </x:c>
      <x:c r="B81" s="17" t="str">
        <x:v>Seaboard Motion Components</x:v>
      </x:c>
      <x:c r="C81" s="17" t="str">
        <x:v>Bearings &amp; Mechanical</x:v>
      </x:c>
      <x:c r="D81" s="18" t="n">
        <x:v>18</x:v>
      </x:c>
      <x:c r="E81" s="18" t="n">
        <x:v>4994.3121</x:v>
      </x:c>
      <x:c r="F81" s="18" t="n">
        <x:v>167074.79</x:v>
      </x:c>
      <x:c r="G81" s="18" t="n">
        <x:v>166027.3</x:v>
      </x:c>
      <x:c r="H81" s="18" t="n">
        <x:v>1047.49</x:v>
      </x:c>
      <x:c r="I81" s="18" t="n">
        <x:v>0</x:v>
      </x:c>
      <x:c r="J81" s="18" t="n">
        <x:v>1047.49</x:v>
      </x:c>
    </x:row>
    <x:row r="82">
      <x:c r="A82" s="17" t="str">
        <x:v>VEND-0043</x:v>
      </x:c>
      <x:c r="B82" s="17" t="str">
        <x:v>Crown Motion Components</x:v>
      </x:c>
      <x:c r="C82" s="17" t="str">
        <x:v>Bearings &amp; Mechanical</x:v>
      </x:c>
      <x:c r="D82" s="18" t="n">
        <x:v>5</x:v>
      </x:c>
      <x:c r="E82" s="18" t="n">
        <x:v>2859.8265</x:v>
      </x:c>
      <x:c r="F82" s="18" t="n">
        <x:v>82094.18</x:v>
      </x:c>
      <x:c r="G82" s="18" t="n">
        <x:v>81047.48</x:v>
      </x:c>
      <x:c r="H82" s="18" t="n">
        <x:v>1046.7</x:v>
      </x:c>
      <x:c r="I82" s="18" t="n">
        <x:v>0</x:v>
      </x:c>
      <x:c r="J82" s="18" t="n">
        <x:v>1046.7</x:v>
      </x:c>
    </x:row>
    <x:row r="83">
      <x:c r="A83" s="17" t="str">
        <x:v>VEND-0007</x:v>
      </x:c>
      <x:c r="B83" s="17" t="str">
        <x:v>Arcadia Energy Services</x:v>
      </x:c>
      <x:c r="C83" s="17" t="str">
        <x:v>Utilities</x:v>
      </x:c>
      <x:c r="D83" s="18" t="n">
        <x:v>24</x:v>
      </x:c>
      <x:c r="E83" s="18" t="n">
        <x:v>6456.292</x:v>
      </x:c>
      <x:c r="F83" s="18" t="n">
        <x:v>359314.45</x:v>
      </x:c>
      <x:c r="G83" s="18" t="n">
        <x:v>360335.69</x:v>
      </x:c>
      <x:c r="H83" s="18" t="n">
        <x:v>-1021.23</x:v>
      </x:c>
      <x:c r="I83" s="18" t="n">
        <x:v>0</x:v>
      </x:c>
      <x:c r="J83" s="18" t="n">
        <x:v>-1021.23</x:v>
      </x:c>
    </x:row>
    <x:row r="84">
      <x:c r="A84" s="17" t="str">
        <x:v>VEND-0080</x:v>
      </x:c>
      <x:c r="B84" s="17" t="str">
        <x:v>Lakefront Metals</x:v>
      </x:c>
      <x:c r="C84" s="17" t="str">
        <x:v>Metals</x:v>
      </x:c>
      <x:c r="D84" s="18" t="n">
        <x:v>13</x:v>
      </x:c>
      <x:c r="E84" s="18" t="n">
        <x:v>3297.7301</x:v>
      </x:c>
      <x:c r="F84" s="18" t="n">
        <x:v>64793.52</x:v>
      </x:c>
      <x:c r="G84" s="18" t="n">
        <x:v>63778.1</x:v>
      </x:c>
      <x:c r="H84" s="18" t="n">
        <x:v>1015.42</x:v>
      </x:c>
      <x:c r="I84" s="18" t="n">
        <x:v>0</x:v>
      </x:c>
      <x:c r="J84" s="18" t="n">
        <x:v>1015.42</x:v>
      </x:c>
    </x:row>
    <x:row r="85">
      <x:c r="A85" s="17" t="str">
        <x:v>VEND-0037</x:v>
      </x:c>
      <x:c r="B85" s="17" t="str">
        <x:v>Continental Energy Services</x:v>
      </x:c>
      <x:c r="C85" s="17" t="str">
        <x:v>Utilities</x:v>
      </x:c>
      <x:c r="D85" s="18" t="n">
        <x:v>16</x:v>
      </x:c>
      <x:c r="E85" s="18" t="n">
        <x:v>7804.5114</x:v>
      </x:c>
      <x:c r="F85" s="18" t="n">
        <x:v>307376.61</x:v>
      </x:c>
      <x:c r="G85" s="18" t="n">
        <x:v>308324.33</x:v>
      </x:c>
      <x:c r="H85" s="18" t="n">
        <x:v>-947.72</x:v>
      </x:c>
      <x:c r="I85" s="18" t="n">
        <x:v>0</x:v>
      </x:c>
      <x:c r="J85" s="18" t="n">
        <x:v>-947.72</x:v>
      </x:c>
    </x:row>
    <x:row r="86">
      <x:c r="A86" s="17" t="str">
        <x:v>VEND-0054</x:v>
      </x:c>
      <x:c r="B86" s="17" t="str">
        <x:v>Easton Advisory</x:v>
      </x:c>
      <x:c r="C86" s="17" t="str">
        <x:v>Professional Services</x:v>
      </x:c>
      <x:c r="D86" s="18" t="n">
        <x:v>12</x:v>
      </x:c>
      <x:c r="E86" s="18" t="n">
        <x:v>3149.4724</x:v>
      </x:c>
      <x:c r="F86" s="18" t="n">
        <x:v>54851.3</x:v>
      </x:c>
      <x:c r="G86" s="18" t="n">
        <x:v>55777.16</x:v>
      </x:c>
      <x:c r="H86" s="18" t="n">
        <x:v>-925.86</x:v>
      </x:c>
      <x:c r="I86" s="18" t="n">
        <x:v>0</x:v>
      </x:c>
      <x:c r="J86" s="18" t="n">
        <x:v>-925.86</x:v>
      </x:c>
    </x:row>
    <x:row r="87">
      <x:c r="A87" s="17" t="str">
        <x:v>VEND-0118</x:v>
      </x:c>
      <x:c r="B87" s="17" t="str">
        <x:v>Prairie Industrial Supply</x:v>
      </x:c>
      <x:c r="C87" s="17" t="str">
        <x:v>MRO</x:v>
      </x:c>
      <x:c r="D87" s="18" t="n">
        <x:v>22</x:v>
      </x:c>
      <x:c r="E87" s="18" t="n">
        <x:v>7619.104</x:v>
      </x:c>
      <x:c r="F87" s="18" t="n">
        <x:v>232769.58</x:v>
      </x:c>
      <x:c r="G87" s="18" t="n">
        <x:v>233674.47</x:v>
      </x:c>
      <x:c r="H87" s="18" t="n">
        <x:v>-904.89</x:v>
      </x:c>
      <x:c r="I87" s="18" t="n">
        <x:v>0</x:v>
      </x:c>
      <x:c r="J87" s="18" t="n">
        <x:v>-904.89</x:v>
      </x:c>
    </x:row>
    <x:row r="88">
      <x:c r="A88" s="17" t="str">
        <x:v>VEND-0159</x:v>
      </x:c>
      <x:c r="B88" s="17" t="str">
        <x:v>Tri-County Controls</x:v>
      </x:c>
      <x:c r="C88" s="17" t="str">
        <x:v>Electronics</x:v>
      </x:c>
      <x:c r="D88" s="18" t="n">
        <x:v>14</x:v>
      </x:c>
      <x:c r="E88" s="18" t="n">
        <x:v>6685.2114</x:v>
      </x:c>
      <x:c r="F88" s="18" t="n">
        <x:v>400496.4</x:v>
      </x:c>
      <x:c r="G88" s="18" t="n">
        <x:v>399613.89</x:v>
      </x:c>
      <x:c r="H88" s="18" t="n">
        <x:v>882.51</x:v>
      </x:c>
      <x:c r="I88" s="18" t="n">
        <x:v>0</x:v>
      </x:c>
      <x:c r="J88" s="18" t="n">
        <x:v>882.51</x:v>
      </x:c>
    </x:row>
    <x:row r="89">
      <x:c r="A89" s="17" t="str">
        <x:v>VEND-0132</x:v>
      </x:c>
      <x:c r="B89" s="17" t="str">
        <x:v>Ridgeway Surface Technologies</x:v>
      </x:c>
      <x:c r="C89" s="17" t="str">
        <x:v>Outside Processing</x:v>
      </x:c>
      <x:c r="D89" s="18" t="n">
        <x:v>11</x:v>
      </x:c>
      <x:c r="E89" s="18" t="n">
        <x:v>2933.9844</x:v>
      </x:c>
      <x:c r="F89" s="18" t="n">
        <x:v>67145.24</x:v>
      </x:c>
      <x:c r="G89" s="18" t="n">
        <x:v>66337.39</x:v>
      </x:c>
      <x:c r="H89" s="18" t="n">
        <x:v>807.85</x:v>
      </x:c>
      <x:c r="I89" s="18" t="n">
        <x:v>0</x:v>
      </x:c>
      <x:c r="J89" s="18" t="n">
        <x:v>807.85</x:v>
      </x:c>
    </x:row>
    <x:row r="90">
      <x:c r="A90" s="17" t="str">
        <x:v>VEND-0015</x:v>
      </x:c>
      <x:c r="B90" s="17" t="str">
        <x:v>Bayshore Packaging</x:v>
      </x:c>
      <x:c r="C90" s="17" t="str">
        <x:v>Packaging</x:v>
      </x:c>
      <x:c r="D90" s="18" t="n">
        <x:v>15</x:v>
      </x:c>
      <x:c r="E90" s="18" t="n">
        <x:v>6395.2198</x:v>
      </x:c>
      <x:c r="F90" s="18" t="n">
        <x:v>279937.77</x:v>
      </x:c>
      <x:c r="G90" s="18" t="n">
        <x:v>279163.94</x:v>
      </x:c>
      <x:c r="H90" s="18" t="n">
        <x:v>773.83</x:v>
      </x:c>
      <x:c r="I90" s="18" t="n">
        <x:v>0</x:v>
      </x:c>
      <x:c r="J90" s="18" t="n">
        <x:v>773.83</x:v>
      </x:c>
    </x:row>
    <x:row r="91">
      <x:c r="A91" s="17" t="str">
        <x:v>VEND-0018</x:v>
      </x:c>
      <x:c r="B91" s="17" t="str">
        <x:v>Bayshore Industrial Supply</x:v>
      </x:c>
      <x:c r="C91" s="17" t="str">
        <x:v>MRO</x:v>
      </x:c>
      <x:c r="D91" s="18" t="n">
        <x:v>11</x:v>
      </x:c>
      <x:c r="E91" s="18" t="n">
        <x:v>3497.6384</x:v>
      </x:c>
      <x:c r="F91" s="18" t="n">
        <x:v>185809.72</x:v>
      </x:c>
      <x:c r="G91" s="18" t="n">
        <x:v>185052.66</x:v>
      </x:c>
      <x:c r="H91" s="18" t="n">
        <x:v>757.06</x:v>
      </x:c>
      <x:c r="I91" s="18" t="n">
        <x:v>0</x:v>
      </x:c>
      <x:c r="J91" s="18" t="n">
        <x:v>757.06</x:v>
      </x:c>
    </x:row>
    <x:row r="92">
      <x:c r="A92" s="17" t="str">
        <x:v>VEND-0173</x:v>
      </x:c>
      <x:c r="B92" s="17" t="str">
        <x:v>Westfield Motion Components</x:v>
      </x:c>
      <x:c r="C92" s="17" t="str">
        <x:v>Bearings &amp; Mechanical</x:v>
      </x:c>
      <x:c r="D92" s="18" t="n">
        <x:v>10</x:v>
      </x:c>
      <x:c r="E92" s="18" t="n">
        <x:v>4203.2724</x:v>
      </x:c>
      <x:c r="F92" s="18" t="n">
        <x:v>47665.36</x:v>
      </x:c>
      <x:c r="G92" s="18" t="n">
        <x:v>46908.52</x:v>
      </x:c>
      <x:c r="H92" s="18" t="n">
        <x:v>756.84</x:v>
      </x:c>
      <x:c r="I92" s="18" t="n">
        <x:v>0</x:v>
      </x:c>
      <x:c r="J92" s="18" t="n">
        <x:v>756.84</x:v>
      </x:c>
    </x:row>
    <x:row r="93">
      <x:c r="A93" s="17" t="str">
        <x:v>VEND-0123</x:v>
      </x:c>
      <x:c r="B93" s="17" t="str">
        <x:v>Redstone Motion Components</x:v>
      </x:c>
      <x:c r="C93" s="17" t="str">
        <x:v>Bearings &amp; Mechanical</x:v>
      </x:c>
      <x:c r="D93" s="18" t="n">
        <x:v>4</x:v>
      </x:c>
      <x:c r="E93" s="18" t="n">
        <x:v>1156.4208</x:v>
      </x:c>
      <x:c r="F93" s="18" t="n">
        <x:v>23065.53</x:v>
      </x:c>
      <x:c r="G93" s="18" t="n">
        <x:v>22365.18</x:v>
      </x:c>
      <x:c r="H93" s="18" t="n">
        <x:v>700.35</x:v>
      </x:c>
      <x:c r="I93" s="18" t="n">
        <x:v>0</x:v>
      </x:c>
      <x:c r="J93" s="18" t="n">
        <x:v>700.35</x:v>
      </x:c>
    </x:row>
    <x:row r="94">
      <x:c r="A94" s="17" t="str">
        <x:v>VEND-0065</x:v>
      </x:c>
      <x:c r="B94" s="17" t="str">
        <x:v>Great Lakes Packaging</x:v>
      </x:c>
      <x:c r="C94" s="17" t="str">
        <x:v>Packaging</x:v>
      </x:c>
      <x:c r="D94" s="18" t="n">
        <x:v>8</x:v>
      </x:c>
      <x:c r="E94" s="18" t="n">
        <x:v>2860.165</x:v>
      </x:c>
      <x:c r="F94" s="18" t="n">
        <x:v>266719.81</x:v>
      </x:c>
      <x:c r="G94" s="18" t="n">
        <x:v>267402.77</x:v>
      </x:c>
      <x:c r="H94" s="18" t="n">
        <x:v>-682.97</x:v>
      </x:c>
      <x:c r="I94" s="18" t="n">
        <x:v>0</x:v>
      </x:c>
      <x:c r="J94" s="18" t="n">
        <x:v>-682.97</x:v>
      </x:c>
    </x:row>
    <x:row r="95">
      <x:c r="A95" s="17" t="str">
        <x:v>VEND-0170</x:v>
      </x:c>
      <x:c r="B95" s="17" t="str">
        <x:v>Westfield Metals</x:v>
      </x:c>
      <x:c r="C95" s="17" t="str">
        <x:v>Metals</x:v>
      </x:c>
      <x:c r="D95" s="18" t="n">
        <x:v>17</x:v>
      </x:c>
      <x:c r="E95" s="18" t="n">
        <x:v>5112.4179</x:v>
      </x:c>
      <x:c r="F95" s="18" t="n">
        <x:v>285053.85</x:v>
      </x:c>
      <x:c r="G95" s="18" t="n">
        <x:v>284402.44</x:v>
      </x:c>
      <x:c r="H95" s="18" t="n">
        <x:v>651.41</x:v>
      </x:c>
      <x:c r="I95" s="18" t="n">
        <x:v>0</x:v>
      </x:c>
      <x:c r="J95" s="18" t="n">
        <x:v>651.41</x:v>
      </x:c>
    </x:row>
    <x:row r="96">
      <x:c r="A96" s="17" t="str">
        <x:v>VEND-0044</x:v>
      </x:c>
      <x:c r="B96" s="17" t="str">
        <x:v>Crown Advisory</x:v>
      </x:c>
      <x:c r="C96" s="17" t="str">
        <x:v>Professional Services</x:v>
      </x:c>
      <x:c r="D96" s="18" t="n">
        <x:v>17</x:v>
      </x:c>
      <x:c r="E96" s="18" t="n">
        <x:v>5486.003</x:v>
      </x:c>
      <x:c r="F96" s="18" t="n">
        <x:v>131172.83</x:v>
      </x:c>
      <x:c r="G96" s="18" t="n">
        <x:v>130541.16</x:v>
      </x:c>
      <x:c r="H96" s="18" t="n">
        <x:v>631.66</x:v>
      </x:c>
      <x:c r="I96" s="18" t="n">
        <x:v>0</x:v>
      </x:c>
      <x:c r="J96" s="18" t="n">
        <x:v>631.66</x:v>
      </x:c>
    </x:row>
    <x:row r="97">
      <x:c r="A97" s="17" t="str">
        <x:v>VEND-0027</x:v>
      </x:c>
      <x:c r="B97" s="17" t="str">
        <x:v>Cedar Valley Energy Services</x:v>
      </x:c>
      <x:c r="C97" s="17" t="str">
        <x:v>Utilities</x:v>
      </x:c>
      <x:c r="D97" s="18" t="n">
        <x:v>18</x:v>
      </x:c>
      <x:c r="E97" s="18" t="n">
        <x:v>5771.1867</x:v>
      </x:c>
      <x:c r="F97" s="18" t="n">
        <x:v>191463.5</x:v>
      </x:c>
      <x:c r="G97" s="18" t="n">
        <x:v>190839.39</x:v>
      </x:c>
      <x:c r="H97" s="18" t="n">
        <x:v>624.11</x:v>
      </x:c>
      <x:c r="I97" s="18" t="n">
        <x:v>0</x:v>
      </x:c>
      <x:c r="J97" s="18" t="n">
        <x:v>624.11</x:v>
      </x:c>
    </x:row>
    <x:row r="98">
      <x:c r="A98" s="17" t="str">
        <x:v>VEND-0034</x:v>
      </x:c>
      <x:c r="B98" s="17" t="str">
        <x:v>Clearpoint Advisory</x:v>
      </x:c>
      <x:c r="C98" s="17" t="str">
        <x:v>Professional Services</x:v>
      </x:c>
      <x:c r="D98" s="18" t="n">
        <x:v>9</x:v>
      </x:c>
      <x:c r="E98" s="18" t="n">
        <x:v>3043.145</x:v>
      </x:c>
      <x:c r="F98" s="18" t="n">
        <x:v>76853.48</x:v>
      </x:c>
      <x:c r="G98" s="18" t="n">
        <x:v>76291.65</x:v>
      </x:c>
      <x:c r="H98" s="18" t="n">
        <x:v>561.83</x:v>
      </x:c>
      <x:c r="I98" s="18" t="n">
        <x:v>0</x:v>
      </x:c>
      <x:c r="J98" s="18" t="n">
        <x:v>561.83</x:v>
      </x:c>
    </x:row>
    <x:row r="99">
      <x:c r="A99" s="17" t="str">
        <x:v>VEND-0020</x:v>
      </x:c>
      <x:c r="B99" s="17" t="str">
        <x:v>Bluewater Metals</x:v>
      </x:c>
      <x:c r="C99" s="17" t="str">
        <x:v>Metals</x:v>
      </x:c>
      <x:c r="D99" s="18" t="n">
        <x:v>21</x:v>
      </x:c>
      <x:c r="E99" s="18" t="n">
        <x:v>5769.612</x:v>
      </x:c>
      <x:c r="F99" s="18" t="n">
        <x:v>205263.05</x:v>
      </x:c>
      <x:c r="G99" s="18" t="n">
        <x:v>204703.81</x:v>
      </x:c>
      <x:c r="H99" s="18" t="n">
        <x:v>559.23</x:v>
      </x:c>
      <x:c r="I99" s="18" t="n">
        <x:v>0</x:v>
      </x:c>
      <x:c r="J99" s="18" t="n">
        <x:v>559.23</x:v>
      </x:c>
    </x:row>
    <x:row r="100">
      <x:c r="A100" s="17" t="str">
        <x:v>VEND-0105</x:v>
      </x:c>
      <x:c r="B100" s="17" t="str">
        <x:v>Orchard Packaging</x:v>
      </x:c>
      <x:c r="C100" s="17" t="str">
        <x:v>Packaging</x:v>
      </x:c>
      <x:c r="D100" s="18" t="n">
        <x:v>16</x:v>
      </x:c>
      <x:c r="E100" s="18" t="n">
        <x:v>4441.346</x:v>
      </x:c>
      <x:c r="F100" s="18" t="n">
        <x:v>160984.59</x:v>
      </x:c>
      <x:c r="G100" s="18" t="n">
        <x:v>160428.05</x:v>
      </x:c>
      <x:c r="H100" s="18" t="n">
        <x:v>556.54</x:v>
      </x:c>
      <x:c r="I100" s="18" t="n">
        <x:v>0</x:v>
      </x:c>
      <x:c r="J100" s="18" t="n">
        <x:v>556.54</x:v>
      </x:c>
    </x:row>
    <x:row r="101">
      <x:c r="A101" s="17" t="str">
        <x:v>VEND-0016</x:v>
      </x:c>
      <x:c r="B101" s="17" t="str">
        <x:v>Bayshore Drive Systems</x:v>
      </x:c>
      <x:c r="C101" s="17" t="str">
        <x:v>Motors &amp; Drives</x:v>
      </x:c>
      <x:c r="D101" s="18" t="n">
        <x:v>35</x:v>
      </x:c>
      <x:c r="E101" s="18" t="n">
        <x:v>10641.6166</x:v>
      </x:c>
      <x:c r="F101" s="18" t="n">
        <x:v>422190.85</x:v>
      </x:c>
      <x:c r="G101" s="18" t="n">
        <x:v>422729.44</x:v>
      </x:c>
      <x:c r="H101" s="18" t="n">
        <x:v>-538.59</x:v>
      </x:c>
      <x:c r="I101" s="18" t="n">
        <x:v>0</x:v>
      </x:c>
      <x:c r="J101" s="18" t="n">
        <x:v>-538.59</x:v>
      </x:c>
    </x:row>
    <x:row r="102">
      <x:c r="A102" s="17" t="str">
        <x:v>VEND-0082</x:v>
      </x:c>
      <x:c r="B102" s="17" t="str">
        <x:v>Lakefront Surface Technologies</x:v>
      </x:c>
      <x:c r="C102" s="17" t="str">
        <x:v>Outside Processing</x:v>
      </x:c>
      <x:c r="D102" s="18" t="n">
        <x:v>6</x:v>
      </x:c>
      <x:c r="E102" s="18" t="n">
        <x:v>1896.6872</x:v>
      </x:c>
      <x:c r="F102" s="18" t="n">
        <x:v>58945.42</x:v>
      </x:c>
      <x:c r="G102" s="18" t="n">
        <x:v>58417.97</x:v>
      </x:c>
      <x:c r="H102" s="18" t="n">
        <x:v>527.46</x:v>
      </x:c>
      <x:c r="I102" s="18" t="n">
        <x:v>0</x:v>
      </x:c>
      <x:c r="J102" s="18" t="n">
        <x:v>527.46</x:v>
      </x:c>
    </x:row>
    <x:row r="103">
      <x:c r="A103" s="17" t="str">
        <x:v>VEND-0148</x:v>
      </x:c>
      <x:c r="B103" s="17" t="str">
        <x:v>Stonebridge Industrial Supply</x:v>
      </x:c>
      <x:c r="C103" s="17" t="str">
        <x:v>MRO</x:v>
      </x:c>
      <x:c r="D103" s="18" t="n">
        <x:v>21</x:v>
      </x:c>
      <x:c r="E103" s="18" t="n">
        <x:v>7733.3504</x:v>
      </x:c>
      <x:c r="F103" s="18" t="n">
        <x:v>324050.67</x:v>
      </x:c>
      <x:c r="G103" s="18" t="n">
        <x:v>323523.33</x:v>
      </x:c>
      <x:c r="H103" s="18" t="n">
        <x:v>527.34</x:v>
      </x:c>
      <x:c r="I103" s="18" t="n">
        <x:v>0</x:v>
      </x:c>
      <x:c r="J103" s="18" t="n">
        <x:v>527.34</x:v>
      </x:c>
    </x:row>
    <x:row r="104">
      <x:c r="A104" s="17" t="str">
        <x:v>VEND-0112</x:v>
      </x:c>
      <x:c r="B104" s="17" t="str">
        <x:v>Pinnacle Surface Technologies</x:v>
      </x:c>
      <x:c r="C104" s="17" t="str">
        <x:v>Outside Processing</x:v>
      </x:c>
      <x:c r="D104" s="18" t="n">
        <x:v>8</x:v>
      </x:c>
      <x:c r="E104" s="18" t="n">
        <x:v>1941.9928</x:v>
      </x:c>
      <x:c r="F104" s="18" t="n">
        <x:v>57729.97</x:v>
      </x:c>
      <x:c r="G104" s="18" t="n">
        <x:v>58220.94</x:v>
      </x:c>
      <x:c r="H104" s="18" t="n">
        <x:v>-490.97</x:v>
      </x:c>
      <x:c r="I104" s="18" t="n">
        <x:v>0</x:v>
      </x:c>
      <x:c r="J104" s="18" t="n">
        <x:v>-490.97</x:v>
      </x:c>
    </x:row>
    <x:row r="105">
      <x:c r="A105" s="17" t="str">
        <x:v>VEND-0169</x:v>
      </x:c>
      <x:c r="B105" s="17" t="str">
        <x:v>Westfield Controls</x:v>
      </x:c>
      <x:c r="C105" s="17" t="str">
        <x:v>Electronics</x:v>
      </x:c>
      <x:c r="D105" s="18" t="n">
        <x:v>21</x:v>
      </x:c>
      <x:c r="E105" s="18" t="n">
        <x:v>6252.5243</x:v>
      </x:c>
      <x:c r="F105" s="18" t="n">
        <x:v>159534.74</x:v>
      </x:c>
      <x:c r="G105" s="18" t="n">
        <x:v>159073.99</x:v>
      </x:c>
      <x:c r="H105" s="18" t="n">
        <x:v>460.75</x:v>
      </x:c>
      <x:c r="I105" s="18" t="n">
        <x:v>0</x:v>
      </x:c>
      <x:c r="J105" s="18" t="n">
        <x:v>460.75</x:v>
      </x:c>
    </x:row>
    <x:row r="106">
      <x:c r="A106" s="17" t="str">
        <x:v>VEND-0087</x:v>
      </x:c>
      <x:c r="B106" s="17" t="str">
        <x:v>Landmark Energy Services</x:v>
      </x:c>
      <x:c r="C106" s="17" t="str">
        <x:v>Utilities</x:v>
      </x:c>
      <x:c r="D106" s="18" t="n">
        <x:v>18</x:v>
      </x:c>
      <x:c r="E106" s="18" t="n">
        <x:v>3657.4598</x:v>
      </x:c>
      <x:c r="F106" s="18" t="n">
        <x:v>89438</x:v>
      </x:c>
      <x:c r="G106" s="18" t="n">
        <x:v>88984.33</x:v>
      </x:c>
      <x:c r="H106" s="18" t="n">
        <x:v>453.66</x:v>
      </x:c>
      <x:c r="I106" s="18" t="n">
        <x:v>0</x:v>
      </x:c>
      <x:c r="J106" s="18" t="n">
        <x:v>453.66</x:v>
      </x:c>
    </x:row>
    <x:row r="107">
      <x:c r="A107" s="17" t="str">
        <x:v>VEND-0073</x:v>
      </x:c>
      <x:c r="B107" s="17" t="str">
        <x:v>Keystone Motion Components</x:v>
      </x:c>
      <x:c r="C107" s="17" t="str">
        <x:v>Bearings &amp; Mechanical</x:v>
      </x:c>
      <x:c r="D107" s="18" t="n">
        <x:v>6</x:v>
      </x:c>
      <x:c r="E107" s="18" t="n">
        <x:v>1485.1128</x:v>
      </x:c>
      <x:c r="F107" s="18" t="n">
        <x:v>40429.56</x:v>
      </x:c>
      <x:c r="G107" s="18" t="n">
        <x:v>40870.3</x:v>
      </x:c>
      <x:c r="H107" s="18" t="n">
        <x:v>-440.75</x:v>
      </x:c>
      <x:c r="I107" s="18" t="n">
        <x:v>0</x:v>
      </x:c>
      <x:c r="J107" s="18" t="n">
        <x:v>-440.75</x:v>
      </x:c>
    </x:row>
    <x:row r="108">
      <x:c r="A108" s="17" t="str">
        <x:v>VEND-0100</x:v>
      </x:c>
      <x:c r="B108" s="17" t="str">
        <x:v>Oak River Metals</x:v>
      </x:c>
      <x:c r="C108" s="17" t="str">
        <x:v>Metals</x:v>
      </x:c>
      <x:c r="D108" s="18" t="n">
        <x:v>19</x:v>
      </x:c>
      <x:c r="E108" s="18" t="n">
        <x:v>6269.6053</x:v>
      </x:c>
      <x:c r="F108" s="18" t="n">
        <x:v>123603.66</x:v>
      </x:c>
      <x:c r="G108" s="18" t="n">
        <x:v>123164</x:v>
      </x:c>
      <x:c r="H108" s="18" t="n">
        <x:v>439.66</x:v>
      </x:c>
      <x:c r="I108" s="18" t="n">
        <x:v>0</x:v>
      </x:c>
      <x:c r="J108" s="18" t="n">
        <x:v>439.66</x:v>
      </x:c>
    </x:row>
    <x:row r="109">
      <x:c r="A109" s="17" t="str">
        <x:v>VEND-0028</x:v>
      </x:c>
      <x:c r="B109" s="17" t="str">
        <x:v>Cedar Valley Industrial Supply</x:v>
      </x:c>
      <x:c r="C109" s="17" t="str">
        <x:v>MRO</x:v>
      </x:c>
      <x:c r="D109" s="18" t="n">
        <x:v>17</x:v>
      </x:c>
      <x:c r="E109" s="18" t="n">
        <x:v>3725.769</x:v>
      </x:c>
      <x:c r="F109" s="18" t="n">
        <x:v>199936.76</x:v>
      </x:c>
      <x:c r="G109" s="18" t="n">
        <x:v>200359.73</x:v>
      </x:c>
      <x:c r="H109" s="18" t="n">
        <x:v>-422.98</x:v>
      </x:c>
      <x:c r="I109" s="18" t="n">
        <x:v>0</x:v>
      </x:c>
      <x:c r="J109" s="18" t="n">
        <x:v>-422.98</x:v>
      </x:c>
    </x:row>
    <x:row r="110">
      <x:c r="A110" s="17" t="str">
        <x:v>VEND-0017</x:v>
      </x:c>
      <x:c r="B110" s="17" t="str">
        <x:v>Bayshore Energy Services</x:v>
      </x:c>
      <x:c r="C110" s="17" t="str">
        <x:v>Utilities</x:v>
      </x:c>
      <x:c r="D110" s="18" t="n">
        <x:v>9</x:v>
      </x:c>
      <x:c r="E110" s="18" t="n">
        <x:v>2074.7838</x:v>
      </x:c>
      <x:c r="F110" s="18" t="n">
        <x:v>55837.74</x:v>
      </x:c>
      <x:c r="G110" s="18" t="n">
        <x:v>55417.48</x:v>
      </x:c>
      <x:c r="H110" s="18" t="n">
        <x:v>420.27</x:v>
      </x:c>
      <x:c r="I110" s="18" t="n">
        <x:v>0</x:v>
      </x:c>
      <x:c r="J110" s="18" t="n">
        <x:v>420.27</x:v>
      </x:c>
    </x:row>
    <x:row r="111">
      <x:c r="A111" s="17" t="str">
        <x:v>VEND-0053</x:v>
      </x:c>
      <x:c r="B111" s="17" t="str">
        <x:v>Easton Motion Components</x:v>
      </x:c>
      <x:c r="C111" s="17" t="str">
        <x:v>Bearings &amp; Mechanical</x:v>
      </x:c>
      <x:c r="D111" s="18" t="n">
        <x:v>14</x:v>
      </x:c>
      <x:c r="E111" s="18" t="n">
        <x:v>5284.28</x:v>
      </x:c>
      <x:c r="F111" s="18" t="n">
        <x:v>140307.75</x:v>
      </x:c>
      <x:c r="G111" s="18" t="n">
        <x:v>139887.52</x:v>
      </x:c>
      <x:c r="H111" s="18" t="n">
        <x:v>420.23</x:v>
      </x:c>
      <x:c r="I111" s="18" t="n">
        <x:v>0</x:v>
      </x:c>
      <x:c r="J111" s="18" t="n">
        <x:v>420.23</x:v>
      </x:c>
    </x:row>
    <x:row r="112">
      <x:c r="A112" s="17" t="str">
        <x:v>VEND-0002</x:v>
      </x:c>
      <x:c r="B112" s="17" t="str">
        <x:v>Allegheny Surface Technologies</x:v>
      </x:c>
      <x:c r="C112" s="17" t="str">
        <x:v>Outside Processing</x:v>
      </x:c>
      <x:c r="D112" s="18" t="n">
        <x:v>17</x:v>
      </x:c>
      <x:c r="E112" s="18" t="n">
        <x:v>5438.9386</x:v>
      </x:c>
      <x:c r="F112" s="18" t="n">
        <x:v>216367.51</x:v>
      </x:c>
      <x:c r="G112" s="18" t="n">
        <x:v>215957.34</x:v>
      </x:c>
      <x:c r="H112" s="18" t="n">
        <x:v>410.17</x:v>
      </x:c>
      <x:c r="I112" s="18" t="n">
        <x:v>0</x:v>
      </x:c>
      <x:c r="J112" s="18" t="n">
        <x:v>410.17</x:v>
      </x:c>
    </x:row>
    <x:row r="113">
      <x:c r="A113" s="17" t="str">
        <x:v>VEND-0004</x:v>
      </x:c>
      <x:c r="B113" s="17" t="str">
        <x:v>Allegheny Advisory</x:v>
      </x:c>
      <x:c r="C113" s="17" t="str">
        <x:v>Professional Services</x:v>
      </x:c>
      <x:c r="D113" s="18" t="n">
        <x:v>9</x:v>
      </x:c>
      <x:c r="E113" s="18" t="n">
        <x:v>935.9491</x:v>
      </x:c>
      <x:c r="F113" s="18" t="n">
        <x:v>23826.96</x:v>
      </x:c>
      <x:c r="G113" s="18" t="n">
        <x:v>24231.72</x:v>
      </x:c>
      <x:c r="H113" s="18" t="n">
        <x:v>-404.76</x:v>
      </x:c>
      <x:c r="I113" s="18" t="n">
        <x:v>0</x:v>
      </x:c>
      <x:c r="J113" s="18" t="n">
        <x:v>-404.76</x:v>
      </x:c>
    </x:row>
    <x:row r="114">
      <x:c r="A114" s="17" t="str">
        <x:v>VEND-0030</x:v>
      </x:c>
      <x:c r="B114" s="17" t="str">
        <x:v>Cedar Valley Metals</x:v>
      </x:c>
      <x:c r="C114" s="17" t="str">
        <x:v>Metals</x:v>
      </x:c>
      <x:c r="D114" s="18" t="n">
        <x:v>12</x:v>
      </x:c>
      <x:c r="E114" s="18" t="n">
        <x:v>2499.0984</x:v>
      </x:c>
      <x:c r="F114" s="18" t="n">
        <x:v>69165.17</x:v>
      </x:c>
      <x:c r="G114" s="18" t="n">
        <x:v>68775.19</x:v>
      </x:c>
      <x:c r="H114" s="18" t="n">
        <x:v>389.98</x:v>
      </x:c>
      <x:c r="I114" s="18" t="n">
        <x:v>0</x:v>
      </x:c>
      <x:c r="J114" s="18" t="n">
        <x:v>389.98</x:v>
      </x:c>
    </x:row>
    <x:row r="115">
      <x:c r="A115" s="17" t="str">
        <x:v>VEND-0138</x:v>
      </x:c>
      <x:c r="B115" s="17" t="str">
        <x:v>Riverbend Industrial Supply</x:v>
      </x:c>
      <x:c r="C115" s="17" t="str">
        <x:v>MRO</x:v>
      </x:c>
      <x:c r="D115" s="18" t="n">
        <x:v>11</x:v>
      </x:c>
      <x:c r="E115" s="18" t="n">
        <x:v>2207.879</x:v>
      </x:c>
      <x:c r="F115" s="18" t="n">
        <x:v>69401.33</x:v>
      </x:c>
      <x:c r="G115" s="18" t="n">
        <x:v>69791.06</x:v>
      </x:c>
      <x:c r="H115" s="18" t="n">
        <x:v>-389.72</x:v>
      </x:c>
      <x:c r="I115" s="18" t="n">
        <x:v>0</x:v>
      </x:c>
      <x:c r="J115" s="18" t="n">
        <x:v>-389.72</x:v>
      </x:c>
    </x:row>
    <x:row r="116">
      <x:c r="A116" s="17" t="str">
        <x:v>VEND-0072</x:v>
      </x:c>
      <x:c r="B116" s="17" t="str">
        <x:v>Horizon Surface Technologies</x:v>
      </x:c>
      <x:c r="C116" s="17" t="str">
        <x:v>Outside Processing</x:v>
      </x:c>
      <x:c r="D116" s="18" t="n">
        <x:v>15</x:v>
      </x:c>
      <x:c r="E116" s="18" t="n">
        <x:v>4703.1293</x:v>
      </x:c>
      <x:c r="F116" s="18" t="n">
        <x:v>340892.81</x:v>
      </x:c>
      <x:c r="G116" s="18" t="n">
        <x:v>340505.76</x:v>
      </x:c>
      <x:c r="H116" s="18" t="n">
        <x:v>387.05</x:v>
      </x:c>
      <x:c r="I116" s="18" t="n">
        <x:v>0</x:v>
      </x:c>
      <x:c r="J116" s="18" t="n">
        <x:v>387.05</x:v>
      </x:c>
    </x:row>
    <x:row r="117">
      <x:c r="A117" s="17" t="str">
        <x:v>VEND-0178</x:v>
      </x:c>
      <x:c r="B117" s="17" t="str">
        <x:v>Woodcrest Industrial Supply</x:v>
      </x:c>
      <x:c r="C117" s="17" t="str">
        <x:v>MRO</x:v>
      </x:c>
      <x:c r="D117" s="18" t="n">
        <x:v>22</x:v>
      </x:c>
      <x:c r="E117" s="18" t="n">
        <x:v>5332.2306</x:v>
      </x:c>
      <x:c r="F117" s="18" t="n">
        <x:v>142942.49</x:v>
      </x:c>
      <x:c r="G117" s="18" t="n">
        <x:v>143321.06</x:v>
      </x:c>
      <x:c r="H117" s="18" t="n">
        <x:v>-378.58</x:v>
      </x:c>
      <x:c r="I117" s="18" t="n">
        <x:v>0</x:v>
      </x:c>
      <x:c r="J117" s="18" t="n">
        <x:v>-378.58</x:v>
      </x:c>
    </x:row>
    <x:row r="118">
      <x:c r="A118" s="17" t="str">
        <x:v>VEND-0033</x:v>
      </x:c>
      <x:c r="B118" s="17" t="str">
        <x:v>Clearpoint Motion Components</x:v>
      </x:c>
      <x:c r="C118" s="17" t="str">
        <x:v>Bearings &amp; Mechanical</x:v>
      </x:c>
      <x:c r="D118" s="18" t="n">
        <x:v>18</x:v>
      </x:c>
      <x:c r="E118" s="18" t="n">
        <x:v>7280.3495</x:v>
      </x:c>
      <x:c r="F118" s="18" t="n">
        <x:v>272722.56</x:v>
      </x:c>
      <x:c r="G118" s="18" t="n">
        <x:v>273083.78</x:v>
      </x:c>
      <x:c r="H118" s="18" t="n">
        <x:v>-361.21</x:v>
      </x:c>
      <x:c r="I118" s="18" t="n">
        <x:v>0</x:v>
      </x:c>
      <x:c r="J118" s="18" t="n">
        <x:v>-361.21</x:v>
      </x:c>
    </x:row>
    <x:row r="119">
      <x:c r="A119" s="17" t="str">
        <x:v>VEND-0109</x:v>
      </x:c>
      <x:c r="B119" s="17" t="str">
        <x:v>Pinnacle Controls</x:v>
      </x:c>
      <x:c r="C119" s="17" t="str">
        <x:v>Electronics</x:v>
      </x:c>
      <x:c r="D119" s="18" t="n">
        <x:v>22</x:v>
      </x:c>
      <x:c r="E119" s="18" t="n">
        <x:v>5218.8996</x:v>
      </x:c>
      <x:c r="F119" s="18" t="n">
        <x:v>184967.59</x:v>
      </x:c>
      <x:c r="G119" s="18" t="n">
        <x:v>184607.37</x:v>
      </x:c>
      <x:c r="H119" s="18" t="n">
        <x:v>360.23</x:v>
      </x:c>
      <x:c r="I119" s="18" t="n">
        <x:v>0</x:v>
      </x:c>
      <x:c r="J119" s="18" t="n">
        <x:v>360.23</x:v>
      </x:c>
    </x:row>
    <x:row r="120">
      <x:c r="A120" s="17" t="str">
        <x:v>VEND-0022</x:v>
      </x:c>
      <x:c r="B120" s="17" t="str">
        <x:v>Bluewater Surface Technologies</x:v>
      </x:c>
      <x:c r="C120" s="17" t="str">
        <x:v>Outside Processing</x:v>
      </x:c>
      <x:c r="D120" s="18" t="n">
        <x:v>13</x:v>
      </x:c>
      <x:c r="E120" s="18" t="n">
        <x:v>4917.4799</x:v>
      </x:c>
      <x:c r="F120" s="18" t="n">
        <x:v>198016.85</x:v>
      </x:c>
      <x:c r="G120" s="18" t="n">
        <x:v>197662.04</x:v>
      </x:c>
      <x:c r="H120" s="18" t="n">
        <x:v>354.81</x:v>
      </x:c>
      <x:c r="I120" s="18" t="n">
        <x:v>0</x:v>
      </x:c>
      <x:c r="J120" s="18" t="n">
        <x:v>354.81</x:v>
      </x:c>
    </x:row>
    <x:row r="121">
      <x:c r="A121" s="17" t="str">
        <x:v>VEND-0167</x:v>
      </x:c>
      <x:c r="B121" s="17" t="str">
        <x:v>Valley Energy Services</x:v>
      </x:c>
      <x:c r="C121" s="17" t="str">
        <x:v>Utilities</x:v>
      </x:c>
      <x:c r="D121" s="18" t="n">
        <x:v>17</x:v>
      </x:c>
      <x:c r="E121" s="18" t="n">
        <x:v>4035.1639</x:v>
      </x:c>
      <x:c r="F121" s="18" t="n">
        <x:v>360951.08</x:v>
      </x:c>
      <x:c r="G121" s="18" t="n">
        <x:v>361292.01</x:v>
      </x:c>
      <x:c r="H121" s="18" t="n">
        <x:v>-340.93</x:v>
      </x:c>
      <x:c r="I121" s="18" t="n">
        <x:v>0</x:v>
      </x:c>
      <x:c r="J121" s="18" t="n">
        <x:v>-340.93</x:v>
      </x:c>
    </x:row>
    <x:row r="122">
      <x:c r="A122" s="17" t="str">
        <x:v>VEND-0145</x:v>
      </x:c>
      <x:c r="B122" s="17" t="str">
        <x:v>Stonebridge Packaging</x:v>
      </x:c>
      <x:c r="C122" s="17" t="str">
        <x:v>Packaging</x:v>
      </x:c>
      <x:c r="D122" s="18" t="n">
        <x:v>6</x:v>
      </x:c>
      <x:c r="E122" s="18" t="n">
        <x:v>1896.8202</x:v>
      </x:c>
      <x:c r="F122" s="18" t="n">
        <x:v>44779.89</x:v>
      </x:c>
      <x:c r="G122" s="18" t="n">
        <x:v>44442.5</x:v>
      </x:c>
      <x:c r="H122" s="18" t="n">
        <x:v>337.39</x:v>
      </x:c>
      <x:c r="I122" s="18" t="n">
        <x:v>0</x:v>
      </x:c>
      <x:c r="J122" s="18" t="n">
        <x:v>337.39</x:v>
      </x:c>
    </x:row>
    <x:row r="123">
      <x:c r="A123" s="17" t="str">
        <x:v>VEND-0063</x:v>
      </x:c>
      <x:c r="B123" s="17" t="str">
        <x:v>Great Lakes Motion Components</x:v>
      </x:c>
      <x:c r="C123" s="17" t="str">
        <x:v>Bearings &amp; Mechanical</x:v>
      </x:c>
      <x:c r="D123" s="18" t="n">
        <x:v>18</x:v>
      </x:c>
      <x:c r="E123" s="18" t="n">
        <x:v>5581.3548</x:v>
      </x:c>
      <x:c r="F123" s="18" t="n">
        <x:v>165695.04</x:v>
      </x:c>
      <x:c r="G123" s="18" t="n">
        <x:v>166030.89</x:v>
      </x:c>
      <x:c r="H123" s="18" t="n">
        <x:v>-335.85</x:v>
      </x:c>
      <x:c r="I123" s="18" t="n">
        <x:v>0</x:v>
      </x:c>
      <x:c r="J123" s="18" t="n">
        <x:v>-335.85</x:v>
      </x:c>
    </x:row>
    <x:row r="124">
      <x:c r="A124" s="17" t="str">
        <x:v>VEND-0130</x:v>
      </x:c>
      <x:c r="B124" s="17" t="str">
        <x:v>Ridgeway Metals</x:v>
      </x:c>
      <x:c r="C124" s="17" t="str">
        <x:v>Metals</x:v>
      </x:c>
      <x:c r="D124" s="18" t="n">
        <x:v>16</x:v>
      </x:c>
      <x:c r="E124" s="18" t="n">
        <x:v>3206.8608</x:v>
      </x:c>
      <x:c r="F124" s="18" t="n">
        <x:v>101549.08</x:v>
      </x:c>
      <x:c r="G124" s="18" t="n">
        <x:v>101238.69</x:v>
      </x:c>
      <x:c r="H124" s="18" t="n">
        <x:v>310.39</x:v>
      </x:c>
      <x:c r="I124" s="18" t="n">
        <x:v>0</x:v>
      </x:c>
      <x:c r="J124" s="18" t="n">
        <x:v>310.39</x:v>
      </x:c>
    </x:row>
    <x:row r="125">
      <x:c r="A125" s="17" t="str">
        <x:v>VEND-0014</x:v>
      </x:c>
      <x:c r="B125" s="17" t="str">
        <x:v>Bayshore Advisory</x:v>
      </x:c>
      <x:c r="C125" s="17" t="str">
        <x:v>Professional Services</x:v>
      </x:c>
      <x:c r="D125" s="18" t="n">
        <x:v>6</x:v>
      </x:c>
      <x:c r="E125" s="18" t="n">
        <x:v>1211.2053</x:v>
      </x:c>
      <x:c r="F125" s="18" t="n">
        <x:v>36560.38</x:v>
      </x:c>
      <x:c r="G125" s="18" t="n">
        <x:v>36867.98</x:v>
      </x:c>
      <x:c r="H125" s="18" t="n">
        <x:v>-307.59</x:v>
      </x:c>
      <x:c r="I125" s="18" t="n">
        <x:v>0</x:v>
      </x:c>
      <x:c r="J125" s="18" t="n">
        <x:v>-307.59</x:v>
      </x:c>
    </x:row>
    <x:row r="126">
      <x:c r="A126" s="17" t="str">
        <x:v>VEND-0096</x:v>
      </x:c>
      <x:c r="B126" s="17" t="str">
        <x:v>Northstar Drive Systems</x:v>
      </x:c>
      <x:c r="C126" s="17" t="str">
        <x:v>Motors &amp; Drives</x:v>
      </x:c>
      <x:c r="D126" s="18" t="n">
        <x:v>31</x:v>
      </x:c>
      <x:c r="E126" s="18" t="n">
        <x:v>11931.3235</x:v>
      </x:c>
      <x:c r="F126" s="18" t="n">
        <x:v>506392.49</x:v>
      </x:c>
      <x:c r="G126" s="18" t="n">
        <x:v>506690.47</x:v>
      </x:c>
      <x:c r="H126" s="18" t="n">
        <x:v>-297.98</x:v>
      </x:c>
      <x:c r="I126" s="18" t="n">
        <x:v>0</x:v>
      </x:c>
      <x:c r="J126" s="18" t="n">
        <x:v>-297.98</x:v>
      </x:c>
    </x:row>
    <x:row r="127">
      <x:c r="A127" s="17" t="str">
        <x:v>VEND-0093</x:v>
      </x:c>
      <x:c r="B127" s="17" t="str">
        <x:v>Northstar Motion Components</x:v>
      </x:c>
      <x:c r="C127" s="17" t="str">
        <x:v>Bearings &amp; Mechanical</x:v>
      </x:c>
      <x:c r="D127" s="18" t="n">
        <x:v>12</x:v>
      </x:c>
      <x:c r="E127" s="18" t="n">
        <x:v>3429.5793</x:v>
      </x:c>
      <x:c r="F127" s="18" t="n">
        <x:v>68843.05</x:v>
      </x:c>
      <x:c r="G127" s="18" t="n">
        <x:v>69140.32</x:v>
      </x:c>
      <x:c r="H127" s="18" t="n">
        <x:v>-297.27</x:v>
      </x:c>
      <x:c r="I127" s="18" t="n">
        <x:v>0</x:v>
      </x:c>
      <x:c r="J127" s="18" t="n">
        <x:v>-297.27</x:v>
      </x:c>
    </x:row>
    <x:row r="128">
      <x:c r="A128" s="17" t="str">
        <x:v>VEND-0069</x:v>
      </x:c>
      <x:c r="B128" s="17" t="str">
        <x:v>Horizon Controls</x:v>
      </x:c>
      <x:c r="C128" s="17" t="str">
        <x:v>Electronics</x:v>
      </x:c>
      <x:c r="D128" s="18" t="n">
        <x:v>2</x:v>
      </x:c>
      <x:c r="E128" s="18" t="n">
        <x:v>334.7132</x:v>
      </x:c>
      <x:c r="F128" s="18" t="n">
        <x:v>10325.9</x:v>
      </x:c>
      <x:c r="G128" s="18" t="n">
        <x:v>10034.7</x:v>
      </x:c>
      <x:c r="H128" s="18" t="n">
        <x:v>291.2</x:v>
      </x:c>
      <x:c r="I128" s="18" t="n">
        <x:v>0</x:v>
      </x:c>
      <x:c r="J128" s="18" t="n">
        <x:v>291.2</x:v>
      </x:c>
    </x:row>
    <x:row r="129">
      <x:c r="A129" s="17" t="str">
        <x:v>VEND-0108</x:v>
      </x:c>
      <x:c r="B129" s="17" t="str">
        <x:v>Orchard Industrial Supply</x:v>
      </x:c>
      <x:c r="C129" s="17" t="str">
        <x:v>MRO</x:v>
      </x:c>
      <x:c r="D129" s="18" t="n">
        <x:v>14</x:v>
      </x:c>
      <x:c r="E129" s="18" t="n">
        <x:v>2906.6746</x:v>
      </x:c>
      <x:c r="F129" s="18" t="n">
        <x:v>93999.52</x:v>
      </x:c>
      <x:c r="G129" s="18" t="n">
        <x:v>94263.46</x:v>
      </x:c>
      <x:c r="H129" s="18" t="n">
        <x:v>-263.94</x:v>
      </x:c>
      <x:c r="I129" s="18" t="n">
        <x:v>0</x:v>
      </x:c>
      <x:c r="J129" s="18" t="n">
        <x:v>-263.94</x:v>
      </x:c>
    </x:row>
    <x:row r="130">
      <x:c r="A130" s="17" t="str">
        <x:v>VEND-0157</x:v>
      </x:c>
      <x:c r="B130" s="17" t="str">
        <x:v>Tri-County Energy Services</x:v>
      </x:c>
      <x:c r="C130" s="17" t="str">
        <x:v>Utilities</x:v>
      </x:c>
      <x:c r="D130" s="18" t="n">
        <x:v>12</x:v>
      </x:c>
      <x:c r="E130" s="18" t="n">
        <x:v>4910.0937</x:v>
      </x:c>
      <x:c r="F130" s="18" t="n">
        <x:v>134328.41</x:v>
      </x:c>
      <x:c r="G130" s="18" t="n">
        <x:v>134082.58</x:v>
      </x:c>
      <x:c r="H130" s="18" t="n">
        <x:v>245.83</x:v>
      </x:c>
      <x:c r="I130" s="18" t="n">
        <x:v>0</x:v>
      </x:c>
      <x:c r="J130" s="18" t="n">
        <x:v>245.83</x:v>
      </x:c>
    </x:row>
    <x:row r="131">
      <x:c r="A131" s="17" t="str">
        <x:v>VEND-0095</x:v>
      </x:c>
      <x:c r="B131" s="17" t="str">
        <x:v>Northstar Packaging</x:v>
      </x:c>
      <x:c r="C131" s="17" t="str">
        <x:v>Packaging</x:v>
      </x:c>
      <x:c r="D131" s="18" t="n">
        <x:v>7</x:v>
      </x:c>
      <x:c r="E131" s="18" t="n">
        <x:v>3307.586</x:v>
      </x:c>
      <x:c r="F131" s="18" t="n">
        <x:v>104760.9</x:v>
      </x:c>
      <x:c r="G131" s="18" t="n">
        <x:v>104552.79</x:v>
      </x:c>
      <x:c r="H131" s="18" t="n">
        <x:v>208.11</x:v>
      </x:c>
      <x:c r="I131" s="18" t="n">
        <x:v>0</x:v>
      </x:c>
      <x:c r="J131" s="18" t="n">
        <x:v>208.11</x:v>
      </x:c>
    </x:row>
    <x:row r="132">
      <x:c r="A132" s="17" t="str">
        <x:v>VEND-0059</x:v>
      </x:c>
      <x:c r="B132" s="17" t="str">
        <x:v>Fairview Controls</x:v>
      </x:c>
      <x:c r="C132" s="17" t="str">
        <x:v>Electronics</x:v>
      </x:c>
      <x:c r="D132" s="18" t="n">
        <x:v>11</x:v>
      </x:c>
      <x:c r="E132" s="18" t="n">
        <x:v>3745.213</x:v>
      </x:c>
      <x:c r="F132" s="18" t="n">
        <x:v>118696.24</x:v>
      </x:c>
      <x:c r="G132" s="18" t="n">
        <x:v>118509.89</x:v>
      </x:c>
      <x:c r="H132" s="18" t="n">
        <x:v>186.34</x:v>
      </x:c>
      <x:c r="I132" s="18" t="n">
        <x:v>0</x:v>
      </x:c>
      <x:c r="J132" s="18" t="n">
        <x:v>186.34</x:v>
      </x:c>
    </x:row>
    <x:row r="133">
      <x:c r="A133" s="17" t="str">
        <x:v>VEND-0084</x:v>
      </x:c>
      <x:c r="B133" s="17" t="str">
        <x:v>Lakefront Advisory</x:v>
      </x:c>
      <x:c r="C133" s="17" t="str">
        <x:v>Professional Services</x:v>
      </x:c>
      <x:c r="D133" s="18" t="n">
        <x:v>9</x:v>
      </x:c>
      <x:c r="E133" s="18" t="n">
        <x:v>1947.0963</x:v>
      </x:c>
      <x:c r="F133" s="18" t="n">
        <x:v>33066.32</x:v>
      </x:c>
      <x:c r="G133" s="18" t="n">
        <x:v>32886.46</x:v>
      </x:c>
      <x:c r="H133" s="18" t="n">
        <x:v>179.86</x:v>
      </x:c>
      <x:c r="I133" s="18" t="n">
        <x:v>0</x:v>
      </x:c>
      <x:c r="J133" s="18" t="n">
        <x:v>179.86</x:v>
      </x:c>
    </x:row>
    <x:row r="134">
      <x:c r="A134" s="17" t="str">
        <x:v>VEND-0147</x:v>
      </x:c>
      <x:c r="B134" s="17" t="str">
        <x:v>Stonebridge Energy Services</x:v>
      </x:c>
      <x:c r="C134" s="17" t="str">
        <x:v>Utilities</x:v>
      </x:c>
      <x:c r="D134" s="18" t="n">
        <x:v>8</x:v>
      </x:c>
      <x:c r="E134" s="18" t="n">
        <x:v>1658.2432</x:v>
      </x:c>
      <x:c r="F134" s="18" t="n">
        <x:v>58028.54</x:v>
      </x:c>
      <x:c r="G134" s="18" t="n">
        <x:v>57856.11</x:v>
      </x:c>
      <x:c r="H134" s="18" t="n">
        <x:v>172.43</x:v>
      </x:c>
      <x:c r="I134" s="18" t="n">
        <x:v>0</x:v>
      </x:c>
      <x:c r="J134" s="18" t="n">
        <x:v>172.43</x:v>
      </x:c>
    </x:row>
    <x:row r="135">
      <x:c r="A135" s="17" t="str">
        <x:v>VEND-0058</x:v>
      </x:c>
      <x:c r="B135" s="17" t="str">
        <x:v>Fairview Industrial Supply</x:v>
      </x:c>
      <x:c r="C135" s="17" t="str">
        <x:v>MRO</x:v>
      </x:c>
      <x:c r="D135" s="18" t="n">
        <x:v>7</x:v>
      </x:c>
      <x:c r="E135" s="18" t="n">
        <x:v>1544.7103</x:v>
      </x:c>
      <x:c r="F135" s="18" t="n">
        <x:v>23727.9</x:v>
      </x:c>
      <x:c r="G135" s="18" t="n">
        <x:v>23556.83</x:v>
      </x:c>
      <x:c r="H135" s="18" t="n">
        <x:v>171.07</x:v>
      </x:c>
      <x:c r="I135" s="18" t="n">
        <x:v>0</x:v>
      </x:c>
      <x:c r="J135" s="18" t="n">
        <x:v>171.07</x:v>
      </x:c>
    </x:row>
    <x:row r="136">
      <x:c r="A136" s="17" t="str">
        <x:v>VEND-0024</x:v>
      </x:c>
      <x:c r="B136" s="17" t="str">
        <x:v>Bluewater Advisory</x:v>
      </x:c>
      <x:c r="C136" s="17" t="str">
        <x:v>Professional Services</x:v>
      </x:c>
      <x:c r="D136" s="18" t="n">
        <x:v>24</x:v>
      </x:c>
      <x:c r="E136" s="18" t="n">
        <x:v>7518.989</x:v>
      </x:c>
      <x:c r="F136" s="18" t="n">
        <x:v>311128.95</x:v>
      </x:c>
      <x:c r="G136" s="18" t="n">
        <x:v>311299.45</x:v>
      </x:c>
      <x:c r="H136" s="18" t="n">
        <x:v>-170.5</x:v>
      </x:c>
      <x:c r="I136" s="18" t="n">
        <x:v>0</x:v>
      </x:c>
      <x:c r="J136" s="18" t="n">
        <x:v>-170.5</x:v>
      </x:c>
    </x:row>
    <x:row r="137">
      <x:c r="A137" s="17" t="str">
        <x:v>VEND-0133</x:v>
      </x:c>
      <x:c r="B137" s="17" t="str">
        <x:v>Riverbend Motion Components</x:v>
      </x:c>
      <x:c r="C137" s="17" t="str">
        <x:v>Bearings &amp; Mechanical</x:v>
      </x:c>
      <x:c r="D137" s="18" t="n">
        <x:v>18</x:v>
      </x:c>
      <x:c r="E137" s="18" t="n">
        <x:v>4644.4366</x:v>
      </x:c>
      <x:c r="F137" s="18" t="n">
        <x:v>393361.78</x:v>
      </x:c>
      <x:c r="G137" s="18" t="n">
        <x:v>393192.43</x:v>
      </x:c>
      <x:c r="H137" s="18" t="n">
        <x:v>169.35</x:v>
      </x:c>
      <x:c r="I137" s="18" t="n">
        <x:v>0</x:v>
      </x:c>
      <x:c r="J137" s="18" t="n">
        <x:v>169.35</x:v>
      </x:c>
    </x:row>
    <x:row r="138">
      <x:c r="A138" s="17" t="str">
        <x:v>VEND-0021</x:v>
      </x:c>
      <x:c r="B138" s="17" t="str">
        <x:v>Bluewater Logistics</x:v>
      </x:c>
      <x:c r="C138" s="17" t="str">
        <x:v>Freight</x:v>
      </x:c>
      <x:c r="D138" s="18" t="n">
        <x:v>20</x:v>
      </x:c>
      <x:c r="E138" s="18" t="n">
        <x:v>4110.4662</x:v>
      </x:c>
      <x:c r="F138" s="18" t="n">
        <x:v>161190.17</x:v>
      </x:c>
      <x:c r="G138" s="18" t="n">
        <x:v>161356.14</x:v>
      </x:c>
      <x:c r="H138" s="18" t="n">
        <x:v>-165.97</x:v>
      </x:c>
      <x:c r="I138" s="18" t="n">
        <x:v>0</x:v>
      </x:c>
      <x:c r="J138" s="18" t="n">
        <x:v>-165.97</x:v>
      </x:c>
    </x:row>
    <x:row r="139">
      <x:c r="A139" s="17" t="str">
        <x:v>VEND-0162</x:v>
      </x:c>
      <x:c r="B139" s="17" t="str">
        <x:v>Tri-County Surface Technologies</x:v>
      </x:c>
      <x:c r="C139" s="17" t="str">
        <x:v>Outside Processing</x:v>
      </x:c>
      <x:c r="D139" s="18" t="n">
        <x:v>7</x:v>
      </x:c>
      <x:c r="E139" s="18" t="n">
        <x:v>545.2881</x:v>
      </x:c>
      <x:c r="F139" s="18" t="n">
        <x:v>12044.33</x:v>
      </x:c>
      <x:c r="G139" s="18" t="n">
        <x:v>11887.28</x:v>
      </x:c>
      <x:c r="H139" s="18" t="n">
        <x:v>157.04</x:v>
      </x:c>
      <x:c r="I139" s="18" t="n">
        <x:v>0</x:v>
      </x:c>
      <x:c r="J139" s="18" t="n">
        <x:v>157.04</x:v>
      </x:c>
    </x:row>
    <x:row r="140">
      <x:c r="A140" s="17" t="str">
        <x:v>VEND-0045</x:v>
      </x:c>
      <x:c r="B140" s="17" t="str">
        <x:v>Crown Packaging</x:v>
      </x:c>
      <x:c r="C140" s="17" t="str">
        <x:v>Packaging</x:v>
      </x:c>
      <x:c r="D140" s="18" t="n">
        <x:v>5</x:v>
      </x:c>
      <x:c r="E140" s="18" t="n">
        <x:v>1232.2855</x:v>
      </x:c>
      <x:c r="F140" s="18" t="n">
        <x:v>17626.61</x:v>
      </x:c>
      <x:c r="G140" s="18" t="n">
        <x:v>17781.88</x:v>
      </x:c>
      <x:c r="H140" s="18" t="n">
        <x:v>-155.27</x:v>
      </x:c>
      <x:c r="I140" s="18" t="n">
        <x:v>0</x:v>
      </x:c>
      <x:c r="J140" s="18" t="n">
        <x:v>-155.27</x:v>
      </x:c>
    </x:row>
    <x:row r="141">
      <x:c r="A141" s="17" t="str">
        <x:v>VEND-0042</x:v>
      </x:c>
      <x:c r="B141" s="17" t="str">
        <x:v>Continental Surface Technologies</x:v>
      </x:c>
      <x:c r="C141" s="17" t="str">
        <x:v>Outside Processing</x:v>
      </x:c>
      <x:c r="D141" s="18" t="n">
        <x:v>19</x:v>
      </x:c>
      <x:c r="E141" s="18" t="n">
        <x:v>5977.498</x:v>
      </x:c>
      <x:c r="F141" s="18" t="n">
        <x:v>288367.55</x:v>
      </x:c>
      <x:c r="G141" s="18" t="n">
        <x:v>288517.47</x:v>
      </x:c>
      <x:c r="H141" s="18" t="n">
        <x:v>-149.92</x:v>
      </x:c>
      <x:c r="I141" s="18" t="n">
        <x:v>0</x:v>
      </x:c>
      <x:c r="J141" s="18" t="n">
        <x:v>-149.92</x:v>
      </x:c>
    </x:row>
    <x:row r="142">
      <x:c r="A142" s="17" t="str">
        <x:v>VEND-0158</x:v>
      </x:c>
      <x:c r="B142" s="17" t="str">
        <x:v>Tri-County Industrial Supply</x:v>
      </x:c>
      <x:c r="C142" s="17" t="str">
        <x:v>MRO</x:v>
      </x:c>
      <x:c r="D142" s="18" t="n">
        <x:v>6</x:v>
      </x:c>
      <x:c r="E142" s="18" t="n">
        <x:v>1069.0902</x:v>
      </x:c>
      <x:c r="F142" s="18" t="n">
        <x:v>26068.95</x:v>
      </x:c>
      <x:c r="G142" s="18" t="n">
        <x:v>25925.44</x:v>
      </x:c>
      <x:c r="H142" s="18" t="n">
        <x:v>143.52</x:v>
      </x:c>
      <x:c r="I142" s="18" t="n">
        <x:v>0</x:v>
      </x:c>
      <x:c r="J142" s="18" t="n">
        <x:v>143.52</x:v>
      </x:c>
    </x:row>
    <x:row r="143">
      <x:c r="A143" s="17" t="str">
        <x:v>VEND-0135</x:v>
      </x:c>
      <x:c r="B143" s="17" t="str">
        <x:v>Riverbend Packaging</x:v>
      </x:c>
      <x:c r="C143" s="17" t="str">
        <x:v>Packaging</x:v>
      </x:c>
      <x:c r="D143" s="18" t="n">
        <x:v>21</x:v>
      </x:c>
      <x:c r="E143" s="18" t="n">
        <x:v>7147.6491</x:v>
      </x:c>
      <x:c r="F143" s="18" t="n">
        <x:v>219056.45</x:v>
      </x:c>
      <x:c r="G143" s="18" t="n">
        <x:v>219190.69</x:v>
      </x:c>
      <x:c r="H143" s="18" t="n">
        <x:v>-134.24</x:v>
      </x:c>
      <x:c r="I143" s="18" t="n">
        <x:v>0</x:v>
      </x:c>
      <x:c r="J143" s="18" t="n">
        <x:v>-134.24</x:v>
      </x:c>
    </x:row>
    <x:row r="144">
      <x:c r="A144" s="17" t="str">
        <x:v>VEND-0097</x:v>
      </x:c>
      <x:c r="B144" s="17" t="str">
        <x:v>Oak River Energy Services</x:v>
      </x:c>
      <x:c r="C144" s="17" t="str">
        <x:v>Utilities</x:v>
      </x:c>
      <x:c r="D144" s="18" t="n">
        <x:v>8</x:v>
      </x:c>
      <x:c r="E144" s="18" t="n">
        <x:v>2539.176</x:v>
      </x:c>
      <x:c r="F144" s="18" t="n">
        <x:v>45097.92</x:v>
      </x:c>
      <x:c r="G144" s="18" t="n">
        <x:v>44968.81</x:v>
      </x:c>
      <x:c r="H144" s="18" t="n">
        <x:v>129.11</x:v>
      </x:c>
      <x:c r="I144" s="18" t="n">
        <x:v>0</x:v>
      </x:c>
      <x:c r="J144" s="18" t="n">
        <x:v>129.11</x:v>
      </x:c>
    </x:row>
    <x:row r="145">
      <x:c r="A145" s="17" t="str">
        <x:v>VEND-0139</x:v>
      </x:c>
      <x:c r="B145" s="17" t="str">
        <x:v>Seaboard Controls</x:v>
      </x:c>
      <x:c r="C145" s="17" t="str">
        <x:v>Electronics</x:v>
      </x:c>
      <x:c r="D145" s="18" t="n">
        <x:v>25</x:v>
      </x:c>
      <x:c r="E145" s="18" t="n">
        <x:v>8728.0893</x:v>
      </x:c>
      <x:c r="F145" s="18" t="n">
        <x:v>294902.43</x:v>
      </x:c>
      <x:c r="G145" s="18" t="n">
        <x:v>295019.96</x:v>
      </x:c>
      <x:c r="H145" s="18" t="n">
        <x:v>-117.52</x:v>
      </x:c>
      <x:c r="I145" s="18" t="n">
        <x:v>0</x:v>
      </x:c>
      <x:c r="J145" s="18" t="n">
        <x:v>-117.52</x:v>
      </x:c>
    </x:row>
    <x:row r="146">
      <x:c r="A146" s="17" t="str">
        <x:v>VEND-0083</x:v>
      </x:c>
      <x:c r="B146" s="17" t="str">
        <x:v>Lakefront Motion Components</x:v>
      </x:c>
      <x:c r="C146" s="17" t="str">
        <x:v>Bearings &amp; Mechanical</x:v>
      </x:c>
      <x:c r="D146" s="18" t="n">
        <x:v>16</x:v>
      </x:c>
      <x:c r="E146" s="18" t="n">
        <x:v>6604.442</x:v>
      </x:c>
      <x:c r="F146" s="18" t="n">
        <x:v>93886.05</x:v>
      </x:c>
      <x:c r="G146" s="18" t="n">
        <x:v>93993.29</x:v>
      </x:c>
      <x:c r="H146" s="18" t="n">
        <x:v>-107.24</x:v>
      </x:c>
      <x:c r="I146" s="18" t="n">
        <x:v>0</x:v>
      </x:c>
      <x:c r="J146" s="18" t="n">
        <x:v>-107.24</x:v>
      </x:c>
    </x:row>
    <x:row r="147">
      <x:c r="A147" s="17" t="str">
        <x:v>VEND-0008</x:v>
      </x:c>
      <x:c r="B147" s="17" t="str">
        <x:v>Arcadia Industrial Supply</x:v>
      </x:c>
      <x:c r="C147" s="17" t="str">
        <x:v>MRO</x:v>
      </x:c>
      <x:c r="D147" s="18" t="n">
        <x:v>9</x:v>
      </x:c>
      <x:c r="E147" s="18" t="n">
        <x:v>1299.5826</x:v>
      </x:c>
      <x:c r="F147" s="18" t="n">
        <x:v>30550.34</x:v>
      </x:c>
      <x:c r="G147" s="18" t="n">
        <x:v>30449.22</x:v>
      </x:c>
      <x:c r="H147" s="18" t="n">
        <x:v>101.12</x:v>
      </x:c>
      <x:c r="I147" s="18" t="n">
        <x:v>0</x:v>
      </x:c>
      <x:c r="J147" s="18" t="n">
        <x:v>101.12</x:v>
      </x:c>
    </x:row>
    <x:row r="148">
      <x:c r="A148" s="17" t="str">
        <x:v>VEND-0119</x:v>
      </x:c>
      <x:c r="B148" s="17" t="str">
        <x:v>Prairie Controls</x:v>
      </x:c>
      <x:c r="C148" s="17" t="str">
        <x:v>Electronics</x:v>
      </x:c>
      <x:c r="D148" s="18" t="n">
        <x:v>9</x:v>
      </x:c>
      <x:c r="E148" s="18" t="n">
        <x:v>2139.8456</x:v>
      </x:c>
      <x:c r="F148" s="18" t="n">
        <x:v>46571.57</x:v>
      </x:c>
      <x:c r="G148" s="18" t="n">
        <x:v>46648.63</x:v>
      </x:c>
      <x:c r="H148" s="18" t="n">
        <x:v>-77.06</x:v>
      </x:c>
      <x:c r="I148" s="18" t="n">
        <x:v>0</x:v>
      </x:c>
      <x:c r="J148" s="18" t="n">
        <x:v>-77.06</x:v>
      </x:c>
    </x:row>
    <x:row r="149">
      <x:c r="A149" s="17" t="str">
        <x:v>VEND-0067</x:v>
      </x:c>
      <x:c r="B149" s="17" t="str">
        <x:v>Horizon Energy Services</x:v>
      </x:c>
      <x:c r="C149" s="17" t="str">
        <x:v>Utilities</x:v>
      </x:c>
      <x:c r="D149" s="18" t="n">
        <x:v>5</x:v>
      </x:c>
      <x:c r="E149" s="18" t="n">
        <x:v>1468.6169</x:v>
      </x:c>
      <x:c r="F149" s="18" t="n">
        <x:v>27275.32</x:v>
      </x:c>
      <x:c r="G149" s="18" t="n">
        <x:v>27198.78</x:v>
      </x:c>
      <x:c r="H149" s="18" t="n">
        <x:v>76.53</x:v>
      </x:c>
      <x:c r="I149" s="18" t="n">
        <x:v>0</x:v>
      </x:c>
      <x:c r="J149" s="18" t="n">
        <x:v>76.53</x:v>
      </x:c>
    </x:row>
    <x:row r="150">
      <x:c r="A150" s="17" t="str">
        <x:v>VEND-0160</x:v>
      </x:c>
      <x:c r="B150" s="17" t="str">
        <x:v>Tri-County Metals</x:v>
      </x:c>
      <x:c r="C150" s="17" t="str">
        <x:v>Metals</x:v>
      </x:c>
      <x:c r="D150" s="18" t="n">
        <x:v>10</x:v>
      </x:c>
      <x:c r="E150" s="18" t="n">
        <x:v>2477.1976</x:v>
      </x:c>
      <x:c r="F150" s="18" t="n">
        <x:v>88534.03</x:v>
      </x:c>
      <x:c r="G150" s="18" t="n">
        <x:v>88460.73</x:v>
      </x:c>
      <x:c r="H150" s="18" t="n">
        <x:v>73.3</x:v>
      </x:c>
      <x:c r="I150" s="18" t="n">
        <x:v>0</x:v>
      </x:c>
      <x:c r="J150" s="18" t="n">
        <x:v>73.3</x:v>
      </x:c>
    </x:row>
    <x:row r="151">
      <x:c r="A151" s="17" t="str">
        <x:v>VEND-0175</x:v>
      </x:c>
      <x:c r="B151" s="17" t="str">
        <x:v>Woodcrest Packaging</x:v>
      </x:c>
      <x:c r="C151" s="17" t="str">
        <x:v>Packaging</x:v>
      </x:c>
      <x:c r="D151" s="18" t="n">
        <x:v>8</x:v>
      </x:c>
      <x:c r="E151" s="18" t="n">
        <x:v>3382.077</x:v>
      </x:c>
      <x:c r="F151" s="18" t="n">
        <x:v>76528.13</x:v>
      </x:c>
      <x:c r="G151" s="18" t="n">
        <x:v>76468.76</x:v>
      </x:c>
      <x:c r="H151" s="18" t="n">
        <x:v>59.37</x:v>
      </x:c>
      <x:c r="I151" s="18" t="n">
        <x:v>0</x:v>
      </x:c>
      <x:c r="J151" s="18" t="n">
        <x:v>59.37</x:v>
      </x:c>
    </x:row>
    <x:row r="152">
      <x:c r="A152" s="17" t="str">
        <x:v>VEND-0009</x:v>
      </x:c>
      <x:c r="B152" s="17" t="str">
        <x:v>Arcadia Controls</x:v>
      </x:c>
      <x:c r="C152" s="17" t="str">
        <x:v>Electronics</x:v>
      </x:c>
      <x:c r="D152" s="18" t="n">
        <x:v>15</x:v>
      </x:c>
      <x:c r="E152" s="18" t="n">
        <x:v>5075.3874</x:v>
      </x:c>
      <x:c r="F152" s="18" t="n">
        <x:v>270044.95</x:v>
      </x:c>
      <x:c r="G152" s="18" t="n">
        <x:v>270100</x:v>
      </x:c>
      <x:c r="H152" s="18" t="n">
        <x:v>-55.05</x:v>
      </x:c>
      <x:c r="I152" s="18" t="n">
        <x:v>0</x:v>
      </x:c>
      <x:c r="J152" s="18" t="n">
        <x:v>-55.05</x:v>
      </x:c>
    </x:row>
    <x:row r="153">
      <x:c r="A153" s="17" t="str">
        <x:v>VEND-0019</x:v>
      </x:c>
      <x:c r="B153" s="17" t="str">
        <x:v>Bluewater Controls</x:v>
      </x:c>
      <x:c r="C153" s="17" t="str">
        <x:v>Electronics</x:v>
      </x:c>
      <x:c r="D153" s="18" t="n">
        <x:v>11</x:v>
      </x:c>
      <x:c r="E153" s="18" t="n">
        <x:v>4891.0391</x:v>
      </x:c>
      <x:c r="F153" s="18" t="n">
        <x:v>62558.29</x:v>
      </x:c>
      <x:c r="G153" s="18" t="n">
        <x:v>62605.3</x:v>
      </x:c>
      <x:c r="H153" s="18" t="n">
        <x:v>-47.01</x:v>
      </x:c>
      <x:c r="I153" s="18" t="n">
        <x:v>0</x:v>
      </x:c>
      <x:c r="J153" s="18" t="n">
        <x:v>-47.01</x:v>
      </x:c>
    </x:row>
    <x:row r="154">
      <x:c r="A154" s="17" t="str">
        <x:v>VEND-0120</x:v>
      </x:c>
      <x:c r="B154" s="17" t="str">
        <x:v>Prairie Metals</x:v>
      </x:c>
      <x:c r="C154" s="17" t="str">
        <x:v>Metals</x:v>
      </x:c>
      <x:c r="D154" s="18" t="n">
        <x:v>20</x:v>
      </x:c>
      <x:c r="E154" s="18" t="n">
        <x:v>5596.6134</x:v>
      </x:c>
      <x:c r="F154" s="18" t="n">
        <x:v>308026.12</x:v>
      </x:c>
      <x:c r="G154" s="18" t="n">
        <x:v>308003.36</x:v>
      </x:c>
      <x:c r="H154" s="18" t="n">
        <x:v>22.77</x:v>
      </x:c>
      <x:c r="I154" s="18" t="n">
        <x:v>0</x:v>
      </x:c>
      <x:c r="J154" s="18" t="n">
        <x:v>22.77</x:v>
      </x:c>
    </x:row>
    <x:row r="155">
      <x:c r="A155" s="17" t="str">
        <x:v>VEND-0110</x:v>
      </x:c>
      <x:c r="B155" s="17" t="str">
        <x:v>Pinnacle Metals</x:v>
      </x:c>
      <x:c r="C155" s="17" t="str">
        <x:v>Metals</x:v>
      </x:c>
      <x:c r="D155" s="18" t="n">
        <x:v>8</x:v>
      </x:c>
      <x:c r="E155" s="18" t="n">
        <x:v>999.081</x:v>
      </x:c>
      <x:c r="F155" s="18" t="n">
        <x:v>18518.54</x:v>
      </x:c>
      <x:c r="G155" s="18" t="n">
        <x:v>18502.98</x:v>
      </x:c>
      <x:c r="H155" s="18" t="n">
        <x:v>15.56</x:v>
      </x:c>
      <x:c r="I155" s="18" t="n">
        <x:v>0</x:v>
      </x:c>
      <x:c r="J155" s="18" t="n">
        <x:v>15.56</x:v>
      </x:c>
    </x:row>
    <x:row r="156">
      <x:c r="A156" s="17" t="str">
        <x:v>VEND-0032</x:v>
      </x:c>
      <x:c r="B156" s="17" t="str">
        <x:v>Clearpoint Surface Technologies</x:v>
      </x:c>
      <x:c r="C156" s="17" t="str">
        <x:v>Outside Processing</x:v>
      </x:c>
      <x:c r="D156" s="18" t="n">
        <x:v>13</x:v>
      </x:c>
      <x:c r="E156" s="18" t="n">
        <x:v>2281.1957</x:v>
      </x:c>
      <x:c r="F156" s="18" t="n">
        <x:v>31033.35</x:v>
      </x:c>
      <x:c r="G156" s="18" t="n">
        <x:v>31047.07</x:v>
      </x:c>
      <x:c r="H156" s="18" t="n">
        <x:v>-13.72</x:v>
      </x:c>
      <x:c r="I156" s="18" t="n">
        <x:v>0</x:v>
      </x:c>
      <x:c r="J156" s="18" t="n">
        <x:v>-13.72</x:v>
      </x:c>
    </x:row>
    <x:row r="157">
      <x:c r="A157" s="17" t="str">
        <x:v>VEND-0134</x:v>
      </x:c>
      <x:c r="B157" s="17" t="str">
        <x:v>Riverbend Advisory</x:v>
      </x:c>
      <x:c r="C157" s="17" t="str">
        <x:v>Professional Services</x:v>
      </x:c>
      <x:c r="D157" s="18" t="n">
        <x:v>14</x:v>
      </x:c>
      <x:c r="E157" s="18" t="n">
        <x:v>2209.9402</x:v>
      </x:c>
      <x:c r="F157" s="18" t="n">
        <x:v>75281.45</x:v>
      </x:c>
      <x:c r="G157" s="18" t="n">
        <x:v>75292.66</x:v>
      </x:c>
      <x:c r="H157" s="18" t="n">
        <x:v>-11.21</x:v>
      </x:c>
      <x:c r="I157" s="18" t="n">
        <x:v>0</x:v>
      </x:c>
      <x:c r="J157" s="18" t="n">
        <x:v>-11.21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3" hidden="0" customWidth="1"/>
    <x:col min="4" max="4" width="15" hidden="0" customWidth="1"/>
    <x:col min="5" max="5" width="19" hidden="0" customWidth="1"/>
    <x:col min="6" max="6" width="24" hidden="0" customWidth="1"/>
    <x:col min="7" max="7" width="10" hidden="0" customWidth="1"/>
  </x:cols>
  <x:sheetData>
    <x:row r="1">
      <x:c r="A1" s="15" t="str">
        <x:v>invoice_count</x:v>
      </x:c>
      <x:c r="B1" s="15" t="str">
        <x:v>purchase_quantity</x:v>
      </x:c>
      <x:c r="C1" s="15" t="str">
        <x:v>actual_cost</x:v>
      </x:c>
      <x:c r="D1" s="15" t="str">
        <x:v>standard_cost</x:v>
      </x:c>
      <x:c r="E1" s="15" t="str">
        <x:v>po_price_variance</x:v>
      </x:c>
      <x:c r="F1" s="15" t="str">
        <x:v>invoice_price_variance</x:v>
      </x:c>
      <x:c r="G1" s="15" t="str">
        <x:v>ppv</x:v>
      </x:c>
    </x:row>
    <x:row r="2">
      <x:c r="A2" s="18" t="n">
        <x:v>2765</x:v>
      </x:c>
      <x:c r="B2" s="18" t="n">
        <x:v>862612.1749</x:v>
      </x:c>
      <x:c r="C2" s="18" t="n">
        <x:v>40054548.33</x:v>
      </x:c>
      <x:c r="D2" s="18" t="n">
        <x:v>39995620.01</x:v>
      </x:c>
      <x:c r="E2" s="18" t="n">
        <x:v>58928.32</x:v>
      </x:c>
      <x:c r="F2" s="18" t="n">
        <x:v>0</x:v>
      </x:c>
      <x:c r="G2" s="18" t="n">
        <x:v>58928.32</x:v>
      </x:c>
    </x:row>
  </x:sheetData>
  <x:pageMargins left="0.7" right="0.7" top="0.75" bottom="0.75" header="0.3" footer="0.3"/>
</x:worksheet>
</file>