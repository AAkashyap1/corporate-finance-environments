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Open Quality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Quality Exposure</x:v>
      </x:c>
      <x:c r="B1" s="3" t="str">
        <x:v>Quality Exposure</x:v>
      </x:c>
      <x:c r="C1" s="3" t="str">
        <x:v>Quality Exposure</x:v>
      </x:c>
      <x:c r="D1" s="3" t="str">
        <x:v>Quality Exposure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Director of Quality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Open Quality</x:v>
      </x:c>
      <x:c r="B11" s="23" t="n">
        <x:v>17</x:v>
      </x:c>
      <x:c r="C11" s="23" t="n">
        <x:f>MAX(0,COUNTA('Open Quality'!A2:A18))</x:f>
        <x:v>17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10" hidden="0" customWidth="1"/>
    <x:col min="5" max="5" width="11" hidden="0" customWidth="1"/>
    <x:col min="6" max="6" width="13" hidden="0" customWidth="1"/>
    <x:col min="7" max="7" width="10" hidden="0" customWidth="1"/>
    <x:col min="8" max="8" width="20" hidden="0" customWidth="1"/>
    <x:col min="9" max="9" width="17" hidden="0" customWidth="1"/>
    <x:col min="10" max="10" width="30" hidden="0" customWidth="1"/>
  </x:cols>
  <x:sheetData>
    <x:row r="1">
      <x:c r="A1" s="15" t="str">
        <x:v>id</x:v>
      </x:c>
      <x:c r="B1" s="15" t="str">
        <x:v>reference_type</x:v>
      </x:c>
      <x:c r="C1" s="15" t="str">
        <x:v>reference_id</x:v>
      </x:c>
      <x:c r="D1" s="15" t="str">
        <x:v>item_id</x:v>
      </x:c>
      <x:c r="E1" s="15" t="str">
        <x:v>site_code</x:v>
      </x:c>
      <x:c r="F1" s="15" t="str">
        <x:v>opened_date</x:v>
      </x:c>
      <x:c r="G1" s="15" t="str">
        <x:v>status</x:v>
      </x:c>
      <x:c r="H1" s="15" t="str">
        <x:v>quantity_inspected</x:v>
      </x:c>
      <x:c r="I1" s="15" t="str">
        <x:v>quantity_failed</x:v>
      </x:c>
      <x:c r="J1" s="15" t="str">
        <x:v>estimated_financial_exposure</x:v>
      </x:c>
    </x:row>
    <x:row r="2">
      <x:c r="A2" s="17" t="str">
        <x:v>QO-000247</x:v>
      </x:c>
      <x:c r="B2" s="17" t="str">
        <x:v>Sales</x:v>
      </x:c>
      <x:c r="C2" s="17" t="str">
        <x:v>RMA-26-00247</x:v>
      </x:c>
      <x:c r="D2" s="17" t="str">
        <x:v>RM-0102</x:v>
      </x:c>
      <x:c r="E2" s="17" t="str">
        <x:v>400</x:v>
      </x:c>
      <x:c r="F2" s="17" t="str">
        <x:v>2026-06-18</x:v>
      </x:c>
      <x:c r="G2" s="17" t="str">
        <x:v>Open</x:v>
      </x:c>
      <x:c r="H2" s="18" t="n">
        <x:v>50</x:v>
      </x:c>
      <x:c r="I2" s="18" t="n">
        <x:v>2</x:v>
      </x:c>
      <x:c r="J2" s="18" t="n">
        <x:v>2250</x:v>
      </x:c>
    </x:row>
    <x:row r="3">
      <x:c r="A3" s="17" t="str">
        <x:v>QO-000049</x:v>
      </x:c>
      <x:c r="B3" s="17" t="str">
        <x:v>Production</x:v>
      </x:c>
      <x:c r="C3" s="17" t="str">
        <x:v>MO-26-00049</x:v>
      </x:c>
      <x:c r="D3" s="17" t="str">
        <x:v>PC-0088</x:v>
      </x:c>
      <x:c r="E3" s="17" t="str">
        <x:v>200</x:v>
      </x:c>
      <x:c r="F3" s="17" t="str">
        <x:v>2026-06-24</x:v>
      </x:c>
      <x:c r="G3" s="17" t="str">
        <x:v>Open</x:v>
      </x:c>
      <x:c r="H3" s="18" t="n">
        <x:v>10</x:v>
      </x:c>
      <x:c r="I3" s="18" t="n">
        <x:v>0</x:v>
      </x:c>
      <x:c r="J3" s="18" t="n">
        <x:v>0</x:v>
      </x:c>
    </x:row>
    <x:row r="4">
      <x:c r="A4" s="17" t="str">
        <x:v>QO-000098</x:v>
      </x:c>
      <x:c r="B4" s="17" t="str">
        <x:v>Inventory</x:v>
      </x:c>
      <x:c r="C4" s="17" t="str">
        <x:v>INV-26-00098</x:v>
      </x:c>
      <x:c r="D4" s="17" t="str">
        <x:v>ACT-0015</x:v>
      </x:c>
      <x:c r="E4" s="17" t="str">
        <x:v>300</x:v>
      </x:c>
      <x:c r="F4" s="17" t="str">
        <x:v>2026-06-17</x:v>
      </x:c>
      <x:c r="G4" s="17" t="str">
        <x:v>Open</x:v>
      </x:c>
      <x:c r="H4" s="18" t="n">
        <x:v>20</x:v>
      </x:c>
      <x:c r="I4" s="18" t="n">
        <x:v>0</x:v>
      </x:c>
      <x:c r="J4" s="18" t="n">
        <x:v>0</x:v>
      </x:c>
    </x:row>
    <x:row r="5">
      <x:c r="A5" s="17" t="str">
        <x:v>QO-000099</x:v>
      </x:c>
      <x:c r="B5" s="17" t="str">
        <x:v>Sales</x:v>
      </x:c>
      <x:c r="C5" s="17" t="str">
        <x:v>RMA-26-00099</x:v>
      </x:c>
      <x:c r="D5" s="17" t="str">
        <x:v>ACT-0058</x:v>
      </x:c>
      <x:c r="E5" s="17" t="str">
        <x:v>400</x:v>
      </x:c>
      <x:c r="F5" s="17" t="str">
        <x:v>2026-06-28</x:v>
      </x:c>
      <x:c r="G5" s="17" t="str">
        <x:v>Open</x:v>
      </x:c>
      <x:c r="H5" s="18" t="n">
        <x:v>50</x:v>
      </x:c>
      <x:c r="I5" s="18" t="n">
        <x:v>0</x:v>
      </x:c>
      <x:c r="J5" s="18" t="n">
        <x:v>0</x:v>
      </x:c>
    </x:row>
    <x:row r="6">
      <x:c r="A6" s="17" t="str">
        <x:v>QO-000147</x:v>
      </x:c>
      <x:c r="B6" s="17" t="str">
        <x:v>Sales</x:v>
      </x:c>
      <x:c r="C6" s="17" t="str">
        <x:v>RMA-26-00147</x:v>
      </x:c>
      <x:c r="D6" s="17" t="str">
        <x:v>RM-0002</x:v>
      </x:c>
      <x:c r="E6" s="17" t="str">
        <x:v>400</x:v>
      </x:c>
      <x:c r="F6" s="17" t="str">
        <x:v>2026-06-10</x:v>
      </x:c>
      <x:c r="G6" s="17" t="str">
        <x:v>Open</x:v>
      </x:c>
      <x:c r="H6" s="18" t="n">
        <x:v>50</x:v>
      </x:c>
      <x:c r="I6" s="18" t="n">
        <x:v>0</x:v>
      </x:c>
      <x:c r="J6" s="18" t="n">
        <x:v>0</x:v>
      </x:c>
    </x:row>
    <x:row r="7">
      <x:c r="A7" s="17" t="str">
        <x:v>QO-000197</x:v>
      </x:c>
      <x:c r="B7" s="17" t="str">
        <x:v>Production</x:v>
      </x:c>
      <x:c r="C7" s="17" t="str">
        <x:v>MO-26-00197</x:v>
      </x:c>
      <x:c r="D7" s="17" t="str">
        <x:v>AFT-0012</x:v>
      </x:c>
      <x:c r="E7" s="17" t="str">
        <x:v>200</x:v>
      </x:c>
      <x:c r="F7" s="17" t="str">
        <x:v>2026-06-14</x:v>
      </x:c>
      <x:c r="G7" s="17" t="str">
        <x:v>Open</x:v>
      </x:c>
      <x:c r="H7" s="18" t="n">
        <x:v>10</x:v>
      </x:c>
      <x:c r="I7" s="18" t="n">
        <x:v>0</x:v>
      </x:c>
      <x:c r="J7" s="18" t="n">
        <x:v>0</x:v>
      </x:c>
    </x:row>
    <x:row r="8">
      <x:c r="A8" s="17" t="str">
        <x:v>QO-000198</x:v>
      </x:c>
      <x:c r="B8" s="17" t="str">
        <x:v>Inventory</x:v>
      </x:c>
      <x:c r="C8" s="17" t="str">
        <x:v>INV-26-00198</x:v>
      </x:c>
      <x:c r="D8" s="17" t="str">
        <x:v>AFT-0055</x:v>
      </x:c>
      <x:c r="E8" s="17" t="str">
        <x:v>300</x:v>
      </x:c>
      <x:c r="F8" s="17" t="str">
        <x:v>2026-06-25</x:v>
      </x:c>
      <x:c r="G8" s="17" t="str">
        <x:v>Open</x:v>
      </x:c>
      <x:c r="H8" s="18" t="n">
        <x:v>20</x:v>
      </x:c>
      <x:c r="I8" s="18" t="n">
        <x:v>0</x:v>
      </x:c>
      <x:c r="J8" s="18" t="n">
        <x:v>0</x:v>
      </x:c>
    </x:row>
    <x:row r="9">
      <x:c r="A9" s="17" t="str">
        <x:v>QO-000297</x:v>
      </x:c>
      <x:c r="B9" s="17" t="str">
        <x:v>Production</x:v>
      </x:c>
      <x:c r="C9" s="17" t="str">
        <x:v>MO-26-00297</x:v>
      </x:c>
      <x:c r="D9" s="17" t="str">
        <x:v>DRV-0012</x:v>
      </x:c>
      <x:c r="E9" s="17" t="str">
        <x:v>200</x:v>
      </x:c>
      <x:c r="F9" s="17" t="str">
        <x:v>2026-06-22</x:v>
      </x:c>
      <x:c r="G9" s="17" t="str">
        <x:v>Open</x:v>
      </x:c>
      <x:c r="H9" s="18" t="n">
        <x:v>10</x:v>
      </x:c>
      <x:c r="I9" s="18" t="n">
        <x:v>0</x:v>
      </x:c>
      <x:c r="J9" s="18" t="n">
        <x:v>0</x:v>
      </x:c>
    </x:row>
    <x:row r="10">
      <x:c r="A10" s="17" t="str">
        <x:v>QO-000346</x:v>
      </x:c>
      <x:c r="B10" s="17" t="str">
        <x:v>Inventory</x:v>
      </x:c>
      <x:c r="C10" s="17" t="str">
        <x:v>INV-26-00346</x:v>
      </x:c>
      <x:c r="D10" s="17" t="str">
        <x:v>SA-0009</x:v>
      </x:c>
      <x:c r="E10" s="17" t="str">
        <x:v>300</x:v>
      </x:c>
      <x:c r="F10" s="17" t="str">
        <x:v>2026-06-15</x:v>
      </x:c>
      <x:c r="G10" s="17" t="str">
        <x:v>Open</x:v>
      </x:c>
      <x:c r="H10" s="18" t="n">
        <x:v>20</x:v>
      </x:c>
      <x:c r="I10" s="18" t="n">
        <x:v>0</x:v>
      </x:c>
      <x:c r="J10" s="18" t="n">
        <x:v>0</x:v>
      </x:c>
    </x:row>
    <x:row r="11">
      <x:c r="A11" s="17" t="str">
        <x:v>QO-000347</x:v>
      </x:c>
      <x:c r="B11" s="17" t="str">
        <x:v>Sales</x:v>
      </x:c>
      <x:c r="C11" s="17" t="str">
        <x:v>RMA-26-00347</x:v>
      </x:c>
      <x:c r="D11" s="17" t="str">
        <x:v>SA-0052</x:v>
      </x:c>
      <x:c r="E11" s="17" t="str">
        <x:v>400</x:v>
      </x:c>
      <x:c r="F11" s="17" t="str">
        <x:v>2026-06-26</x:v>
      </x:c>
      <x:c r="G11" s="17" t="str">
        <x:v>Open</x:v>
      </x:c>
      <x:c r="H11" s="18" t="n">
        <x:v>50</x:v>
      </x:c>
      <x:c r="I11" s="18" t="n">
        <x:v>0</x:v>
      </x:c>
      <x:c r="J11" s="18" t="n">
        <x:v>0</x:v>
      </x:c>
    </x:row>
    <x:row r="12">
      <x:c r="A12" s="17" t="str">
        <x:v>QO-000397</x:v>
      </x:c>
      <x:c r="B12" s="17" t="str">
        <x:v>Production</x:v>
      </x:c>
      <x:c r="C12" s="17" t="str">
        <x:v>MO-26-00397</x:v>
      </x:c>
      <x:c r="D12" s="17" t="str">
        <x:v>PC-0052</x:v>
      </x:c>
      <x:c r="E12" s="17" t="str">
        <x:v>200</x:v>
      </x:c>
      <x:c r="F12" s="17" t="str">
        <x:v>2026-06-30</x:v>
      </x:c>
      <x:c r="G12" s="17" t="str">
        <x:v>Open</x:v>
      </x:c>
      <x:c r="H12" s="18" t="n">
        <x:v>10</x:v>
      </x:c>
      <x:c r="I12" s="18" t="n">
        <x:v>0</x:v>
      </x:c>
      <x:c r="J12" s="18" t="n">
        <x:v>0</x:v>
      </x:c>
    </x:row>
    <x:row r="13">
      <x:c r="A13" s="17" t="str">
        <x:v>QO-000445</x:v>
      </x:c>
      <x:c r="B13" s="17" t="str">
        <x:v>Production</x:v>
      </x:c>
      <x:c r="C13" s="17" t="str">
        <x:v>MO-26-00445</x:v>
      </x:c>
      <x:c r="D13" s="17" t="str">
        <x:v>SA-0066</x:v>
      </x:c>
      <x:c r="E13" s="17" t="str">
        <x:v>200</x:v>
      </x:c>
      <x:c r="F13" s="17" t="str">
        <x:v>2026-06-12</x:v>
      </x:c>
      <x:c r="G13" s="17" t="str">
        <x:v>Open</x:v>
      </x:c>
      <x:c r="H13" s="18" t="n">
        <x:v>10</x:v>
      </x:c>
      <x:c r="I13" s="18" t="n">
        <x:v>0</x:v>
      </x:c>
      <x:c r="J13" s="18" t="n">
        <x:v>0</x:v>
      </x:c>
    </x:row>
    <x:row r="14">
      <x:c r="A14" s="17" t="str">
        <x:v>QO-000446</x:v>
      </x:c>
      <x:c r="B14" s="17" t="str">
        <x:v>Inventory</x:v>
      </x:c>
      <x:c r="C14" s="17" t="str">
        <x:v>INV-26-00446</x:v>
      </x:c>
      <x:c r="D14" s="17" t="str">
        <x:v>SYS-0009</x:v>
      </x:c>
      <x:c r="E14" s="17" t="str">
        <x:v>300</x:v>
      </x:c>
      <x:c r="F14" s="17" t="str">
        <x:v>2026-06-23</x:v>
      </x:c>
      <x:c r="G14" s="17" t="str">
        <x:v>Open</x:v>
      </x:c>
      <x:c r="H14" s="18" t="n">
        <x:v>20</x:v>
      </x:c>
      <x:c r="I14" s="18" t="n">
        <x:v>0</x:v>
      </x:c>
      <x:c r="J14" s="18" t="n">
        <x:v>0</x:v>
      </x:c>
    </x:row>
    <x:row r="15">
      <x:c r="A15" s="17" t="str">
        <x:v>QO-000495</x:v>
      </x:c>
      <x:c r="B15" s="17" t="str">
        <x:v>Sales</x:v>
      </x:c>
      <x:c r="C15" s="17" t="str">
        <x:v>RMA-26-00495</x:v>
      </x:c>
      <x:c r="D15" s="17" t="str">
        <x:v>PC-0066</x:v>
      </x:c>
      <x:c r="E15" s="17" t="str">
        <x:v>400</x:v>
      </x:c>
      <x:c r="F15" s="17" t="str">
        <x:v>2026-06-16</x:v>
      </x:c>
      <x:c r="G15" s="17" t="str">
        <x:v>Open</x:v>
      </x:c>
      <x:c r="H15" s="18" t="n">
        <x:v>50</x:v>
      </x:c>
      <x:c r="I15" s="18" t="n">
        <x:v>0</x:v>
      </x:c>
      <x:c r="J15" s="18" t="n">
        <x:v>0</x:v>
      </x:c>
    </x:row>
    <x:row r="16">
      <x:c r="A16" s="17" t="str">
        <x:v>QO-000545</x:v>
      </x:c>
      <x:c r="B16" s="17" t="str">
        <x:v>Production</x:v>
      </x:c>
      <x:c r="C16" s="17" t="str">
        <x:v>MO-26-00545</x:v>
      </x:c>
      <x:c r="D16" s="17" t="str">
        <x:v>ACT-0036</x:v>
      </x:c>
      <x:c r="E16" s="17" t="str">
        <x:v>200</x:v>
      </x:c>
      <x:c r="F16" s="17" t="str">
        <x:v>2026-06-20</x:v>
      </x:c>
      <x:c r="G16" s="17" t="str">
        <x:v>Open</x:v>
      </x:c>
      <x:c r="H16" s="18" t="n">
        <x:v>10</x:v>
      </x:c>
      <x:c r="I16" s="18" t="n">
        <x:v>0</x:v>
      </x:c>
      <x:c r="J16" s="18" t="n">
        <x:v>0</x:v>
      </x:c>
    </x:row>
    <x:row r="17">
      <x:c r="A17" s="17" t="str">
        <x:v>QO-000594</x:v>
      </x:c>
      <x:c r="B17" s="17" t="str">
        <x:v>Inventory</x:v>
      </x:c>
      <x:c r="C17" s="17" t="str">
        <x:v>INV-26-00594</x:v>
      </x:c>
      <x:c r="D17" s="17" t="str">
        <x:v>RM-0023</x:v>
      </x:c>
      <x:c r="E17" s="17" t="str">
        <x:v>300</x:v>
      </x:c>
      <x:c r="F17" s="17" t="str">
        <x:v>2026-06-13</x:v>
      </x:c>
      <x:c r="G17" s="17" t="str">
        <x:v>Open</x:v>
      </x:c>
      <x:c r="H17" s="18" t="n">
        <x:v>20</x:v>
      </x:c>
      <x:c r="I17" s="18" t="n">
        <x:v>0</x:v>
      </x:c>
      <x:c r="J17" s="18" t="n">
        <x:v>0</x:v>
      </x:c>
    </x:row>
    <x:row r="18">
      <x:c r="A18" s="17" t="str">
        <x:v>QO-000595</x:v>
      </x:c>
      <x:c r="B18" s="17" t="str">
        <x:v>Sales</x:v>
      </x:c>
      <x:c r="C18" s="17" t="str">
        <x:v>RMA-26-00595</x:v>
      </x:c>
      <x:c r="D18" s="17" t="str">
        <x:v>RM-0066</x:v>
      </x:c>
      <x:c r="E18" s="17" t="str">
        <x:v>400</x:v>
      </x:c>
      <x:c r="F18" s="17" t="str">
        <x:v>2026-06-24</x:v>
      </x:c>
      <x:c r="G18" s="17" t="str">
        <x:v>Open</x:v>
      </x:c>
      <x:c r="H18" s="18" t="n">
        <x:v>50</x:v>
      </x:c>
      <x:c r="I18" s="18" t="n">
        <x:v>0</x:v>
      </x:c>
      <x:c r="J18" s="18" t="n">
        <x:v>0</x:v>
      </x:c>
    </x:row>
  </x:sheetData>
  <x:pageMargins left="0.7" right="0.7" top="0.75" bottom="0.75" header="0.3" footer="0.3"/>
</x:worksheet>
</file>