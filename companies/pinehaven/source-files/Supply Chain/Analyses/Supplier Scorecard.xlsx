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Scorecard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Supplier Scorecard</x:v>
      </x:c>
      <x:c r="B1" s="3" t="str">
        <x:v>Supplier Scorecard</x:v>
      </x:c>
      <x:c r="C1" s="3" t="str">
        <x:v>Supplier Scorecard</x:v>
      </x:c>
      <x:c r="D1" s="3" t="str">
        <x:v>Supplier Scorecard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VP Supply Chain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Scorecard</x:v>
      </x:c>
      <x:c r="B11" s="23" t="n">
        <x:v>156</x:v>
      </x:c>
      <x:c r="C11" s="23" t="n">
        <x:f>MAX(0,COUNTA('Scorecard'!A2:A157))</x:f>
        <x:v>156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23" hidden="0" customWidth="1"/>
    <x:col min="4" max="4" width="10" hidden="0" customWidth="1"/>
    <x:col min="5" max="5" width="11" hidden="0" customWidth="1"/>
    <x:col min="6" max="6" width="17" hidden="0" customWidth="1"/>
    <x:col min="7" max="7" width="15" hidden="0" customWidth="1"/>
    <x:col min="8" max="8" width="23" hidden="0" customWidth="1"/>
    <x:col min="9" max="9" width="24" hidden="0" customWidth="1"/>
    <x:col min="10" max="10" width="17" hidden="0" customWidth="1"/>
    <x:col min="11" max="11" width="18" hidden="0" customWidth="1"/>
    <x:col min="12" max="12" width="15" hidden="0" customWidth="1"/>
    <x:col min="13" max="13" width="16" hidden="0" customWidth="1"/>
    <x:col min="14" max="14" width="16" hidden="0" customWidth="1"/>
    <x:col min="15" max="15" width="24" hidden="0" customWidth="1"/>
    <x:col min="16" max="16" width="10" hidden="0" customWidth="1"/>
    <x:col min="17" max="17" width="17" hidden="0" customWidth="1"/>
    <x:col min="18" max="18" width="20" hidden="0" customWidth="1"/>
    <x:col min="19" max="19" width="15" hidden="0" customWidth="1"/>
  </x:cols>
  <x:sheetData>
    <x:row r="1">
      <x:c r="A1" s="15" t="str">
        <x:v>vendor_id</x:v>
      </x:c>
      <x:c r="B1" s="15" t="str">
        <x:v>name</x:v>
      </x:c>
      <x:c r="C1" s="15" t="str">
        <x:v>category</x:v>
      </x:c>
      <x:c r="D1" s="15" t="str">
        <x:v>country</x:v>
      </x:c>
      <x:c r="E1" s="15" t="str">
        <x:v>preferred</x:v>
      </x:c>
      <x:c r="F1" s="15" t="str">
        <x:v>purchase_orders</x:v>
      </x:c>
      <x:c r="G1" s="15" t="str">
        <x:v>receipt_count</x:v>
      </x:c>
      <x:c r="H1" s="15" t="str">
        <x:v>on_time_receipt_count</x:v>
      </x:c>
      <x:c r="I1" s="15" t="str">
        <x:v>accepted_receipt_count</x:v>
      </x:c>
      <x:c r="J1" s="15" t="str">
        <x:v>on_time_percent</x:v>
      </x:c>
      <x:c r="K1" s="15" t="str">
        <x:v>accepted_percent</x:v>
      </x:c>
      <x:c r="L1" s="15" t="str">
        <x:v>on_time_ratio</x:v>
      </x:c>
      <x:c r="M1" s="15" t="str">
        <x:v>accepted_ratio</x:v>
      </x:c>
      <x:c r="N1" s="15" t="str">
        <x:v>supplier_score</x:v>
      </x:c>
      <x:c r="O1" s="15" t="str">
        <x:v>average_lead_time_days</x:v>
      </x:c>
      <x:c r="P1" s="15" t="str">
        <x:v>ppv</x:v>
      </x:c>
      <x:c r="Q1" s="15" t="str">
        <x:v>open_commitment</x:v>
      </x:c>
      <x:c r="R1" s="15" t="str">
        <x:v>primary_item_count</x:v>
      </x:c>
      <x:c r="S1" s="15" t="str">
        <x:v>receipt_value</x:v>
      </x:c>
    </x:row>
    <x:row r="2">
      <x:c r="A2" s="17" t="str">
        <x:v>VEND-0021</x:v>
      </x:c>
      <x:c r="B2" s="17" t="str">
        <x:v>Bluewater Logistics</x:v>
      </x:c>
      <x:c r="C2" s="17" t="str">
        <x:v>Freight</x:v>
      </x:c>
      <x:c r="D2" s="17" t="str">
        <x:v>US</x:v>
      </x:c>
      <x:c r="E2" s="18" t="n">
        <x:v>0</x:v>
      </x:c>
      <x:c r="F2" s="18" t="n">
        <x:v>19</x:v>
      </x:c>
      <x:c r="G2" s="18" t="n">
        <x:v>19</x:v>
      </x:c>
      <x:c r="H2" s="18" t="n">
        <x:v>1</x:v>
      </x:c>
      <x:c r="I2" s="18" t="n">
        <x:v>18</x:v>
      </x:c>
      <x:c r="J2" s="18" t="n">
        <x:v>5.26</x:v>
      </x:c>
      <x:c r="K2" s="18" t="n">
        <x:v>94.74</x:v>
      </x:c>
      <x:c r="L2" s="18" t="n">
        <x:v>0.052632</x:v>
      </x:c>
      <x:c r="M2" s="18" t="n">
        <x:v>0.947368</x:v>
      </x:c>
      <x:c r="N2" s="18" t="n">
        <x:v>0.5</x:v>
      </x:c>
      <x:c r="O2" s="18" t="n">
        <x:v>45.32</x:v>
      </x:c>
      <x:c r="P2" s="18" t="n">
        <x:v>-165.97</x:v>
      </x:c>
      <x:c r="Q2" s="18" t="n">
        <x:v>124267.19</x:v>
      </x:c>
      <x:c r="R2" s="18" t="n">
        <x:v>1</x:v>
      </x:c>
      <x:c r="S2" s="18" t="n">
        <x:v>151339.9432</x:v>
      </x:c>
    </x:row>
    <x:row r="3">
      <x:c r="A3" s="17" t="str">
        <x:v>VEND-0051</x:v>
      </x:c>
      <x:c r="B3" s="17" t="str">
        <x:v>Easton Logistics</x:v>
      </x:c>
      <x:c r="C3" s="17" t="str">
        <x:v>Freight</x:v>
      </x:c>
      <x:c r="D3" s="17" t="str">
        <x:v>JP</x:v>
      </x:c>
      <x:c r="E3" s="18" t="n">
        <x:v>0</x:v>
      </x:c>
      <x:c r="F3" s="18" t="n">
        <x:v>16</x:v>
      </x:c>
      <x:c r="G3" s="18" t="n">
        <x:v>16</x:v>
      </x:c>
      <x:c r="H3" s="18" t="n">
        <x:v>0</x:v>
      </x:c>
      <x:c r="I3" s="18" t="n">
        <x:v>16</x:v>
      </x:c>
      <x:c r="J3" s="18" t="n">
        <x:v>0</x:v>
      </x:c>
      <x:c r="K3" s="18" t="n">
        <x:v>100</x:v>
      </x:c>
      <x:c r="L3" s="18" t="n">
        <x:v>0</x:v>
      </x:c>
      <x:c r="M3" s="18" t="n">
        <x:v>1</x:v>
      </x:c>
      <x:c r="N3" s="18" t="n">
        <x:v>0.5</x:v>
      </x:c>
      <x:c r="O3" s="18" t="n">
        <x:v>35.75</x:v>
      </x:c>
      <x:c r="P3" s="18" t="n">
        <x:v>-3482.02</x:v>
      </x:c>
      <x:c r="Q3" s="18" t="n">
        <x:v>40688.87</x:v>
      </x:c>
      <x:c r="R3" s="18" t="n">
        <x:v>0</x:v>
      </x:c>
      <x:c r="S3" s="18" t="n">
        <x:v>226417.8651</x:v>
      </x:c>
    </x:row>
    <x:row r="4">
      <x:c r="A4" s="17" t="str">
        <x:v>VEND-0101</x:v>
      </x:c>
      <x:c r="B4" s="17" t="str">
        <x:v>Oak River Logistics</x:v>
      </x:c>
      <x:c r="C4" s="17" t="str">
        <x:v>Freight</x:v>
      </x:c>
      <x:c r="D4" s="17" t="str">
        <x:v>DE</x:v>
      </x:c>
      <x:c r="E4" s="18" t="n">
        <x:v>0</x:v>
      </x:c>
      <x:c r="F4" s="18" t="n">
        <x:v>16</x:v>
      </x:c>
      <x:c r="G4" s="18" t="n">
        <x:v>16</x:v>
      </x:c>
      <x:c r="H4" s="18" t="n">
        <x:v>0</x:v>
      </x:c>
      <x:c r="I4" s="18" t="n">
        <x:v>16</x:v>
      </x:c>
      <x:c r="J4" s="18" t="n">
        <x:v>0</x:v>
      </x:c>
      <x:c r="K4" s="18" t="n">
        <x:v>100</x:v>
      </x:c>
      <x:c r="L4" s="18" t="n">
        <x:v>0</x:v>
      </x:c>
      <x:c r="M4" s="18" t="n">
        <x:v>1</x:v>
      </x:c>
      <x:c r="N4" s="18" t="n">
        <x:v>0.5</x:v>
      </x:c>
      <x:c r="O4" s="18" t="n">
        <x:v>37.25</x:v>
      </x:c>
      <x:c r="P4" s="18" t="n">
        <x:v>3878.12</x:v>
      </x:c>
      <x:c r="Q4" s="18" t="n">
        <x:v>52718.77</x:v>
      </x:c>
      <x:c r="R4" s="18" t="n">
        <x:v>0</x:v>
      </x:c>
      <x:c r="S4" s="18" t="n">
        <x:v>248459.4718</x:v>
      </x:c>
    </x:row>
    <x:row r="5">
      <x:c r="A5" s="17" t="str">
        <x:v>VEND-0116</x:v>
      </x:c>
      <x:c r="B5" s="17" t="str">
        <x:v>Prairie Drive Systems</x:v>
      </x:c>
      <x:c r="C5" s="17" t="str">
        <x:v>Motors &amp; Drives</x:v>
      </x:c>
      <x:c r="D5" s="17" t="str">
        <x:v>US</x:v>
      </x:c>
      <x:c r="E5" s="18" t="n">
        <x:v>0</x:v>
      </x:c>
      <x:c r="F5" s="18" t="n">
        <x:v>15</x:v>
      </x:c>
      <x:c r="G5" s="18" t="n">
        <x:v>15</x:v>
      </x:c>
      <x:c r="H5" s="18" t="n">
        <x:v>0</x:v>
      </x:c>
      <x:c r="I5" s="18" t="n">
        <x:v>15</x:v>
      </x:c>
      <x:c r="J5" s="18" t="n">
        <x:v>0</x:v>
      </x:c>
      <x:c r="K5" s="18" t="n">
        <x:v>100</x:v>
      </x:c>
      <x:c r="L5" s="18" t="n">
        <x:v>0</x:v>
      </x:c>
      <x:c r="M5" s="18" t="n">
        <x:v>1</x:v>
      </x:c>
      <x:c r="N5" s="18" t="n">
        <x:v>0.5</x:v>
      </x:c>
      <x:c r="O5" s="18" t="n">
        <x:v>28.33</x:v>
      </x:c>
      <x:c r="P5" s="18" t="n">
        <x:v>-1799.58</x:v>
      </x:c>
      <x:c r="Q5" s="18" t="n">
        <x:v>21911.51</x:v>
      </x:c>
      <x:c r="R5" s="18" t="n">
        <x:v>0</x:v>
      </x:c>
      <x:c r="S5" s="18" t="n">
        <x:v>208348.3663</x:v>
      </x:c>
    </x:row>
    <x:row r="6">
      <x:c r="A6" s="17" t="str">
        <x:v>VEND-0151</x:v>
      </x:c>
      <x:c r="B6" s="17" t="str">
        <x:v>Summit Logistics</x:v>
      </x:c>
      <x:c r="C6" s="17" t="str">
        <x:v>Freight</x:v>
      </x:c>
      <x:c r="D6" s="17" t="str">
        <x:v>CA</x:v>
      </x:c>
      <x:c r="E6" s="18" t="n">
        <x:v>0</x:v>
      </x:c>
      <x:c r="F6" s="18" t="n">
        <x:v>24</x:v>
      </x:c>
      <x:c r="G6" s="18" t="n">
        <x:v>24</x:v>
      </x:c>
      <x:c r="H6" s="18" t="n">
        <x:v>2</x:v>
      </x:c>
      <x:c r="I6" s="18" t="n">
        <x:v>23</x:v>
      </x:c>
      <x:c r="J6" s="18" t="n">
        <x:v>8.33</x:v>
      </x:c>
      <x:c r="K6" s="18" t="n">
        <x:v>95.83</x:v>
      </x:c>
      <x:c r="L6" s="18" t="n">
        <x:v>0.083333</x:v>
      </x:c>
      <x:c r="M6" s="18" t="n">
        <x:v>0.958333</x:v>
      </x:c>
      <x:c r="N6" s="18" t="n">
        <x:v>0.520833</x:v>
      </x:c>
      <x:c r="O6" s="18" t="n">
        <x:v>40.5</x:v>
      </x:c>
      <x:c r="P6" s="18" t="n">
        <x:v>5301.58</x:v>
      </x:c>
      <x:c r="Q6" s="18" t="n">
        <x:v>121449.77</x:v>
      </x:c>
      <x:c r="R6" s="18" t="n">
        <x:v>1</x:v>
      </x:c>
      <x:c r="S6" s="18" t="n">
        <x:v>284228.1993</x:v>
      </x:c>
    </x:row>
    <x:row r="7">
      <x:c r="A7" s="17" t="str">
        <x:v>VEND-0106</x:v>
      </x:c>
      <x:c r="B7" s="17" t="str">
        <x:v>Orchard Drive Systems</x:v>
      </x:c>
      <x:c r="C7" s="17" t="str">
        <x:v>Motors &amp; Drives</x:v>
      </x:c>
      <x:c r="D7" s="17" t="str">
        <x:v>CA</x:v>
      </x:c>
      <x:c r="E7" s="18" t="n">
        <x:v>0</x:v>
      </x:c>
      <x:c r="F7" s="18" t="n">
        <x:v>18</x:v>
      </x:c>
      <x:c r="G7" s="18" t="n">
        <x:v>18</x:v>
      </x:c>
      <x:c r="H7" s="18" t="n">
        <x:v>2</x:v>
      </x:c>
      <x:c r="I7" s="18" t="n">
        <x:v>17</x:v>
      </x:c>
      <x:c r="J7" s="18" t="n">
        <x:v>11.11</x:v>
      </x:c>
      <x:c r="K7" s="18" t="n">
        <x:v>94.44</x:v>
      </x:c>
      <x:c r="L7" s="18" t="n">
        <x:v>0.111111</x:v>
      </x:c>
      <x:c r="M7" s="18" t="n">
        <x:v>0.944444</x:v>
      </x:c>
      <x:c r="N7" s="18" t="n">
        <x:v>0.527778</x:v>
      </x:c>
      <x:c r="O7" s="18" t="n">
        <x:v>32.28</x:v>
      </x:c>
      <x:c r="P7" s="18" t="n">
        <x:v>5322.99</x:v>
      </x:c>
      <x:c r="Q7" s="18" t="n">
        <x:v>130661.84</x:v>
      </x:c>
      <x:c r="R7" s="18" t="n">
        <x:v>1</x:v>
      </x:c>
      <x:c r="S7" s="18" t="n">
        <x:v>225061.5844</x:v>
      </x:c>
    </x:row>
    <x:row r="8">
      <x:c r="A8" s="17" t="str">
        <x:v>VEND-0060</x:v>
      </x:c>
      <x:c r="B8" s="17" t="str">
        <x:v>Fairview Metals</x:v>
      </x:c>
      <x:c r="C8" s="17" t="str">
        <x:v>Metals</x:v>
      </x:c>
      <x:c r="D8" s="17" t="str">
        <x:v>JP</x:v>
      </x:c>
      <x:c r="E8" s="18" t="n">
        <x:v>1</x:v>
      </x:c>
      <x:c r="F8" s="18" t="n">
        <x:v>9</x:v>
      </x:c>
      <x:c r="G8" s="18" t="n">
        <x:v>9</x:v>
      </x:c>
      <x:c r="H8" s="18" t="n">
        <x:v>2</x:v>
      </x:c>
      <x:c r="I8" s="18" t="n">
        <x:v>8</x:v>
      </x:c>
      <x:c r="J8" s="18" t="n">
        <x:v>22.22</x:v>
      </x:c>
      <x:c r="K8" s="18" t="n">
        <x:v>88.89</x:v>
      </x:c>
      <x:c r="L8" s="18" t="n">
        <x:v>0.222222</x:v>
      </x:c>
      <x:c r="M8" s="18" t="n">
        <x:v>0.888889</x:v>
      </x:c>
      <x:c r="N8" s="18" t="n">
        <x:v>0.555556</x:v>
      </x:c>
      <x:c r="O8" s="18" t="n">
        <x:v>17.89</x:v>
      </x:c>
      <x:c r="P8" s="18" t="n">
        <x:v>1246.97</x:v>
      </x:c>
      <x:c r="Q8" s="18" t="n">
        <x:v>28520.32</x:v>
      </x:c>
      <x:c r="R8" s="18" t="n">
        <x:v>1</x:v>
      </x:c>
      <x:c r="S8" s="18" t="n">
        <x:v>87629.3779</x:v>
      </x:c>
    </x:row>
    <x:row r="9">
      <x:c r="A9" s="17" t="str">
        <x:v>VEND-0006</x:v>
      </x:c>
      <x:c r="B9" s="17" t="str">
        <x:v>Allegheny Drive Systems</x:v>
      </x:c>
      <x:c r="C9" s="17" t="str">
        <x:v>Motors &amp; Drives</x:v>
      </x:c>
      <x:c r="D9" s="17" t="str">
        <x:v>JP</x:v>
      </x:c>
      <x:c r="E9" s="18" t="n">
        <x:v>0</x:v>
      </x:c>
      <x:c r="F9" s="18" t="n">
        <x:v>23</x:v>
      </x:c>
      <x:c r="G9" s="18" t="n">
        <x:v>23</x:v>
      </x:c>
      <x:c r="H9" s="18" t="n">
        <x:v>4</x:v>
      </x:c>
      <x:c r="I9" s="18" t="n">
        <x:v>22</x:v>
      </x:c>
      <x:c r="J9" s="18" t="n">
        <x:v>17.39</x:v>
      </x:c>
      <x:c r="K9" s="18" t="n">
        <x:v>95.65</x:v>
      </x:c>
      <x:c r="L9" s="18" t="n">
        <x:v>0.173913</x:v>
      </x:c>
      <x:c r="M9" s="18" t="n">
        <x:v>0.956522</x:v>
      </x:c>
      <x:c r="N9" s="18" t="n">
        <x:v>0.565217</x:v>
      </x:c>
      <x:c r="O9" s="18" t="n">
        <x:v>33.26</x:v>
      </x:c>
      <x:c r="P9" s="18" t="n">
        <x:v>-1696.18</x:v>
      </x:c>
      <x:c r="Q9" s="18" t="n">
        <x:v>34720.44</x:v>
      </x:c>
      <x:c r="R9" s="18" t="n">
        <x:v>1</x:v>
      </x:c>
      <x:c r="S9" s="18" t="n">
        <x:v>361642.288</x:v>
      </x:c>
    </x:row>
    <x:row r="10">
      <x:c r="A10" s="17" t="str">
        <x:v>VEND-0071</x:v>
      </x:c>
      <x:c r="B10" s="17" t="str">
        <x:v>Horizon Logistics</x:v>
      </x:c>
      <x:c r="C10" s="17" t="str">
        <x:v>Freight</x:v>
      </x:c>
      <x:c r="D10" s="17" t="str">
        <x:v>US</x:v>
      </x:c>
      <x:c r="E10" s="18" t="n">
        <x:v>0</x:v>
      </x:c>
      <x:c r="F10" s="18" t="n">
        <x:v>22</x:v>
      </x:c>
      <x:c r="G10" s="18" t="n">
        <x:v>22</x:v>
      </x:c>
      <x:c r="H10" s="18" t="n">
        <x:v>3</x:v>
      </x:c>
      <x:c r="I10" s="18" t="n">
        <x:v>22</x:v>
      </x:c>
      <x:c r="J10" s="18" t="n">
        <x:v>13.64</x:v>
      </x:c>
      <x:c r="K10" s="18" t="n">
        <x:v>100</x:v>
      </x:c>
      <x:c r="L10" s="18" t="n">
        <x:v>0.136364</x:v>
      </x:c>
      <x:c r="M10" s="18" t="n">
        <x:v>1</x:v>
      </x:c>
      <x:c r="N10" s="18" t="n">
        <x:v>0.568182</x:v>
      </x:c>
      <x:c r="O10" s="18" t="n">
        <x:v>38.18</x:v>
      </x:c>
      <x:c r="P10" s="18" t="n">
        <x:v>-2637.41</x:v>
      </x:c>
      <x:c r="Q10" s="18" t="n">
        <x:v>31650.01</x:v>
      </x:c>
      <x:c r="R10" s="18" t="n">
        <x:v>1</x:v>
      </x:c>
      <x:c r="S10" s="18" t="n">
        <x:v>229150.3594</x:v>
      </x:c>
    </x:row>
    <x:row r="11">
      <x:c r="A11" s="17" t="str">
        <x:v>VEND-0061</x:v>
      </x:c>
      <x:c r="B11" s="17" t="str">
        <x:v>Great Lakes Logistics</x:v>
      </x:c>
      <x:c r="C11" s="17" t="str">
        <x:v>Freight</x:v>
      </x:c>
      <x:c r="D11" s="17" t="str">
        <x:v>CA</x:v>
      </x:c>
      <x:c r="E11" s="18" t="n">
        <x:v>0</x:v>
      </x:c>
      <x:c r="F11" s="18" t="n">
        <x:v>29</x:v>
      </x:c>
      <x:c r="G11" s="18" t="n">
        <x:v>29</x:v>
      </x:c>
      <x:c r="H11" s="18" t="n">
        <x:v>5</x:v>
      </x:c>
      <x:c r="I11" s="18" t="n">
        <x:v>28</x:v>
      </x:c>
      <x:c r="J11" s="18" t="n">
        <x:v>17.24</x:v>
      </x:c>
      <x:c r="K11" s="18" t="n">
        <x:v>96.55</x:v>
      </x:c>
      <x:c r="L11" s="18" t="n">
        <x:v>0.172414</x:v>
      </x:c>
      <x:c r="M11" s="18" t="n">
        <x:v>0.965517</x:v>
      </x:c>
      <x:c r="N11" s="18" t="n">
        <x:v>0.568966</x:v>
      </x:c>
      <x:c r="O11" s="18" t="n">
        <x:v>45.59</x:v>
      </x:c>
      <x:c r="P11" s="18" t="n">
        <x:v>2451.9</x:v>
      </x:c>
      <x:c r="Q11" s="18" t="n">
        <x:v>277326.33</x:v>
      </x:c>
      <x:c r="R11" s="18" t="n">
        <x:v>3</x:v>
      </x:c>
      <x:c r="S11" s="18" t="n">
        <x:v>477631.7228</x:v>
      </x:c>
    </x:row>
    <x:row r="12">
      <x:c r="A12" s="17" t="str">
        <x:v>VEND-0141</x:v>
      </x:c>
      <x:c r="B12" s="17" t="str">
        <x:v>Seaboard Logistics</x:v>
      </x:c>
      <x:c r="C12" s="17" t="str">
        <x:v>Freight</x:v>
      </x:c>
      <x:c r="D12" s="17" t="str">
        <x:v>JP</x:v>
      </x:c>
      <x:c r="E12" s="18" t="n">
        <x:v>0</x:v>
      </x:c>
      <x:c r="F12" s="18" t="n">
        <x:v>31</x:v>
      </x:c>
      <x:c r="G12" s="18" t="n">
        <x:v>31</x:v>
      </x:c>
      <x:c r="H12" s="18" t="n">
        <x:v>5</x:v>
      </x:c>
      <x:c r="I12" s="18" t="n">
        <x:v>31</x:v>
      </x:c>
      <x:c r="J12" s="18" t="n">
        <x:v>16.13</x:v>
      </x:c>
      <x:c r="K12" s="18" t="n">
        <x:v>100</x:v>
      </x:c>
      <x:c r="L12" s="18" t="n">
        <x:v>0.16129</x:v>
      </x:c>
      <x:c r="M12" s="18" t="n">
        <x:v>1</x:v>
      </x:c>
      <x:c r="N12" s="18" t="n">
        <x:v>0.580645</x:v>
      </x:c>
      <x:c r="O12" s="18" t="n">
        <x:v>43.35</x:v>
      </x:c>
      <x:c r="P12" s="18" t="n">
        <x:v>11788.12</x:v>
      </x:c>
      <x:c r="Q12" s="18" t="n">
        <x:v>108918.46</x:v>
      </x:c>
      <x:c r="R12" s="18" t="n">
        <x:v>2</x:v>
      </x:c>
      <x:c r="S12" s="18" t="n">
        <x:v>537811.1826</x:v>
      </x:c>
    </x:row>
    <x:row r="13">
      <x:c r="A13" s="17" t="str">
        <x:v>VEND-0138</x:v>
      </x:c>
      <x:c r="B13" s="17" t="str">
        <x:v>Riverbend Industrial Supply</x:v>
      </x:c>
      <x:c r="C13" s="17" t="str">
        <x:v>MRO</x:v>
      </x:c>
      <x:c r="D13" s="17" t="str">
        <x:v>US</x:v>
      </x:c>
      <x:c r="E13" s="18" t="n">
        <x:v>0</x:v>
      </x:c>
      <x:c r="F13" s="18" t="n">
        <x:v>11</x:v>
      </x:c>
      <x:c r="G13" s="18" t="n">
        <x:v>11</x:v>
      </x:c>
      <x:c r="H13" s="18" t="n">
        <x:v>3</x:v>
      </x:c>
      <x:c r="I13" s="18" t="n">
        <x:v>10</x:v>
      </x:c>
      <x:c r="J13" s="18" t="n">
        <x:v>27.27</x:v>
      </x:c>
      <x:c r="K13" s="18" t="n">
        <x:v>90.91</x:v>
      </x:c>
      <x:c r="L13" s="18" t="n">
        <x:v>0.272727</x:v>
      </x:c>
      <x:c r="M13" s="18" t="n">
        <x:v>0.909091</x:v>
      </x:c>
      <x:c r="N13" s="18" t="n">
        <x:v>0.590909</x:v>
      </x:c>
      <x:c r="O13" s="18" t="n">
        <x:v>56.09</x:v>
      </x:c>
      <x:c r="P13" s="18" t="n">
        <x:v>-389.72</x:v>
      </x:c>
      <x:c r="Q13" s="18" t="n">
        <x:v>19259.23</x:v>
      </x:c>
      <x:c r="R13" s="18" t="n">
        <x:v>1</x:v>
      </x:c>
      <x:c r="S13" s="18" t="n">
        <x:v>69401.3347</x:v>
      </x:c>
    </x:row>
    <x:row r="14">
      <x:c r="A14" s="17" t="str">
        <x:v>VEND-0156</x:v>
      </x:c>
      <x:c r="B14" s="17" t="str">
        <x:v>Summit Drive Systems</x:v>
      </x:c>
      <x:c r="C14" s="17" t="str">
        <x:v>Motors &amp; Drives</x:v>
      </x:c>
      <x:c r="D14" s="17" t="str">
        <x:v>US</x:v>
      </x:c>
      <x:c r="E14" s="18" t="n">
        <x:v>0</x:v>
      </x:c>
      <x:c r="F14" s="18" t="n">
        <x:v>26</x:v>
      </x:c>
      <x:c r="G14" s="18" t="n">
        <x:v>26</x:v>
      </x:c>
      <x:c r="H14" s="18" t="n">
        <x:v>5</x:v>
      </x:c>
      <x:c r="I14" s="18" t="n">
        <x:v>26</x:v>
      </x:c>
      <x:c r="J14" s="18" t="n">
        <x:v>19.23</x:v>
      </x:c>
      <x:c r="K14" s="18" t="n">
        <x:v>100</x:v>
      </x:c>
      <x:c r="L14" s="18" t="n">
        <x:v>0.192308</x:v>
      </x:c>
      <x:c r="M14" s="18" t="n">
        <x:v>1</x:v>
      </x:c>
      <x:c r="N14" s="18" t="n">
        <x:v>0.596154</x:v>
      </x:c>
      <x:c r="O14" s="18" t="n">
        <x:v>39.19</x:v>
      </x:c>
      <x:c r="P14" s="18" t="n">
        <x:v>1243.21</x:v>
      </x:c>
      <x:c r="Q14" s="18" t="n">
        <x:v>150693.33</x:v>
      </x:c>
      <x:c r="R14" s="18" t="n">
        <x:v>2</x:v>
      </x:c>
      <x:c r="S14" s="18" t="n">
        <x:v>242130.4424</x:v>
      </x:c>
    </x:row>
    <x:row r="15">
      <x:c r="A15" s="17" t="str">
        <x:v>VEND-0096</x:v>
      </x:c>
      <x:c r="B15" s="17" t="str">
        <x:v>Northstar Drive Systems</x:v>
      </x:c>
      <x:c r="C15" s="17" t="str">
        <x:v>Motors &amp; Drives</x:v>
      </x:c>
      <x:c r="D15" s="17" t="str">
        <x:v>JP</x:v>
      </x:c>
      <x:c r="E15" s="18" t="n">
        <x:v>0</x:v>
      </x:c>
      <x:c r="F15" s="18" t="n">
        <x:v>31</x:v>
      </x:c>
      <x:c r="G15" s="18" t="n">
        <x:v>31</x:v>
      </x:c>
      <x:c r="H15" s="18" t="n">
        <x:v>6</x:v>
      </x:c>
      <x:c r="I15" s="18" t="n">
        <x:v>31</x:v>
      </x:c>
      <x:c r="J15" s="18" t="n">
        <x:v>19.35</x:v>
      </x:c>
      <x:c r="K15" s="18" t="n">
        <x:v>100</x:v>
      </x:c>
      <x:c r="L15" s="18" t="n">
        <x:v>0.193548</x:v>
      </x:c>
      <x:c r="M15" s="18" t="n">
        <x:v>1</x:v>
      </x:c>
      <x:c r="N15" s="18" t="n">
        <x:v>0.596774</x:v>
      </x:c>
      <x:c r="O15" s="18" t="n">
        <x:v>34.81</x:v>
      </x:c>
      <x:c r="P15" s="18" t="n">
        <x:v>-297.98</x:v>
      </x:c>
      <x:c r="Q15" s="18" t="n">
        <x:v>95408.3</x:v>
      </x:c>
      <x:c r="R15" s="18" t="n">
        <x:v>3</x:v>
      </x:c>
      <x:c r="S15" s="18" t="n">
        <x:v>506392.494</x:v>
      </x:c>
    </x:row>
    <x:row r="16">
      <x:c r="A16" s="17" t="str">
        <x:v>VEND-0011</x:v>
      </x:c>
      <x:c r="B16" s="17" t="str">
        <x:v>Arcadia Logistics</x:v>
      </x:c>
      <x:c r="C16" s="17" t="str">
        <x:v>Freight</x:v>
      </x:c>
      <x:c r="D16" s="17" t="str">
        <x:v>DE</x:v>
      </x:c>
      <x:c r="E16" s="18" t="n">
        <x:v>0</x:v>
      </x:c>
      <x:c r="F16" s="18" t="n">
        <x:v>34</x:v>
      </x:c>
      <x:c r="G16" s="18" t="n">
        <x:v>34</x:v>
      </x:c>
      <x:c r="H16" s="18" t="n">
        <x:v>7</x:v>
      </x:c>
      <x:c r="I16" s="18" t="n">
        <x:v>34</x:v>
      </x:c>
      <x:c r="J16" s="18" t="n">
        <x:v>20.59</x:v>
      </x:c>
      <x:c r="K16" s="18" t="n">
        <x:v>100</x:v>
      </x:c>
      <x:c r="L16" s="18" t="n">
        <x:v>0.205882</x:v>
      </x:c>
      <x:c r="M16" s="18" t="n">
        <x:v>1</x:v>
      </x:c>
      <x:c r="N16" s="18" t="n">
        <x:v>0.602941</x:v>
      </x:c>
      <x:c r="O16" s="18" t="n">
        <x:v>36.56</x:v>
      </x:c>
      <x:c r="P16" s="18" t="n">
        <x:v>4268.96</x:v>
      </x:c>
      <x:c r="Q16" s="18" t="n">
        <x:v>143107.58</x:v>
      </x:c>
      <x:c r="R16" s="18" t="n">
        <x:v>2</x:v>
      </x:c>
      <x:c r="S16" s="18" t="n">
        <x:v>541520.4571</x:v>
      </x:c>
    </x:row>
    <x:row r="17">
      <x:c r="A17" s="17" t="str">
        <x:v>VEND-0066</x:v>
      </x:c>
      <x:c r="B17" s="17" t="str">
        <x:v>Great Lakes Drive Systems</x:v>
      </x:c>
      <x:c r="C17" s="17" t="str">
        <x:v>Motors &amp; Drives</x:v>
      </x:c>
      <x:c r="D17" s="17" t="str">
        <x:v>US</x:v>
      </x:c>
      <x:c r="E17" s="18" t="n">
        <x:v>0</x:v>
      </x:c>
      <x:c r="F17" s="18" t="n">
        <x:v>34</x:v>
      </x:c>
      <x:c r="G17" s="18" t="n">
        <x:v>34</x:v>
      </x:c>
      <x:c r="H17" s="18" t="n">
        <x:v>8</x:v>
      </x:c>
      <x:c r="I17" s="18" t="n">
        <x:v>33</x:v>
      </x:c>
      <x:c r="J17" s="18" t="n">
        <x:v>23.53</x:v>
      </x:c>
      <x:c r="K17" s="18" t="n">
        <x:v>97.06</x:v>
      </x:c>
      <x:c r="L17" s="18" t="n">
        <x:v>0.235294</x:v>
      </x:c>
      <x:c r="M17" s="18" t="n">
        <x:v>0.970588</x:v>
      </x:c>
      <x:c r="N17" s="18" t="n">
        <x:v>0.602941</x:v>
      </x:c>
      <x:c r="O17" s="18" t="n">
        <x:v>29.88</x:v>
      </x:c>
      <x:c r="P17" s="18" t="n">
        <x:v>-3113.63</x:v>
      </x:c>
      <x:c r="Q17" s="18" t="n">
        <x:v>112307.63</x:v>
      </x:c>
      <x:c r="R17" s="18" t="n">
        <x:v>3</x:v>
      </x:c>
      <x:c r="S17" s="18" t="n">
        <x:v>376739.7081</x:v>
      </x:c>
    </x:row>
    <x:row r="18">
      <x:c r="A18" s="17" t="str">
        <x:v>VEND-0056</x:v>
      </x:c>
      <x:c r="B18" s="17" t="str">
        <x:v>Fairview Drive Systems</x:v>
      </x:c>
      <x:c r="C18" s="17" t="str">
        <x:v>Motors &amp; Drives</x:v>
      </x:c>
      <x:c r="D18" s="17" t="str">
        <x:v>DE</x:v>
      </x:c>
      <x:c r="E18" s="18" t="n">
        <x:v>0</x:v>
      </x:c>
      <x:c r="F18" s="18" t="n">
        <x:v>19</x:v>
      </x:c>
      <x:c r="G18" s="18" t="n">
        <x:v>19</x:v>
      </x:c>
      <x:c r="H18" s="18" t="n">
        <x:v>4</x:v>
      </x:c>
      <x:c r="I18" s="18" t="n">
        <x:v>19</x:v>
      </x:c>
      <x:c r="J18" s="18" t="n">
        <x:v>21.05</x:v>
      </x:c>
      <x:c r="K18" s="18" t="n">
        <x:v>100</x:v>
      </x:c>
      <x:c r="L18" s="18" t="n">
        <x:v>0.210526</x:v>
      </x:c>
      <x:c r="M18" s="18" t="n">
        <x:v>1</x:v>
      </x:c>
      <x:c r="N18" s="18" t="n">
        <x:v>0.605263</x:v>
      </x:c>
      <x:c r="O18" s="18" t="n">
        <x:v>39.16</x:v>
      </x:c>
      <x:c r="P18" s="18" t="n">
        <x:v>-4096.03</x:v>
      </x:c>
      <x:c r="Q18" s="18" t="n">
        <x:v>234771.83</x:v>
      </x:c>
      <x:c r="R18" s="18" t="n">
        <x:v>1</x:v>
      </x:c>
      <x:c r="S18" s="18" t="n">
        <x:v>465578.2583</x:v>
      </x:c>
    </x:row>
    <x:row r="19">
      <x:c r="A19" s="17" t="str">
        <x:v>VEND-0128</x:v>
      </x:c>
      <x:c r="B19" s="17" t="str">
        <x:v>Ridgeway Industrial Supply</x:v>
      </x:c>
      <x:c r="C19" s="17" t="str">
        <x:v>MRO</x:v>
      </x:c>
      <x:c r="D19" s="17" t="str">
        <x:v>DE</x:v>
      </x:c>
      <x:c r="E19" s="18" t="n">
        <x:v>0</x:v>
      </x:c>
      <x:c r="F19" s="18" t="n">
        <x:v>18</x:v>
      </x:c>
      <x:c r="G19" s="18" t="n">
        <x:v>18</x:v>
      </x:c>
      <x:c r="H19" s="18" t="n">
        <x:v>5</x:v>
      </x:c>
      <x:c r="I19" s="18" t="n">
        <x:v>17</x:v>
      </x:c>
      <x:c r="J19" s="18" t="n">
        <x:v>27.78</x:v>
      </x:c>
      <x:c r="K19" s="18" t="n">
        <x:v>94.44</x:v>
      </x:c>
      <x:c r="L19" s="18" t="n">
        <x:v>0.277778</x:v>
      </x:c>
      <x:c r="M19" s="18" t="n">
        <x:v>0.944444</x:v>
      </x:c>
      <x:c r="N19" s="18" t="n">
        <x:v>0.611111</x:v>
      </x:c>
      <x:c r="O19" s="18" t="n">
        <x:v>42.94</x:v>
      </x:c>
      <x:c r="P19" s="18" t="n">
        <x:v>-3345.85</x:v>
      </x:c>
      <x:c r="Q19" s="18" t="n">
        <x:v>96523.67</x:v>
      </x:c>
      <x:c r="R19" s="18" t="n">
        <x:v>2</x:v>
      </x:c>
      <x:c r="S19" s="18" t="n">
        <x:v>225110.4847</x:v>
      </x:c>
    </x:row>
    <x:row r="20">
      <x:c r="A20" s="17" t="str">
        <x:v>VEND-0055</x:v>
      </x:c>
      <x:c r="B20" s="17" t="str">
        <x:v>Fairview Packaging</x:v>
      </x:c>
      <x:c r="C20" s="17" t="str">
        <x:v>Packaging</x:v>
      </x:c>
      <x:c r="D20" s="17" t="str">
        <x:v>MX</x:v>
      </x:c>
      <x:c r="E20" s="18" t="n">
        <x:v>1</x:v>
      </x:c>
      <x:c r="F20" s="18" t="n">
        <x:v>13</x:v>
      </x:c>
      <x:c r="G20" s="18" t="n">
        <x:v>13</x:v>
      </x:c>
      <x:c r="H20" s="18" t="n">
        <x:v>4</x:v>
      </x:c>
      <x:c r="I20" s="18" t="n">
        <x:v>12</x:v>
      </x:c>
      <x:c r="J20" s="18" t="n">
        <x:v>30.77</x:v>
      </x:c>
      <x:c r="K20" s="18" t="n">
        <x:v>92.31</x:v>
      </x:c>
      <x:c r="L20" s="18" t="n">
        <x:v>0.307692</x:v>
      </x:c>
      <x:c r="M20" s="18" t="n">
        <x:v>0.923077</x:v>
      </x:c>
      <x:c r="N20" s="18" t="n">
        <x:v>0.615385</x:v>
      </x:c>
      <x:c r="O20" s="18" t="n">
        <x:v>52.31</x:v>
      </x:c>
      <x:c r="P20" s="18" t="n">
        <x:v>1920.89</x:v>
      </x:c>
      <x:c r="Q20" s="18" t="n">
        <x:v>179941.85</x:v>
      </x:c>
      <x:c r="R20" s="18" t="n">
        <x:v>3</x:v>
      </x:c>
      <x:c r="S20" s="18" t="n">
        <x:v>323428.929</x:v>
      </x:c>
    </x:row>
    <x:row r="21">
      <x:c r="A21" s="17" t="str">
        <x:v>VEND-0026</x:v>
      </x:c>
      <x:c r="B21" s="17" t="str">
        <x:v>Cedar Valley Drive Systems</x:v>
      </x:c>
      <x:c r="C21" s="17" t="str">
        <x:v>Motors &amp; Drives</x:v>
      </x:c>
      <x:c r="D21" s="17" t="str">
        <x:v>US</x:v>
      </x:c>
      <x:c r="E21" s="18" t="n">
        <x:v>0</x:v>
      </x:c>
      <x:c r="F21" s="18" t="n">
        <x:v>32</x:v>
      </x:c>
      <x:c r="G21" s="18" t="n">
        <x:v>32</x:v>
      </x:c>
      <x:c r="H21" s="18" t="n">
        <x:v>8</x:v>
      </x:c>
      <x:c r="I21" s="18" t="n">
        <x:v>32</x:v>
      </x:c>
      <x:c r="J21" s="18" t="n">
        <x:v>25</x:v>
      </x:c>
      <x:c r="K21" s="18" t="n">
        <x:v>100</x:v>
      </x:c>
      <x:c r="L21" s="18" t="n">
        <x:v>0.25</x:v>
      </x:c>
      <x:c r="M21" s="18" t="n">
        <x:v>1</x:v>
      </x:c>
      <x:c r="N21" s="18" t="n">
        <x:v>0.625</x:v>
      </x:c>
      <x:c r="O21" s="18" t="n">
        <x:v>32.66</x:v>
      </x:c>
      <x:c r="P21" s="18" t="n">
        <x:v>-3458.05</x:v>
      </x:c>
      <x:c r="Q21" s="18" t="n">
        <x:v>177316.53</x:v>
      </x:c>
      <x:c r="R21" s="18" t="n">
        <x:v>2</x:v>
      </x:c>
      <x:c r="S21" s="18" t="n">
        <x:v>555297.8177</x:v>
      </x:c>
    </x:row>
    <x:row r="22">
      <x:c r="A22" s="17" t="str">
        <x:v>VEND-0034</x:v>
      </x:c>
      <x:c r="B22" s="17" t="str">
        <x:v>Clearpoint Advisory</x:v>
      </x:c>
      <x:c r="C22" s="17" t="str">
        <x:v>Professional Services</x:v>
      </x:c>
      <x:c r="D22" s="17" t="str">
        <x:v>CA</x:v>
      </x:c>
      <x:c r="E22" s="18" t="n">
        <x:v>0</x:v>
      </x:c>
      <x:c r="F22" s="18" t="n">
        <x:v>8</x:v>
      </x:c>
      <x:c r="G22" s="18" t="n">
        <x:v>8</x:v>
      </x:c>
      <x:c r="H22" s="18" t="n">
        <x:v>2</x:v>
      </x:c>
      <x:c r="I22" s="18" t="n">
        <x:v>8</x:v>
      </x:c>
      <x:c r="J22" s="18" t="n">
        <x:v>25</x:v>
      </x:c>
      <x:c r="K22" s="18" t="n">
        <x:v>100</x:v>
      </x:c>
      <x:c r="L22" s="18" t="n">
        <x:v>0.25</x:v>
      </x:c>
      <x:c r="M22" s="18" t="n">
        <x:v>1</x:v>
      </x:c>
      <x:c r="N22" s="18" t="n">
        <x:v>0.625</x:v>
      </x:c>
      <x:c r="O22" s="18" t="n">
        <x:v>58.13</x:v>
      </x:c>
      <x:c r="P22" s="18" t="n">
        <x:v>561.83</x:v>
      </x:c>
      <x:c r="Q22" s="18" t="n">
        <x:v>26339.07</x:v>
      </x:c>
      <x:c r="R22" s="18" t="n">
        <x:v>1</x:v>
      </x:c>
      <x:c r="S22" s="18" t="n">
        <x:v>67997.2547</x:v>
      </x:c>
    </x:row>
    <x:row r="23">
      <x:c r="A23" s="17" t="str">
        <x:v>VEND-0112</x:v>
      </x:c>
      <x:c r="B23" s="17" t="str">
        <x:v>Pinnacle Surface Technologies</x:v>
      </x:c>
      <x:c r="C23" s="17" t="str">
        <x:v>Outside Processing</x:v>
      </x:c>
      <x:c r="D23" s="17" t="str">
        <x:v>US</x:v>
      </x:c>
      <x:c r="E23" s="18" t="n">
        <x:v>0</x:v>
      </x:c>
      <x:c r="F23" s="18" t="n">
        <x:v>8</x:v>
      </x:c>
      <x:c r="G23" s="18" t="n">
        <x:v>8</x:v>
      </x:c>
      <x:c r="H23" s="18" t="n">
        <x:v>2</x:v>
      </x:c>
      <x:c r="I23" s="18" t="n">
        <x:v>8</x:v>
      </x:c>
      <x:c r="J23" s="18" t="n">
        <x:v>25</x:v>
      </x:c>
      <x:c r="K23" s="18" t="n">
        <x:v>100</x:v>
      </x:c>
      <x:c r="L23" s="18" t="n">
        <x:v>0.25</x:v>
      </x:c>
      <x:c r="M23" s="18" t="n">
        <x:v>1</x:v>
      </x:c>
      <x:c r="N23" s="18" t="n">
        <x:v>0.625</x:v>
      </x:c>
      <x:c r="O23" s="18" t="n">
        <x:v>42.75</x:v>
      </x:c>
      <x:c r="P23" s="18" t="n">
        <x:v>-490.97</x:v>
      </x:c>
      <x:c r="Q23" s="18" t="n">
        <x:v>34996.58</x:v>
      </x:c>
      <x:c r="R23" s="18" t="n">
        <x:v>1</x:v>
      </x:c>
      <x:c r="S23" s="18" t="n">
        <x:v>57729.97</x:v>
      </x:c>
    </x:row>
    <x:row r="24">
      <x:c r="A24" s="17" t="str">
        <x:v>VEND-0146</x:v>
      </x:c>
      <x:c r="B24" s="17" t="str">
        <x:v>Stonebridge Drive Systems</x:v>
      </x:c>
      <x:c r="C24" s="17" t="str">
        <x:v>Motors &amp; Drives</x:v>
      </x:c>
      <x:c r="D24" s="17" t="str">
        <x:v>DE</x:v>
      </x:c>
      <x:c r="E24" s="18" t="n">
        <x:v>0</x:v>
      </x:c>
      <x:c r="F24" s="18" t="n">
        <x:v>28</x:v>
      </x:c>
      <x:c r="G24" s="18" t="n">
        <x:v>28</x:v>
      </x:c>
      <x:c r="H24" s="18" t="n">
        <x:v>7</x:v>
      </x:c>
      <x:c r="I24" s="18" t="n">
        <x:v>28</x:v>
      </x:c>
      <x:c r="J24" s="18" t="n">
        <x:v>25</x:v>
      </x:c>
      <x:c r="K24" s="18" t="n">
        <x:v>100</x:v>
      </x:c>
      <x:c r="L24" s="18" t="n">
        <x:v>0.25</x:v>
      </x:c>
      <x:c r="M24" s="18" t="n">
        <x:v>1</x:v>
      </x:c>
      <x:c r="N24" s="18" t="n">
        <x:v>0.625</x:v>
      </x:c>
      <x:c r="O24" s="18" t="n">
        <x:v>38.61</x:v>
      </x:c>
      <x:c r="P24" s="18" t="n">
        <x:v>2750.42</x:v>
      </x:c>
      <x:c r="Q24" s="18" t="n">
        <x:v>248009.46</x:v>
      </x:c>
      <x:c r="R24" s="18" t="n">
        <x:v>3</x:v>
      </x:c>
      <x:c r="S24" s="18" t="n">
        <x:v>684325.5521</x:v>
      </x:c>
    </x:row>
    <x:row r="25">
      <x:c r="A25" s="17" t="str">
        <x:v>VEND-0024</x:v>
      </x:c>
      <x:c r="B25" s="17" t="str">
        <x:v>Bluewater Advisory</x:v>
      </x:c>
      <x:c r="C25" s="17" t="str">
        <x:v>Professional Services</x:v>
      </x:c>
      <x:c r="D25" s="17" t="str">
        <x:v>JP</x:v>
      </x:c>
      <x:c r="E25" s="18" t="n">
        <x:v>0</x:v>
      </x:c>
      <x:c r="F25" s="18" t="n">
        <x:v>23</x:v>
      </x:c>
      <x:c r="G25" s="18" t="n">
        <x:v>23</x:v>
      </x:c>
      <x:c r="H25" s="18" t="n">
        <x:v>7</x:v>
      </x:c>
      <x:c r="I25" s="18" t="n">
        <x:v>22</x:v>
      </x:c>
      <x:c r="J25" s="18" t="n">
        <x:v>30.43</x:v>
      </x:c>
      <x:c r="K25" s="18" t="n">
        <x:v>95.65</x:v>
      </x:c>
      <x:c r="L25" s="18" t="n">
        <x:v>0.304348</x:v>
      </x:c>
      <x:c r="M25" s="18" t="n">
        <x:v>0.956522</x:v>
      </x:c>
      <x:c r="N25" s="18" t="n">
        <x:v>0.630435</x:v>
      </x:c>
      <x:c r="O25" s="18" t="n">
        <x:v>44.17</x:v>
      </x:c>
      <x:c r="P25" s="18" t="n">
        <x:v>-170.5</x:v>
      </x:c>
      <x:c r="Q25" s="18" t="n">
        <x:v>50218.32</x:v>
      </x:c>
      <x:c r="R25" s="18" t="n">
        <x:v>2</x:v>
      </x:c>
      <x:c r="S25" s="18" t="n">
        <x:v>301000.5384</x:v>
      </x:c>
    </x:row>
    <x:row r="26">
      <x:c r="A26" s="17" t="str">
        <x:v>VEND-0016</x:v>
      </x:c>
      <x:c r="B26" s="17" t="str">
        <x:v>Bayshore Drive Systems</x:v>
      </x:c>
      <x:c r="C26" s="17" t="str">
        <x:v>Motors &amp; Drives</x:v>
      </x:c>
      <x:c r="D26" s="17" t="str">
        <x:v>CA</x:v>
      </x:c>
      <x:c r="E26" s="18" t="n">
        <x:v>0</x:v>
      </x:c>
      <x:c r="F26" s="18" t="n">
        <x:v>33</x:v>
      </x:c>
      <x:c r="G26" s="18" t="n">
        <x:v>33</x:v>
      </x:c>
      <x:c r="H26" s="18" t="n">
        <x:v>9</x:v>
      </x:c>
      <x:c r="I26" s="18" t="n">
        <x:v>33</x:v>
      </x:c>
      <x:c r="J26" s="18" t="n">
        <x:v>27.27</x:v>
      </x:c>
      <x:c r="K26" s="18" t="n">
        <x:v>100</x:v>
      </x:c>
      <x:c r="L26" s="18" t="n">
        <x:v>0.272727</x:v>
      </x:c>
      <x:c r="M26" s="18" t="n">
        <x:v>1</x:v>
      </x:c>
      <x:c r="N26" s="18" t="n">
        <x:v>0.636364</x:v>
      </x:c>
      <x:c r="O26" s="18" t="n">
        <x:v>34.64</x:v>
      </x:c>
      <x:c r="P26" s="18" t="n">
        <x:v>-538.59</x:v>
      </x:c>
      <x:c r="Q26" s="18" t="n">
        <x:v>221774.76</x:v>
      </x:c>
      <x:c r="R26" s="18" t="n">
        <x:v>3</x:v>
      </x:c>
      <x:c r="S26" s="18" t="n">
        <x:v>412733.6642</x:v>
      </x:c>
    </x:row>
    <x:row r="27">
      <x:c r="A27" s="17" t="str">
        <x:v>VEND-0149</x:v>
      </x:c>
      <x:c r="B27" s="17" t="str">
        <x:v>Stonebridge Controls</x:v>
      </x:c>
      <x:c r="C27" s="17" t="str">
        <x:v>Electronics</x:v>
      </x:c>
      <x:c r="D27" s="17" t="str">
        <x:v>CN</x:v>
      </x:c>
      <x:c r="E27" s="18" t="n">
        <x:v>0</x:v>
      </x:c>
      <x:c r="F27" s="18" t="n">
        <x:v>11</x:v>
      </x:c>
      <x:c r="G27" s="18" t="n">
        <x:v>11</x:v>
      </x:c>
      <x:c r="H27" s="18" t="n">
        <x:v>3</x:v>
      </x:c>
      <x:c r="I27" s="18" t="n">
        <x:v>11</x:v>
      </x:c>
      <x:c r="J27" s="18" t="n">
        <x:v>27.27</x:v>
      </x:c>
      <x:c r="K27" s="18" t="n">
        <x:v>100</x:v>
      </x:c>
      <x:c r="L27" s="18" t="n">
        <x:v>0.272727</x:v>
      </x:c>
      <x:c r="M27" s="18" t="n">
        <x:v>1</x:v>
      </x:c>
      <x:c r="N27" s="18" t="n">
        <x:v>0.636364</x:v>
      </x:c>
      <x:c r="O27" s="18" t="n">
        <x:v>26.73</x:v>
      </x:c>
      <x:c r="P27" s="18" t="n">
        <x:v>-1182.89</x:v>
      </x:c>
      <x:c r="Q27" s="18" t="n">
        <x:v>15507.69</x:v>
      </x:c>
      <x:c r="R27" s="18" t="n">
        <x:v>1</x:v>
      </x:c>
      <x:c r="S27" s="18" t="n">
        <x:v>58385.9465</x:v>
      </x:c>
    </x:row>
    <x:row r="28">
      <x:c r="A28" s="17" t="str">
        <x:v>VEND-0111</x:v>
      </x:c>
      <x:c r="B28" s="17" t="str">
        <x:v>Pinnacle Logistics</x:v>
      </x:c>
      <x:c r="C28" s="17" t="str">
        <x:v>Freight</x:v>
      </x:c>
      <x:c r="D28" s="17" t="str">
        <x:v>US</x:v>
      </x:c>
      <x:c r="E28" s="18" t="n">
        <x:v>0</x:v>
      </x:c>
      <x:c r="F28" s="18" t="n">
        <x:v>35</x:v>
      </x:c>
      <x:c r="G28" s="18" t="n">
        <x:v>35</x:v>
      </x:c>
      <x:c r="H28" s="18" t="n">
        <x:v>10</x:v>
      </x:c>
      <x:c r="I28" s="18" t="n">
        <x:v>35</x:v>
      </x:c>
      <x:c r="J28" s="18" t="n">
        <x:v>28.57</x:v>
      </x:c>
      <x:c r="K28" s="18" t="n">
        <x:v>100</x:v>
      </x:c>
      <x:c r="L28" s="18" t="n">
        <x:v>0.285714</x:v>
      </x:c>
      <x:c r="M28" s="18" t="n">
        <x:v>1</x:v>
      </x:c>
      <x:c r="N28" s="18" t="n">
        <x:v>0.642857</x:v>
      </x:c>
      <x:c r="O28" s="18" t="n">
        <x:v>33.94</x:v>
      </x:c>
      <x:c r="P28" s="18" t="n">
        <x:v>-2016.52</x:v>
      </x:c>
      <x:c r="Q28" s="18" t="n">
        <x:v>120365.67</x:v>
      </x:c>
      <x:c r="R28" s="18" t="n">
        <x:v>3</x:v>
      </x:c>
      <x:c r="S28" s="18" t="n">
        <x:v>545798.3195</x:v>
      </x:c>
    </x:row>
    <x:row r="29">
      <x:c r="A29" s="17" t="str">
        <x:v>VEND-0162</x:v>
      </x:c>
      <x:c r="B29" s="17" t="str">
        <x:v>Tri-County Surface Technologies</x:v>
      </x:c>
      <x:c r="C29" s="17" t="str">
        <x:v>Outside Processing</x:v>
      </x:c>
      <x:c r="D29" s="17" t="str">
        <x:v>US</x:v>
      </x:c>
      <x:c r="E29" s="18" t="n">
        <x:v>0</x:v>
      </x:c>
      <x:c r="F29" s="18" t="n">
        <x:v>7</x:v>
      </x:c>
      <x:c r="G29" s="18" t="n">
        <x:v>7</x:v>
      </x:c>
      <x:c r="H29" s="18" t="n">
        <x:v>2</x:v>
      </x:c>
      <x:c r="I29" s="18" t="n">
        <x:v>7</x:v>
      </x:c>
      <x:c r="J29" s="18" t="n">
        <x:v>28.57</x:v>
      </x:c>
      <x:c r="K29" s="18" t="n">
        <x:v>100</x:v>
      </x:c>
      <x:c r="L29" s="18" t="n">
        <x:v>0.285714</x:v>
      </x:c>
      <x:c r="M29" s="18" t="n">
        <x:v>1</x:v>
      </x:c>
      <x:c r="N29" s="18" t="n">
        <x:v>0.642857</x:v>
      </x:c>
      <x:c r="O29" s="18" t="n">
        <x:v>34.71</x:v>
      </x:c>
      <x:c r="P29" s="18" t="n">
        <x:v>157.04</x:v>
      </x:c>
      <x:c r="Q29" s="18" t="n">
        <x:v>3559.56</x:v>
      </x:c>
      <x:c r="R29" s="18" t="n">
        <x:v>1</x:v>
      </x:c>
      <x:c r="S29" s="18" t="n">
        <x:v>12044.3252</x:v>
      </x:c>
    </x:row>
    <x:row r="30">
      <x:c r="A30" s="17" t="str">
        <x:v>VEND-0165</x:v>
      </x:c>
      <x:c r="B30" s="17" t="str">
        <x:v>Valley Packaging</x:v>
      </x:c>
      <x:c r="C30" s="17" t="str">
        <x:v>Packaging</x:v>
      </x:c>
      <x:c r="D30" s="17" t="str">
        <x:v>US</x:v>
      </x:c>
      <x:c r="E30" s="18" t="n">
        <x:v>1</x:v>
      </x:c>
      <x:c r="F30" s="18" t="n">
        <x:v>14</x:v>
      </x:c>
      <x:c r="G30" s="18" t="n">
        <x:v>14</x:v>
      </x:c>
      <x:c r="H30" s="18" t="n">
        <x:v>4</x:v>
      </x:c>
      <x:c r="I30" s="18" t="n">
        <x:v>14</x:v>
      </x:c>
      <x:c r="J30" s="18" t="n">
        <x:v>28.57</x:v>
      </x:c>
      <x:c r="K30" s="18" t="n">
        <x:v>100</x:v>
      </x:c>
      <x:c r="L30" s="18" t="n">
        <x:v>0.285714</x:v>
      </x:c>
      <x:c r="M30" s="18" t="n">
        <x:v>1</x:v>
      </x:c>
      <x:c r="N30" s="18" t="n">
        <x:v>0.642857</x:v>
      </x:c>
      <x:c r="O30" s="18" t="n">
        <x:v>34.36</x:v>
      </x:c>
      <x:c r="P30" s="18" t="n">
        <x:v>5589.49</x:v>
      </x:c>
      <x:c r="Q30" s="18" t="n">
        <x:v>74571.67</x:v>
      </x:c>
      <x:c r="R30" s="18" t="n">
        <x:v>2</x:v>
      </x:c>
      <x:c r="S30" s="18" t="n">
        <x:v>238960.2265</x:v>
      </x:c>
    </x:row>
    <x:row r="31">
      <x:c r="A31" s="17" t="str">
        <x:v>VEND-0102</x:v>
      </x:c>
      <x:c r="B31" s="17" t="str">
        <x:v>Oak River Surface Technologies</x:v>
      </x:c>
      <x:c r="C31" s="17" t="str">
        <x:v>Outside Processing</x:v>
      </x:c>
      <x:c r="D31" s="17" t="str">
        <x:v>US</x:v>
      </x:c>
      <x:c r="E31" s="18" t="n">
        <x:v>0</x:v>
      </x:c>
      <x:c r="F31" s="18" t="n">
        <x:v>17</x:v>
      </x:c>
      <x:c r="G31" s="18" t="n">
        <x:v>17</x:v>
      </x:c>
      <x:c r="H31" s="18" t="n">
        <x:v>5</x:v>
      </x:c>
      <x:c r="I31" s="18" t="n">
        <x:v>17</x:v>
      </x:c>
      <x:c r="J31" s="18" t="n">
        <x:v>29.41</x:v>
      </x:c>
      <x:c r="K31" s="18" t="n">
        <x:v>100</x:v>
      </x:c>
      <x:c r="L31" s="18" t="n">
        <x:v>0.294118</x:v>
      </x:c>
      <x:c r="M31" s="18" t="n">
        <x:v>1</x:v>
      </x:c>
      <x:c r="N31" s="18" t="n">
        <x:v>0.647059</x:v>
      </x:c>
      <x:c r="O31" s="18" t="n">
        <x:v>34</x:v>
      </x:c>
      <x:c r="P31" s="18" t="n">
        <x:v>-1209.78</x:v>
      </x:c>
      <x:c r="Q31" s="18" t="n">
        <x:v>36273.99</x:v>
      </x:c>
      <x:c r="R31" s="18" t="n">
        <x:v>2</x:v>
      </x:c>
      <x:c r="S31" s="18" t="n">
        <x:v>271568.9746</x:v>
      </x:c>
    </x:row>
    <x:row r="32">
      <x:c r="A32" s="17" t="str">
        <x:v>VEND-0172</x:v>
      </x:c>
      <x:c r="B32" s="17" t="str">
        <x:v>Westfield Surface Technologies</x:v>
      </x:c>
      <x:c r="C32" s="17" t="str">
        <x:v>Outside Processing</x:v>
      </x:c>
      <x:c r="D32" s="17" t="str">
        <x:v>MX</x:v>
      </x:c>
      <x:c r="E32" s="18" t="n">
        <x:v>0</x:v>
      </x:c>
      <x:c r="F32" s="18" t="n">
        <x:v>20</x:v>
      </x:c>
      <x:c r="G32" s="18" t="n">
        <x:v>20</x:v>
      </x:c>
      <x:c r="H32" s="18" t="n">
        <x:v>7</x:v>
      </x:c>
      <x:c r="I32" s="18" t="n">
        <x:v>19</x:v>
      </x:c>
      <x:c r="J32" s="18" t="n">
        <x:v>35</x:v>
      </x:c>
      <x:c r="K32" s="18" t="n">
        <x:v>95</x:v>
      </x:c>
      <x:c r="L32" s="18" t="n">
        <x:v>0.35</x:v>
      </x:c>
      <x:c r="M32" s="18" t="n">
        <x:v>0.95</x:v>
      </x:c>
      <x:c r="N32" s="18" t="n">
        <x:v>0.65</x:v>
      </x:c>
      <x:c r="O32" s="18" t="n">
        <x:v>31.2</x:v>
      </x:c>
      <x:c r="P32" s="18" t="n">
        <x:v>1741.4</x:v>
      </x:c>
      <x:c r="Q32" s="18" t="n">
        <x:v>161095.93</x:v>
      </x:c>
      <x:c r="R32" s="18" t="n">
        <x:v>3</x:v>
      </x:c>
      <x:c r="S32" s="18" t="n">
        <x:v>483686.7905</x:v>
      </x:c>
    </x:row>
    <x:row r="33">
      <x:c r="A33" s="17" t="str">
        <x:v>VEND-0120</x:v>
      </x:c>
      <x:c r="B33" s="17" t="str">
        <x:v>Prairie Metals</x:v>
      </x:c>
      <x:c r="C33" s="17" t="str">
        <x:v>Metals</x:v>
      </x:c>
      <x:c r="D33" s="17" t="str">
        <x:v>US</x:v>
      </x:c>
      <x:c r="E33" s="18" t="n">
        <x:v>1</x:v>
      </x:c>
      <x:c r="F33" s="18" t="n">
        <x:v>20</x:v>
      </x:c>
      <x:c r="G33" s="18" t="n">
        <x:v>20</x:v>
      </x:c>
      <x:c r="H33" s="18" t="n">
        <x:v>6</x:v>
      </x:c>
      <x:c r="I33" s="18" t="n">
        <x:v>20</x:v>
      </x:c>
      <x:c r="J33" s="18" t="n">
        <x:v>30</x:v>
      </x:c>
      <x:c r="K33" s="18" t="n">
        <x:v>100</x:v>
      </x:c>
      <x:c r="L33" s="18" t="n">
        <x:v>0.3</x:v>
      </x:c>
      <x:c r="M33" s="18" t="n">
        <x:v>1</x:v>
      </x:c>
      <x:c r="N33" s="18" t="n">
        <x:v>0.65</x:v>
      </x:c>
      <x:c r="O33" s="18" t="n">
        <x:v>42.15</x:v>
      </x:c>
      <x:c r="P33" s="18" t="n">
        <x:v>22.77</x:v>
      </x:c>
      <x:c r="Q33" s="18" t="n">
        <x:v>20446.67</x:v>
      </x:c>
      <x:c r="R33" s="18" t="n">
        <x:v>3</x:v>
      </x:c>
      <x:c r="S33" s="18" t="n">
        <x:v>308026.1239</x:v>
      </x:c>
    </x:row>
    <x:row r="34">
      <x:c r="A34" s="17" t="str">
        <x:v>VEND-0053</x:v>
      </x:c>
      <x:c r="B34" s="17" t="str">
        <x:v>Easton Motion Components</x:v>
      </x:c>
      <x:c r="C34" s="17" t="str">
        <x:v>Bearings &amp; Mechanical</x:v>
      </x:c>
      <x:c r="D34" s="17" t="str">
        <x:v>US</x:v>
      </x:c>
      <x:c r="E34" s="18" t="n">
        <x:v>0</x:v>
      </x:c>
      <x:c r="F34" s="18" t="n">
        <x:v>13</x:v>
      </x:c>
      <x:c r="G34" s="18" t="n">
        <x:v>13</x:v>
      </x:c>
      <x:c r="H34" s="18" t="n">
        <x:v>4</x:v>
      </x:c>
      <x:c r="I34" s="18" t="n">
        <x:v>13</x:v>
      </x:c>
      <x:c r="J34" s="18" t="n">
        <x:v>30.77</x:v>
      </x:c>
      <x:c r="K34" s="18" t="n">
        <x:v>100</x:v>
      </x:c>
      <x:c r="L34" s="18" t="n">
        <x:v>0.307692</x:v>
      </x:c>
      <x:c r="M34" s="18" t="n">
        <x:v>1</x:v>
      </x:c>
      <x:c r="N34" s="18" t="n">
        <x:v>0.653846</x:v>
      </x:c>
      <x:c r="O34" s="18" t="n">
        <x:v>27.15</x:v>
      </x:c>
      <x:c r="P34" s="18" t="n">
        <x:v>420.23</x:v>
      </x:c>
      <x:c r="Q34" s="18" t="n">
        <x:v>55155.67</x:v>
      </x:c>
      <x:c r="R34" s="18" t="n">
        <x:v>3</x:v>
      </x:c>
      <x:c r="S34" s="18" t="n">
        <x:v>117061.9972</x:v>
      </x:c>
    </x:row>
    <x:row r="35">
      <x:c r="A35" s="17" t="str">
        <x:v>VEND-0099</x:v>
      </x:c>
      <x:c r="B35" s="17" t="str">
        <x:v>Oak River Controls</x:v>
      </x:c>
      <x:c r="C35" s="17" t="str">
        <x:v>Electronics</x:v>
      </x:c>
      <x:c r="D35" s="17" t="str">
        <x:v>US</x:v>
      </x:c>
      <x:c r="E35" s="18" t="n">
        <x:v>0</x:v>
      </x:c>
      <x:c r="F35" s="18" t="n">
        <x:v>13</x:v>
      </x:c>
      <x:c r="G35" s="18" t="n">
        <x:v>13</x:v>
      </x:c>
      <x:c r="H35" s="18" t="n">
        <x:v>4</x:v>
      </x:c>
      <x:c r="I35" s="18" t="n">
        <x:v>13</x:v>
      </x:c>
      <x:c r="J35" s="18" t="n">
        <x:v>30.77</x:v>
      </x:c>
      <x:c r="K35" s="18" t="n">
        <x:v>100</x:v>
      </x:c>
      <x:c r="L35" s="18" t="n">
        <x:v>0.307692</x:v>
      </x:c>
      <x:c r="M35" s="18" t="n">
        <x:v>1</x:v>
      </x:c>
      <x:c r="N35" s="18" t="n">
        <x:v>0.653846</x:v>
      </x:c>
      <x:c r="O35" s="18" t="n">
        <x:v>31</x:v>
      </x:c>
      <x:c r="P35" s="18" t="n">
        <x:v>1101.61</x:v>
      </x:c>
      <x:c r="Q35" s="18" t="n">
        <x:v>26401.57</x:v>
      </x:c>
      <x:c r="R35" s="18" t="n">
        <x:v>1</x:v>
      </x:c>
      <x:c r="S35" s="18" t="n">
        <x:v>147323.822</x:v>
      </x:c>
    </x:row>
    <x:row r="36">
      <x:c r="A36" s="17" t="str">
        <x:v>VEND-0037</x:v>
      </x:c>
      <x:c r="B36" s="17" t="str">
        <x:v>Continental Energy Services</x:v>
      </x:c>
      <x:c r="C36" s="17" t="str">
        <x:v>Utilities</x:v>
      </x:c>
      <x:c r="D36" s="17" t="str">
        <x:v>MX</x:v>
      </x:c>
      <x:c r="E36" s="18" t="n">
        <x:v>0</x:v>
      </x:c>
      <x:c r="F36" s="18" t="n">
        <x:v>16</x:v>
      </x:c>
      <x:c r="G36" s="18" t="n">
        <x:v>16</x:v>
      </x:c>
      <x:c r="H36" s="18" t="n">
        <x:v>5</x:v>
      </x:c>
      <x:c r="I36" s="18" t="n">
        <x:v>16</x:v>
      </x:c>
      <x:c r="J36" s="18" t="n">
        <x:v>31.25</x:v>
      </x:c>
      <x:c r="K36" s="18" t="n">
        <x:v>100</x:v>
      </x:c>
      <x:c r="L36" s="18" t="n">
        <x:v>0.3125</x:v>
      </x:c>
      <x:c r="M36" s="18" t="n">
        <x:v>1</x:v>
      </x:c>
      <x:c r="N36" s="18" t="n">
        <x:v>0.65625</x:v>
      </x:c>
      <x:c r="O36" s="18" t="n">
        <x:v>45.44</x:v>
      </x:c>
      <x:c r="P36" s="18" t="n">
        <x:v>-947.72</x:v>
      </x:c>
      <x:c r="Q36" s="18" t="n">
        <x:v>87019.76</x:v>
      </x:c>
      <x:c r="R36" s="18" t="n">
        <x:v>2</x:v>
      </x:c>
      <x:c r="S36" s="18" t="n">
        <x:v>307376.6093</x:v>
      </x:c>
    </x:row>
    <x:row r="37">
      <x:c r="A37" s="17" t="str">
        <x:v>VEND-0089</x:v>
      </x:c>
      <x:c r="B37" s="17" t="str">
        <x:v>Landmark Controls</x:v>
      </x:c>
      <x:c r="C37" s="17" t="str">
        <x:v>Electronics</x:v>
      </x:c>
      <x:c r="D37" s="17" t="str">
        <x:v>US</x:v>
      </x:c>
      <x:c r="E37" s="18" t="n">
        <x:v>0</x:v>
      </x:c>
      <x:c r="F37" s="18" t="n">
        <x:v>19</x:v>
      </x:c>
      <x:c r="G37" s="18" t="n">
        <x:v>19</x:v>
      </x:c>
      <x:c r="H37" s="18" t="n">
        <x:v>7</x:v>
      </x:c>
      <x:c r="I37" s="18" t="n">
        <x:v>18</x:v>
      </x:c>
      <x:c r="J37" s="18" t="n">
        <x:v>36.84</x:v>
      </x:c>
      <x:c r="K37" s="18" t="n">
        <x:v>94.74</x:v>
      </x:c>
      <x:c r="L37" s="18" t="n">
        <x:v>0.368421</x:v>
      </x:c>
      <x:c r="M37" s="18" t="n">
        <x:v>0.947368</x:v>
      </x:c>
      <x:c r="N37" s="18" t="n">
        <x:v>0.657895</x:v>
      </x:c>
      <x:c r="O37" s="18" t="n">
        <x:v>22.84</x:v>
      </x:c>
      <x:c r="P37" s="18" t="n">
        <x:v>2668.64</x:v>
      </x:c>
      <x:c r="Q37" s="18" t="n">
        <x:v>118523.37</x:v>
      </x:c>
      <x:c r="R37" s="18" t="n">
        <x:v>2</x:v>
      </x:c>
      <x:c r="S37" s="18" t="n">
        <x:v>283562.6253</x:v>
      </x:c>
    </x:row>
    <x:row r="38">
      <x:c r="A38" s="17" t="str">
        <x:v>VEND-0135</x:v>
      </x:c>
      <x:c r="B38" s="17" t="str">
        <x:v>Riverbend Packaging</x:v>
      </x:c>
      <x:c r="C38" s="17" t="str">
        <x:v>Packaging</x:v>
      </x:c>
      <x:c r="D38" s="17" t="str">
        <x:v>US</x:v>
      </x:c>
      <x:c r="E38" s="18" t="n">
        <x:v>1</x:v>
      </x:c>
      <x:c r="F38" s="18" t="n">
        <x:v>19</x:v>
      </x:c>
      <x:c r="G38" s="18" t="n">
        <x:v>19</x:v>
      </x:c>
      <x:c r="H38" s="18" t="n">
        <x:v>7</x:v>
      </x:c>
      <x:c r="I38" s="18" t="n">
        <x:v>18</x:v>
      </x:c>
      <x:c r="J38" s="18" t="n">
        <x:v>36.84</x:v>
      </x:c>
      <x:c r="K38" s="18" t="n">
        <x:v>94.74</x:v>
      </x:c>
      <x:c r="L38" s="18" t="n">
        <x:v>0.368421</x:v>
      </x:c>
      <x:c r="M38" s="18" t="n">
        <x:v>0.947368</x:v>
      </x:c>
      <x:c r="N38" s="18" t="n">
        <x:v>0.657895</x:v>
      </x:c>
      <x:c r="O38" s="18" t="n">
        <x:v>45.53</x:v>
      </x:c>
      <x:c r="P38" s="18" t="n">
        <x:v>-134.24</x:v>
      </x:c>
      <x:c r="Q38" s="18" t="n">
        <x:v>97531.65</x:v>
      </x:c>
      <x:c r="R38" s="18" t="n">
        <x:v>3</x:v>
      </x:c>
      <x:c r="S38" s="18" t="n">
        <x:v>197531.5745</x:v>
      </x:c>
    </x:row>
    <x:row r="39">
      <x:c r="A39" s="17" t="str">
        <x:v>VEND-0035</x:v>
      </x:c>
      <x:c r="B39" s="17" t="str">
        <x:v>Clearpoint Packaging</x:v>
      </x:c>
      <x:c r="C39" s="17" t="str">
        <x:v>Packaging</x:v>
      </x:c>
      <x:c r="D39" s="17" t="str">
        <x:v>US</x:v>
      </x:c>
      <x:c r="E39" s="18" t="n">
        <x:v>1</x:v>
      </x:c>
      <x:c r="F39" s="18" t="n">
        <x:v>19</x:v>
      </x:c>
      <x:c r="G39" s="18" t="n">
        <x:v>19</x:v>
      </x:c>
      <x:c r="H39" s="18" t="n">
        <x:v>6</x:v>
      </x:c>
      <x:c r="I39" s="18" t="n">
        <x:v>19</x:v>
      </x:c>
      <x:c r="J39" s="18" t="n">
        <x:v>31.58</x:v>
      </x:c>
      <x:c r="K39" s="18" t="n">
        <x:v>100</x:v>
      </x:c>
      <x:c r="L39" s="18" t="n">
        <x:v>0.315789</x:v>
      </x:c>
      <x:c r="M39" s="18" t="n">
        <x:v>1</x:v>
      </x:c>
      <x:c r="N39" s="18" t="n">
        <x:v>0.657895</x:v>
      </x:c>
      <x:c r="O39" s="18" t="n">
        <x:v>29.63</x:v>
      </x:c>
      <x:c r="P39" s="18" t="n">
        <x:v>1679.29</x:v>
      </x:c>
      <x:c r="Q39" s="18" t="n">
        <x:v>126289.1</x:v>
      </x:c>
      <x:c r="R39" s="18" t="n">
        <x:v>3</x:v>
      </x:c>
      <x:c r="S39" s="18" t="n">
        <x:v>542441.082</x:v>
      </x:c>
    </x:row>
    <x:row r="40">
      <x:c r="A40" s="17" t="str">
        <x:v>VEND-0008</x:v>
      </x:c>
      <x:c r="B40" s="17" t="str">
        <x:v>Arcadia Industrial Supply</x:v>
      </x:c>
      <x:c r="C40" s="17" t="str">
        <x:v>MRO</x:v>
      </x:c>
      <x:c r="D40" s="17" t="str">
        <x:v>US</x:v>
      </x:c>
      <x:c r="E40" s="18" t="n">
        <x:v>0</x:v>
      </x:c>
      <x:c r="F40" s="18" t="n">
        <x:v>9</x:v>
      </x:c>
      <x:c r="G40" s="18" t="n">
        <x:v>9</x:v>
      </x:c>
      <x:c r="H40" s="18" t="n">
        <x:v>3</x:v>
      </x:c>
      <x:c r="I40" s="18" t="n">
        <x:v>9</x:v>
      </x:c>
      <x:c r="J40" s="18" t="n">
        <x:v>33.33</x:v>
      </x:c>
      <x:c r="K40" s="18" t="n">
        <x:v>100</x:v>
      </x:c>
      <x:c r="L40" s="18" t="n">
        <x:v>0.333333</x:v>
      </x:c>
      <x:c r="M40" s="18" t="n">
        <x:v>1</x:v>
      </x:c>
      <x:c r="N40" s="18" t="n">
        <x:v>0.666667</x:v>
      </x:c>
      <x:c r="O40" s="18" t="n">
        <x:v>45.44</x:v>
      </x:c>
      <x:c r="P40" s="18" t="n">
        <x:v>101.12</x:v>
      </x:c>
      <x:c r="Q40" s="18" t="n">
        <x:v>6187.55</x:v>
      </x:c>
      <x:c r="R40" s="18" t="n">
        <x:v>1</x:v>
      </x:c>
      <x:c r="S40" s="18" t="n">
        <x:v>30550.3377</x:v>
      </x:c>
    </x:row>
    <x:row r="41">
      <x:c r="A41" s="17" t="str">
        <x:v>VEND-0014</x:v>
      </x:c>
      <x:c r="B41" s="17" t="str">
        <x:v>Bayshore Advisory</x:v>
      </x:c>
      <x:c r="C41" s="17" t="str">
        <x:v>Professional Services</x:v>
      </x:c>
      <x:c r="D41" s="17" t="str">
        <x:v>CN</x:v>
      </x:c>
      <x:c r="E41" s="18" t="n">
        <x:v>0</x:v>
      </x:c>
      <x:c r="F41" s="18" t="n">
        <x:v>6</x:v>
      </x:c>
      <x:c r="G41" s="18" t="n">
        <x:v>6</x:v>
      </x:c>
      <x:c r="H41" s="18" t="n">
        <x:v>2</x:v>
      </x:c>
      <x:c r="I41" s="18" t="n">
        <x:v>6</x:v>
      </x:c>
      <x:c r="J41" s="18" t="n">
        <x:v>33.33</x:v>
      </x:c>
      <x:c r="K41" s="18" t="n">
        <x:v>100</x:v>
      </x:c>
      <x:c r="L41" s="18" t="n">
        <x:v>0.333333</x:v>
      </x:c>
      <x:c r="M41" s="18" t="n">
        <x:v>1</x:v>
      </x:c>
      <x:c r="N41" s="18" t="n">
        <x:v>0.666667</x:v>
      </x:c>
      <x:c r="O41" s="18" t="n">
        <x:v>33.83</x:v>
      </x:c>
      <x:c r="P41" s="18" t="n">
        <x:v>-307.59</x:v>
      </x:c>
      <x:c r="Q41" s="18" t="n">
        <x:v>20132.25</x:v>
      </x:c>
      <x:c r="R41" s="18" t="n">
        <x:v>3</x:v>
      </x:c>
      <x:c r="S41" s="18" t="n">
        <x:v>36560.3837</x:v>
      </x:c>
    </x:row>
    <x:row r="42">
      <x:c r="A42" s="17" t="str">
        <x:v>VEND-0047</x:v>
      </x:c>
      <x:c r="B42" s="17" t="str">
        <x:v>Crown Energy Services</x:v>
      </x:c>
      <x:c r="C42" s="17" t="str">
        <x:v>Utilities</x:v>
      </x:c>
      <x:c r="D42" s="17" t="str">
        <x:v>DE</x:v>
      </x:c>
      <x:c r="E42" s="18" t="n">
        <x:v>0</x:v>
      </x:c>
      <x:c r="F42" s="18" t="n">
        <x:v>3</x:v>
      </x:c>
      <x:c r="G42" s="18" t="n">
        <x:v>3</x:v>
      </x:c>
      <x:c r="H42" s="18" t="n">
        <x:v>1</x:v>
      </x:c>
      <x:c r="I42" s="18" t="n">
        <x:v>3</x:v>
      </x:c>
      <x:c r="J42" s="18" t="n">
        <x:v>33.33</x:v>
      </x:c>
      <x:c r="K42" s="18" t="n">
        <x:v>100</x:v>
      </x:c>
      <x:c r="L42" s="18" t="n">
        <x:v>0.333333</x:v>
      </x:c>
      <x:c r="M42" s="18" t="n">
        <x:v>1</x:v>
      </x:c>
      <x:c r="N42" s="18" t="n">
        <x:v>0.666667</x:v>
      </x:c>
      <x:c r="O42" s="18" t="n">
        <x:v>42.67</x:v>
      </x:c>
      <x:c r="P42" s="18" t="n">
        <x:v>1103.7</x:v>
      </x:c>
      <x:c r="Q42" s="18" t="n">
        <x:v>11498.02</x:v>
      </x:c>
      <x:c r="R42" s="18" t="n">
        <x:v>1</x:v>
      </x:c>
      <x:c r="S42" s="18" t="n">
        <x:v>35531.2887</x:v>
      </x:c>
    </x:row>
    <x:row r="43">
      <x:c r="A43" s="17" t="str">
        <x:v>VEND-0073</x:v>
      </x:c>
      <x:c r="B43" s="17" t="str">
        <x:v>Keystone Motion Components</x:v>
      </x:c>
      <x:c r="C43" s="17" t="str">
        <x:v>Bearings &amp; Mechanical</x:v>
      </x:c>
      <x:c r="D43" s="17" t="str">
        <x:v>MX</x:v>
      </x:c>
      <x:c r="E43" s="18" t="n">
        <x:v>0</x:v>
      </x:c>
      <x:c r="F43" s="18" t="n">
        <x:v>6</x:v>
      </x:c>
      <x:c r="G43" s="18" t="n">
        <x:v>6</x:v>
      </x:c>
      <x:c r="H43" s="18" t="n">
        <x:v>2</x:v>
      </x:c>
      <x:c r="I43" s="18" t="n">
        <x:v>6</x:v>
      </x:c>
      <x:c r="J43" s="18" t="n">
        <x:v>33.33</x:v>
      </x:c>
      <x:c r="K43" s="18" t="n">
        <x:v>100</x:v>
      </x:c>
      <x:c r="L43" s="18" t="n">
        <x:v>0.333333</x:v>
      </x:c>
      <x:c r="M43" s="18" t="n">
        <x:v>1</x:v>
      </x:c>
      <x:c r="N43" s="18" t="n">
        <x:v>0.666667</x:v>
      </x:c>
      <x:c r="O43" s="18" t="n">
        <x:v>19.67</x:v>
      </x:c>
      <x:c r="P43" s="18" t="n">
        <x:v>-440.75</x:v>
      </x:c>
      <x:c r="Q43" s="18" t="n">
        <x:v>13456.25</x:v>
      </x:c>
      <x:c r="R43" s="18" t="n">
        <x:v>1</x:v>
      </x:c>
      <x:c r="S43" s="18" t="n">
        <x:v>40429.5583</x:v>
      </x:c>
    </x:row>
    <x:row r="44">
      <x:c r="A44" s="17" t="str">
        <x:v>VEND-0083</x:v>
      </x:c>
      <x:c r="B44" s="17" t="str">
        <x:v>Lakefront Motion Components</x:v>
      </x:c>
      <x:c r="C44" s="17" t="str">
        <x:v>Bearings &amp; Mechanical</x:v>
      </x:c>
      <x:c r="D44" s="17" t="str">
        <x:v>DE</x:v>
      </x:c>
      <x:c r="E44" s="18" t="n">
        <x:v>0</x:v>
      </x:c>
      <x:c r="F44" s="18" t="n">
        <x:v>15</x:v>
      </x:c>
      <x:c r="G44" s="18" t="n">
        <x:v>15</x:v>
      </x:c>
      <x:c r="H44" s="18" t="n">
        <x:v>5</x:v>
      </x:c>
      <x:c r="I44" s="18" t="n">
        <x:v>15</x:v>
      </x:c>
      <x:c r="J44" s="18" t="n">
        <x:v>33.33</x:v>
      </x:c>
      <x:c r="K44" s="18" t="n">
        <x:v>100</x:v>
      </x:c>
      <x:c r="L44" s="18" t="n">
        <x:v>0.333333</x:v>
      </x:c>
      <x:c r="M44" s="18" t="n">
        <x:v>1</x:v>
      </x:c>
      <x:c r="N44" s="18" t="n">
        <x:v>0.666667</x:v>
      </x:c>
      <x:c r="O44" s="18" t="n">
        <x:v>22.27</x:v>
      </x:c>
      <x:c r="P44" s="18" t="n">
        <x:v>-107.24</x:v>
      </x:c>
      <x:c r="Q44" s="18" t="n">
        <x:v>1408.49</x:v>
      </x:c>
      <x:c r="R44" s="18" t="n">
        <x:v>3</x:v>
      </x:c>
      <x:c r="S44" s="18" t="n">
        <x:v>81722.1033</x:v>
      </x:c>
    </x:row>
    <x:row r="45">
      <x:c r="A45" s="17" t="str">
        <x:v>VEND-0115</x:v>
      </x:c>
      <x:c r="B45" s="17" t="str">
        <x:v>Prairie Packaging</x:v>
      </x:c>
      <x:c r="C45" s="17" t="str">
        <x:v>Packaging</x:v>
      </x:c>
      <x:c r="D45" s="17" t="str">
        <x:v>CA</x:v>
      </x:c>
      <x:c r="E45" s="18" t="n">
        <x:v>1</x:v>
      </x:c>
      <x:c r="F45" s="18" t="n">
        <x:v>27</x:v>
      </x:c>
      <x:c r="G45" s="18" t="n">
        <x:v>27</x:v>
      </x:c>
      <x:c r="H45" s="18" t="n">
        <x:v>9</x:v>
      </x:c>
      <x:c r="I45" s="18" t="n">
        <x:v>27</x:v>
      </x:c>
      <x:c r="J45" s="18" t="n">
        <x:v>33.33</x:v>
      </x:c>
      <x:c r="K45" s="18" t="n">
        <x:v>100</x:v>
      </x:c>
      <x:c r="L45" s="18" t="n">
        <x:v>0.333333</x:v>
      </x:c>
      <x:c r="M45" s="18" t="n">
        <x:v>1</x:v>
      </x:c>
      <x:c r="N45" s="18" t="n">
        <x:v>0.666667</x:v>
      </x:c>
      <x:c r="O45" s="18" t="n">
        <x:v>38.74</x:v>
      </x:c>
      <x:c r="P45" s="18" t="n">
        <x:v>3466.57</x:v>
      </x:c>
      <x:c r="Q45" s="18" t="n">
        <x:v>65443.98</x:v>
      </x:c>
      <x:c r="R45" s="18" t="n">
        <x:v>2</x:v>
      </x:c>
      <x:c r="S45" s="18" t="n">
        <x:v>526225.445</x:v>
      </x:c>
    </x:row>
    <x:row r="46">
      <x:c r="A46" s="17" t="str">
        <x:v>VEND-0123</x:v>
      </x:c>
      <x:c r="B46" s="17" t="str">
        <x:v>Redstone Motion Components</x:v>
      </x:c>
      <x:c r="C46" s="17" t="str">
        <x:v>Bearings &amp; Mechanical</x:v>
      </x:c>
      <x:c r="D46" s="17" t="str">
        <x:v>JP</x:v>
      </x:c>
      <x:c r="E46" s="18" t="n">
        <x:v>0</x:v>
      </x:c>
      <x:c r="F46" s="18" t="n">
        <x:v>3</x:v>
      </x:c>
      <x:c r="G46" s="18" t="n">
        <x:v>3</x:v>
      </x:c>
      <x:c r="H46" s="18" t="n">
        <x:v>2</x:v>
      </x:c>
      <x:c r="I46" s="18" t="n">
        <x:v>2</x:v>
      </x:c>
      <x:c r="J46" s="18" t="n">
        <x:v>66.67</x:v>
      </x:c>
      <x:c r="K46" s="18" t="n">
        <x:v>66.67</x:v>
      </x:c>
      <x:c r="L46" s="18" t="n">
        <x:v>0.666667</x:v>
      </x:c>
      <x:c r="M46" s="18" t="n">
        <x:v>0.666667</x:v>
      </x:c>
      <x:c r="N46" s="18" t="n">
        <x:v>0.666667</x:v>
      </x:c>
      <x:c r="O46" s="18" t="n">
        <x:v>10.67</x:v>
      </x:c>
      <x:c r="P46" s="18" t="n">
        <x:v>700.35</x:v>
      </x:c>
      <x:c r="Q46" s="18" t="n">
        <x:v>11070.47</x:v>
      </x:c>
      <x:c r="R46" s="18" t="n">
        <x:v>1</x:v>
      </x:c>
      <x:c r="S46" s="18" t="n">
        <x:v>19736.307</x:v>
      </x:c>
    </x:row>
    <x:row r="47">
      <x:c r="A47" s="17" t="str">
        <x:v>VEND-0087</x:v>
      </x:c>
      <x:c r="B47" s="17" t="str">
        <x:v>Landmark Energy Services</x:v>
      </x:c>
      <x:c r="C47" s="17" t="str">
        <x:v>Utilities</x:v>
      </x:c>
      <x:c r="D47" s="17" t="str">
        <x:v>JP</x:v>
      </x:c>
      <x:c r="E47" s="18" t="n">
        <x:v>0</x:v>
      </x:c>
      <x:c r="F47" s="18" t="n">
        <x:v>17</x:v>
      </x:c>
      <x:c r="G47" s="18" t="n">
        <x:v>17</x:v>
      </x:c>
      <x:c r="H47" s="18" t="n">
        <x:v>6</x:v>
      </x:c>
      <x:c r="I47" s="18" t="n">
        <x:v>17</x:v>
      </x:c>
      <x:c r="J47" s="18" t="n">
        <x:v>35.29</x:v>
      </x:c>
      <x:c r="K47" s="18" t="n">
        <x:v>100</x:v>
      </x:c>
      <x:c r="L47" s="18" t="n">
        <x:v>0.352941</x:v>
      </x:c>
      <x:c r="M47" s="18" t="n">
        <x:v>1</x:v>
      </x:c>
      <x:c r="N47" s="18" t="n">
        <x:v>0.676471</x:v>
      </x:c>
      <x:c r="O47" s="18" t="n">
        <x:v>32.88</x:v>
      </x:c>
      <x:c r="P47" s="18" t="n">
        <x:v>453.66</x:v>
      </x:c>
      <x:c r="Q47" s="18" t="n">
        <x:v>37010.97</x:v>
      </x:c>
      <x:c r="R47" s="18" t="n">
        <x:v>2</x:v>
      </x:c>
      <x:c r="S47" s="18" t="n">
        <x:v>85300.185</x:v>
      </x:c>
    </x:row>
    <x:row r="48">
      <x:c r="A48" s="17" t="str">
        <x:v>VEND-0117</x:v>
      </x:c>
      <x:c r="B48" s="17" t="str">
        <x:v>Prairie Energy Services</x:v>
      </x:c>
      <x:c r="C48" s="17" t="str">
        <x:v>Utilities</x:v>
      </x:c>
      <x:c r="D48" s="17" t="str">
        <x:v>US</x:v>
      </x:c>
      <x:c r="E48" s="18" t="n">
        <x:v>0</x:v>
      </x:c>
      <x:c r="F48" s="18" t="n">
        <x:v>17</x:v>
      </x:c>
      <x:c r="G48" s="18" t="n">
        <x:v>17</x:v>
      </x:c>
      <x:c r="H48" s="18" t="n">
        <x:v>7</x:v>
      </x:c>
      <x:c r="I48" s="18" t="n">
        <x:v>16</x:v>
      </x:c>
      <x:c r="J48" s="18" t="n">
        <x:v>41.18</x:v>
      </x:c>
      <x:c r="K48" s="18" t="n">
        <x:v>94.12</x:v>
      </x:c>
      <x:c r="L48" s="18" t="n">
        <x:v>0.411765</x:v>
      </x:c>
      <x:c r="M48" s="18" t="n">
        <x:v>0.941176</x:v>
      </x:c>
      <x:c r="N48" s="18" t="n">
        <x:v>0.676471</x:v>
      </x:c>
      <x:c r="O48" s="18" t="n">
        <x:v>28.65</x:v>
      </x:c>
      <x:c r="P48" s="18" t="n">
        <x:v>1051.91</x:v>
      </x:c>
      <x:c r="Q48" s="18" t="n">
        <x:v>48651.67</x:v>
      </x:c>
      <x:c r="R48" s="18" t="n">
        <x:v>2</x:v>
      </x:c>
      <x:c r="S48" s="18" t="n">
        <x:v>236020.852</x:v>
      </x:c>
    </x:row>
    <x:row r="49">
      <x:c r="A49" s="17" t="str">
        <x:v>VEND-0161</x:v>
      </x:c>
      <x:c r="B49" s="17" t="str">
        <x:v>Tri-County Logistics</x:v>
      </x:c>
      <x:c r="C49" s="17" t="str">
        <x:v>Freight</x:v>
      </x:c>
      <x:c r="D49" s="17" t="str">
        <x:v>US</x:v>
      </x:c>
      <x:c r="E49" s="18" t="n">
        <x:v>0</x:v>
      </x:c>
      <x:c r="F49" s="18" t="n">
        <x:v>34</x:v>
      </x:c>
      <x:c r="G49" s="18" t="n">
        <x:v>34</x:v>
      </x:c>
      <x:c r="H49" s="18" t="n">
        <x:v>12</x:v>
      </x:c>
      <x:c r="I49" s="18" t="n">
        <x:v>34</x:v>
      </x:c>
      <x:c r="J49" s="18" t="n">
        <x:v>35.29</x:v>
      </x:c>
      <x:c r="K49" s="18" t="n">
        <x:v>100</x:v>
      </x:c>
      <x:c r="L49" s="18" t="n">
        <x:v>0.352941</x:v>
      </x:c>
      <x:c r="M49" s="18" t="n">
        <x:v>1</x:v>
      </x:c>
      <x:c r="N49" s="18" t="n">
        <x:v>0.676471</x:v>
      </x:c>
      <x:c r="O49" s="18" t="n">
        <x:v>26.35</x:v>
      </x:c>
      <x:c r="P49" s="18" t="n">
        <x:v>-1376.16</x:v>
      </x:c>
      <x:c r="Q49" s="18" t="n">
        <x:v>123994.14</x:v>
      </x:c>
      <x:c r="R49" s="18" t="n">
        <x:v>3</x:v>
      </x:c>
      <x:c r="S49" s="18" t="n">
        <x:v>382878.2635</x:v>
      </x:c>
    </x:row>
    <x:row r="50">
      <x:c r="A50" s="17" t="str">
        <x:v>VEND-0170</x:v>
      </x:c>
      <x:c r="B50" s="17" t="str">
        <x:v>Westfield Metals</x:v>
      </x:c>
      <x:c r="C50" s="17" t="str">
        <x:v>Metals</x:v>
      </x:c>
      <x:c r="D50" s="17" t="str">
        <x:v>US</x:v>
      </x:c>
      <x:c r="E50" s="18" t="n">
        <x:v>1</x:v>
      </x:c>
      <x:c r="F50" s="18" t="n">
        <x:v>17</x:v>
      </x:c>
      <x:c r="G50" s="18" t="n">
        <x:v>17</x:v>
      </x:c>
      <x:c r="H50" s="18" t="n">
        <x:v>7</x:v>
      </x:c>
      <x:c r="I50" s="18" t="n">
        <x:v>16</x:v>
      </x:c>
      <x:c r="J50" s="18" t="n">
        <x:v>41.18</x:v>
      </x:c>
      <x:c r="K50" s="18" t="n">
        <x:v>94.12</x:v>
      </x:c>
      <x:c r="L50" s="18" t="n">
        <x:v>0.411765</x:v>
      </x:c>
      <x:c r="M50" s="18" t="n">
        <x:v>0.941176</x:v>
      </x:c>
      <x:c r="N50" s="18" t="n">
        <x:v>0.676471</x:v>
      </x:c>
      <x:c r="O50" s="18" t="n">
        <x:v>24.12</x:v>
      </x:c>
      <x:c r="P50" s="18" t="n">
        <x:v>651.41</x:v>
      </x:c>
      <x:c r="Q50" s="18" t="n">
        <x:v>53604.54</x:v>
      </x:c>
      <x:c r="R50" s="18" t="n">
        <x:v>3</x:v>
      </x:c>
      <x:c r="S50" s="18" t="n">
        <x:v>285053.8522</x:v>
      </x:c>
    </x:row>
    <x:row r="51">
      <x:c r="A51" s="17" t="str">
        <x:v>VEND-0013</x:v>
      </x:c>
      <x:c r="B51" s="17" t="str">
        <x:v>Bayshore Motion Components</x:v>
      </x:c>
      <x:c r="C51" s="17" t="str">
        <x:v>Bearings &amp; Mechanical</x:v>
      </x:c>
      <x:c r="D51" s="17" t="str">
        <x:v>US</x:v>
      </x:c>
      <x:c r="E51" s="18" t="n">
        <x:v>0</x:v>
      </x:c>
      <x:c r="F51" s="18" t="n">
        <x:v>28</x:v>
      </x:c>
      <x:c r="G51" s="18" t="n">
        <x:v>28</x:v>
      </x:c>
      <x:c r="H51" s="18" t="n">
        <x:v>11</x:v>
      </x:c>
      <x:c r="I51" s="18" t="n">
        <x:v>27</x:v>
      </x:c>
      <x:c r="J51" s="18" t="n">
        <x:v>39.29</x:v>
      </x:c>
      <x:c r="K51" s="18" t="n">
        <x:v>96.43</x:v>
      </x:c>
      <x:c r="L51" s="18" t="n">
        <x:v>0.392857</x:v>
      </x:c>
      <x:c r="M51" s="18" t="n">
        <x:v>0.964286</x:v>
      </x:c>
      <x:c r="N51" s="18" t="n">
        <x:v>0.678571</x:v>
      </x:c>
      <x:c r="O51" s="18" t="n">
        <x:v>26.29</x:v>
      </x:c>
      <x:c r="P51" s="18" t="n">
        <x:v>3735.62</x:v>
      </x:c>
      <x:c r="Q51" s="18" t="n">
        <x:v>70348.72</x:v>
      </x:c>
      <x:c r="R51" s="18" t="n">
        <x:v>2</x:v>
      </x:c>
      <x:c r="S51" s="18" t="n">
        <x:v>735221.4622</x:v>
      </x:c>
    </x:row>
    <x:row r="52">
      <x:c r="A52" s="17" t="str">
        <x:v>VEND-0150</x:v>
      </x:c>
      <x:c r="B52" s="17" t="str">
        <x:v>Stonebridge Metals</x:v>
      </x:c>
      <x:c r="C52" s="17" t="str">
        <x:v>Metals</x:v>
      </x:c>
      <x:c r="D52" s="17" t="str">
        <x:v>JP</x:v>
      </x:c>
      <x:c r="E52" s="18" t="n">
        <x:v>1</x:v>
      </x:c>
      <x:c r="F52" s="18" t="n">
        <x:v>19</x:v>
      </x:c>
      <x:c r="G52" s="18" t="n">
        <x:v>19</x:v>
      </x:c>
      <x:c r="H52" s="18" t="n">
        <x:v>7</x:v>
      </x:c>
      <x:c r="I52" s="18" t="n">
        <x:v>19</x:v>
      </x:c>
      <x:c r="J52" s="18" t="n">
        <x:v>36.84</x:v>
      </x:c>
      <x:c r="K52" s="18" t="n">
        <x:v>100</x:v>
      </x:c>
      <x:c r="L52" s="18" t="n">
        <x:v>0.368421</x:v>
      </x:c>
      <x:c r="M52" s="18" t="n">
        <x:v>1</x:v>
      </x:c>
      <x:c r="N52" s="18" t="n">
        <x:v>0.684211</x:v>
      </x:c>
      <x:c r="O52" s="18" t="n">
        <x:v>51.68</x:v>
      </x:c>
      <x:c r="P52" s="18" t="n">
        <x:v>-5665.25</x:v>
      </x:c>
      <x:c r="Q52" s="18" t="n">
        <x:v>84282.9</x:v>
      </x:c>
      <x:c r="R52" s="18" t="n">
        <x:v>3</x:v>
      </x:c>
      <x:c r="S52" s="18" t="n">
        <x:v>238567.2767</x:v>
      </x:c>
    </x:row>
    <x:row r="53">
      <x:c r="A53" s="17" t="str">
        <x:v>VEND-0057</x:v>
      </x:c>
      <x:c r="B53" s="17" t="str">
        <x:v>Fairview Energy Services</x:v>
      </x:c>
      <x:c r="C53" s="17" t="str">
        <x:v>Utilities</x:v>
      </x:c>
      <x:c r="D53" s="17" t="str">
        <x:v>US</x:v>
      </x:c>
      <x:c r="E53" s="18" t="n">
        <x:v>0</x:v>
      </x:c>
      <x:c r="F53" s="18" t="n">
        <x:v>16</x:v>
      </x:c>
      <x:c r="G53" s="18" t="n">
        <x:v>16</x:v>
      </x:c>
      <x:c r="H53" s="18" t="n">
        <x:v>6</x:v>
      </x:c>
      <x:c r="I53" s="18" t="n">
        <x:v>16</x:v>
      </x:c>
      <x:c r="J53" s="18" t="n">
        <x:v>37.5</x:v>
      </x:c>
      <x:c r="K53" s="18" t="n">
        <x:v>100</x:v>
      </x:c>
      <x:c r="L53" s="18" t="n">
        <x:v>0.375</x:v>
      </x:c>
      <x:c r="M53" s="18" t="n">
        <x:v>1</x:v>
      </x:c>
      <x:c r="N53" s="18" t="n">
        <x:v>0.6875</x:v>
      </x:c>
      <x:c r="O53" s="18" t="n">
        <x:v>49.94</x:v>
      </x:c>
      <x:c r="P53" s="18" t="n">
        <x:v>-1385.56</x:v>
      </x:c>
      <x:c r="Q53" s="18" t="n">
        <x:v>23738.77</x:v>
      </x:c>
      <x:c r="R53" s="18" t="n">
        <x:v>3</x:v>
      </x:c>
      <x:c r="S53" s="18" t="n">
        <x:v>140286.6804</x:v>
      </x:c>
    </x:row>
    <x:row r="54">
      <x:c r="A54" s="17" t="str">
        <x:v>VEND-0068</x:v>
      </x:c>
      <x:c r="B54" s="17" t="str">
        <x:v>Horizon Industrial Supply</x:v>
      </x:c>
      <x:c r="C54" s="17" t="str">
        <x:v>MRO</x:v>
      </x:c>
      <x:c r="D54" s="17" t="str">
        <x:v>CN</x:v>
      </x:c>
      <x:c r="E54" s="18" t="n">
        <x:v>0</x:v>
      </x:c>
      <x:c r="F54" s="18" t="n">
        <x:v>16</x:v>
      </x:c>
      <x:c r="G54" s="18" t="n">
        <x:v>16</x:v>
      </x:c>
      <x:c r="H54" s="18" t="n">
        <x:v>6</x:v>
      </x:c>
      <x:c r="I54" s="18" t="n">
        <x:v>16</x:v>
      </x:c>
      <x:c r="J54" s="18" t="n">
        <x:v>37.5</x:v>
      </x:c>
      <x:c r="K54" s="18" t="n">
        <x:v>100</x:v>
      </x:c>
      <x:c r="L54" s="18" t="n">
        <x:v>0.375</x:v>
      </x:c>
      <x:c r="M54" s="18" t="n">
        <x:v>1</x:v>
      </x:c>
      <x:c r="N54" s="18" t="n">
        <x:v>0.6875</x:v>
      </x:c>
      <x:c r="O54" s="18" t="n">
        <x:v>24.25</x:v>
      </x:c>
      <x:c r="P54" s="18" t="n">
        <x:v>-1587.08</x:v>
      </x:c>
      <x:c r="Q54" s="18" t="n">
        <x:v>107499.98</x:v>
      </x:c>
      <x:c r="R54" s="18" t="n">
        <x:v>3</x:v>
      </x:c>
      <x:c r="S54" s="18" t="n">
        <x:v>232560.8428</x:v>
      </x:c>
    </x:row>
    <x:row r="55">
      <x:c r="A55" s="17" t="str">
        <x:v>VEND-0097</x:v>
      </x:c>
      <x:c r="B55" s="17" t="str">
        <x:v>Oak River Energy Services</x:v>
      </x:c>
      <x:c r="C55" s="17" t="str">
        <x:v>Utilities</x:v>
      </x:c>
      <x:c r="D55" s="17" t="str">
        <x:v>CA</x:v>
      </x:c>
      <x:c r="E55" s="18" t="n">
        <x:v>0</x:v>
      </x:c>
      <x:c r="F55" s="18" t="n">
        <x:v>8</x:v>
      </x:c>
      <x:c r="G55" s="18" t="n">
        <x:v>8</x:v>
      </x:c>
      <x:c r="H55" s="18" t="n">
        <x:v>3</x:v>
      </x:c>
      <x:c r="I55" s="18" t="n">
        <x:v>8</x:v>
      </x:c>
      <x:c r="J55" s="18" t="n">
        <x:v>37.5</x:v>
      </x:c>
      <x:c r="K55" s="18" t="n">
        <x:v>100</x:v>
      </x:c>
      <x:c r="L55" s="18" t="n">
        <x:v>0.375</x:v>
      </x:c>
      <x:c r="M55" s="18" t="n">
        <x:v>1</x:v>
      </x:c>
      <x:c r="N55" s="18" t="n">
        <x:v>0.6875</x:v>
      </x:c>
      <x:c r="O55" s="18" t="n">
        <x:v>54.63</x:v>
      </x:c>
      <x:c r="P55" s="18" t="n">
        <x:v>129.11</x:v>
      </x:c>
      <x:c r="Q55" s="18" t="n">
        <x:v>13860.84</x:v>
      </x:c>
      <x:c r="R55" s="18" t="n">
        <x:v>1</x:v>
      </x:c>
      <x:c r="S55" s="18" t="n">
        <x:v>45097.9208</x:v>
      </x:c>
    </x:row>
    <x:row r="56">
      <x:c r="A56" s="17" t="str">
        <x:v>VEND-0139</x:v>
      </x:c>
      <x:c r="B56" s="17" t="str">
        <x:v>Seaboard Controls</x:v>
      </x:c>
      <x:c r="C56" s="17" t="str">
        <x:v>Electronics</x:v>
      </x:c>
      <x:c r="D56" s="17" t="str">
        <x:v>US</x:v>
      </x:c>
      <x:c r="E56" s="18" t="n">
        <x:v>0</x:v>
      </x:c>
      <x:c r="F56" s="18" t="n">
        <x:v>24</x:v>
      </x:c>
      <x:c r="G56" s="18" t="n">
        <x:v>24</x:v>
      </x:c>
      <x:c r="H56" s="18" t="n">
        <x:v>10</x:v>
      </x:c>
      <x:c r="I56" s="18" t="n">
        <x:v>23</x:v>
      </x:c>
      <x:c r="J56" s="18" t="n">
        <x:v>41.67</x:v>
      </x:c>
      <x:c r="K56" s="18" t="n">
        <x:v>95.83</x:v>
      </x:c>
      <x:c r="L56" s="18" t="n">
        <x:v>0.416667</x:v>
      </x:c>
      <x:c r="M56" s="18" t="n">
        <x:v>0.958333</x:v>
      </x:c>
      <x:c r="N56" s="18" t="n">
        <x:v>0.6875</x:v>
      </x:c>
      <x:c r="O56" s="18" t="n">
        <x:v>40.13</x:v>
      </x:c>
      <x:c r="P56" s="18" t="n">
        <x:v>-117.52</x:v>
      </x:c>
      <x:c r="Q56" s="18" t="n">
        <x:v>24059.97</x:v>
      </x:c>
      <x:c r="R56" s="18" t="n">
        <x:v>2</x:v>
      </x:c>
      <x:c r="S56" s="18" t="n">
        <x:v>266854.7202</x:v>
      </x:c>
    </x:row>
    <x:row r="57">
      <x:c r="A57" s="17" t="str">
        <x:v>VEND-0152</x:v>
      </x:c>
      <x:c r="B57" s="17" t="str">
        <x:v>Summit Surface Technologies</x:v>
      </x:c>
      <x:c r="C57" s="17" t="str">
        <x:v>Outside Processing</x:v>
      </x:c>
      <x:c r="D57" s="17" t="str">
        <x:v>US</x:v>
      </x:c>
      <x:c r="E57" s="18" t="n">
        <x:v>0</x:v>
      </x:c>
      <x:c r="F57" s="18" t="n">
        <x:v>16</x:v>
      </x:c>
      <x:c r="G57" s="18" t="n">
        <x:v>16</x:v>
      </x:c>
      <x:c r="H57" s="18" t="n">
        <x:v>6</x:v>
      </x:c>
      <x:c r="I57" s="18" t="n">
        <x:v>16</x:v>
      </x:c>
      <x:c r="J57" s="18" t="n">
        <x:v>37.5</x:v>
      </x:c>
      <x:c r="K57" s="18" t="n">
        <x:v>100</x:v>
      </x:c>
      <x:c r="L57" s="18" t="n">
        <x:v>0.375</x:v>
      </x:c>
      <x:c r="M57" s="18" t="n">
        <x:v>1</x:v>
      </x:c>
      <x:c r="N57" s="18" t="n">
        <x:v>0.6875</x:v>
      </x:c>
      <x:c r="O57" s="18" t="n">
        <x:v>45.44</x:v>
      </x:c>
      <x:c r="P57" s="18" t="n">
        <x:v>-1101.37</x:v>
      </x:c>
      <x:c r="Q57" s="18" t="n">
        <x:v>91467.98</x:v>
      </x:c>
      <x:c r="R57" s="18" t="n">
        <x:v>2</x:v>
      </x:c>
      <x:c r="S57" s="18" t="n">
        <x:v>255156.5849</x:v>
      </x:c>
    </x:row>
    <x:row r="58">
      <x:c r="A58" s="17" t="str">
        <x:v>VEND-0154</x:v>
      </x:c>
      <x:c r="B58" s="17" t="str">
        <x:v>Summit Advisory</x:v>
      </x:c>
      <x:c r="C58" s="17" t="str">
        <x:v>Professional Services</x:v>
      </x:c>
      <x:c r="D58" s="17" t="str">
        <x:v>MX</x:v>
      </x:c>
      <x:c r="E58" s="18" t="n">
        <x:v>0</x:v>
      </x:c>
      <x:c r="F58" s="18" t="n">
        <x:v>24</x:v>
      </x:c>
      <x:c r="G58" s="18" t="n">
        <x:v>24</x:v>
      </x:c>
      <x:c r="H58" s="18" t="n">
        <x:v>9</x:v>
      </x:c>
      <x:c r="I58" s="18" t="n">
        <x:v>24</x:v>
      </x:c>
      <x:c r="J58" s="18" t="n">
        <x:v>37.5</x:v>
      </x:c>
      <x:c r="K58" s="18" t="n">
        <x:v>100</x:v>
      </x:c>
      <x:c r="L58" s="18" t="n">
        <x:v>0.375</x:v>
      </x:c>
      <x:c r="M58" s="18" t="n">
        <x:v>1</x:v>
      </x:c>
      <x:c r="N58" s="18" t="n">
        <x:v>0.6875</x:v>
      </x:c>
      <x:c r="O58" s="18" t="n">
        <x:v>39.13</x:v>
      </x:c>
      <x:c r="P58" s="18" t="n">
        <x:v>-5993.17</x:v>
      </x:c>
      <x:c r="Q58" s="18" t="n">
        <x:v>130766.92</x:v>
      </x:c>
      <x:c r="R58" s="18" t="n">
        <x:v>2</x:v>
      </x:c>
      <x:c r="S58" s="18" t="n">
        <x:v>458492.9578</x:v>
      </x:c>
    </x:row>
    <x:row r="59">
      <x:c r="A59" s="17" t="str">
        <x:v>VEND-0175</x:v>
      </x:c>
      <x:c r="B59" s="17" t="str">
        <x:v>Woodcrest Packaging</x:v>
      </x:c>
      <x:c r="C59" s="17" t="str">
        <x:v>Packaging</x:v>
      </x:c>
      <x:c r="D59" s="17" t="str">
        <x:v>US</x:v>
      </x:c>
      <x:c r="E59" s="18" t="n">
        <x:v>1</x:v>
      </x:c>
      <x:c r="F59" s="18" t="n">
        <x:v>8</x:v>
      </x:c>
      <x:c r="G59" s="18" t="n">
        <x:v>8</x:v>
      </x:c>
      <x:c r="H59" s="18" t="n">
        <x:v>3</x:v>
      </x:c>
      <x:c r="I59" s="18" t="n">
        <x:v>8</x:v>
      </x:c>
      <x:c r="J59" s="18" t="n">
        <x:v>37.5</x:v>
      </x:c>
      <x:c r="K59" s="18" t="n">
        <x:v>100</x:v>
      </x:c>
      <x:c r="L59" s="18" t="n">
        <x:v>0.375</x:v>
      </x:c>
      <x:c r="M59" s="18" t="n">
        <x:v>1</x:v>
      </x:c>
      <x:c r="N59" s="18" t="n">
        <x:v>0.6875</x:v>
      </x:c>
      <x:c r="O59" s="18" t="n">
        <x:v>41.25</x:v>
      </x:c>
      <x:c r="P59" s="18" t="n">
        <x:v>59.37</x:v>
      </x:c>
      <x:c r="Q59" s="18" t="n">
        <x:v>10292.69</x:v>
      </x:c>
      <x:c r="R59" s="18" t="n">
        <x:v>1</x:v>
      </x:c>
      <x:c r="S59" s="18" t="n">
        <x:v>76528.1328</x:v>
      </x:c>
    </x:row>
    <x:row r="60">
      <x:c r="A60" s="17" t="str">
        <x:v>VEND-0050</x:v>
      </x:c>
      <x:c r="B60" s="17" t="str">
        <x:v>Easton Metals</x:v>
      </x:c>
      <x:c r="C60" s="17" t="str">
        <x:v>Metals</x:v>
      </x:c>
      <x:c r="D60" s="17" t="str">
        <x:v>CN</x:v>
      </x:c>
      <x:c r="E60" s="18" t="n">
        <x:v>1</x:v>
      </x:c>
      <x:c r="F60" s="18" t="n">
        <x:v>13</x:v>
      </x:c>
      <x:c r="G60" s="18" t="n">
        <x:v>13</x:v>
      </x:c>
      <x:c r="H60" s="18" t="n">
        <x:v>5</x:v>
      </x:c>
      <x:c r="I60" s="18" t="n">
        <x:v>13</x:v>
      </x:c>
      <x:c r="J60" s="18" t="n">
        <x:v>38.46</x:v>
      </x:c>
      <x:c r="K60" s="18" t="n">
        <x:v>100</x:v>
      </x:c>
      <x:c r="L60" s="18" t="n">
        <x:v>0.384615</x:v>
      </x:c>
      <x:c r="M60" s="18" t="n">
        <x:v>1</x:v>
      </x:c>
      <x:c r="N60" s="18" t="n">
        <x:v>0.692308</x:v>
      </x:c>
      <x:c r="O60" s="18" t="n">
        <x:v>43.15</x:v>
      </x:c>
      <x:c r="P60" s="18" t="n">
        <x:v>1483.23</x:v>
      </x:c>
      <x:c r="Q60" s="18" t="n">
        <x:v>154686.51</x:v>
      </x:c>
      <x:c r="R60" s="18" t="n">
        <x:v>2</x:v>
      </x:c>
      <x:c r="S60" s="18" t="n">
        <x:v>199440.8538</x:v>
      </x:c>
    </x:row>
    <x:row r="61">
      <x:c r="A61" s="17" t="str">
        <x:v>VEND-0180</x:v>
      </x:c>
      <x:c r="B61" s="17" t="str">
        <x:v>Woodcrest Metals</x:v>
      </x:c>
      <x:c r="C61" s="17" t="str">
        <x:v>Metals</x:v>
      </x:c>
      <x:c r="D61" s="17" t="str">
        <x:v>US</x:v>
      </x:c>
      <x:c r="E61" s="18" t="n">
        <x:v>1</x:v>
      </x:c>
      <x:c r="F61" s="18" t="n">
        <x:v>13</x:v>
      </x:c>
      <x:c r="G61" s="18" t="n">
        <x:v>13</x:v>
      </x:c>
      <x:c r="H61" s="18" t="n">
        <x:v>5</x:v>
      </x:c>
      <x:c r="I61" s="18" t="n">
        <x:v>13</x:v>
      </x:c>
      <x:c r="J61" s="18" t="n">
        <x:v>38.46</x:v>
      </x:c>
      <x:c r="K61" s="18" t="n">
        <x:v>100</x:v>
      </x:c>
      <x:c r="L61" s="18" t="n">
        <x:v>0.384615</x:v>
      </x:c>
      <x:c r="M61" s="18" t="n">
        <x:v>1</x:v>
      </x:c>
      <x:c r="N61" s="18" t="n">
        <x:v>0.692308</x:v>
      </x:c>
      <x:c r="O61" s="18" t="n">
        <x:v>20.23</x:v>
      </x:c>
      <x:c r="P61" s="18" t="n">
        <x:v>-2388.69</x:v>
      </x:c>
      <x:c r="Q61" s="18" t="n">
        <x:v>33671.22</x:v>
      </x:c>
      <x:c r="R61" s="18" t="n">
        <x:v>2</x:v>
      </x:c>
      <x:c r="S61" s="18" t="n">
        <x:v>282144.5024</x:v>
      </x:c>
    </x:row>
    <x:row r="62">
      <x:c r="A62" s="17" t="str">
        <x:v>VEND-0063</x:v>
      </x:c>
      <x:c r="B62" s="17" t="str">
        <x:v>Great Lakes Motion Components</x:v>
      </x:c>
      <x:c r="C62" s="17" t="str">
        <x:v>Bearings &amp; Mechanical</x:v>
      </x:c>
      <x:c r="D62" s="17" t="str">
        <x:v>US</x:v>
      </x:c>
      <x:c r="E62" s="18" t="n">
        <x:v>0</x:v>
      </x:c>
      <x:c r="F62" s="18" t="n">
        <x:v>18</x:v>
      </x:c>
      <x:c r="G62" s="18" t="n">
        <x:v>18</x:v>
      </x:c>
      <x:c r="H62" s="18" t="n">
        <x:v>7</x:v>
      </x:c>
      <x:c r="I62" s="18" t="n">
        <x:v>18</x:v>
      </x:c>
      <x:c r="J62" s="18" t="n">
        <x:v>38.89</x:v>
      </x:c>
      <x:c r="K62" s="18" t="n">
        <x:v>100</x:v>
      </x:c>
      <x:c r="L62" s="18" t="n">
        <x:v>0.388889</x:v>
      </x:c>
      <x:c r="M62" s="18" t="n">
        <x:v>1</x:v>
      </x:c>
      <x:c r="N62" s="18" t="n">
        <x:v>0.694444</x:v>
      </x:c>
      <x:c r="O62" s="18" t="n">
        <x:v>43.72</x:v>
      </x:c>
      <x:c r="P62" s="18" t="n">
        <x:v>-335.85</x:v>
      </x:c>
      <x:c r="Q62" s="18" t="n">
        <x:v>64116.93</x:v>
      </x:c>
      <x:c r="R62" s="18" t="n">
        <x:v>2</x:v>
      </x:c>
      <x:c r="S62" s="18" t="n">
        <x:v>165695.0445</x:v>
      </x:c>
    </x:row>
    <x:row r="63">
      <x:c r="A63" s="17" t="str">
        <x:v>VEND-0143</x:v>
      </x:c>
      <x:c r="B63" s="17" t="str">
        <x:v>Seaboard Motion Components</x:v>
      </x:c>
      <x:c r="C63" s="17" t="str">
        <x:v>Bearings &amp; Mechanical</x:v>
      </x:c>
      <x:c r="D63" s="17" t="str">
        <x:v>US</x:v>
      </x:c>
      <x:c r="E63" s="18" t="n">
        <x:v>0</x:v>
      </x:c>
      <x:c r="F63" s="18" t="n">
        <x:v>18</x:v>
      </x:c>
      <x:c r="G63" s="18" t="n">
        <x:v>18</x:v>
      </x:c>
      <x:c r="H63" s="18" t="n">
        <x:v>8</x:v>
      </x:c>
      <x:c r="I63" s="18" t="n">
        <x:v>17</x:v>
      </x:c>
      <x:c r="J63" s="18" t="n">
        <x:v>44.44</x:v>
      </x:c>
      <x:c r="K63" s="18" t="n">
        <x:v>94.44</x:v>
      </x:c>
      <x:c r="L63" s="18" t="n">
        <x:v>0.444444</x:v>
      </x:c>
      <x:c r="M63" s="18" t="n">
        <x:v>0.944444</x:v>
      </x:c>
      <x:c r="N63" s="18" t="n">
        <x:v>0.694444</x:v>
      </x:c>
      <x:c r="O63" s="18" t="n">
        <x:v>41.56</x:v>
      </x:c>
      <x:c r="P63" s="18" t="n">
        <x:v>1047.49</x:v>
      </x:c>
      <x:c r="Q63" s="18" t="n">
        <x:v>75638.3</x:v>
      </x:c>
      <x:c r="R63" s="18" t="n">
        <x:v>2</x:v>
      </x:c>
      <x:c r="S63" s="18" t="n">
        <x:v>167074.7857</x:v>
      </x:c>
    </x:row>
    <x:row r="64">
      <x:c r="A64" s="17" t="str">
        <x:v>VEND-0074</x:v>
      </x:c>
      <x:c r="B64" s="17" t="str">
        <x:v>Keystone Advisory</x:v>
      </x:c>
      <x:c r="C64" s="17" t="str">
        <x:v>Professional Services</x:v>
      </x:c>
      <x:c r="D64" s="17" t="str">
        <x:v>DE</x:v>
      </x:c>
      <x:c r="E64" s="18" t="n">
        <x:v>0</x:v>
      </x:c>
      <x:c r="F64" s="18" t="n">
        <x:v>23</x:v>
      </x:c>
      <x:c r="G64" s="18" t="n">
        <x:v>23</x:v>
      </x:c>
      <x:c r="H64" s="18" t="n">
        <x:v>10</x:v>
      </x:c>
      <x:c r="I64" s="18" t="n">
        <x:v>22</x:v>
      </x:c>
      <x:c r="J64" s="18" t="n">
        <x:v>43.48</x:v>
      </x:c>
      <x:c r="K64" s="18" t="n">
        <x:v>95.65</x:v>
      </x:c>
      <x:c r="L64" s="18" t="n">
        <x:v>0.434783</x:v>
      </x:c>
      <x:c r="M64" s="18" t="n">
        <x:v>0.956522</x:v>
      </x:c>
      <x:c r="N64" s="18" t="n">
        <x:v>0.695652</x:v>
      </x:c>
      <x:c r="O64" s="18" t="n">
        <x:v>43</x:v>
      </x:c>
      <x:c r="P64" s="18" t="n">
        <x:v>-6613.74</x:v>
      </x:c>
      <x:c r="Q64" s="18" t="n">
        <x:v>179877.92</x:v>
      </x:c>
      <x:c r="R64" s="18" t="n">
        <x:v>2</x:v>
      </x:c>
      <x:c r="S64" s="18" t="n">
        <x:v>624968.2064</x:v>
      </x:c>
    </x:row>
    <x:row r="65">
      <x:c r="A65" s="17" t="str">
        <x:v>VEND-0043</x:v>
      </x:c>
      <x:c r="B65" s="17" t="str">
        <x:v>Crown Motion Components</x:v>
      </x:c>
      <x:c r="C65" s="17" t="str">
        <x:v>Bearings &amp; Mechanical</x:v>
      </x:c>
      <x:c r="D65" s="17" t="str">
        <x:v>CA</x:v>
      </x:c>
      <x:c r="E65" s="18" t="n">
        <x:v>0</x:v>
      </x:c>
      <x:c r="F65" s="18" t="n">
        <x:v>5</x:v>
      </x:c>
      <x:c r="G65" s="18" t="n">
        <x:v>5</x:v>
      </x:c>
      <x:c r="H65" s="18" t="n">
        <x:v>2</x:v>
      </x:c>
      <x:c r="I65" s="18" t="n">
        <x:v>5</x:v>
      </x:c>
      <x:c r="J65" s="18" t="n">
        <x:v>40</x:v>
      </x:c>
      <x:c r="K65" s="18" t="n">
        <x:v>100</x:v>
      </x:c>
      <x:c r="L65" s="18" t="n">
        <x:v>0.4</x:v>
      </x:c>
      <x:c r="M65" s="18" t="n">
        <x:v>1</x:v>
      </x:c>
      <x:c r="N65" s="18" t="n">
        <x:v>0.7</x:v>
      </x:c>
      <x:c r="O65" s="18" t="n">
        <x:v>56.4</x:v>
      </x:c>
      <x:c r="P65" s="18" t="n">
        <x:v>1046.7</x:v>
      </x:c>
      <x:c r="Q65" s="18" t="n">
        <x:v>16243.81</x:v>
      </x:c>
      <x:c r="R65" s="18" t="n">
        <x:v>1</x:v>
      </x:c>
      <x:c r="S65" s="18" t="n">
        <x:v>82094.1795</x:v>
      </x:c>
    </x:row>
    <x:row r="66">
      <x:c r="A66" s="17" t="str">
        <x:v>VEND-0045</x:v>
      </x:c>
      <x:c r="B66" s="17" t="str">
        <x:v>Crown Packaging</x:v>
      </x:c>
      <x:c r="C66" s="17" t="str">
        <x:v>Packaging</x:v>
      </x:c>
      <x:c r="D66" s="17" t="str">
        <x:v>US</x:v>
      </x:c>
      <x:c r="E66" s="18" t="n">
        <x:v>1</x:v>
      </x:c>
      <x:c r="F66" s="18" t="n">
        <x:v>5</x:v>
      </x:c>
      <x:c r="G66" s="18" t="n">
        <x:v>5</x:v>
      </x:c>
      <x:c r="H66" s="18" t="n">
        <x:v>2</x:v>
      </x:c>
      <x:c r="I66" s="18" t="n">
        <x:v>5</x:v>
      </x:c>
      <x:c r="J66" s="18" t="n">
        <x:v>40</x:v>
      </x:c>
      <x:c r="K66" s="18" t="n">
        <x:v>100</x:v>
      </x:c>
      <x:c r="L66" s="18" t="n">
        <x:v>0.4</x:v>
      </x:c>
      <x:c r="M66" s="18" t="n">
        <x:v>1</x:v>
      </x:c>
      <x:c r="N66" s="18" t="n">
        <x:v>0.7</x:v>
      </x:c>
      <x:c r="O66" s="18" t="n">
        <x:v>31.8</x:v>
      </x:c>
      <x:c r="P66" s="18" t="n">
        <x:v>-155.27</x:v>
      </x:c>
      <x:c r="Q66" s="18" t="n">
        <x:v>0</x:v>
      </x:c>
      <x:c r="R66" s="18" t="n">
        <x:v>1</x:v>
      </x:c>
      <x:c r="S66" s="18" t="n">
        <x:v>17626.6118</x:v>
      </x:c>
    </x:row>
    <x:row r="67">
      <x:c r="A67" s="17" t="str">
        <x:v>VEND-0082</x:v>
      </x:c>
      <x:c r="B67" s="17" t="str">
        <x:v>Lakefront Surface Technologies</x:v>
      </x:c>
      <x:c r="C67" s="17" t="str">
        <x:v>Outside Processing</x:v>
      </x:c>
      <x:c r="D67" s="17" t="str">
        <x:v>MX</x:v>
      </x:c>
      <x:c r="E67" s="18" t="n">
        <x:v>0</x:v>
      </x:c>
      <x:c r="F67" s="18" t="n">
        <x:v>5</x:v>
      </x:c>
      <x:c r="G67" s="18" t="n">
        <x:v>5</x:v>
      </x:c>
      <x:c r="H67" s="18" t="n">
        <x:v>3</x:v>
      </x:c>
      <x:c r="I67" s="18" t="n">
        <x:v>4</x:v>
      </x:c>
      <x:c r="J67" s="18" t="n">
        <x:v>60</x:v>
      </x:c>
      <x:c r="K67" s="18" t="n">
        <x:v>80</x:v>
      </x:c>
      <x:c r="L67" s="18" t="n">
        <x:v>0.6</x:v>
      </x:c>
      <x:c r="M67" s="18" t="n">
        <x:v>0.8</x:v>
      </x:c>
      <x:c r="N67" s="18" t="n">
        <x:v>0.7</x:v>
      </x:c>
      <x:c r="O67" s="18" t="n">
        <x:v>12</x:v>
      </x:c>
      <x:c r="P67" s="18" t="n">
        <x:v>527.46</x:v>
      </x:c>
      <x:c r="Q67" s="18" t="n">
        <x:v>22467.34</x:v>
      </x:c>
      <x:c r="R67" s="18" t="n">
        <x:v>1</x:v>
      </x:c>
      <x:c r="S67" s="18" t="n">
        <x:v>49930.2817</x:v>
      </x:c>
    </x:row>
    <x:row r="68">
      <x:c r="A68" s="17" t="str">
        <x:v>VEND-0105</x:v>
      </x:c>
      <x:c r="B68" s="17" t="str">
        <x:v>Orchard Packaging</x:v>
      </x:c>
      <x:c r="C68" s="17" t="str">
        <x:v>Packaging</x:v>
      </x:c>
      <x:c r="D68" s="17" t="str">
        <x:v>JP</x:v>
      </x:c>
      <x:c r="E68" s="18" t="n">
        <x:v>1</x:v>
      </x:c>
      <x:c r="F68" s="18" t="n">
        <x:v>15</x:v>
      </x:c>
      <x:c r="G68" s="18" t="n">
        <x:v>15</x:v>
      </x:c>
      <x:c r="H68" s="18" t="n">
        <x:v>6</x:v>
      </x:c>
      <x:c r="I68" s="18" t="n">
        <x:v>15</x:v>
      </x:c>
      <x:c r="J68" s="18" t="n">
        <x:v>40</x:v>
      </x:c>
      <x:c r="K68" s="18" t="n">
        <x:v>100</x:v>
      </x:c>
      <x:c r="L68" s="18" t="n">
        <x:v>0.4</x:v>
      </x:c>
      <x:c r="M68" s="18" t="n">
        <x:v>1</x:v>
      </x:c>
      <x:c r="N68" s="18" t="n">
        <x:v>0.7</x:v>
      </x:c>
      <x:c r="O68" s="18" t="n">
        <x:v>46.8</x:v>
      </x:c>
      <x:c r="P68" s="18" t="n">
        <x:v>556.54</x:v>
      </x:c>
      <x:c r="Q68" s="18" t="n">
        <x:v>81012.93</x:v>
      </x:c>
      <x:c r="R68" s="18" t="n">
        <x:v>3</x:v>
      </x:c>
      <x:c r="S68" s="18" t="n">
        <x:v>148050.8118</x:v>
      </x:c>
    </x:row>
    <x:row r="69">
      <x:c r="A69" s="17" t="str">
        <x:v>VEND-0107</x:v>
      </x:c>
      <x:c r="B69" s="17" t="str">
        <x:v>Orchard Energy Services</x:v>
      </x:c>
      <x:c r="C69" s="17" t="str">
        <x:v>Utilities</x:v>
      </x:c>
      <x:c r="D69" s="17" t="str">
        <x:v>US</x:v>
      </x:c>
      <x:c r="E69" s="18" t="n">
        <x:v>0</x:v>
      </x:c>
      <x:c r="F69" s="18" t="n">
        <x:v>15</x:v>
      </x:c>
      <x:c r="G69" s="18" t="n">
        <x:v>15</x:v>
      </x:c>
      <x:c r="H69" s="18" t="n">
        <x:v>6</x:v>
      </x:c>
      <x:c r="I69" s="18" t="n">
        <x:v>15</x:v>
      </x:c>
      <x:c r="J69" s="18" t="n">
        <x:v>40</x:v>
      </x:c>
      <x:c r="K69" s="18" t="n">
        <x:v>100</x:v>
      </x:c>
      <x:c r="L69" s="18" t="n">
        <x:v>0.4</x:v>
      </x:c>
      <x:c r="M69" s="18" t="n">
        <x:v>1</x:v>
      </x:c>
      <x:c r="N69" s="18" t="n">
        <x:v>0.7</x:v>
      </x:c>
      <x:c r="O69" s="18" t="n">
        <x:v>33.93</x:v>
      </x:c>
      <x:c r="P69" s="18" t="n">
        <x:v>-2006.82</x:v>
      </x:c>
      <x:c r="Q69" s="18" t="n">
        <x:v>84376.51</x:v>
      </x:c>
      <x:c r="R69" s="18" t="n">
        <x:v>3</x:v>
      </x:c>
      <x:c r="S69" s="18" t="n">
        <x:v>274082.3402</x:v>
      </x:c>
    </x:row>
    <x:row r="70">
      <x:c r="A70" s="17" t="str">
        <x:v>VEND-0125</x:v>
      </x:c>
      <x:c r="B70" s="17" t="str">
        <x:v>Redstone Packaging</x:v>
      </x:c>
      <x:c r="C70" s="17" t="str">
        <x:v>Packaging</x:v>
      </x:c>
      <x:c r="D70" s="17" t="str">
        <x:v>US</x:v>
      </x:c>
      <x:c r="E70" s="18" t="n">
        <x:v>1</x:v>
      </x:c>
      <x:c r="F70" s="18" t="n">
        <x:v>5</x:v>
      </x:c>
      <x:c r="G70" s="18" t="n">
        <x:v>5</x:v>
      </x:c>
      <x:c r="H70" s="18" t="n">
        <x:v>2</x:v>
      </x:c>
      <x:c r="I70" s="18" t="n">
        <x:v>5</x:v>
      </x:c>
      <x:c r="J70" s="18" t="n">
        <x:v>40</x:v>
      </x:c>
      <x:c r="K70" s="18" t="n">
        <x:v>100</x:v>
      </x:c>
      <x:c r="L70" s="18" t="n">
        <x:v>0.4</x:v>
      </x:c>
      <x:c r="M70" s="18" t="n">
        <x:v>1</x:v>
      </x:c>
      <x:c r="N70" s="18" t="n">
        <x:v>0.7</x:v>
      </x:c>
      <x:c r="O70" s="18" t="n">
        <x:v>50.4</x:v>
      </x:c>
      <x:c r="P70" s="18" t="n">
        <x:v>-1314.33</x:v>
      </x:c>
      <x:c r="Q70" s="18" t="n">
        <x:v>11640.63</x:v>
      </x:c>
      <x:c r="R70" s="18" t="n">
        <x:v>1</x:v>
      </x:c>
      <x:c r="S70" s="18" t="n">
        <x:v>36096.1511</x:v>
      </x:c>
    </x:row>
    <x:row r="71">
      <x:c r="A71" s="17" t="str">
        <x:v>VEND-0178</x:v>
      </x:c>
      <x:c r="B71" s="17" t="str">
        <x:v>Woodcrest Industrial Supply</x:v>
      </x:c>
      <x:c r="C71" s="17" t="str">
        <x:v>MRO</x:v>
      </x:c>
      <x:c r="D71" s="17" t="str">
        <x:v>CA</x:v>
      </x:c>
      <x:c r="E71" s="18" t="n">
        <x:v>0</x:v>
      </x:c>
      <x:c r="F71" s="18" t="n">
        <x:v>20</x:v>
      </x:c>
      <x:c r="G71" s="18" t="n">
        <x:v>20</x:v>
      </x:c>
      <x:c r="H71" s="18" t="n">
        <x:v>8</x:v>
      </x:c>
      <x:c r="I71" s="18" t="n">
        <x:v>20</x:v>
      </x:c>
      <x:c r="J71" s="18" t="n">
        <x:v>40</x:v>
      </x:c>
      <x:c r="K71" s="18" t="n">
        <x:v>100</x:v>
      </x:c>
      <x:c r="L71" s="18" t="n">
        <x:v>0.4</x:v>
      </x:c>
      <x:c r="M71" s="18" t="n">
        <x:v>1</x:v>
      </x:c>
      <x:c r="N71" s="18" t="n">
        <x:v>0.7</x:v>
      </x:c>
      <x:c r="O71" s="18" t="n">
        <x:v>25.4</x:v>
      </x:c>
      <x:c r="P71" s="18" t="n">
        <x:v>-378.58</x:v>
      </x:c>
      <x:c r="Q71" s="18" t="n">
        <x:v>44353.32</x:v>
      </x:c>
      <x:c r="R71" s="18" t="n">
        <x:v>2</x:v>
      </x:c>
      <x:c r="S71" s="18" t="n">
        <x:v>131974.5673</x:v>
      </x:c>
    </x:row>
    <x:row r="72">
      <x:c r="A72" s="17" t="str">
        <x:v>VEND-0052</x:v>
      </x:c>
      <x:c r="B72" s="17" t="str">
        <x:v>Easton Surface Technologies</x:v>
      </x:c>
      <x:c r="C72" s="17" t="str">
        <x:v>Outside Processing</x:v>
      </x:c>
      <x:c r="D72" s="17" t="str">
        <x:v>CA</x:v>
      </x:c>
      <x:c r="E72" s="18" t="n">
        <x:v>0</x:v>
      </x:c>
      <x:c r="F72" s="18" t="n">
        <x:v>27</x:v>
      </x:c>
      <x:c r="G72" s="18" t="n">
        <x:v>27</x:v>
      </x:c>
      <x:c r="H72" s="18" t="n">
        <x:v>11</x:v>
      </x:c>
      <x:c r="I72" s="18" t="n">
        <x:v>27</x:v>
      </x:c>
      <x:c r="J72" s="18" t="n">
        <x:v>40.74</x:v>
      </x:c>
      <x:c r="K72" s="18" t="n">
        <x:v>100</x:v>
      </x:c>
      <x:c r="L72" s="18" t="n">
        <x:v>0.407407</x:v>
      </x:c>
      <x:c r="M72" s="18" t="n">
        <x:v>1</x:v>
      </x:c>
      <x:c r="N72" s="18" t="n">
        <x:v>0.703704</x:v>
      </x:c>
      <x:c r="O72" s="18" t="n">
        <x:v>47.74</x:v>
      </x:c>
      <x:c r="P72" s="18" t="n">
        <x:v>7267.72</x:v>
      </x:c>
      <x:c r="Q72" s="18" t="n">
        <x:v>273004.53</x:v>
      </x:c>
      <x:c r="R72" s="18" t="n">
        <x:v>2</x:v>
      </x:c>
      <x:c r="S72" s="18" t="n">
        <x:v>1109802.4935</x:v>
      </x:c>
    </x:row>
    <x:row r="73">
      <x:c r="A73" s="17" t="str">
        <x:v>VEND-0104</x:v>
      </x:c>
      <x:c r="B73" s="17" t="str">
        <x:v>Orchard Advisory</x:v>
      </x:c>
      <x:c r="C73" s="17" t="str">
        <x:v>Professional Services</x:v>
      </x:c>
      <x:c r="D73" s="17" t="str">
        <x:v>CN</x:v>
      </x:c>
      <x:c r="E73" s="18" t="n">
        <x:v>0</x:v>
      </x:c>
      <x:c r="F73" s="18" t="n">
        <x:v>22</x:v>
      </x:c>
      <x:c r="G73" s="18" t="n">
        <x:v>22</x:v>
      </x:c>
      <x:c r="H73" s="18" t="n">
        <x:v>10</x:v>
      </x:c>
      <x:c r="I73" s="18" t="n">
        <x:v>21</x:v>
      </x:c>
      <x:c r="J73" s="18" t="n">
        <x:v>45.45</x:v>
      </x:c>
      <x:c r="K73" s="18" t="n">
        <x:v>95.45</x:v>
      </x:c>
      <x:c r="L73" s="18" t="n">
        <x:v>0.454545</x:v>
      </x:c>
      <x:c r="M73" s="18" t="n">
        <x:v>0.954545</x:v>
      </x:c>
      <x:c r="N73" s="18" t="n">
        <x:v>0.704545</x:v>
      </x:c>
      <x:c r="O73" s="18" t="n">
        <x:v>23.45</x:v>
      </x:c>
      <x:c r="P73" s="18" t="n">
        <x:v>3882.19</x:v>
      </x:c>
      <x:c r="Q73" s="18" t="n">
        <x:v>74314.35</x:v>
      </x:c>
      <x:c r="R73" s="18" t="n">
        <x:v>2</x:v>
      </x:c>
      <x:c r="S73" s="18" t="n">
        <x:v>379303.5086</x:v>
      </x:c>
    </x:row>
    <x:row r="74">
      <x:c r="A74" s="17" t="str">
        <x:v>VEND-0113</x:v>
      </x:c>
      <x:c r="B74" s="17" t="str">
        <x:v>Pinnacle Motion Components</x:v>
      </x:c>
      <x:c r="C74" s="17" t="str">
        <x:v>Bearings &amp; Mechanical</x:v>
      </x:c>
      <x:c r="D74" s="17" t="str">
        <x:v>CN</x:v>
      </x:c>
      <x:c r="E74" s="18" t="n">
        <x:v>0</x:v>
      </x:c>
      <x:c r="F74" s="18" t="n">
        <x:v>22</x:v>
      </x:c>
      <x:c r="G74" s="18" t="n">
        <x:v>22</x:v>
      </x:c>
      <x:c r="H74" s="18" t="n">
        <x:v>9</x:v>
      </x:c>
      <x:c r="I74" s="18" t="n">
        <x:v>22</x:v>
      </x:c>
      <x:c r="J74" s="18" t="n">
        <x:v>40.91</x:v>
      </x:c>
      <x:c r="K74" s="18" t="n">
        <x:v>100</x:v>
      </x:c>
      <x:c r="L74" s="18" t="n">
        <x:v>0.409091</x:v>
      </x:c>
      <x:c r="M74" s="18" t="n">
        <x:v>1</x:v>
      </x:c>
      <x:c r="N74" s="18" t="n">
        <x:v>0.704545</x:v>
      </x:c>
      <x:c r="O74" s="18" t="n">
        <x:v>28.55</x:v>
      </x:c>
      <x:c r="P74" s="18" t="n">
        <x:v>-3715.23</x:v>
      </x:c>
      <x:c r="Q74" s="18" t="n">
        <x:v>29943.62</x:v>
      </x:c>
      <x:c r="R74" s="18" t="n">
        <x:v>2</x:v>
      </x:c>
      <x:c r="S74" s="18" t="n">
        <x:v>238087.5703</x:v>
      </x:c>
    </x:row>
    <x:row r="75">
      <x:c r="A75" s="17" t="str">
        <x:v>VEND-0044</x:v>
      </x:c>
      <x:c r="B75" s="17" t="str">
        <x:v>Crown Advisory</x:v>
      </x:c>
      <x:c r="C75" s="17" t="str">
        <x:v>Professional Services</x:v>
      </x:c>
      <x:c r="D75" s="17" t="str">
        <x:v>US</x:v>
      </x:c>
      <x:c r="E75" s="18" t="n">
        <x:v>0</x:v>
      </x:c>
      <x:c r="F75" s="18" t="n">
        <x:v>17</x:v>
      </x:c>
      <x:c r="G75" s="18" t="n">
        <x:v>17</x:v>
      </x:c>
      <x:c r="H75" s="18" t="n">
        <x:v>7</x:v>
      </x:c>
      <x:c r="I75" s="18" t="n">
        <x:v>17</x:v>
      </x:c>
      <x:c r="J75" s="18" t="n">
        <x:v>41.18</x:v>
      </x:c>
      <x:c r="K75" s="18" t="n">
        <x:v>100</x:v>
      </x:c>
      <x:c r="L75" s="18" t="n">
        <x:v>0.411765</x:v>
      </x:c>
      <x:c r="M75" s="18" t="n">
        <x:v>1</x:v>
      </x:c>
      <x:c r="N75" s="18" t="n">
        <x:v>0.705882</x:v>
      </x:c>
      <x:c r="O75" s="18" t="n">
        <x:v>37.59</x:v>
      </x:c>
      <x:c r="P75" s="18" t="n">
        <x:v>631.66</x:v>
      </x:c>
      <x:c r="Q75" s="18" t="n">
        <x:v>32710.61</x:v>
      </x:c>
      <x:c r="R75" s="18" t="n">
        <x:v>3</x:v>
      </x:c>
      <x:c r="S75" s="18" t="n">
        <x:v>131172.8259</x:v>
      </x:c>
    </x:row>
    <x:row r="76">
      <x:c r="A76" s="17" t="str">
        <x:v>VEND-0167</x:v>
      </x:c>
      <x:c r="B76" s="17" t="str">
        <x:v>Valley Energy Services</x:v>
      </x:c>
      <x:c r="C76" s="17" t="str">
        <x:v>Utilities</x:v>
      </x:c>
      <x:c r="D76" s="17" t="str">
        <x:v>CN</x:v>
      </x:c>
      <x:c r="E76" s="18" t="n">
        <x:v>0</x:v>
      </x:c>
      <x:c r="F76" s="18" t="n">
        <x:v>17</x:v>
      </x:c>
      <x:c r="G76" s="18" t="n">
        <x:v>17</x:v>
      </x:c>
      <x:c r="H76" s="18" t="n">
        <x:v>7</x:v>
      </x:c>
      <x:c r="I76" s="18" t="n">
        <x:v>17</x:v>
      </x:c>
      <x:c r="J76" s="18" t="n">
        <x:v>41.18</x:v>
      </x:c>
      <x:c r="K76" s="18" t="n">
        <x:v>100</x:v>
      </x:c>
      <x:c r="L76" s="18" t="n">
        <x:v>0.411765</x:v>
      </x:c>
      <x:c r="M76" s="18" t="n">
        <x:v>1</x:v>
      </x:c>
      <x:c r="N76" s="18" t="n">
        <x:v>0.705882</x:v>
      </x:c>
      <x:c r="O76" s="18" t="n">
        <x:v>26.47</x:v>
      </x:c>
      <x:c r="P76" s="18" t="n">
        <x:v>-340.93</x:v>
      </x:c>
      <x:c r="Q76" s="18" t="n">
        <x:v>56435.28</x:v>
      </x:c>
      <x:c r="R76" s="18" t="n">
        <x:v>2</x:v>
      </x:c>
      <x:c r="S76" s="18" t="n">
        <x:v>360951.0816</x:v>
      </x:c>
    </x:row>
    <x:row r="77">
      <x:c r="A77" s="17" t="str">
        <x:v>VEND-0029</x:v>
      </x:c>
      <x:c r="B77" s="17" t="str">
        <x:v>Cedar Valley Controls</x:v>
      </x:c>
      <x:c r="C77" s="17" t="str">
        <x:v>Electronics</x:v>
      </x:c>
      <x:c r="D77" s="17" t="str">
        <x:v>DE</x:v>
      </x:c>
      <x:c r="E77" s="18" t="n">
        <x:v>0</x:v>
      </x:c>
      <x:c r="F77" s="18" t="n">
        <x:v>24</x:v>
      </x:c>
      <x:c r="G77" s="18" t="n">
        <x:v>24</x:v>
      </x:c>
      <x:c r="H77" s="18" t="n">
        <x:v>10</x:v>
      </x:c>
      <x:c r="I77" s="18" t="n">
        <x:v>24</x:v>
      </x:c>
      <x:c r="J77" s="18" t="n">
        <x:v>41.67</x:v>
      </x:c>
      <x:c r="K77" s="18" t="n">
        <x:v>100</x:v>
      </x:c>
      <x:c r="L77" s="18" t="n">
        <x:v>0.416667</x:v>
      </x:c>
      <x:c r="M77" s="18" t="n">
        <x:v>1</x:v>
      </x:c>
      <x:c r="N77" s="18" t="n">
        <x:v>0.708333</x:v>
      </x:c>
      <x:c r="O77" s="18" t="n">
        <x:v>47.08</x:v>
      </x:c>
      <x:c r="P77" s="18" t="n">
        <x:v>-3966.52</x:v>
      </x:c>
      <x:c r="Q77" s="18" t="n">
        <x:v>110053.17</x:v>
      </x:c>
      <x:c r="R77" s="18" t="n">
        <x:v>3</x:v>
      </x:c>
      <x:c r="S77" s="18" t="n">
        <x:v>414479.1005</x:v>
      </x:c>
    </x:row>
    <x:row r="78">
      <x:c r="A78" s="17" t="str">
        <x:v>VEND-0030</x:v>
      </x:c>
      <x:c r="B78" s="17" t="str">
        <x:v>Cedar Valley Metals</x:v>
      </x:c>
      <x:c r="C78" s="17" t="str">
        <x:v>Metals</x:v>
      </x:c>
      <x:c r="D78" s="17" t="str">
        <x:v>US</x:v>
      </x:c>
      <x:c r="E78" s="18" t="n">
        <x:v>1</x:v>
      </x:c>
      <x:c r="F78" s="18" t="n">
        <x:v>12</x:v>
      </x:c>
      <x:c r="G78" s="18" t="n">
        <x:v>12</x:v>
      </x:c>
      <x:c r="H78" s="18" t="n">
        <x:v>5</x:v>
      </x:c>
      <x:c r="I78" s="18" t="n">
        <x:v>12</x:v>
      </x:c>
      <x:c r="J78" s="18" t="n">
        <x:v>41.67</x:v>
      </x:c>
      <x:c r="K78" s="18" t="n">
        <x:v>100</x:v>
      </x:c>
      <x:c r="L78" s="18" t="n">
        <x:v>0.416667</x:v>
      </x:c>
      <x:c r="M78" s="18" t="n">
        <x:v>1</x:v>
      </x:c>
      <x:c r="N78" s="18" t="n">
        <x:v>0.708333</x:v>
      </x:c>
      <x:c r="O78" s="18" t="n">
        <x:v>50.42</x:v>
      </x:c>
      <x:c r="P78" s="18" t="n">
        <x:v>389.98</x:v>
      </x:c>
      <x:c r="Q78" s="18" t="n">
        <x:v>17846.42</x:v>
      </x:c>
      <x:c r="R78" s="18" t="n">
        <x:v>1</x:v>
      </x:c>
      <x:c r="S78" s="18" t="n">
        <x:v>69165.1657</x:v>
      </x:c>
    </x:row>
    <x:row r="79">
      <x:c r="A79" s="17" t="str">
        <x:v>VEND-0169</x:v>
      </x:c>
      <x:c r="B79" s="17" t="str">
        <x:v>Westfield Controls</x:v>
      </x:c>
      <x:c r="C79" s="17" t="str">
        <x:v>Electronics</x:v>
      </x:c>
      <x:c r="D79" s="17" t="str">
        <x:v>CA</x:v>
      </x:c>
      <x:c r="E79" s="18" t="n">
        <x:v>0</x:v>
      </x:c>
      <x:c r="F79" s="18" t="n">
        <x:v>19</x:v>
      </x:c>
      <x:c r="G79" s="18" t="n">
        <x:v>19</x:v>
      </x:c>
      <x:c r="H79" s="18" t="n">
        <x:v>8</x:v>
      </x:c>
      <x:c r="I79" s="18" t="n">
        <x:v>19</x:v>
      </x:c>
      <x:c r="J79" s="18" t="n">
        <x:v>42.11</x:v>
      </x:c>
      <x:c r="K79" s="18" t="n">
        <x:v>100</x:v>
      </x:c>
      <x:c r="L79" s="18" t="n">
        <x:v>0.421053</x:v>
      </x:c>
      <x:c r="M79" s="18" t="n">
        <x:v>1</x:v>
      </x:c>
      <x:c r="N79" s="18" t="n">
        <x:v>0.710526</x:v>
      </x:c>
      <x:c r="O79" s="18" t="n">
        <x:v>44.53</x:v>
      </x:c>
      <x:c r="P79" s="18" t="n">
        <x:v>460.75</x:v>
      </x:c>
      <x:c r="Q79" s="18" t="n">
        <x:v>58574.14</x:v>
      </x:c>
      <x:c r="R79" s="18" t="n">
        <x:v>2</x:v>
      </x:c>
      <x:c r="S79" s="18" t="n">
        <x:v>145564.551</x:v>
      </x:c>
    </x:row>
    <x:row r="80">
      <x:c r="A80" s="17" t="str">
        <x:v>VEND-0003</x:v>
      </x:c>
      <x:c r="B80" s="17" t="str">
        <x:v>Allegheny Motion Components</x:v>
      </x:c>
      <x:c r="C80" s="17" t="str">
        <x:v>Bearings &amp; Mechanical</x:v>
      </x:c>
      <x:c r="D80" s="17" t="str">
        <x:v>US</x:v>
      </x:c>
      <x:c r="E80" s="18" t="n">
        <x:v>0</x:v>
      </x:c>
      <x:c r="F80" s="18" t="n">
        <x:v>21</x:v>
      </x:c>
      <x:c r="G80" s="18" t="n">
        <x:v>21</x:v>
      </x:c>
      <x:c r="H80" s="18" t="n">
        <x:v>9</x:v>
      </x:c>
      <x:c r="I80" s="18" t="n">
        <x:v>21</x:v>
      </x:c>
      <x:c r="J80" s="18" t="n">
        <x:v>42.86</x:v>
      </x:c>
      <x:c r="K80" s="18" t="n">
        <x:v>100</x:v>
      </x:c>
      <x:c r="L80" s="18" t="n">
        <x:v>0.428571</x:v>
      </x:c>
      <x:c r="M80" s="18" t="n">
        <x:v>1</x:v>
      </x:c>
      <x:c r="N80" s="18" t="n">
        <x:v>0.714286</x:v>
      </x:c>
      <x:c r="O80" s="18" t="n">
        <x:v>32.1</x:v>
      </x:c>
      <x:c r="P80" s="18" t="n">
        <x:v>-1362.49</x:v>
      </x:c>
      <x:c r="Q80" s="18" t="n">
        <x:v>112510.26</x:v>
      </x:c>
      <x:c r="R80" s="18" t="n">
        <x:v>3</x:v>
      </x:c>
      <x:c r="S80" s="18" t="n">
        <x:v>500155.9029</x:v>
      </x:c>
    </x:row>
    <x:row r="81">
      <x:c r="A81" s="17" t="str">
        <x:v>VEND-0039</x:v>
      </x:c>
      <x:c r="B81" s="17" t="str">
        <x:v>Continental Controls</x:v>
      </x:c>
      <x:c r="C81" s="17" t="str">
        <x:v>Electronics</x:v>
      </x:c>
      <x:c r="D81" s="17" t="str">
        <x:v>US</x:v>
      </x:c>
      <x:c r="E81" s="18" t="n">
        <x:v>0</x:v>
      </x:c>
      <x:c r="F81" s="18" t="n">
        <x:v>21</x:v>
      </x:c>
      <x:c r="G81" s="18" t="n">
        <x:v>21</x:v>
      </x:c>
      <x:c r="H81" s="18" t="n">
        <x:v>9</x:v>
      </x:c>
      <x:c r="I81" s="18" t="n">
        <x:v>21</x:v>
      </x:c>
      <x:c r="J81" s="18" t="n">
        <x:v>42.86</x:v>
      </x:c>
      <x:c r="K81" s="18" t="n">
        <x:v>100</x:v>
      </x:c>
      <x:c r="L81" s="18" t="n">
        <x:v>0.428571</x:v>
      </x:c>
      <x:c r="M81" s="18" t="n">
        <x:v>1</x:v>
      </x:c>
      <x:c r="N81" s="18" t="n">
        <x:v>0.714286</x:v>
      </x:c>
      <x:c r="O81" s="18" t="n">
        <x:v>43.81</x:v>
      </x:c>
      <x:c r="P81" s="18" t="n">
        <x:v>7864.59</x:v>
      </x:c>
      <x:c r="Q81" s="18" t="n">
        <x:v>132531.38</x:v>
      </x:c>
      <x:c r="R81" s="18" t="n">
        <x:v>2</x:v>
      </x:c>
      <x:c r="S81" s="18" t="n">
        <x:v>536298.2085</x:v>
      </x:c>
    </x:row>
    <x:row r="82">
      <x:c r="A82" s="17" t="str">
        <x:v>VEND-0040</x:v>
      </x:c>
      <x:c r="B82" s="17" t="str">
        <x:v>Continental Metals</x:v>
      </x:c>
      <x:c r="C82" s="17" t="str">
        <x:v>Metals</x:v>
      </x:c>
      <x:c r="D82" s="17" t="str">
        <x:v>US</x:v>
      </x:c>
      <x:c r="E82" s="18" t="n">
        <x:v>1</x:v>
      </x:c>
      <x:c r="F82" s="18" t="n">
        <x:v>14</x:v>
      </x:c>
      <x:c r="G82" s="18" t="n">
        <x:v>14</x:v>
      </x:c>
      <x:c r="H82" s="18" t="n">
        <x:v>6</x:v>
      </x:c>
      <x:c r="I82" s="18" t="n">
        <x:v>14</x:v>
      </x:c>
      <x:c r="J82" s="18" t="n">
        <x:v>42.86</x:v>
      </x:c>
      <x:c r="K82" s="18" t="n">
        <x:v>100</x:v>
      </x:c>
      <x:c r="L82" s="18" t="n">
        <x:v>0.428571</x:v>
      </x:c>
      <x:c r="M82" s="18" t="n">
        <x:v>1</x:v>
      </x:c>
      <x:c r="N82" s="18" t="n">
        <x:v>0.714286</x:v>
      </x:c>
      <x:c r="O82" s="18" t="n">
        <x:v>36.5</x:v>
      </x:c>
      <x:c r="P82" s="18" t="n">
        <x:v>-2602.98</x:v>
      </x:c>
      <x:c r="Q82" s="18" t="n">
        <x:v>45377.34</x:v>
      </x:c>
      <x:c r="R82" s="18" t="n">
        <x:v>3</x:v>
      </x:c>
      <x:c r="S82" s="18" t="n">
        <x:v>143179.4274</x:v>
      </x:c>
    </x:row>
    <x:row r="83">
      <x:c r="A83" s="17" t="str">
        <x:v>VEND-0174</x:v>
      </x:c>
      <x:c r="B83" s="17" t="str">
        <x:v>Westfield Advisory</x:v>
      </x:c>
      <x:c r="C83" s="17" t="str">
        <x:v>Professional Services</x:v>
      </x:c>
      <x:c r="D83" s="17" t="str">
        <x:v>US</x:v>
      </x:c>
      <x:c r="E83" s="18" t="n">
        <x:v>0</x:v>
      </x:c>
      <x:c r="F83" s="18" t="n">
        <x:v>21</x:v>
      </x:c>
      <x:c r="G83" s="18" t="n">
        <x:v>21</x:v>
      </x:c>
      <x:c r="H83" s="18" t="n">
        <x:v>9</x:v>
      </x:c>
      <x:c r="I83" s="18" t="n">
        <x:v>21</x:v>
      </x:c>
      <x:c r="J83" s="18" t="n">
        <x:v>42.86</x:v>
      </x:c>
      <x:c r="K83" s="18" t="n">
        <x:v>100</x:v>
      </x:c>
      <x:c r="L83" s="18" t="n">
        <x:v>0.428571</x:v>
      </x:c>
      <x:c r="M83" s="18" t="n">
        <x:v>1</x:v>
      </x:c>
      <x:c r="N83" s="18" t="n">
        <x:v>0.714286</x:v>
      </x:c>
      <x:c r="O83" s="18" t="n">
        <x:v>22.05</x:v>
      </x:c>
      <x:c r="P83" s="18" t="n">
        <x:v>1933.32</x:v>
      </x:c>
      <x:c r="Q83" s="18" t="n">
        <x:v>64256.7</x:v>
      </x:c>
      <x:c r="R83" s="18" t="n">
        <x:v>3</x:v>
      </x:c>
      <x:c r="S83" s="18" t="n">
        <x:v>264396.1919</x:v>
      </x:c>
    </x:row>
    <x:row r="84">
      <x:c r="A84" s="17" t="str">
        <x:v>VEND-0122</x:v>
      </x:c>
      <x:c r="B84" s="17" t="str">
        <x:v>Redstone Surface Technologies</x:v>
      </x:c>
      <x:c r="C84" s="17" t="str">
        <x:v>Outside Processing</x:v>
      </x:c>
      <x:c r="D84" s="17" t="str">
        <x:v>CN</x:v>
      </x:c>
      <x:c r="E84" s="18" t="n">
        <x:v>0</x:v>
      </x:c>
      <x:c r="F84" s="18" t="n">
        <x:v>23</x:v>
      </x:c>
      <x:c r="G84" s="18" t="n">
        <x:v>23</x:v>
      </x:c>
      <x:c r="H84" s="18" t="n">
        <x:v>11</x:v>
      </x:c>
      <x:c r="I84" s="18" t="n">
        <x:v>22</x:v>
      </x:c>
      <x:c r="J84" s="18" t="n">
        <x:v>47.83</x:v>
      </x:c>
      <x:c r="K84" s="18" t="n">
        <x:v>95.65</x:v>
      </x:c>
      <x:c r="L84" s="18" t="n">
        <x:v>0.478261</x:v>
      </x:c>
      <x:c r="M84" s="18" t="n">
        <x:v>0.956522</x:v>
      </x:c>
      <x:c r="N84" s="18" t="n">
        <x:v>0.717391</x:v>
      </x:c>
      <x:c r="O84" s="18" t="n">
        <x:v>50.22</x:v>
      </x:c>
      <x:c r="P84" s="18" t="n">
        <x:v>1768.29</x:v>
      </x:c>
      <x:c r="Q84" s="18" t="n">
        <x:v>73653.06</x:v>
      </x:c>
      <x:c r="R84" s="18" t="n">
        <x:v>3</x:v>
      </x:c>
      <x:c r="S84" s="18" t="n">
        <x:v>290198.9016</x:v>
      </x:c>
    </x:row>
    <x:row r="85">
      <x:c r="A85" s="17" t="str">
        <x:v>VEND-0028</x:v>
      </x:c>
      <x:c r="B85" s="17" t="str">
        <x:v>Cedar Valley Industrial Supply</x:v>
      </x:c>
      <x:c r="C85" s="17" t="str">
        <x:v>MRO</x:v>
      </x:c>
      <x:c r="D85" s="17" t="str">
        <x:v>MX</x:v>
      </x:c>
      <x:c r="E85" s="18" t="n">
        <x:v>0</x:v>
      </x:c>
      <x:c r="F85" s="18" t="n">
        <x:v>16</x:v>
      </x:c>
      <x:c r="G85" s="18" t="n">
        <x:v>16</x:v>
      </x:c>
      <x:c r="H85" s="18" t="n">
        <x:v>7</x:v>
      </x:c>
      <x:c r="I85" s="18" t="n">
        <x:v>16</x:v>
      </x:c>
      <x:c r="J85" s="18" t="n">
        <x:v>43.75</x:v>
      </x:c>
      <x:c r="K85" s="18" t="n">
        <x:v>100</x:v>
      </x:c>
      <x:c r="L85" s="18" t="n">
        <x:v>0.4375</x:v>
      </x:c>
      <x:c r="M85" s="18" t="n">
        <x:v>1</x:v>
      </x:c>
      <x:c r="N85" s="18" t="n">
        <x:v>0.71875</x:v>
      </x:c>
      <x:c r="O85" s="18" t="n">
        <x:v>29.69</x:v>
      </x:c>
      <x:c r="P85" s="18" t="n">
        <x:v>-422.98</x:v>
      </x:c>
      <x:c r="Q85" s="18" t="n">
        <x:v>37760.83</x:v>
      </x:c>
      <x:c r="R85" s="18" t="n">
        <x:v>2</x:v>
      </x:c>
      <x:c r="S85" s="18" t="n">
        <x:v>183290.0866</x:v>
      </x:c>
    </x:row>
    <x:row r="86">
      <x:c r="A86" s="17" t="str">
        <x:v>VEND-0084</x:v>
      </x:c>
      <x:c r="B86" s="17" t="str">
        <x:v>Lakefront Advisory</x:v>
      </x:c>
      <x:c r="C86" s="17" t="str">
        <x:v>Professional Services</x:v>
      </x:c>
      <x:c r="D86" s="17" t="str">
        <x:v>US</x:v>
      </x:c>
      <x:c r="E86" s="18" t="n">
        <x:v>0</x:v>
      </x:c>
      <x:c r="F86" s="18" t="n">
        <x:v>9</x:v>
      </x:c>
      <x:c r="G86" s="18" t="n">
        <x:v>9</x:v>
      </x:c>
      <x:c r="H86" s="18" t="n">
        <x:v>4</x:v>
      </x:c>
      <x:c r="I86" s="18" t="n">
        <x:v>9</x:v>
      </x:c>
      <x:c r="J86" s="18" t="n">
        <x:v>44.44</x:v>
      </x:c>
      <x:c r="K86" s="18" t="n">
        <x:v>100</x:v>
      </x:c>
      <x:c r="L86" s="18" t="n">
        <x:v>0.444444</x:v>
      </x:c>
      <x:c r="M86" s="18" t="n">
        <x:v>1</x:v>
      </x:c>
      <x:c r="N86" s="18" t="n">
        <x:v>0.722222</x:v>
      </x:c>
      <x:c r="O86" s="18" t="n">
        <x:v>49</x:v>
      </x:c>
      <x:c r="P86" s="18" t="n">
        <x:v>179.86</x:v>
      </x:c>
      <x:c r="Q86" s="18" t="n">
        <x:v>7195.62</x:v>
      </x:c>
      <x:c r="R86" s="18" t="n">
        <x:v>1</x:v>
      </x:c>
      <x:c r="S86" s="18" t="n">
        <x:v>33066.3168</x:v>
      </x:c>
    </x:row>
    <x:row r="87">
      <x:c r="A87" s="17" t="str">
        <x:v>VEND-0092</x:v>
      </x:c>
      <x:c r="B87" s="17" t="str">
        <x:v>Northstar Surface Technologies</x:v>
      </x:c>
      <x:c r="C87" s="17" t="str">
        <x:v>Outside Processing</x:v>
      </x:c>
      <x:c r="D87" s="17" t="str">
        <x:v>DE</x:v>
      </x:c>
      <x:c r="E87" s="18" t="n">
        <x:v>0</x:v>
      </x:c>
      <x:c r="F87" s="18" t="n">
        <x:v>18</x:v>
      </x:c>
      <x:c r="G87" s="18" t="n">
        <x:v>18</x:v>
      </x:c>
      <x:c r="H87" s="18" t="n">
        <x:v>8</x:v>
      </x:c>
      <x:c r="I87" s="18" t="n">
        <x:v>18</x:v>
      </x:c>
      <x:c r="J87" s="18" t="n">
        <x:v>44.44</x:v>
      </x:c>
      <x:c r="K87" s="18" t="n">
        <x:v>100</x:v>
      </x:c>
      <x:c r="L87" s="18" t="n">
        <x:v>0.444444</x:v>
      </x:c>
      <x:c r="M87" s="18" t="n">
        <x:v>1</x:v>
      </x:c>
      <x:c r="N87" s="18" t="n">
        <x:v>0.722222</x:v>
      </x:c>
      <x:c r="O87" s="18" t="n">
        <x:v>38.72</x:v>
      </x:c>
      <x:c r="P87" s="18" t="n">
        <x:v>1087.08</x:v>
      </x:c>
      <x:c r="Q87" s="18" t="n">
        <x:v>40450.07</x:v>
      </x:c>
      <x:c r="R87" s="18" t="n">
        <x:v>3</x:v>
      </x:c>
      <x:c r="S87" s="18" t="n">
        <x:v>156777.9325</x:v>
      </x:c>
    </x:row>
    <x:row r="88">
      <x:c r="A88" s="17" t="str">
        <x:v>VEND-0119</x:v>
      </x:c>
      <x:c r="B88" s="17" t="str">
        <x:v>Prairie Controls</x:v>
      </x:c>
      <x:c r="C88" s="17" t="str">
        <x:v>Electronics</x:v>
      </x:c>
      <x:c r="D88" s="17" t="str">
        <x:v>DE</x:v>
      </x:c>
      <x:c r="E88" s="18" t="n">
        <x:v>0</x:v>
      </x:c>
      <x:c r="F88" s="18" t="n">
        <x:v>9</x:v>
      </x:c>
      <x:c r="G88" s="18" t="n">
        <x:v>9</x:v>
      </x:c>
      <x:c r="H88" s="18" t="n">
        <x:v>4</x:v>
      </x:c>
      <x:c r="I88" s="18" t="n">
        <x:v>9</x:v>
      </x:c>
      <x:c r="J88" s="18" t="n">
        <x:v>44.44</x:v>
      </x:c>
      <x:c r="K88" s="18" t="n">
        <x:v>100</x:v>
      </x:c>
      <x:c r="L88" s="18" t="n">
        <x:v>0.444444</x:v>
      </x:c>
      <x:c r="M88" s="18" t="n">
        <x:v>1</x:v>
      </x:c>
      <x:c r="N88" s="18" t="n">
        <x:v>0.722222</x:v>
      </x:c>
      <x:c r="O88" s="18" t="n">
        <x:v>55.67</x:v>
      </x:c>
      <x:c r="P88" s="18" t="n">
        <x:v>-77.06</x:v>
      </x:c>
      <x:c r="Q88" s="18" t="n">
        <x:v>18943.58</x:v>
      </x:c>
      <x:c r="R88" s="18" t="n">
        <x:v>1</x:v>
      </x:c>
      <x:c r="S88" s="18" t="n">
        <x:v>46571.5695</x:v>
      </x:c>
    </x:row>
    <x:row r="89">
      <x:c r="A89" s="17" t="str">
        <x:v>VEND-0160</x:v>
      </x:c>
      <x:c r="B89" s="17" t="str">
        <x:v>Tri-County Metals</x:v>
      </x:c>
      <x:c r="C89" s="17" t="str">
        <x:v>Metals</x:v>
      </x:c>
      <x:c r="D89" s="17" t="str">
        <x:v>CA</x:v>
      </x:c>
      <x:c r="E89" s="18" t="n">
        <x:v>1</x:v>
      </x:c>
      <x:c r="F89" s="18" t="n">
        <x:v>9</x:v>
      </x:c>
      <x:c r="G89" s="18" t="n">
        <x:v>9</x:v>
      </x:c>
      <x:c r="H89" s="18" t="n">
        <x:v>4</x:v>
      </x:c>
      <x:c r="I89" s="18" t="n">
        <x:v>9</x:v>
      </x:c>
      <x:c r="J89" s="18" t="n">
        <x:v>44.44</x:v>
      </x:c>
      <x:c r="K89" s="18" t="n">
        <x:v>100</x:v>
      </x:c>
      <x:c r="L89" s="18" t="n">
        <x:v>0.444444</x:v>
      </x:c>
      <x:c r="M89" s="18" t="n">
        <x:v>1</x:v>
      </x:c>
      <x:c r="N89" s="18" t="n">
        <x:v>0.722222</x:v>
      </x:c>
      <x:c r="O89" s="18" t="n">
        <x:v>53.56</x:v>
      </x:c>
      <x:c r="P89" s="18" t="n">
        <x:v>73.3</x:v>
      </x:c>
      <x:c r="Q89" s="18" t="n">
        <x:v>49696.9</x:v>
      </x:c>
      <x:c r="R89" s="18" t="n">
        <x:v>1</x:v>
      </x:c>
      <x:c r="S89" s="18" t="n">
        <x:v>82034.7323</x:v>
      </x:c>
    </x:row>
    <x:row r="90">
      <x:c r="A90" s="17" t="str">
        <x:v>VEND-0005</x:v>
      </x:c>
      <x:c r="B90" s="17" t="str">
        <x:v>Allegheny Packaging</x:v>
      </x:c>
      <x:c r="C90" s="17" t="str">
        <x:v>Packaging</x:v>
      </x:c>
      <x:c r="D90" s="17" t="str">
        <x:v>CN</x:v>
      </x:c>
      <x:c r="E90" s="18" t="n">
        <x:v>1</x:v>
      </x:c>
      <x:c r="F90" s="18" t="n">
        <x:v>20</x:v>
      </x:c>
      <x:c r="G90" s="18" t="n">
        <x:v>20</x:v>
      </x:c>
      <x:c r="H90" s="18" t="n">
        <x:v>9</x:v>
      </x:c>
      <x:c r="I90" s="18" t="n">
        <x:v>20</x:v>
      </x:c>
      <x:c r="J90" s="18" t="n">
        <x:v>45</x:v>
      </x:c>
      <x:c r="K90" s="18" t="n">
        <x:v>100</x:v>
      </x:c>
      <x:c r="L90" s="18" t="n">
        <x:v>0.45</x:v>
      </x:c>
      <x:c r="M90" s="18" t="n">
        <x:v>1</x:v>
      </x:c>
      <x:c r="N90" s="18" t="n">
        <x:v>0.725</x:v>
      </x:c>
      <x:c r="O90" s="18" t="n">
        <x:v>32.7</x:v>
      </x:c>
      <x:c r="P90" s="18" t="n">
        <x:v>-1981.61</x:v>
      </x:c>
      <x:c r="Q90" s="18" t="n">
        <x:v>135739.11</x:v>
      </x:c>
      <x:c r="R90" s="18" t="n">
        <x:v>3</x:v>
      </x:c>
      <x:c r="S90" s="18" t="n">
        <x:v>519877.1779</x:v>
      </x:c>
    </x:row>
    <x:row r="91">
      <x:c r="A91" s="17" t="str">
        <x:v>VEND-0018</x:v>
      </x:c>
      <x:c r="B91" s="17" t="str">
        <x:v>Bayshore Industrial Supply</x:v>
      </x:c>
      <x:c r="C91" s="17" t="str">
        <x:v>MRO</x:v>
      </x:c>
      <x:c r="D91" s="17" t="str">
        <x:v>US</x:v>
      </x:c>
      <x:c r="E91" s="18" t="n">
        <x:v>0</x:v>
      </x:c>
      <x:c r="F91" s="18" t="n">
        <x:v>11</x:v>
      </x:c>
      <x:c r="G91" s="18" t="n">
        <x:v>11</x:v>
      </x:c>
      <x:c r="H91" s="18" t="n">
        <x:v>5</x:v>
      </x:c>
      <x:c r="I91" s="18" t="n">
        <x:v>11</x:v>
      </x:c>
      <x:c r="J91" s="18" t="n">
        <x:v>45.45</x:v>
      </x:c>
      <x:c r="K91" s="18" t="n">
        <x:v>100</x:v>
      </x:c>
      <x:c r="L91" s="18" t="n">
        <x:v>0.454545</x:v>
      </x:c>
      <x:c r="M91" s="18" t="n">
        <x:v>1</x:v>
      </x:c>
      <x:c r="N91" s="18" t="n">
        <x:v>0.727273</x:v>
      </x:c>
      <x:c r="O91" s="18" t="n">
        <x:v>28.82</x:v>
      </x:c>
      <x:c r="P91" s="18" t="n">
        <x:v>757.06</x:v>
      </x:c>
      <x:c r="Q91" s="18" t="n">
        <x:v>45755.44</x:v>
      </x:c>
      <x:c r="R91" s="18" t="n">
        <x:v>3</x:v>
      </x:c>
      <x:c r="S91" s="18" t="n">
        <x:v>185809.7184</x:v>
      </x:c>
    </x:row>
    <x:row r="92">
      <x:c r="A92" s="17" t="str">
        <x:v>VEND-0019</x:v>
      </x:c>
      <x:c r="B92" s="17" t="str">
        <x:v>Bluewater Controls</x:v>
      </x:c>
      <x:c r="C92" s="17" t="str">
        <x:v>Electronics</x:v>
      </x:c>
      <x:c r="D92" s="17" t="str">
        <x:v>MX</x:v>
      </x:c>
      <x:c r="E92" s="18" t="n">
        <x:v>0</x:v>
      </x:c>
      <x:c r="F92" s="18" t="n">
        <x:v>11</x:v>
      </x:c>
      <x:c r="G92" s="18" t="n">
        <x:v>11</x:v>
      </x:c>
      <x:c r="H92" s="18" t="n">
        <x:v>5</x:v>
      </x:c>
      <x:c r="I92" s="18" t="n">
        <x:v>11</x:v>
      </x:c>
      <x:c r="J92" s="18" t="n">
        <x:v>45.45</x:v>
      </x:c>
      <x:c r="K92" s="18" t="n">
        <x:v>100</x:v>
      </x:c>
      <x:c r="L92" s="18" t="n">
        <x:v>0.454545</x:v>
      </x:c>
      <x:c r="M92" s="18" t="n">
        <x:v>1</x:v>
      </x:c>
      <x:c r="N92" s="18" t="n">
        <x:v>0.727273</x:v>
      </x:c>
      <x:c r="O92" s="18" t="n">
        <x:v>16.73</x:v>
      </x:c>
      <x:c r="P92" s="18" t="n">
        <x:v>-47.01</x:v>
      </x:c>
      <x:c r="Q92" s="18" t="n">
        <x:v>1885.15</x:v>
      </x:c>
      <x:c r="R92" s="18" t="n">
        <x:v>1</x:v>
      </x:c>
      <x:c r="S92" s="18" t="n">
        <x:v>62558.2887</x:v>
      </x:c>
    </x:row>
    <x:row r="93">
      <x:c r="A93" s="17" t="str">
        <x:v>VEND-0078</x:v>
      </x:c>
      <x:c r="B93" s="17" t="str">
        <x:v>Keystone Industrial Supply</x:v>
      </x:c>
      <x:c r="C93" s="17" t="str">
        <x:v>MRO</x:v>
      </x:c>
      <x:c r="D93" s="17" t="str">
        <x:v>JP</x:v>
      </x:c>
      <x:c r="E93" s="18" t="n">
        <x:v>0</x:v>
      </x:c>
      <x:c r="F93" s="18" t="n">
        <x:v>11</x:v>
      </x:c>
      <x:c r="G93" s="18" t="n">
        <x:v>11</x:v>
      </x:c>
      <x:c r="H93" s="18" t="n">
        <x:v>5</x:v>
      </x:c>
      <x:c r="I93" s="18" t="n">
        <x:v>11</x:v>
      </x:c>
      <x:c r="J93" s="18" t="n">
        <x:v>45.45</x:v>
      </x:c>
      <x:c r="K93" s="18" t="n">
        <x:v>100</x:v>
      </x:c>
      <x:c r="L93" s="18" t="n">
        <x:v>0.454545</x:v>
      </x:c>
      <x:c r="M93" s="18" t="n">
        <x:v>1</x:v>
      </x:c>
      <x:c r="N93" s="18" t="n">
        <x:v>0.727273</x:v>
      </x:c>
      <x:c r="O93" s="18" t="n">
        <x:v>29</x:v>
      </x:c>
      <x:c r="P93" s="18" t="n">
        <x:v>-4626.44</x:v>
      </x:c>
      <x:c r="Q93" s="18" t="n">
        <x:v>222997.37</x:v>
      </x:c>
      <x:c r="R93" s="18" t="n">
        <x:v>2</x:v>
      </x:c>
      <x:c r="S93" s="18" t="n">
        <x:v>337236.4441</x:v>
      </x:c>
    </x:row>
    <x:row r="94">
      <x:c r="A94" s="17" t="str">
        <x:v>VEND-0094</x:v>
      </x:c>
      <x:c r="B94" s="17" t="str">
        <x:v>Northstar Advisory</x:v>
      </x:c>
      <x:c r="C94" s="17" t="str">
        <x:v>Professional Services</x:v>
      </x:c>
      <x:c r="D94" s="17" t="str">
        <x:v>US</x:v>
      </x:c>
      <x:c r="E94" s="18" t="n">
        <x:v>0</x:v>
      </x:c>
      <x:c r="F94" s="18" t="n">
        <x:v>22</x:v>
      </x:c>
      <x:c r="G94" s="18" t="n">
        <x:v>22</x:v>
      </x:c>
      <x:c r="H94" s="18" t="n">
        <x:v>10</x:v>
      </x:c>
      <x:c r="I94" s="18" t="n">
        <x:v>22</x:v>
      </x:c>
      <x:c r="J94" s="18" t="n">
        <x:v>45.45</x:v>
      </x:c>
      <x:c r="K94" s="18" t="n">
        <x:v>100</x:v>
      </x:c>
      <x:c r="L94" s="18" t="n">
        <x:v>0.454545</x:v>
      </x:c>
      <x:c r="M94" s="18" t="n">
        <x:v>1</x:v>
      </x:c>
      <x:c r="N94" s="18" t="n">
        <x:v>0.727273</x:v>
      </x:c>
      <x:c r="O94" s="18" t="n">
        <x:v>24.95</x:v>
      </x:c>
      <x:c r="P94" s="18" t="n">
        <x:v>-1278.7</x:v>
      </x:c>
      <x:c r="Q94" s="18" t="n">
        <x:v>40593.03</x:v>
      </x:c>
      <x:c r="R94" s="18" t="n">
        <x:v>3</x:v>
      </x:c>
      <x:c r="S94" s="18" t="n">
        <x:v>409576.7178</x:v>
      </x:c>
    </x:row>
    <x:row r="95">
      <x:c r="A95" s="17" t="str">
        <x:v>VEND-0118</x:v>
      </x:c>
      <x:c r="B95" s="17" t="str">
        <x:v>Prairie Industrial Supply</x:v>
      </x:c>
      <x:c r="C95" s="17" t="str">
        <x:v>MRO</x:v>
      </x:c>
      <x:c r="D95" s="17" t="str">
        <x:v>MX</x:v>
      </x:c>
      <x:c r="E95" s="18" t="n">
        <x:v>0</x:v>
      </x:c>
      <x:c r="F95" s="18" t="n">
        <x:v>22</x:v>
      </x:c>
      <x:c r="G95" s="18" t="n">
        <x:v>22</x:v>
      </x:c>
      <x:c r="H95" s="18" t="n">
        <x:v>10</x:v>
      </x:c>
      <x:c r="I95" s="18" t="n">
        <x:v>22</x:v>
      </x:c>
      <x:c r="J95" s="18" t="n">
        <x:v>45.45</x:v>
      </x:c>
      <x:c r="K95" s="18" t="n">
        <x:v>100</x:v>
      </x:c>
      <x:c r="L95" s="18" t="n">
        <x:v>0.454545</x:v>
      </x:c>
      <x:c r="M95" s="18" t="n">
        <x:v>1</x:v>
      </x:c>
      <x:c r="N95" s="18" t="n">
        <x:v>0.727273</x:v>
      </x:c>
      <x:c r="O95" s="18" t="n">
        <x:v>51.77</x:v>
      </x:c>
      <x:c r="P95" s="18" t="n">
        <x:v>-904.89</x:v>
      </x:c>
      <x:c r="Q95" s="18" t="n">
        <x:v>63802.68</x:v>
      </x:c>
      <x:c r="R95" s="18" t="n">
        <x:v>3</x:v>
      </x:c>
      <x:c r="S95" s="18" t="n">
        <x:v>232769.5797</x:v>
      </x:c>
    </x:row>
    <x:row r="96">
      <x:c r="A96" s="17" t="str">
        <x:v>VEND-0022</x:v>
      </x:c>
      <x:c r="B96" s="17" t="str">
        <x:v>Bluewater Surface Technologies</x:v>
      </x:c>
      <x:c r="C96" s="17" t="str">
        <x:v>Outside Processing</x:v>
      </x:c>
      <x:c r="D96" s="17" t="str">
        <x:v>US</x:v>
      </x:c>
      <x:c r="E96" s="18" t="n">
        <x:v>0</x:v>
      </x:c>
      <x:c r="F96" s="18" t="n">
        <x:v>13</x:v>
      </x:c>
      <x:c r="G96" s="18" t="n">
        <x:v>13</x:v>
      </x:c>
      <x:c r="H96" s="18" t="n">
        <x:v>6</x:v>
      </x:c>
      <x:c r="I96" s="18" t="n">
        <x:v>13</x:v>
      </x:c>
      <x:c r="J96" s="18" t="n">
        <x:v>46.15</x:v>
      </x:c>
      <x:c r="K96" s="18" t="n">
        <x:v>100</x:v>
      </x:c>
      <x:c r="L96" s="18" t="n">
        <x:v>0.461538</x:v>
      </x:c>
      <x:c r="M96" s="18" t="n">
        <x:v>1</x:v>
      </x:c>
      <x:c r="N96" s="18" t="n">
        <x:v>0.730769</x:v>
      </x:c>
      <x:c r="O96" s="18" t="n">
        <x:v>30.62</x:v>
      </x:c>
      <x:c r="P96" s="18" t="n">
        <x:v>354.81</x:v>
      </x:c>
      <x:c r="Q96" s="18" t="n">
        <x:v>63236.06</x:v>
      </x:c>
      <x:c r="R96" s="18" t="n">
        <x:v>3</x:v>
      </x:c>
      <x:c r="S96" s="18" t="n">
        <x:v>198016.8498</x:v>
      </x:c>
    </x:row>
    <x:row r="97">
      <x:c r="A97" s="17" t="str">
        <x:v>VEND-0032</x:v>
      </x:c>
      <x:c r="B97" s="17" t="str">
        <x:v>Clearpoint Surface Technologies</x:v>
      </x:c>
      <x:c r="C97" s="17" t="str">
        <x:v>Outside Processing</x:v>
      </x:c>
      <x:c r="D97" s="17" t="str">
        <x:v>CN</x:v>
      </x:c>
      <x:c r="E97" s="18" t="n">
        <x:v>0</x:v>
      </x:c>
      <x:c r="F97" s="18" t="n">
        <x:v>13</x:v>
      </x:c>
      <x:c r="G97" s="18" t="n">
        <x:v>13</x:v>
      </x:c>
      <x:c r="H97" s="18" t="n">
        <x:v>6</x:v>
      </x:c>
      <x:c r="I97" s="18" t="n">
        <x:v>13</x:v>
      </x:c>
      <x:c r="J97" s="18" t="n">
        <x:v>46.15</x:v>
      </x:c>
      <x:c r="K97" s="18" t="n">
        <x:v>100</x:v>
      </x:c>
      <x:c r="L97" s="18" t="n">
        <x:v>0.461538</x:v>
      </x:c>
      <x:c r="M97" s="18" t="n">
        <x:v>1</x:v>
      </x:c>
      <x:c r="N97" s="18" t="n">
        <x:v>0.730769</x:v>
      </x:c>
      <x:c r="O97" s="18" t="n">
        <x:v>28.23</x:v>
      </x:c>
      <x:c r="P97" s="18" t="n">
        <x:v>-13.72</x:v>
      </x:c>
      <x:c r="Q97" s="18" t="n">
        <x:v>3740.88</x:v>
      </x:c>
      <x:c r="R97" s="18" t="n">
        <x:v>1</x:v>
      </x:c>
      <x:c r="S97" s="18" t="n">
        <x:v>31033.3518</x:v>
      </x:c>
    </x:row>
    <x:row r="98">
      <x:c r="A98" s="17" t="str">
        <x:v>VEND-0085</x:v>
      </x:c>
      <x:c r="B98" s="17" t="str">
        <x:v>Landmark Packaging</x:v>
      </x:c>
      <x:c r="C98" s="17" t="str">
        <x:v>Packaging</x:v>
      </x:c>
      <x:c r="D98" s="17" t="str">
        <x:v>US</x:v>
      </x:c>
      <x:c r="E98" s="18" t="n">
        <x:v>1</x:v>
      </x:c>
      <x:c r="F98" s="18" t="n">
        <x:v>15</x:v>
      </x:c>
      <x:c r="G98" s="18" t="n">
        <x:v>15</x:v>
      </x:c>
      <x:c r="H98" s="18" t="n">
        <x:v>7</x:v>
      </x:c>
      <x:c r="I98" s="18" t="n">
        <x:v>15</x:v>
      </x:c>
      <x:c r="J98" s="18" t="n">
        <x:v>46.67</x:v>
      </x:c>
      <x:c r="K98" s="18" t="n">
        <x:v>100</x:v>
      </x:c>
      <x:c r="L98" s="18" t="n">
        <x:v>0.466667</x:v>
      </x:c>
      <x:c r="M98" s="18" t="n">
        <x:v>1</x:v>
      </x:c>
      <x:c r="N98" s="18" t="n">
        <x:v>0.733333</x:v>
      </x:c>
      <x:c r="O98" s="18" t="n">
        <x:v>16.47</x:v>
      </x:c>
      <x:c r="P98" s="18" t="n">
        <x:v>-4800.62</x:v>
      </x:c>
      <x:c r="Q98" s="18" t="n">
        <x:v>42613.04</x:v>
      </x:c>
      <x:c r="R98" s="18" t="n">
        <x:v>3</x:v>
      </x:c>
      <x:c r="S98" s="18" t="n">
        <x:v>282042.6886</x:v>
      </x:c>
    </x:row>
    <x:row r="99">
      <x:c r="A99" s="17" t="str">
        <x:v>VEND-0133</x:v>
      </x:c>
      <x:c r="B99" s="17" t="str">
        <x:v>Riverbend Motion Components</x:v>
      </x:c>
      <x:c r="C99" s="17" t="str">
        <x:v>Bearings &amp; Mechanical</x:v>
      </x:c>
      <x:c r="D99" s="17" t="str">
        <x:v>CA</x:v>
      </x:c>
      <x:c r="E99" s="18" t="n">
        <x:v>0</x:v>
      </x:c>
      <x:c r="F99" s="18" t="n">
        <x:v>17</x:v>
      </x:c>
      <x:c r="G99" s="18" t="n">
        <x:v>17</x:v>
      </x:c>
      <x:c r="H99" s="18" t="n">
        <x:v>8</x:v>
      </x:c>
      <x:c r="I99" s="18" t="n">
        <x:v>17</x:v>
      </x:c>
      <x:c r="J99" s="18" t="n">
        <x:v>47.06</x:v>
      </x:c>
      <x:c r="K99" s="18" t="n">
        <x:v>100</x:v>
      </x:c>
      <x:c r="L99" s="18" t="n">
        <x:v>0.470588</x:v>
      </x:c>
      <x:c r="M99" s="18" t="n">
        <x:v>1</x:v>
      </x:c>
      <x:c r="N99" s="18" t="n">
        <x:v>0.735294</x:v>
      </x:c>
      <x:c r="O99" s="18" t="n">
        <x:v>46.82</x:v>
      </x:c>
      <x:c r="P99" s="18" t="n">
        <x:v>169.35</x:v>
      </x:c>
      <x:c r="Q99" s="18" t="n">
        <x:v>104755.51</x:v>
      </x:c>
      <x:c r="R99" s="18" t="n">
        <x:v>3</x:v>
      </x:c>
      <x:c r="S99" s="18" t="n">
        <x:v>374597.788</x:v>
      </x:c>
    </x:row>
    <x:row r="100">
      <x:c r="A100" s="17" t="str">
        <x:v>VEND-0042</x:v>
      </x:c>
      <x:c r="B100" s="17" t="str">
        <x:v>Continental Surface Technologies</x:v>
      </x:c>
      <x:c r="C100" s="17" t="str">
        <x:v>Outside Processing</x:v>
      </x:c>
      <x:c r="D100" s="17" t="str">
        <x:v>JP</x:v>
      </x:c>
      <x:c r="E100" s="18" t="n">
        <x:v>0</x:v>
      </x:c>
      <x:c r="F100" s="18" t="n">
        <x:v>19</x:v>
      </x:c>
      <x:c r="G100" s="18" t="n">
        <x:v>19</x:v>
      </x:c>
      <x:c r="H100" s="18" t="n">
        <x:v>9</x:v>
      </x:c>
      <x:c r="I100" s="18" t="n">
        <x:v>19</x:v>
      </x:c>
      <x:c r="J100" s="18" t="n">
        <x:v>47.37</x:v>
      </x:c>
      <x:c r="K100" s="18" t="n">
        <x:v>100</x:v>
      </x:c>
      <x:c r="L100" s="18" t="n">
        <x:v>0.473684</x:v>
      </x:c>
      <x:c r="M100" s="18" t="n">
        <x:v>1</x:v>
      </x:c>
      <x:c r="N100" s="18" t="n">
        <x:v>0.736842</x:v>
      </x:c>
      <x:c r="O100" s="18" t="n">
        <x:v>53.68</x:v>
      </x:c>
      <x:c r="P100" s="18" t="n">
        <x:v>-149.92</x:v>
      </x:c>
      <x:c r="Q100" s="18" t="n">
        <x:v>72323.16</x:v>
      </x:c>
      <x:c r="R100" s="18" t="n">
        <x:v>3</x:v>
      </x:c>
      <x:c r="S100" s="18" t="n">
        <x:v>288367.5451</x:v>
      </x:c>
    </x:row>
    <x:row r="101">
      <x:c r="A101" s="17" t="str">
        <x:v>VEND-0070</x:v>
      </x:c>
      <x:c r="B101" s="17" t="str">
        <x:v>Horizon Metals</x:v>
      </x:c>
      <x:c r="C101" s="17" t="str">
        <x:v>Metals</x:v>
      </x:c>
      <x:c r="D101" s="17" t="str">
        <x:v>CA</x:v>
      </x:c>
      <x:c r="E101" s="18" t="n">
        <x:v>1</x:v>
      </x:c>
      <x:c r="F101" s="18" t="n">
        <x:v>23</x:v>
      </x:c>
      <x:c r="G101" s="18" t="n">
        <x:v>23</x:v>
      </x:c>
      <x:c r="H101" s="18" t="n">
        <x:v>11</x:v>
      </x:c>
      <x:c r="I101" s="18" t="n">
        <x:v>23</x:v>
      </x:c>
      <x:c r="J101" s="18" t="n">
        <x:v>47.83</x:v>
      </x:c>
      <x:c r="K101" s="18" t="n">
        <x:v>100</x:v>
      </x:c>
      <x:c r="L101" s="18" t="n">
        <x:v>0.478261</x:v>
      </x:c>
      <x:c r="M101" s="18" t="n">
        <x:v>1</x:v>
      </x:c>
      <x:c r="N101" s="18" t="n">
        <x:v>0.73913</x:v>
      </x:c>
      <x:c r="O101" s="18" t="n">
        <x:v>30.52</x:v>
      </x:c>
      <x:c r="P101" s="18" t="n">
        <x:v>1242.06</x:v>
      </x:c>
      <x:c r="Q101" s="18" t="n">
        <x:v>41599.18</x:v>
      </x:c>
      <x:c r="R101" s="18" t="n">
        <x:v>3</x:v>
      </x:c>
      <x:c r="S101" s="18" t="n">
        <x:v>210773.4246</x:v>
      </x:c>
    </x:row>
    <x:row r="102">
      <x:c r="A102" s="17" t="str">
        <x:v>VEND-0007</x:v>
      </x:c>
      <x:c r="B102" s="17" t="str">
        <x:v>Arcadia Energy Services</x:v>
      </x:c>
      <x:c r="C102" s="17" t="str">
        <x:v>Utilities</x:v>
      </x:c>
      <x:c r="D102" s="17" t="str">
        <x:v>CA</x:v>
      </x:c>
      <x:c r="E102" s="18" t="n">
        <x:v>0</x:v>
      </x:c>
      <x:c r="F102" s="18" t="n">
        <x:v>22</x:v>
      </x:c>
      <x:c r="G102" s="18" t="n">
        <x:v>22</x:v>
      </x:c>
      <x:c r="H102" s="18" t="n">
        <x:v>11</x:v>
      </x:c>
      <x:c r="I102" s="18" t="n">
        <x:v>22</x:v>
      </x:c>
      <x:c r="J102" s="18" t="n">
        <x:v>50</x:v>
      </x:c>
      <x:c r="K102" s="18" t="n">
        <x:v>100</x:v>
      </x:c>
      <x:c r="L102" s="18" t="n">
        <x:v>0.5</x:v>
      </x:c>
      <x:c r="M102" s="18" t="n">
        <x:v>1</x:v>
      </x:c>
      <x:c r="N102" s="18" t="n">
        <x:v>0.75</x:v>
      </x:c>
      <x:c r="O102" s="18" t="n">
        <x:v>33.77</x:v>
      </x:c>
      <x:c r="P102" s="18" t="n">
        <x:v>-1021.23</x:v>
      </x:c>
      <x:c r="Q102" s="18" t="n">
        <x:v>61210.18</x:v>
      </x:c>
      <x:c r="R102" s="18" t="n">
        <x:v>3</x:v>
      </x:c>
      <x:c r="S102" s="18" t="n">
        <x:v>330111.9888</x:v>
      </x:c>
    </x:row>
    <x:row r="103">
      <x:c r="A103" s="17" t="str">
        <x:v>VEND-0048</x:v>
      </x:c>
      <x:c r="B103" s="17" t="str">
        <x:v>Crown Industrial Supply</x:v>
      </x:c>
      <x:c r="C103" s="17" t="str">
        <x:v>MRO</x:v>
      </x:c>
      <x:c r="D103" s="17" t="str">
        <x:v>US</x:v>
      </x:c>
      <x:c r="E103" s="18" t="n">
        <x:v>0</x:v>
      </x:c>
      <x:c r="F103" s="18" t="n">
        <x:v>18</x:v>
      </x:c>
      <x:c r="G103" s="18" t="n">
        <x:v>18</x:v>
      </x:c>
      <x:c r="H103" s="18" t="n">
        <x:v>9</x:v>
      </x:c>
      <x:c r="I103" s="18" t="n">
        <x:v>18</x:v>
      </x:c>
      <x:c r="J103" s="18" t="n">
        <x:v>50</x:v>
      </x:c>
      <x:c r="K103" s="18" t="n">
        <x:v>100</x:v>
      </x:c>
      <x:c r="L103" s="18" t="n">
        <x:v>0.5</x:v>
      </x:c>
      <x:c r="M103" s="18" t="n">
        <x:v>1</x:v>
      </x:c>
      <x:c r="N103" s="18" t="n">
        <x:v>0.75</x:v>
      </x:c>
      <x:c r="O103" s="18" t="n">
        <x:v>38.5</x:v>
      </x:c>
      <x:c r="P103" s="18" t="n">
        <x:v>4803.13</x:v>
      </x:c>
      <x:c r="Q103" s="18" t="n">
        <x:v>250855.38</x:v>
      </x:c>
      <x:c r="R103" s="18" t="n">
        <x:v>3</x:v>
      </x:c>
      <x:c r="S103" s="18" t="n">
        <x:v>394843.7288</x:v>
      </x:c>
    </x:row>
    <x:row r="104">
      <x:c r="A104" s="17" t="str">
        <x:v>VEND-0065</x:v>
      </x:c>
      <x:c r="B104" s="17" t="str">
        <x:v>Great Lakes Packaging</x:v>
      </x:c>
      <x:c r="C104" s="17" t="str">
        <x:v>Packaging</x:v>
      </x:c>
      <x:c r="D104" s="17" t="str">
        <x:v>DE</x:v>
      </x:c>
      <x:c r="E104" s="18" t="n">
        <x:v>1</x:v>
      </x:c>
      <x:c r="F104" s="18" t="n">
        <x:v>8</x:v>
      </x:c>
      <x:c r="G104" s="18" t="n">
        <x:v>8</x:v>
      </x:c>
      <x:c r="H104" s="18" t="n">
        <x:v>4</x:v>
      </x:c>
      <x:c r="I104" s="18" t="n">
        <x:v>8</x:v>
      </x:c>
      <x:c r="J104" s="18" t="n">
        <x:v>50</x:v>
      </x:c>
      <x:c r="K104" s="18" t="n">
        <x:v>100</x:v>
      </x:c>
      <x:c r="L104" s="18" t="n">
        <x:v>0.5</x:v>
      </x:c>
      <x:c r="M104" s="18" t="n">
        <x:v>1</x:v>
      </x:c>
      <x:c r="N104" s="18" t="n">
        <x:v>0.75</x:v>
      </x:c>
      <x:c r="O104" s="18" t="n">
        <x:v>39.5</x:v>
      </x:c>
      <x:c r="P104" s="18" t="n">
        <x:v>-682.97</x:v>
      </x:c>
      <x:c r="Q104" s="18" t="n">
        <x:v>172491.97</x:v>
      </x:c>
      <x:c r="R104" s="18" t="n">
        <x:v>2</x:v>
      </x:c>
      <x:c r="S104" s="18" t="n">
        <x:v>266719.8082</x:v>
      </x:c>
    </x:row>
    <x:row r="105">
      <x:c r="A105" s="17" t="str">
        <x:v>VEND-0069</x:v>
      </x:c>
      <x:c r="B105" s="17" t="str">
        <x:v>Horizon Controls</x:v>
      </x:c>
      <x:c r="C105" s="17" t="str">
        <x:v>Electronics</x:v>
      </x:c>
      <x:c r="D105" s="17" t="str">
        <x:v>JP</x:v>
      </x:c>
      <x:c r="E105" s="18" t="n">
        <x:v>0</x:v>
      </x:c>
      <x:c r="F105" s="18" t="n">
        <x:v>2</x:v>
      </x:c>
      <x:c r="G105" s="18" t="n">
        <x:v>2</x:v>
      </x:c>
      <x:c r="H105" s="18" t="n">
        <x:v>1</x:v>
      </x:c>
      <x:c r="I105" s="18" t="n">
        <x:v>2</x:v>
      </x:c>
      <x:c r="J105" s="18" t="n">
        <x:v>50</x:v>
      </x:c>
      <x:c r="K105" s="18" t="n">
        <x:v>100</x:v>
      </x:c>
      <x:c r="L105" s="18" t="n">
        <x:v>0.5</x:v>
      </x:c>
      <x:c r="M105" s="18" t="n">
        <x:v>1</x:v>
      </x:c>
      <x:c r="N105" s="18" t="n">
        <x:v>0.75</x:v>
      </x:c>
      <x:c r="O105" s="18" t="n">
        <x:v>37.5</x:v>
      </x:c>
      <x:c r="P105" s="18" t="n">
        <x:v>291.2</x:v>
      </x:c>
      <x:c r="Q105" s="18" t="n">
        <x:v>4711.09</x:v>
      </x:c>
      <x:c r="R105" s="18" t="n">
        <x:v>1</x:v>
      </x:c>
      <x:c r="S105" s="18" t="n">
        <x:v>10325.9022</x:v>
      </x:c>
    </x:row>
    <x:row r="106">
      <x:c r="A106" s="17" t="str">
        <x:v>VEND-0093</x:v>
      </x:c>
      <x:c r="B106" s="17" t="str">
        <x:v>Northstar Motion Components</x:v>
      </x:c>
      <x:c r="C106" s="17" t="str">
        <x:v>Bearings &amp; Mechanical</x:v>
      </x:c>
      <x:c r="D106" s="17" t="str">
        <x:v>US</x:v>
      </x:c>
      <x:c r="E106" s="18" t="n">
        <x:v>0</x:v>
      </x:c>
      <x:c r="F106" s="18" t="n">
        <x:v>12</x:v>
      </x:c>
      <x:c r="G106" s="18" t="n">
        <x:v>12</x:v>
      </x:c>
      <x:c r="H106" s="18" t="n">
        <x:v>6</x:v>
      </x:c>
      <x:c r="I106" s="18" t="n">
        <x:v>12</x:v>
      </x:c>
      <x:c r="J106" s="18" t="n">
        <x:v>50</x:v>
      </x:c>
      <x:c r="K106" s="18" t="n">
        <x:v>100</x:v>
      </x:c>
      <x:c r="L106" s="18" t="n">
        <x:v>0.5</x:v>
      </x:c>
      <x:c r="M106" s="18" t="n">
        <x:v>1</x:v>
      </x:c>
      <x:c r="N106" s="18" t="n">
        <x:v>0.75</x:v>
      </x:c>
      <x:c r="O106" s="18" t="n">
        <x:v>42.58</x:v>
      </x:c>
      <x:c r="P106" s="18" t="n">
        <x:v>-297.27</x:v>
      </x:c>
      <x:c r="Q106" s="18" t="n">
        <x:v>20969.62</x:v>
      </x:c>
      <x:c r="R106" s="18" t="n">
        <x:v>1</x:v>
      </x:c>
      <x:c r="S106" s="18" t="n">
        <x:v>68843.0475</x:v>
      </x:c>
    </x:row>
    <x:row r="107">
      <x:c r="A107" s="17" t="str">
        <x:v>VEND-0098</x:v>
      </x:c>
      <x:c r="B107" s="17" t="str">
        <x:v>Oak River Industrial Supply</x:v>
      </x:c>
      <x:c r="C107" s="17" t="str">
        <x:v>MRO</x:v>
      </x:c>
      <x:c r="D107" s="17" t="str">
        <x:v>US</x:v>
      </x:c>
      <x:c r="E107" s="18" t="n">
        <x:v>0</x:v>
      </x:c>
      <x:c r="F107" s="18" t="n">
        <x:v>12</x:v>
      </x:c>
      <x:c r="G107" s="18" t="n">
        <x:v>12</x:v>
      </x:c>
      <x:c r="H107" s="18" t="n">
        <x:v>6</x:v>
      </x:c>
      <x:c r="I107" s="18" t="n">
        <x:v>12</x:v>
      </x:c>
      <x:c r="J107" s="18" t="n">
        <x:v>50</x:v>
      </x:c>
      <x:c r="K107" s="18" t="n">
        <x:v>100</x:v>
      </x:c>
      <x:c r="L107" s="18" t="n">
        <x:v>0.5</x:v>
      </x:c>
      <x:c r="M107" s="18" t="n">
        <x:v>1</x:v>
      </x:c>
      <x:c r="N107" s="18" t="n">
        <x:v>0.75</x:v>
      </x:c>
      <x:c r="O107" s="18" t="n">
        <x:v>23.75</x:v>
      </x:c>
      <x:c r="P107" s="18" t="n">
        <x:v>4131.85</x:v>
      </x:c>
      <x:c r="Q107" s="18" t="n">
        <x:v>94936.14</x:v>
      </x:c>
      <x:c r="R107" s="18" t="n">
        <x:v>3</x:v>
      </x:c>
      <x:c r="S107" s="18" t="n">
        <x:v>285655.077</x:v>
      </x:c>
    </x:row>
    <x:row r="108">
      <x:c r="A108" s="17" t="str">
        <x:v>VEND-0100</x:v>
      </x:c>
      <x:c r="B108" s="17" t="str">
        <x:v>Oak River Metals</x:v>
      </x:c>
      <x:c r="C108" s="17" t="str">
        <x:v>Metals</x:v>
      </x:c>
      <x:c r="D108" s="17" t="str">
        <x:v>MX</x:v>
      </x:c>
      <x:c r="E108" s="18" t="n">
        <x:v>1</x:v>
      </x:c>
      <x:c r="F108" s="18" t="n">
        <x:v>18</x:v>
      </x:c>
      <x:c r="G108" s="18" t="n">
        <x:v>18</x:v>
      </x:c>
      <x:c r="H108" s="18" t="n">
        <x:v>9</x:v>
      </x:c>
      <x:c r="I108" s="18" t="n">
        <x:v>18</x:v>
      </x:c>
      <x:c r="J108" s="18" t="n">
        <x:v>50</x:v>
      </x:c>
      <x:c r="K108" s="18" t="n">
        <x:v>100</x:v>
      </x:c>
      <x:c r="L108" s="18" t="n">
        <x:v>0.5</x:v>
      </x:c>
      <x:c r="M108" s="18" t="n">
        <x:v>1</x:v>
      </x:c>
      <x:c r="N108" s="18" t="n">
        <x:v>0.75</x:v>
      </x:c>
      <x:c r="O108" s="18" t="n">
        <x:v>35.67</x:v>
      </x:c>
      <x:c r="P108" s="18" t="n">
        <x:v>439.66</x:v>
      </x:c>
      <x:c r="Q108" s="18" t="n">
        <x:v>57128.81</x:v>
      </x:c>
      <x:c r="R108" s="18" t="n">
        <x:v>2</x:v>
      </x:c>
      <x:c r="S108" s="18" t="n">
        <x:v>118397.9559</x:v>
      </x:c>
    </x:row>
    <x:row r="109">
      <x:c r="A109" s="17" t="str">
        <x:v>VEND-0108</x:v>
      </x:c>
      <x:c r="B109" s="17" t="str">
        <x:v>Orchard Industrial Supply</x:v>
      </x:c>
      <x:c r="C109" s="17" t="str">
        <x:v>MRO</x:v>
      </x:c>
      <x:c r="D109" s="17" t="str">
        <x:v>US</x:v>
      </x:c>
      <x:c r="E109" s="18" t="n">
        <x:v>0</x:v>
      </x:c>
      <x:c r="F109" s="18" t="n">
        <x:v>14</x:v>
      </x:c>
      <x:c r="G109" s="18" t="n">
        <x:v>14</x:v>
      </x:c>
      <x:c r="H109" s="18" t="n">
        <x:v>7</x:v>
      </x:c>
      <x:c r="I109" s="18" t="n">
        <x:v>14</x:v>
      </x:c>
      <x:c r="J109" s="18" t="n">
        <x:v>50</x:v>
      </x:c>
      <x:c r="K109" s="18" t="n">
        <x:v>100</x:v>
      </x:c>
      <x:c r="L109" s="18" t="n">
        <x:v>0.5</x:v>
      </x:c>
      <x:c r="M109" s="18" t="n">
        <x:v>1</x:v>
      </x:c>
      <x:c r="N109" s="18" t="n">
        <x:v>0.75</x:v>
      </x:c>
      <x:c r="O109" s="18" t="n">
        <x:v>22.5</x:v>
      </x:c>
      <x:c r="P109" s="18" t="n">
        <x:v>-263.94</x:v>
      </x:c>
      <x:c r="Q109" s="18" t="n">
        <x:v>1833.64</x:v>
      </x:c>
      <x:c r="R109" s="18" t="n">
        <x:v>1</x:v>
      </x:c>
      <x:c r="S109" s="18" t="n">
        <x:v>93999.5175</x:v>
      </x:c>
    </x:row>
    <x:row r="110">
      <x:c r="A110" s="17" t="str">
        <x:v>VEND-0109</x:v>
      </x:c>
      <x:c r="B110" s="17" t="str">
        <x:v>Pinnacle Controls</x:v>
      </x:c>
      <x:c r="C110" s="17" t="str">
        <x:v>Electronics</x:v>
      </x:c>
      <x:c r="D110" s="17" t="str">
        <x:v>MX</x:v>
      </x:c>
      <x:c r="E110" s="18" t="n">
        <x:v>0</x:v>
      </x:c>
      <x:c r="F110" s="18" t="n">
        <x:v>22</x:v>
      </x:c>
      <x:c r="G110" s="18" t="n">
        <x:v>22</x:v>
      </x:c>
      <x:c r="H110" s="18" t="n">
        <x:v>11</x:v>
      </x:c>
      <x:c r="I110" s="18" t="n">
        <x:v>22</x:v>
      </x:c>
      <x:c r="J110" s="18" t="n">
        <x:v>50</x:v>
      </x:c>
      <x:c r="K110" s="18" t="n">
        <x:v>100</x:v>
      </x:c>
      <x:c r="L110" s="18" t="n">
        <x:v>0.5</x:v>
      </x:c>
      <x:c r="M110" s="18" t="n">
        <x:v>1</x:v>
      </x:c>
      <x:c r="N110" s="18" t="n">
        <x:v>0.75</x:v>
      </x:c>
      <x:c r="O110" s="18" t="n">
        <x:v>40.32</x:v>
      </x:c>
      <x:c r="P110" s="18" t="n">
        <x:v>360.23</x:v>
      </x:c>
      <x:c r="Q110" s="18" t="n">
        <x:v>36116.68</x:v>
      </x:c>
      <x:c r="R110" s="18" t="n">
        <x:v>3</x:v>
      </x:c>
      <x:c r="S110" s="18" t="n">
        <x:v>184967.5922</x:v>
      </x:c>
    </x:row>
    <x:row r="111">
      <x:c r="A111" s="17" t="str">
        <x:v>VEND-0110</x:v>
      </x:c>
      <x:c r="B111" s="17" t="str">
        <x:v>Pinnacle Metals</x:v>
      </x:c>
      <x:c r="C111" s="17" t="str">
        <x:v>Metals</x:v>
      </x:c>
      <x:c r="D111" s="17" t="str">
        <x:v>DE</x:v>
      </x:c>
      <x:c r="E111" s="18" t="n">
        <x:v>1</x:v>
      </x:c>
      <x:c r="F111" s="18" t="n">
        <x:v>8</x:v>
      </x:c>
      <x:c r="G111" s="18" t="n">
        <x:v>8</x:v>
      </x:c>
      <x:c r="H111" s="18" t="n">
        <x:v>4</x:v>
      </x:c>
      <x:c r="I111" s="18" t="n">
        <x:v>8</x:v>
      </x:c>
      <x:c r="J111" s="18" t="n">
        <x:v>50</x:v>
      </x:c>
      <x:c r="K111" s="18" t="n">
        <x:v>100</x:v>
      </x:c>
      <x:c r="L111" s="18" t="n">
        <x:v>0.5</x:v>
      </x:c>
      <x:c r="M111" s="18" t="n">
        <x:v>1</x:v>
      </x:c>
      <x:c r="N111" s="18" t="n">
        <x:v>0.75</x:v>
      </x:c>
      <x:c r="O111" s="18" t="n">
        <x:v>51.88</x:v>
      </x:c>
      <x:c r="P111" s="18" t="n">
        <x:v>15.56</x:v>
      </x:c>
      <x:c r="Q111" s="18" t="n">
        <x:v>16819.53</x:v>
      </x:c>
      <x:c r="R111" s="18" t="n">
        <x:v>1</x:v>
      </x:c>
      <x:c r="S111" s="18" t="n">
        <x:v>18518.5436</x:v>
      </x:c>
    </x:row>
    <x:row r="112">
      <x:c r="A112" s="17" t="str">
        <x:v>VEND-0124</x:v>
      </x:c>
      <x:c r="B112" s="17" t="str">
        <x:v>Redstone Advisory</x:v>
      </x:c>
      <x:c r="C112" s="17" t="str">
        <x:v>Professional Services</x:v>
      </x:c>
      <x:c r="D112" s="17" t="str">
        <x:v>CA</x:v>
      </x:c>
      <x:c r="E112" s="18" t="n">
        <x:v>0</x:v>
      </x:c>
      <x:c r="F112" s="18" t="n">
        <x:v>20</x:v>
      </x:c>
      <x:c r="G112" s="18" t="n">
        <x:v>20</x:v>
      </x:c>
      <x:c r="H112" s="18" t="n">
        <x:v>10</x:v>
      </x:c>
      <x:c r="I112" s="18" t="n">
        <x:v>20</x:v>
      </x:c>
      <x:c r="J112" s="18" t="n">
        <x:v>50</x:v>
      </x:c>
      <x:c r="K112" s="18" t="n">
        <x:v>100</x:v>
      </x:c>
      <x:c r="L112" s="18" t="n">
        <x:v>0.5</x:v>
      </x:c>
      <x:c r="M112" s="18" t="n">
        <x:v>1</x:v>
      </x:c>
      <x:c r="N112" s="18" t="n">
        <x:v>0.75</x:v>
      </x:c>
      <x:c r="O112" s="18" t="n">
        <x:v>37.05</x:v>
      </x:c>
      <x:c r="P112" s="18" t="n">
        <x:v>1190.62</x:v>
      </x:c>
      <x:c r="Q112" s="18" t="n">
        <x:v>89181.94</x:v>
      </x:c>
      <x:c r="R112" s="18" t="n">
        <x:v>3</x:v>
      </x:c>
      <x:c r="S112" s="18" t="n">
        <x:v>282046.0221</x:v>
      </x:c>
    </x:row>
    <x:row r="113">
      <x:c r="A113" s="17" t="str">
        <x:v>VEND-0137</x:v>
      </x:c>
      <x:c r="B113" s="17" t="str">
        <x:v>Riverbend Energy Services</x:v>
      </x:c>
      <x:c r="C113" s="17" t="str">
        <x:v>Utilities</x:v>
      </x:c>
      <x:c r="D113" s="17" t="str">
        <x:v>DE</x:v>
      </x:c>
      <x:c r="E113" s="18" t="n">
        <x:v>0</x:v>
      </x:c>
      <x:c r="F113" s="18" t="n">
        <x:v>12</x:v>
      </x:c>
      <x:c r="G113" s="18" t="n">
        <x:v>12</x:v>
      </x:c>
      <x:c r="H113" s="18" t="n">
        <x:v>6</x:v>
      </x:c>
      <x:c r="I113" s="18" t="n">
        <x:v>12</x:v>
      </x:c>
      <x:c r="J113" s="18" t="n">
        <x:v>50</x:v>
      </x:c>
      <x:c r="K113" s="18" t="n">
        <x:v>100</x:v>
      </x:c>
      <x:c r="L113" s="18" t="n">
        <x:v>0.5</x:v>
      </x:c>
      <x:c r="M113" s="18" t="n">
        <x:v>1</x:v>
      </x:c>
      <x:c r="N113" s="18" t="n">
        <x:v>0.75</x:v>
      </x:c>
      <x:c r="O113" s="18" t="n">
        <x:v>42.83</x:v>
      </x:c>
      <x:c r="P113" s="18" t="n">
        <x:v>6755.78</x:v>
      </x:c>
      <x:c r="Q113" s="18" t="n">
        <x:v>142645.39</x:v>
      </x:c>
      <x:c r="R113" s="18" t="n">
        <x:v>3</x:v>
      </x:c>
      <x:c r="S113" s="18" t="n">
        <x:v>358144.0445</x:v>
      </x:c>
    </x:row>
    <x:row r="114">
      <x:c r="A114" s="17" t="str">
        <x:v>VEND-0144</x:v>
      </x:c>
      <x:c r="B114" s="17" t="str">
        <x:v>Seaboard Advisory</x:v>
      </x:c>
      <x:c r="C114" s="17" t="str">
        <x:v>Professional Services</x:v>
      </x:c>
      <x:c r="D114" s="17" t="str">
        <x:v>US</x:v>
      </x:c>
      <x:c r="E114" s="18" t="n">
        <x:v>0</x:v>
      </x:c>
      <x:c r="F114" s="18" t="n">
        <x:v>12</x:v>
      </x:c>
      <x:c r="G114" s="18" t="n">
        <x:v>12</x:v>
      </x:c>
      <x:c r="H114" s="18" t="n">
        <x:v>6</x:v>
      </x:c>
      <x:c r="I114" s="18" t="n">
        <x:v>12</x:v>
      </x:c>
      <x:c r="J114" s="18" t="n">
        <x:v>50</x:v>
      </x:c>
      <x:c r="K114" s="18" t="n">
        <x:v>100</x:v>
      </x:c>
      <x:c r="L114" s="18" t="n">
        <x:v>0.5</x:v>
      </x:c>
      <x:c r="M114" s="18" t="n">
        <x:v>1</x:v>
      </x:c>
      <x:c r="N114" s="18" t="n">
        <x:v>0.75</x:v>
      </x:c>
      <x:c r="O114" s="18" t="n">
        <x:v>12.83</x:v>
      </x:c>
      <x:c r="P114" s="18" t="n">
        <x:v>-2661.27</x:v>
      </x:c>
      <x:c r="Q114" s="18" t="n">
        <x:v>70774.4</x:v>
      </x:c>
      <x:c r="R114" s="18" t="n">
        <x:v>3</x:v>
      </x:c>
      <x:c r="S114" s="18" t="n">
        <x:v>171867.8692</x:v>
      </x:c>
    </x:row>
    <x:row r="115">
      <x:c r="A115" s="17" t="str">
        <x:v>VEND-0145</x:v>
      </x:c>
      <x:c r="B115" s="17" t="str">
        <x:v>Stonebridge Packaging</x:v>
      </x:c>
      <x:c r="C115" s="17" t="str">
        <x:v>Packaging</x:v>
      </x:c>
      <x:c r="D115" s="17" t="str">
        <x:v>MX</x:v>
      </x:c>
      <x:c r="E115" s="18" t="n">
        <x:v>1</x:v>
      </x:c>
      <x:c r="F115" s="18" t="n">
        <x:v>6</x:v>
      </x:c>
      <x:c r="G115" s="18" t="n">
        <x:v>6</x:v>
      </x:c>
      <x:c r="H115" s="18" t="n">
        <x:v>3</x:v>
      </x:c>
      <x:c r="I115" s="18" t="n">
        <x:v>6</x:v>
      </x:c>
      <x:c r="J115" s="18" t="n">
        <x:v>50</x:v>
      </x:c>
      <x:c r="K115" s="18" t="n">
        <x:v>100</x:v>
      </x:c>
      <x:c r="L115" s="18" t="n">
        <x:v>0.5</x:v>
      </x:c>
      <x:c r="M115" s="18" t="n">
        <x:v>1</x:v>
      </x:c>
      <x:c r="N115" s="18" t="n">
        <x:v>0.75</x:v>
      </x:c>
      <x:c r="O115" s="18" t="n">
        <x:v>12.5</x:v>
      </x:c>
      <x:c r="P115" s="18" t="n">
        <x:v>337.39</x:v>
      </x:c>
      <x:c r="Q115" s="18" t="n">
        <x:v>9575.3</x:v>
      </x:c>
      <x:c r="R115" s="18" t="n">
        <x:v>1</x:v>
      </x:c>
      <x:c r="S115" s="18" t="n">
        <x:v>44779.8862</x:v>
      </x:c>
    </x:row>
    <x:row r="116">
      <x:c r="A116" s="17" t="str">
        <x:v>VEND-0147</x:v>
      </x:c>
      <x:c r="B116" s="17" t="str">
        <x:v>Stonebridge Energy Services</x:v>
      </x:c>
      <x:c r="C116" s="17" t="str">
        <x:v>Utilities</x:v>
      </x:c>
      <x:c r="D116" s="17" t="str">
        <x:v>US</x:v>
      </x:c>
      <x:c r="E116" s="18" t="n">
        <x:v>0</x:v>
      </x:c>
      <x:c r="F116" s="18" t="n">
        <x:v>8</x:v>
      </x:c>
      <x:c r="G116" s="18" t="n">
        <x:v>8</x:v>
      </x:c>
      <x:c r="H116" s="18" t="n">
        <x:v>4</x:v>
      </x:c>
      <x:c r="I116" s="18" t="n">
        <x:v>8</x:v>
      </x:c>
      <x:c r="J116" s="18" t="n">
        <x:v>50</x:v>
      </x:c>
      <x:c r="K116" s="18" t="n">
        <x:v>100</x:v>
      </x:c>
      <x:c r="L116" s="18" t="n">
        <x:v>0.5</x:v>
      </x:c>
      <x:c r="M116" s="18" t="n">
        <x:v>1</x:v>
      </x:c>
      <x:c r="N116" s="18" t="n">
        <x:v>0.75</x:v>
      </x:c>
      <x:c r="O116" s="18" t="n">
        <x:v>44.5</x:v>
      </x:c>
      <x:c r="P116" s="18" t="n">
        <x:v>172.43</x:v>
      </x:c>
      <x:c r="Q116" s="18" t="n">
        <x:v>25509.02</x:v>
      </x:c>
      <x:c r="R116" s="18" t="n">
        <x:v>1</x:v>
      </x:c>
      <x:c r="S116" s="18" t="n">
        <x:v>58028.5401</x:v>
      </x:c>
    </x:row>
    <x:row r="117">
      <x:c r="A117" s="17" t="str">
        <x:v>VEND-0148</x:v>
      </x:c>
      <x:c r="B117" s="17" t="str">
        <x:v>Stonebridge Industrial Supply</x:v>
      </x:c>
      <x:c r="C117" s="17" t="str">
        <x:v>MRO</x:v>
      </x:c>
      <x:c r="D117" s="17" t="str">
        <x:v>US</x:v>
      </x:c>
      <x:c r="E117" s="18" t="n">
        <x:v>0</x:v>
      </x:c>
      <x:c r="F117" s="18" t="n">
        <x:v>20</x:v>
      </x:c>
      <x:c r="G117" s="18" t="n">
        <x:v>20</x:v>
      </x:c>
      <x:c r="H117" s="18" t="n">
        <x:v>10</x:v>
      </x:c>
      <x:c r="I117" s="18" t="n">
        <x:v>20</x:v>
      </x:c>
      <x:c r="J117" s="18" t="n">
        <x:v>50</x:v>
      </x:c>
      <x:c r="K117" s="18" t="n">
        <x:v>100</x:v>
      </x:c>
      <x:c r="L117" s="18" t="n">
        <x:v>0.5</x:v>
      </x:c>
      <x:c r="M117" s="18" t="n">
        <x:v>1</x:v>
      </x:c>
      <x:c r="N117" s="18" t="n">
        <x:v>0.75</x:v>
      </x:c>
      <x:c r="O117" s="18" t="n">
        <x:v>35</x:v>
      </x:c>
      <x:c r="P117" s="18" t="n">
        <x:v>527.34</x:v>
      </x:c>
      <x:c r="Q117" s="18" t="n">
        <x:v>43900.64</x:v>
      </x:c>
      <x:c r="R117" s="18" t="n">
        <x:v>3</x:v>
      </x:c>
      <x:c r="S117" s="18" t="n">
        <x:v>288696.3108</x:v>
      </x:c>
    </x:row>
    <x:row r="118">
      <x:c r="A118" s="17" t="str">
        <x:v>VEND-0020</x:v>
      </x:c>
      <x:c r="B118" s="17" t="str">
        <x:v>Bluewater Metals</x:v>
      </x:c>
      <x:c r="C118" s="17" t="str">
        <x:v>Metals</x:v>
      </x:c>
      <x:c r="D118" s="17" t="str">
        <x:v>DE</x:v>
      </x:c>
      <x:c r="E118" s="18" t="n">
        <x:v>1</x:v>
      </x:c>
      <x:c r="F118" s="18" t="n">
        <x:v>21</x:v>
      </x:c>
      <x:c r="G118" s="18" t="n">
        <x:v>21</x:v>
      </x:c>
      <x:c r="H118" s="18" t="n">
        <x:v>11</x:v>
      </x:c>
      <x:c r="I118" s="18" t="n">
        <x:v>21</x:v>
      </x:c>
      <x:c r="J118" s="18" t="n">
        <x:v>52.38</x:v>
      </x:c>
      <x:c r="K118" s="18" t="n">
        <x:v>100</x:v>
      </x:c>
      <x:c r="L118" s="18" t="n">
        <x:v>0.52381</x:v>
      </x:c>
      <x:c r="M118" s="18" t="n">
        <x:v>1</x:v>
      </x:c>
      <x:c r="N118" s="18" t="n">
        <x:v>0.761905</x:v>
      </x:c>
      <x:c r="O118" s="18" t="n">
        <x:v>39.14</x:v>
      </x:c>
      <x:c r="P118" s="18" t="n">
        <x:v>559.23</x:v>
      </x:c>
      <x:c r="Q118" s="18" t="n">
        <x:v>67793.19</x:v>
      </x:c>
      <x:c r="R118" s="18" t="n">
        <x:v>3</x:v>
      </x:c>
      <x:c r="S118" s="18" t="n">
        <x:v>205263.0465</x:v>
      </x:c>
    </x:row>
    <x:row r="119">
      <x:c r="A119" s="17" t="str">
        <x:v>VEND-0027</x:v>
      </x:c>
      <x:c r="B119" s="17" t="str">
        <x:v>Cedar Valley Energy Services</x:v>
      </x:c>
      <x:c r="C119" s="17" t="str">
        <x:v>Utilities</x:v>
      </x:c>
      <x:c r="D119" s="17" t="str">
        <x:v>US</x:v>
      </x:c>
      <x:c r="E119" s="18" t="n">
        <x:v>0</x:v>
      </x:c>
      <x:c r="F119" s="18" t="n">
        <x:v>17</x:v>
      </x:c>
      <x:c r="G119" s="18" t="n">
        <x:v>17</x:v>
      </x:c>
      <x:c r="H119" s="18" t="n">
        <x:v>9</x:v>
      </x:c>
      <x:c r="I119" s="18" t="n">
        <x:v>17</x:v>
      </x:c>
      <x:c r="J119" s="18" t="n">
        <x:v>52.94</x:v>
      </x:c>
      <x:c r="K119" s="18" t="n">
        <x:v>100</x:v>
      </x:c>
      <x:c r="L119" s="18" t="n">
        <x:v>0.529412</x:v>
      </x:c>
      <x:c r="M119" s="18" t="n">
        <x:v>1</x:v>
      </x:c>
      <x:c r="N119" s="18" t="n">
        <x:v>0.764706</x:v>
      </x:c>
      <x:c r="O119" s="18" t="n">
        <x:v>38.35</x:v>
      </x:c>
      <x:c r="P119" s="18" t="n">
        <x:v>624.11</x:v>
      </x:c>
      <x:c r="Q119" s="18" t="n">
        <x:v>8979.54</x:v>
      </x:c>
      <x:c r="R119" s="18" t="n">
        <x:v>3</x:v>
      </x:c>
      <x:c r="S119" s="18" t="n">
        <x:v>166187.7104</x:v>
      </x:c>
    </x:row>
    <x:row r="120">
      <x:c r="A120" s="17" t="str">
        <x:v>VEND-0015</x:v>
      </x:c>
      <x:c r="B120" s="17" t="str">
        <x:v>Bayshore Packaging</x:v>
      </x:c>
      <x:c r="C120" s="17" t="str">
        <x:v>Packaging</x:v>
      </x:c>
      <x:c r="D120" s="17" t="str">
        <x:v>JP</x:v>
      </x:c>
      <x:c r="E120" s="18" t="n">
        <x:v>1</x:v>
      </x:c>
      <x:c r="F120" s="18" t="n">
        <x:v>15</x:v>
      </x:c>
      <x:c r="G120" s="18" t="n">
        <x:v>15</x:v>
      </x:c>
      <x:c r="H120" s="18" t="n">
        <x:v>8</x:v>
      </x:c>
      <x:c r="I120" s="18" t="n">
        <x:v>15</x:v>
      </x:c>
      <x:c r="J120" s="18" t="n">
        <x:v>53.33</x:v>
      </x:c>
      <x:c r="K120" s="18" t="n">
        <x:v>100</x:v>
      </x:c>
      <x:c r="L120" s="18" t="n">
        <x:v>0.533333</x:v>
      </x:c>
      <x:c r="M120" s="18" t="n">
        <x:v>1</x:v>
      </x:c>
      <x:c r="N120" s="18" t="n">
        <x:v>0.766667</x:v>
      </x:c>
      <x:c r="O120" s="18" t="n">
        <x:v>31.73</x:v>
      </x:c>
      <x:c r="P120" s="18" t="n">
        <x:v>773.83</x:v>
      </x:c>
      <x:c r="Q120" s="18" t="n">
        <x:v>99695.55</x:v>
      </x:c>
      <x:c r="R120" s="18" t="n">
        <x:v>2</x:v>
      </x:c>
      <x:c r="S120" s="18" t="n">
        <x:v>279937.7696</x:v>
      </x:c>
    </x:row>
    <x:row r="121">
      <x:c r="A121" s="17" t="str">
        <x:v>VEND-0159</x:v>
      </x:c>
      <x:c r="B121" s="17" t="str">
        <x:v>Tri-County Controls</x:v>
      </x:c>
      <x:c r="C121" s="17" t="str">
        <x:v>Electronics</x:v>
      </x:c>
      <x:c r="D121" s="17" t="str">
        <x:v>JP</x:v>
      </x:c>
      <x:c r="E121" s="18" t="n">
        <x:v>0</x:v>
      </x:c>
      <x:c r="F121" s="18" t="n">
        <x:v>13</x:v>
      </x:c>
      <x:c r="G121" s="18" t="n">
        <x:v>13</x:v>
      </x:c>
      <x:c r="H121" s="18" t="n">
        <x:v>7</x:v>
      </x:c>
      <x:c r="I121" s="18" t="n">
        <x:v>13</x:v>
      </x:c>
      <x:c r="J121" s="18" t="n">
        <x:v>53.85</x:v>
      </x:c>
      <x:c r="K121" s="18" t="n">
        <x:v>100</x:v>
      </x:c>
      <x:c r="L121" s="18" t="n">
        <x:v>0.538462</x:v>
      </x:c>
      <x:c r="M121" s="18" t="n">
        <x:v>1</x:v>
      </x:c>
      <x:c r="N121" s="18" t="n">
        <x:v>0.769231</x:v>
      </x:c>
      <x:c r="O121" s="18" t="n">
        <x:v>31.69</x:v>
      </x:c>
      <x:c r="P121" s="18" t="n">
        <x:v>882.51</x:v>
      </x:c>
      <x:c r="Q121" s="18" t="n">
        <x:v>209545.99</x:v>
      </x:c>
      <x:c r="R121" s="18" t="n">
        <x:v>3</x:v>
      </x:c>
      <x:c r="S121" s="18" t="n">
        <x:v>380803.4718</x:v>
      </x:c>
    </x:row>
    <x:row r="122">
      <x:c r="A122" s="17" t="str">
        <x:v>VEND-0076</x:v>
      </x:c>
      <x:c r="B122" s="17" t="str">
        <x:v>Keystone Drive Systems</x:v>
      </x:c>
      <x:c r="C122" s="17" t="str">
        <x:v>Motors &amp; Drives</x:v>
      </x:c>
      <x:c r="D122" s="17" t="str">
        <x:v>US</x:v>
      </x:c>
      <x:c r="E122" s="18" t="n">
        <x:v>0</x:v>
      </x:c>
      <x:c r="F122" s="18" t="n">
        <x:v>35</x:v>
      </x:c>
      <x:c r="G122" s="18" t="n">
        <x:v>35</x:v>
      </x:c>
      <x:c r="H122" s="18" t="n">
        <x:v>19</x:v>
      </x:c>
      <x:c r="I122" s="18" t="n">
        <x:v>35</x:v>
      </x:c>
      <x:c r="J122" s="18" t="n">
        <x:v>54.29</x:v>
      </x:c>
      <x:c r="K122" s="18" t="n">
        <x:v>100</x:v>
      </x:c>
      <x:c r="L122" s="18" t="n">
        <x:v>0.542857</x:v>
      </x:c>
      <x:c r="M122" s="18" t="n">
        <x:v>1</x:v>
      </x:c>
      <x:c r="N122" s="18" t="n">
        <x:v>0.771429</x:v>
      </x:c>
      <x:c r="O122" s="18" t="n">
        <x:v>29.37</x:v>
      </x:c>
      <x:c r="P122" s="18" t="n">
        <x:v>7255.42</x:v>
      </x:c>
      <x:c r="Q122" s="18" t="n">
        <x:v>101009.3</x:v>
      </x:c>
      <x:c r="R122" s="18" t="n">
        <x:v>2</x:v>
      </x:c>
      <x:c r="S122" s="18" t="n">
        <x:v>521642.1516</x:v>
      </x:c>
    </x:row>
    <x:row r="123">
      <x:c r="A123" s="17" t="str">
        <x:v>VEND-0054</x:v>
      </x:c>
      <x:c r="B123" s="17" t="str">
        <x:v>Easton Advisory</x:v>
      </x:c>
      <x:c r="C123" s="17" t="str">
        <x:v>Professional Services</x:v>
      </x:c>
      <x:c r="D123" s="17" t="str">
        <x:v>US</x:v>
      </x:c>
      <x:c r="E123" s="18" t="n">
        <x:v>0</x:v>
      </x:c>
      <x:c r="F123" s="18" t="n">
        <x:v>11</x:v>
      </x:c>
      <x:c r="G123" s="18" t="n">
        <x:v>11</x:v>
      </x:c>
      <x:c r="H123" s="18" t="n">
        <x:v>7</x:v>
      </x:c>
      <x:c r="I123" s="18" t="n">
        <x:v>10</x:v>
      </x:c>
      <x:c r="J123" s="18" t="n">
        <x:v>63.64</x:v>
      </x:c>
      <x:c r="K123" s="18" t="n">
        <x:v>90.91</x:v>
      </x:c>
      <x:c r="L123" s="18" t="n">
        <x:v>0.636364</x:v>
      </x:c>
      <x:c r="M123" s="18" t="n">
        <x:v>0.909091</x:v>
      </x:c>
      <x:c r="N123" s="18" t="n">
        <x:v>0.772727</x:v>
      </x:c>
      <x:c r="O123" s="18" t="n">
        <x:v>20.82</x:v>
      </x:c>
      <x:c r="P123" s="18" t="n">
        <x:v>-925.86</x:v>
      </x:c>
      <x:c r="Q123" s="18" t="n">
        <x:v>6711.35</x:v>
      </x:c>
      <x:c r="R123" s="18" t="n">
        <x:v>1</x:v>
      </x:c>
      <x:c r="S123" s="18" t="n">
        <x:v>49928.0249</x:v>
      </x:c>
    </x:row>
    <x:row r="124">
      <x:c r="A124" s="17" t="str">
        <x:v>VEND-0079</x:v>
      </x:c>
      <x:c r="B124" s="17" t="str">
        <x:v>Lakefront Controls</x:v>
      </x:c>
      <x:c r="C124" s="17" t="str">
        <x:v>Electronics</x:v>
      </x:c>
      <x:c r="D124" s="17" t="str">
        <x:v>CA</x:v>
      </x:c>
      <x:c r="E124" s="18" t="n">
        <x:v>0</x:v>
      </x:c>
      <x:c r="F124" s="18" t="n">
        <x:v>11</x:v>
      </x:c>
      <x:c r="G124" s="18" t="n">
        <x:v>11</x:v>
      </x:c>
      <x:c r="H124" s="18" t="n">
        <x:v>6</x:v>
      </x:c>
      <x:c r="I124" s="18" t="n">
        <x:v>11</x:v>
      </x:c>
      <x:c r="J124" s="18" t="n">
        <x:v>54.55</x:v>
      </x:c>
      <x:c r="K124" s="18" t="n">
        <x:v>100</x:v>
      </x:c>
      <x:c r="L124" s="18" t="n">
        <x:v>0.545455</x:v>
      </x:c>
      <x:c r="M124" s="18" t="n">
        <x:v>1</x:v>
      </x:c>
      <x:c r="N124" s="18" t="n">
        <x:v>0.772727</x:v>
      </x:c>
      <x:c r="O124" s="18" t="n">
        <x:v>29.36</x:v>
      </x:c>
      <x:c r="P124" s="18" t="n">
        <x:v>1268.68</x:v>
      </x:c>
      <x:c r="Q124" s="18" t="n">
        <x:v>16892.86</x:v>
      </x:c>
      <x:c r="R124" s="18" t="n">
        <x:v>3</x:v>
      </x:c>
      <x:c r="S124" s="18" t="n">
        <x:v>95865.5459</x:v>
      </x:c>
    </x:row>
    <x:row r="125">
      <x:c r="A125" s="17" t="str">
        <x:v>VEND-0080</x:v>
      </x:c>
      <x:c r="B125" s="17" t="str">
        <x:v>Lakefront Metals</x:v>
      </x:c>
      <x:c r="C125" s="17" t="str">
        <x:v>Metals</x:v>
      </x:c>
      <x:c r="D125" s="17" t="str">
        <x:v>US</x:v>
      </x:c>
      <x:c r="E125" s="18" t="n">
        <x:v>1</x:v>
      </x:c>
      <x:c r="F125" s="18" t="n">
        <x:v>11</x:v>
      </x:c>
      <x:c r="G125" s="18" t="n">
        <x:v>11</x:v>
      </x:c>
      <x:c r="H125" s="18" t="n">
        <x:v>6</x:v>
      </x:c>
      <x:c r="I125" s="18" t="n">
        <x:v>11</x:v>
      </x:c>
      <x:c r="J125" s="18" t="n">
        <x:v>54.55</x:v>
      </x:c>
      <x:c r="K125" s="18" t="n">
        <x:v>100</x:v>
      </x:c>
      <x:c r="L125" s="18" t="n">
        <x:v>0.545455</x:v>
      </x:c>
      <x:c r="M125" s="18" t="n">
        <x:v>1</x:v>
      </x:c>
      <x:c r="N125" s="18" t="n">
        <x:v>0.772727</x:v>
      </x:c>
      <x:c r="O125" s="18" t="n">
        <x:v>36.73</x:v>
      </x:c>
      <x:c r="P125" s="18" t="n">
        <x:v>1015.42</x:v>
      </x:c>
      <x:c r="Q125" s="18" t="n">
        <x:v>9103.43</x:v>
      </x:c>
      <x:c r="R125" s="18" t="n">
        <x:v>1</x:v>
      </x:c>
      <x:c r="S125" s="18" t="n">
        <x:v>57628.0164</x:v>
      </x:c>
    </x:row>
    <x:row r="126">
      <x:c r="A126" s="17" t="str">
        <x:v>VEND-0157</x:v>
      </x:c>
      <x:c r="B126" s="17" t="str">
        <x:v>Tri-County Energy Services</x:v>
      </x:c>
      <x:c r="C126" s="17" t="str">
        <x:v>Utilities</x:v>
      </x:c>
      <x:c r="D126" s="17" t="str">
        <x:v>US</x:v>
      </x:c>
      <x:c r="E126" s="18" t="n">
        <x:v>0</x:v>
      </x:c>
      <x:c r="F126" s="18" t="n">
        <x:v>11</x:v>
      </x:c>
      <x:c r="G126" s="18" t="n">
        <x:v>11</x:v>
      </x:c>
      <x:c r="H126" s="18" t="n">
        <x:v>6</x:v>
      </x:c>
      <x:c r="I126" s="18" t="n">
        <x:v>11</x:v>
      </x:c>
      <x:c r="J126" s="18" t="n">
        <x:v>54.55</x:v>
      </x:c>
      <x:c r="K126" s="18" t="n">
        <x:v>100</x:v>
      </x:c>
      <x:c r="L126" s="18" t="n">
        <x:v>0.545455</x:v>
      </x:c>
      <x:c r="M126" s="18" t="n">
        <x:v>1</x:v>
      </x:c>
      <x:c r="N126" s="18" t="n">
        <x:v>0.772727</x:v>
      </x:c>
      <x:c r="O126" s="18" t="n">
        <x:v>16.64</x:v>
      </x:c>
      <x:c r="P126" s="18" t="n">
        <x:v>245.83</x:v>
      </x:c>
      <x:c r="Q126" s="18" t="n">
        <x:v>17681.04</x:v>
      </x:c>
      <x:c r="R126" s="18" t="n">
        <x:v>3</x:v>
      </x:c>
      <x:c r="S126" s="18" t="n">
        <x:v>125431.7683</x:v>
      </x:c>
    </x:row>
    <x:row r="127">
      <x:c r="A127" s="17" t="str">
        <x:v>VEND-0004</x:v>
      </x:c>
      <x:c r="B127" s="17" t="str">
        <x:v>Allegheny Advisory</x:v>
      </x:c>
      <x:c r="C127" s="17" t="str">
        <x:v>Professional Services</x:v>
      </x:c>
      <x:c r="D127" s="17" t="str">
        <x:v>US</x:v>
      </x:c>
      <x:c r="E127" s="18" t="n">
        <x:v>0</x:v>
      </x:c>
      <x:c r="F127" s="18" t="n">
        <x:v>9</x:v>
      </x:c>
      <x:c r="G127" s="18" t="n">
        <x:v>9</x:v>
      </x:c>
      <x:c r="H127" s="18" t="n">
        <x:v>5</x:v>
      </x:c>
      <x:c r="I127" s="18" t="n">
        <x:v>9</x:v>
      </x:c>
      <x:c r="J127" s="18" t="n">
        <x:v>55.56</x:v>
      </x:c>
      <x:c r="K127" s="18" t="n">
        <x:v>100</x:v>
      </x:c>
      <x:c r="L127" s="18" t="n">
        <x:v>0.555556</x:v>
      </x:c>
      <x:c r="M127" s="18" t="n">
        <x:v>1</x:v>
      </x:c>
      <x:c r="N127" s="18" t="n">
        <x:v>0.777778</x:v>
      </x:c>
      <x:c r="O127" s="18" t="n">
        <x:v>32.78</x:v>
      </x:c>
      <x:c r="P127" s="18" t="n">
        <x:v>-404.76</x:v>
      </x:c>
      <x:c r="Q127" s="18" t="n">
        <x:v>5361.99</x:v>
      </x:c>
      <x:c r="R127" s="18" t="n">
        <x:v>1</x:v>
      </x:c>
      <x:c r="S127" s="18" t="n">
        <x:v>23826.9585</x:v>
      </x:c>
    </x:row>
    <x:row r="128">
      <x:c r="A128" s="17" t="str">
        <x:v>VEND-0130</x:v>
      </x:c>
      <x:c r="B128" s="17" t="str">
        <x:v>Ridgeway Metals</x:v>
      </x:c>
      <x:c r="C128" s="17" t="str">
        <x:v>Metals</x:v>
      </x:c>
      <x:c r="D128" s="17" t="str">
        <x:v>US</x:v>
      </x:c>
      <x:c r="E128" s="18" t="n">
        <x:v>1</x:v>
      </x:c>
      <x:c r="F128" s="18" t="n">
        <x:v>16</x:v>
      </x:c>
      <x:c r="G128" s="18" t="n">
        <x:v>16</x:v>
      </x:c>
      <x:c r="H128" s="18" t="n">
        <x:v>9</x:v>
      </x:c>
      <x:c r="I128" s="18" t="n">
        <x:v>16</x:v>
      </x:c>
      <x:c r="J128" s="18" t="n">
        <x:v>56.25</x:v>
      </x:c>
      <x:c r="K128" s="18" t="n">
        <x:v>100</x:v>
      </x:c>
      <x:c r="L128" s="18" t="n">
        <x:v>0.5625</x:v>
      </x:c>
      <x:c r="M128" s="18" t="n">
        <x:v>1</x:v>
      </x:c>
      <x:c r="N128" s="18" t="n">
        <x:v>0.78125</x:v>
      </x:c>
      <x:c r="O128" s="18" t="n">
        <x:v>36.88</x:v>
      </x:c>
      <x:c r="P128" s="18" t="n">
        <x:v>310.39</x:v>
      </x:c>
      <x:c r="Q128" s="18" t="n">
        <x:v>21644.97</x:v>
      </x:c>
      <x:c r="R128" s="18" t="n">
        <x:v>2</x:v>
      </x:c>
      <x:c r="S128" s="18" t="n">
        <x:v>101549.0776</x:v>
      </x:c>
    </x:row>
    <x:row r="129">
      <x:c r="A129" s="17" t="str">
        <x:v>VEND-0009</x:v>
      </x:c>
      <x:c r="B129" s="17" t="str">
        <x:v>Arcadia Controls</x:v>
      </x:c>
      <x:c r="C129" s="17" t="str">
        <x:v>Electronics</x:v>
      </x:c>
      <x:c r="D129" s="17" t="str">
        <x:v>US</x:v>
      </x:c>
      <x:c r="E129" s="18" t="n">
        <x:v>0</x:v>
      </x:c>
      <x:c r="F129" s="18" t="n">
        <x:v>14</x:v>
      </x:c>
      <x:c r="G129" s="18" t="n">
        <x:v>14</x:v>
      </x:c>
      <x:c r="H129" s="18" t="n">
        <x:v>8</x:v>
      </x:c>
      <x:c r="I129" s="18" t="n">
        <x:v>14</x:v>
      </x:c>
      <x:c r="J129" s="18" t="n">
        <x:v>57.14</x:v>
      </x:c>
      <x:c r="K129" s="18" t="n">
        <x:v>100</x:v>
      </x:c>
      <x:c r="L129" s="18" t="n">
        <x:v>0.571429</x:v>
      </x:c>
      <x:c r="M129" s="18" t="n">
        <x:v>1</x:v>
      </x:c>
      <x:c r="N129" s="18" t="n">
        <x:v>0.785714</x:v>
      </x:c>
      <x:c r="O129" s="18" t="n">
        <x:v>17.29</x:v>
      </x:c>
      <x:c r="P129" s="18" t="n">
        <x:v>-55.05</x:v>
      </x:c>
      <x:c r="Q129" s="18" t="n">
        <x:v>289125.54</x:v>
      </x:c>
      <x:c r="R129" s="18" t="n">
        <x:v>3</x:v>
      </x:c>
      <x:c r="S129" s="18" t="n">
        <x:v>268379.4579</x:v>
      </x:c>
    </x:row>
    <x:row r="130">
      <x:c r="A130" s="17" t="str">
        <x:v>VEND-0072</x:v>
      </x:c>
      <x:c r="B130" s="17" t="str">
        <x:v>Horizon Surface Technologies</x:v>
      </x:c>
      <x:c r="C130" s="17" t="str">
        <x:v>Outside Processing</x:v>
      </x:c>
      <x:c r="D130" s="17" t="str">
        <x:v>US</x:v>
      </x:c>
      <x:c r="E130" s="18" t="n">
        <x:v>0</x:v>
      </x:c>
      <x:c r="F130" s="18" t="n">
        <x:v>14</x:v>
      </x:c>
      <x:c r="G130" s="18" t="n">
        <x:v>14</x:v>
      </x:c>
      <x:c r="H130" s="18" t="n">
        <x:v>8</x:v>
      </x:c>
      <x:c r="I130" s="18" t="n">
        <x:v>14</x:v>
      </x:c>
      <x:c r="J130" s="18" t="n">
        <x:v>57.14</x:v>
      </x:c>
      <x:c r="K130" s="18" t="n">
        <x:v>100</x:v>
      </x:c>
      <x:c r="L130" s="18" t="n">
        <x:v>0.571429</x:v>
      </x:c>
      <x:c r="M130" s="18" t="n">
        <x:v>1</x:v>
      </x:c>
      <x:c r="N130" s="18" t="n">
        <x:v>0.785714</x:v>
      </x:c>
      <x:c r="O130" s="18" t="n">
        <x:v>18.79</x:v>
      </x:c>
      <x:c r="P130" s="18" t="n">
        <x:v>387.05</x:v>
      </x:c>
      <x:c r="Q130" s="18" t="n">
        <x:v>111324.91</x:v>
      </x:c>
      <x:c r="R130" s="18" t="n">
        <x:v>3</x:v>
      </x:c>
      <x:c r="S130" s="18" t="n">
        <x:v>297392.1604</x:v>
      </x:c>
    </x:row>
    <x:row r="131">
      <x:c r="A131" s="17" t="str">
        <x:v>VEND-0095</x:v>
      </x:c>
      <x:c r="B131" s="17" t="str">
        <x:v>Northstar Packaging</x:v>
      </x:c>
      <x:c r="C131" s="17" t="str">
        <x:v>Packaging</x:v>
      </x:c>
      <x:c r="D131" s="17" t="str">
        <x:v>CN</x:v>
      </x:c>
      <x:c r="E131" s="18" t="n">
        <x:v>1</x:v>
      </x:c>
      <x:c r="F131" s="18" t="n">
        <x:v>7</x:v>
      </x:c>
      <x:c r="G131" s="18" t="n">
        <x:v>7</x:v>
      </x:c>
      <x:c r="H131" s="18" t="n">
        <x:v>4</x:v>
      </x:c>
      <x:c r="I131" s="18" t="n">
        <x:v>7</x:v>
      </x:c>
      <x:c r="J131" s="18" t="n">
        <x:v>57.14</x:v>
      </x:c>
      <x:c r="K131" s="18" t="n">
        <x:v>100</x:v>
      </x:c>
      <x:c r="L131" s="18" t="n">
        <x:v>0.571429</x:v>
      </x:c>
      <x:c r="M131" s="18" t="n">
        <x:v>1</x:v>
      </x:c>
      <x:c r="N131" s="18" t="n">
        <x:v>0.785714</x:v>
      </x:c>
      <x:c r="O131" s="18" t="n">
        <x:v>16.86</x:v>
      </x:c>
      <x:c r="P131" s="18" t="n">
        <x:v>208.11</x:v>
      </x:c>
      <x:c r="Q131" s="18" t="n">
        <x:v>14669.11</x:v>
      </x:c>
      <x:c r="R131" s="18" t="n">
        <x:v>1</x:v>
      </x:c>
      <x:c r="S131" s="18" t="n">
        <x:v>104760.9009</x:v>
      </x:c>
    </x:row>
    <x:row r="132">
      <x:c r="A132" s="17" t="str">
        <x:v>VEND-0134</x:v>
      </x:c>
      <x:c r="B132" s="17" t="str">
        <x:v>Riverbend Advisory</x:v>
      </x:c>
      <x:c r="C132" s="17" t="str">
        <x:v>Professional Services</x:v>
      </x:c>
      <x:c r="D132" s="17" t="str">
        <x:v>US</x:v>
      </x:c>
      <x:c r="E132" s="18" t="n">
        <x:v>0</x:v>
      </x:c>
      <x:c r="F132" s="18" t="n">
        <x:v>14</x:v>
      </x:c>
      <x:c r="G132" s="18" t="n">
        <x:v>14</x:v>
      </x:c>
      <x:c r="H132" s="18" t="n">
        <x:v>8</x:v>
      </x:c>
      <x:c r="I132" s="18" t="n">
        <x:v>14</x:v>
      </x:c>
      <x:c r="J132" s="18" t="n">
        <x:v>57.14</x:v>
      </x:c>
      <x:c r="K132" s="18" t="n">
        <x:v>100</x:v>
      </x:c>
      <x:c r="L132" s="18" t="n">
        <x:v>0.571429</x:v>
      </x:c>
      <x:c r="M132" s="18" t="n">
        <x:v>1</x:v>
      </x:c>
      <x:c r="N132" s="18" t="n">
        <x:v>0.785714</x:v>
      </x:c>
      <x:c r="O132" s="18" t="n">
        <x:v>38.71</x:v>
      </x:c>
      <x:c r="P132" s="18" t="n">
        <x:v>-11.21</x:v>
      </x:c>
      <x:c r="Q132" s="18" t="n">
        <x:v>1659.7</x:v>
      </x:c>
      <x:c r="R132" s="18" t="n">
        <x:v>1</x:v>
      </x:c>
      <x:c r="S132" s="18" t="n">
        <x:v>75281.4515</x:v>
      </x:c>
    </x:row>
    <x:row r="133">
      <x:c r="A133" s="17" t="str">
        <x:v>VEND-0031</x:v>
      </x:c>
      <x:c r="B133" s="17" t="str">
        <x:v>Clearpoint Logistics</x:v>
      </x:c>
      <x:c r="C133" s="17" t="str">
        <x:v>Freight</x:v>
      </x:c>
      <x:c r="D133" s="17" t="str">
        <x:v>US</x:v>
      </x:c>
      <x:c r="E133" s="18" t="n">
        <x:v>0</x:v>
      </x:c>
      <x:c r="F133" s="18" t="n">
        <x:v>34</x:v>
      </x:c>
      <x:c r="G133" s="18" t="n">
        <x:v>34</x:v>
      </x:c>
      <x:c r="H133" s="18" t="n">
        <x:v>20</x:v>
      </x:c>
      <x:c r="I133" s="18" t="n">
        <x:v>34</x:v>
      </x:c>
      <x:c r="J133" s="18" t="n">
        <x:v>58.82</x:v>
      </x:c>
      <x:c r="K133" s="18" t="n">
        <x:v>100</x:v>
      </x:c>
      <x:c r="L133" s="18" t="n">
        <x:v>0.588235</x:v>
      </x:c>
      <x:c r="M133" s="18" t="n">
        <x:v>1</x:v>
      </x:c>
      <x:c r="N133" s="18" t="n">
        <x:v>0.794118</x:v>
      </x:c>
      <x:c r="O133" s="18" t="n">
        <x:v>32.06</x:v>
      </x:c>
      <x:c r="P133" s="18" t="n">
        <x:v>-3358.51</x:v>
      </x:c>
      <x:c r="Q133" s="18" t="n">
        <x:v>211273.17</x:v>
      </x:c>
      <x:c r="R133" s="18" t="n">
        <x:v>3</x:v>
      </x:c>
      <x:c r="S133" s="18" t="n">
        <x:v>746736.6977</x:v>
      </x:c>
    </x:row>
    <x:row r="134">
      <x:c r="A134" s="17" t="str">
        <x:v>VEND-0067</x:v>
      </x:c>
      <x:c r="B134" s="17" t="str">
        <x:v>Horizon Energy Services</x:v>
      </x:c>
      <x:c r="C134" s="17" t="str">
        <x:v>Utilities</x:v>
      </x:c>
      <x:c r="D134" s="17" t="str">
        <x:v>US</x:v>
      </x:c>
      <x:c r="E134" s="18" t="n">
        <x:v>0</x:v>
      </x:c>
      <x:c r="F134" s="18" t="n">
        <x:v>5</x:v>
      </x:c>
      <x:c r="G134" s="18" t="n">
        <x:v>5</x:v>
      </x:c>
      <x:c r="H134" s="18" t="n">
        <x:v>3</x:v>
      </x:c>
      <x:c r="I134" s="18" t="n">
        <x:v>5</x:v>
      </x:c>
      <x:c r="J134" s="18" t="n">
        <x:v>60</x:v>
      </x:c>
      <x:c r="K134" s="18" t="n">
        <x:v>100</x:v>
      </x:c>
      <x:c r="L134" s="18" t="n">
        <x:v>0.6</x:v>
      </x:c>
      <x:c r="M134" s="18" t="n">
        <x:v>1</x:v>
      </x:c>
      <x:c r="N134" s="18" t="n">
        <x:v>0.8</x:v>
      </x:c>
      <x:c r="O134" s="18" t="n">
        <x:v>28.4</x:v>
      </x:c>
      <x:c r="P134" s="18" t="n">
        <x:v>76.53</x:v>
      </x:c>
      <x:c r="Q134" s="18" t="n">
        <x:v>16249.56</x:v>
      </x:c>
      <x:c r="R134" s="18" t="n">
        <x:v>1</x:v>
      </x:c>
      <x:c r="S134" s="18" t="n">
        <x:v>27275.3198</x:v>
      </x:c>
    </x:row>
    <x:row r="135">
      <x:c r="A135" s="17" t="str">
        <x:v>VEND-0163</x:v>
      </x:c>
      <x:c r="B135" s="17" t="str">
        <x:v>Valley Motion Components</x:v>
      </x:c>
      <x:c r="C135" s="17" t="str">
        <x:v>Bearings &amp; Mechanical</x:v>
      </x:c>
      <x:c r="D135" s="17" t="str">
        <x:v>MX</x:v>
      </x:c>
      <x:c r="E135" s="18" t="n">
        <x:v>0</x:v>
      </x:c>
      <x:c r="F135" s="18" t="n">
        <x:v>15</x:v>
      </x:c>
      <x:c r="G135" s="18" t="n">
        <x:v>15</x:v>
      </x:c>
      <x:c r="H135" s="18" t="n">
        <x:v>9</x:v>
      </x:c>
      <x:c r="I135" s="18" t="n">
        <x:v>15</x:v>
      </x:c>
      <x:c r="J135" s="18" t="n">
        <x:v>60</x:v>
      </x:c>
      <x:c r="K135" s="18" t="n">
        <x:v>100</x:v>
      </x:c>
      <x:c r="L135" s="18" t="n">
        <x:v>0.6</x:v>
      </x:c>
      <x:c r="M135" s="18" t="n">
        <x:v>1</x:v>
      </x:c>
      <x:c r="N135" s="18" t="n">
        <x:v>0.8</x:v>
      </x:c>
      <x:c r="O135" s="18" t="n">
        <x:v>46.93</x:v>
      </x:c>
      <x:c r="P135" s="18" t="n">
        <x:v>6963.87</x:v>
      </x:c>
      <x:c r="Q135" s="18" t="n">
        <x:v>131118.27</x:v>
      </x:c>
      <x:c r="R135" s="18" t="n">
        <x:v>3</x:v>
      </x:c>
      <x:c r="S135" s="18" t="n">
        <x:v>362304.0217</x:v>
      </x:c>
    </x:row>
    <x:row r="136">
      <x:c r="A136" s="17" t="str">
        <x:v>VEND-0081</x:v>
      </x:c>
      <x:c r="B136" s="17" t="str">
        <x:v>Lakefront Logistics</x:v>
      </x:c>
      <x:c r="C136" s="17" t="str">
        <x:v>Freight</x:v>
      </x:c>
      <x:c r="D136" s="17" t="str">
        <x:v>US</x:v>
      </x:c>
      <x:c r="E136" s="18" t="n">
        <x:v>0</x:v>
      </x:c>
      <x:c r="F136" s="18" t="n">
        <x:v>32</x:v>
      </x:c>
      <x:c r="G136" s="18" t="n">
        <x:v>32</x:v>
      </x:c>
      <x:c r="H136" s="18" t="n">
        <x:v>20</x:v>
      </x:c>
      <x:c r="I136" s="18" t="n">
        <x:v>32</x:v>
      </x:c>
      <x:c r="J136" s="18" t="n">
        <x:v>62.5</x:v>
      </x:c>
      <x:c r="K136" s="18" t="n">
        <x:v>100</x:v>
      </x:c>
      <x:c r="L136" s="18" t="n">
        <x:v>0.625</x:v>
      </x:c>
      <x:c r="M136" s="18" t="n">
        <x:v>1</x:v>
      </x:c>
      <x:c r="N136" s="18" t="n">
        <x:v>0.8125</x:v>
      </x:c>
      <x:c r="O136" s="18" t="n">
        <x:v>22.56</x:v>
      </x:c>
      <x:c r="P136" s="18" t="n">
        <x:v>2688.89</x:v>
      </x:c>
      <x:c r="Q136" s="18" t="n">
        <x:v>55528.07</x:v>
      </x:c>
      <x:c r="R136" s="18" t="n">
        <x:v>3</x:v>
      </x:c>
      <x:c r="S136" s="18" t="n">
        <x:v>668409.6168</x:v>
      </x:c>
    </x:row>
    <x:row r="137">
      <x:c r="A137" s="17" t="str">
        <x:v>VEND-0002</x:v>
      </x:c>
      <x:c r="B137" s="17" t="str">
        <x:v>Allegheny Surface Technologies</x:v>
      </x:c>
      <x:c r="C137" s="17" t="str">
        <x:v>Outside Processing</x:v>
      </x:c>
      <x:c r="D137" s="17" t="str">
        <x:v>DE</x:v>
      </x:c>
      <x:c r="E137" s="18" t="n">
        <x:v>0</x:v>
      </x:c>
      <x:c r="F137" s="18" t="n">
        <x:v>17</x:v>
      </x:c>
      <x:c r="G137" s="18" t="n">
        <x:v>17</x:v>
      </x:c>
      <x:c r="H137" s="18" t="n">
        <x:v>11</x:v>
      </x:c>
      <x:c r="I137" s="18" t="n">
        <x:v>17</x:v>
      </x:c>
      <x:c r="J137" s="18" t="n">
        <x:v>64.71</x:v>
      </x:c>
      <x:c r="K137" s="18" t="n">
        <x:v>100</x:v>
      </x:c>
      <x:c r="L137" s="18" t="n">
        <x:v>0.647059</x:v>
      </x:c>
      <x:c r="M137" s="18" t="n">
        <x:v>1</x:v>
      </x:c>
      <x:c r="N137" s="18" t="n">
        <x:v>0.823529</x:v>
      </x:c>
      <x:c r="O137" s="18" t="n">
        <x:v>24.24</x:v>
      </x:c>
      <x:c r="P137" s="18" t="n">
        <x:v>410.17</x:v>
      </x:c>
      <x:c r="Q137" s="18" t="n">
        <x:v>30158.12</x:v>
      </x:c>
      <x:c r="R137" s="18" t="n">
        <x:v>2</x:v>
      </x:c>
      <x:c r="S137" s="18" t="n">
        <x:v>216367.5052</x:v>
      </x:c>
    </x:row>
    <x:row r="138">
      <x:c r="A138" s="17" t="str">
        <x:v>VEND-0017</x:v>
      </x:c>
      <x:c r="B138" s="17" t="str">
        <x:v>Bayshore Energy Services</x:v>
      </x:c>
      <x:c r="C138" s="17" t="str">
        <x:v>Utilities</x:v>
      </x:c>
      <x:c r="D138" s="17" t="str">
        <x:v>US</x:v>
      </x:c>
      <x:c r="E138" s="18" t="n">
        <x:v>0</x:v>
      </x:c>
      <x:c r="F138" s="18" t="n">
        <x:v>9</x:v>
      </x:c>
      <x:c r="G138" s="18" t="n">
        <x:v>9</x:v>
      </x:c>
      <x:c r="H138" s="18" t="n">
        <x:v>6</x:v>
      </x:c>
      <x:c r="I138" s="18" t="n">
        <x:v>9</x:v>
      </x:c>
      <x:c r="J138" s="18" t="n">
        <x:v>66.67</x:v>
      </x:c>
      <x:c r="K138" s="18" t="n">
        <x:v>100</x:v>
      </x:c>
      <x:c r="L138" s="18" t="n">
        <x:v>0.666667</x:v>
      </x:c>
      <x:c r="M138" s="18" t="n">
        <x:v>1</x:v>
      </x:c>
      <x:c r="N138" s="18" t="n">
        <x:v>0.833333</x:v>
      </x:c>
      <x:c r="O138" s="18" t="n">
        <x:v>40.67</x:v>
      </x:c>
      <x:c r="P138" s="18" t="n">
        <x:v>420.27</x:v>
      </x:c>
      <x:c r="Q138" s="18" t="n">
        <x:v>30109.11</x:v>
      </x:c>
      <x:c r="R138" s="18" t="n">
        <x:v>1</x:v>
      </x:c>
      <x:c r="S138" s="18" t="n">
        <x:v>55837.7426</x:v>
      </x:c>
    </x:row>
    <x:row r="139">
      <x:c r="A139" s="17" t="str">
        <x:v>VEND-0033</x:v>
      </x:c>
      <x:c r="B139" s="17" t="str">
        <x:v>Clearpoint Motion Components</x:v>
      </x:c>
      <x:c r="C139" s="17" t="str">
        <x:v>Bearings &amp; Mechanical</x:v>
      </x:c>
      <x:c r="D139" s="17" t="str">
        <x:v>JP</x:v>
      </x:c>
      <x:c r="E139" s="18" t="n">
        <x:v>0</x:v>
      </x:c>
      <x:c r="F139" s="18" t="n">
        <x:v>18</x:v>
      </x:c>
      <x:c r="G139" s="18" t="n">
        <x:v>18</x:v>
      </x:c>
      <x:c r="H139" s="18" t="n">
        <x:v>12</x:v>
      </x:c>
      <x:c r="I139" s="18" t="n">
        <x:v>18</x:v>
      </x:c>
      <x:c r="J139" s="18" t="n">
        <x:v>66.67</x:v>
      </x:c>
      <x:c r="K139" s="18" t="n">
        <x:v>100</x:v>
      </x:c>
      <x:c r="L139" s="18" t="n">
        <x:v>0.666667</x:v>
      </x:c>
      <x:c r="M139" s="18" t="n">
        <x:v>1</x:v>
      </x:c>
      <x:c r="N139" s="18" t="n">
        <x:v>0.833333</x:v>
      </x:c>
      <x:c r="O139" s="18" t="n">
        <x:v>44.39</x:v>
      </x:c>
      <x:c r="P139" s="18" t="n">
        <x:v>-361.21</x:v>
      </x:c>
      <x:c r="Q139" s="18" t="n">
        <x:v>103256.6</x:v>
      </x:c>
      <x:c r="R139" s="18" t="n">
        <x:v>3</x:v>
      </x:c>
      <x:c r="S139" s="18" t="n">
        <x:v>272722.5631</x:v>
      </x:c>
    </x:row>
    <x:row r="140">
      <x:c r="A140" s="17" t="str">
        <x:v>VEND-0131</x:v>
      </x:c>
      <x:c r="B140" s="17" t="str">
        <x:v>Ridgeway Logistics</x:v>
      </x:c>
      <x:c r="C140" s="17" t="str">
        <x:v>Freight</x:v>
      </x:c>
      <x:c r="D140" s="17" t="str">
        <x:v>CN</x:v>
      </x:c>
      <x:c r="E140" s="18" t="n">
        <x:v>0</x:v>
      </x:c>
      <x:c r="F140" s="18" t="n">
        <x:v>30</x:v>
      </x:c>
      <x:c r="G140" s="18" t="n">
        <x:v>30</x:v>
      </x:c>
      <x:c r="H140" s="18" t="n">
        <x:v>20</x:v>
      </x:c>
      <x:c r="I140" s="18" t="n">
        <x:v>30</x:v>
      </x:c>
      <x:c r="J140" s="18" t="n">
        <x:v>66.67</x:v>
      </x:c>
      <x:c r="K140" s="18" t="n">
        <x:v>100</x:v>
      </x:c>
      <x:c r="L140" s="18" t="n">
        <x:v>0.666667</x:v>
      </x:c>
      <x:c r="M140" s="18" t="n">
        <x:v>1</x:v>
      </x:c>
      <x:c r="N140" s="18" t="n">
        <x:v>0.833333</x:v>
      </x:c>
      <x:c r="O140" s="18" t="n">
        <x:v>33.7</x:v>
      </x:c>
      <x:c r="P140" s="18" t="n">
        <x:v>-5463.08</x:v>
      </x:c>
      <x:c r="Q140" s="18" t="n">
        <x:v>131909.73</x:v>
      </x:c>
      <x:c r="R140" s="18" t="n">
        <x:v>3</x:v>
      </x:c>
      <x:c r="S140" s="18" t="n">
        <x:v>426176.7672</x:v>
      </x:c>
    </x:row>
    <x:row r="141">
      <x:c r="A141" s="17" t="str">
        <x:v>VEND-0158</x:v>
      </x:c>
      <x:c r="B141" s="17" t="str">
        <x:v>Tri-County Industrial Supply</x:v>
      </x:c>
      <x:c r="C141" s="17" t="str">
        <x:v>MRO</x:v>
      </x:c>
      <x:c r="D141" s="17" t="str">
        <x:v>CN</x:v>
      </x:c>
      <x:c r="E141" s="18" t="n">
        <x:v>0</x:v>
      </x:c>
      <x:c r="F141" s="18" t="n">
        <x:v>6</x:v>
      </x:c>
      <x:c r="G141" s="18" t="n">
        <x:v>6</x:v>
      </x:c>
      <x:c r="H141" s="18" t="n">
        <x:v>4</x:v>
      </x:c>
      <x:c r="I141" s="18" t="n">
        <x:v>6</x:v>
      </x:c>
      <x:c r="J141" s="18" t="n">
        <x:v>66.67</x:v>
      </x:c>
      <x:c r="K141" s="18" t="n">
        <x:v>100</x:v>
      </x:c>
      <x:c r="L141" s="18" t="n">
        <x:v>0.666667</x:v>
      </x:c>
      <x:c r="M141" s="18" t="n">
        <x:v>1</x:v>
      </x:c>
      <x:c r="N141" s="18" t="n">
        <x:v>0.833333</x:v>
      </x:c>
      <x:c r="O141" s="18" t="n">
        <x:v>19.33</x:v>
      </x:c>
      <x:c r="P141" s="18" t="n">
        <x:v>143.52</x:v>
      </x:c>
      <x:c r="Q141" s="18" t="n">
        <x:v>11948.92</x:v>
      </x:c>
      <x:c r="R141" s="18" t="n">
        <x:v>1</x:v>
      </x:c>
      <x:c r="S141" s="18" t="n">
        <x:v>26068.9541</x:v>
      </x:c>
    </x:row>
    <x:row r="142">
      <x:c r="A142" s="17" t="str">
        <x:v>VEND-0173</x:v>
      </x:c>
      <x:c r="B142" s="17" t="str">
        <x:v>Westfield Motion Components</x:v>
      </x:c>
      <x:c r="C142" s="17" t="str">
        <x:v>Bearings &amp; Mechanical</x:v>
      </x:c>
      <x:c r="D142" s="17" t="str">
        <x:v>DE</x:v>
      </x:c>
      <x:c r="E142" s="18" t="n">
        <x:v>0</x:v>
      </x:c>
      <x:c r="F142" s="18" t="n">
        <x:v>9</x:v>
      </x:c>
      <x:c r="G142" s="18" t="n">
        <x:v>9</x:v>
      </x:c>
      <x:c r="H142" s="18" t="n">
        <x:v>6</x:v>
      </x:c>
      <x:c r="I142" s="18" t="n">
        <x:v>9</x:v>
      </x:c>
      <x:c r="J142" s="18" t="n">
        <x:v>66.67</x:v>
      </x:c>
      <x:c r="K142" s="18" t="n">
        <x:v>100</x:v>
      </x:c>
      <x:c r="L142" s="18" t="n">
        <x:v>0.666667</x:v>
      </x:c>
      <x:c r="M142" s="18" t="n">
        <x:v>1</x:v>
      </x:c>
      <x:c r="N142" s="18" t="n">
        <x:v>0.833333</x:v>
      </x:c>
      <x:c r="O142" s="18" t="n">
        <x:v>49</x:v>
      </x:c>
      <x:c r="P142" s="18" t="n">
        <x:v>756.84</x:v>
      </x:c>
      <x:c r="Q142" s="18" t="n">
        <x:v>10906.54</x:v>
      </x:c>
      <x:c r="R142" s="18" t="n">
        <x:v>1</x:v>
      </x:c>
      <x:c r="S142" s="18" t="n">
        <x:v>40220.9339</x:v>
      </x:c>
    </x:row>
    <x:row r="143">
      <x:c r="A143" s="17" t="str">
        <x:v>VEND-0091</x:v>
      </x:c>
      <x:c r="B143" s="17" t="str">
        <x:v>Northstar Logistics</x:v>
      </x:c>
      <x:c r="C143" s="17" t="str">
        <x:v>Freight</x:v>
      </x:c>
      <x:c r="D143" s="17" t="str">
        <x:v>MX</x:v>
      </x:c>
      <x:c r="E143" s="18" t="n">
        <x:v>0</x:v>
      </x:c>
      <x:c r="F143" s="18" t="n">
        <x:v>37</x:v>
      </x:c>
      <x:c r="G143" s="18" t="n">
        <x:v>37</x:v>
      </x:c>
      <x:c r="H143" s="18" t="n">
        <x:v>26</x:v>
      </x:c>
      <x:c r="I143" s="18" t="n">
        <x:v>36</x:v>
      </x:c>
      <x:c r="J143" s="18" t="n">
        <x:v>70.27</x:v>
      </x:c>
      <x:c r="K143" s="18" t="n">
        <x:v>97.3</x:v>
      </x:c>
      <x:c r="L143" s="18" t="n">
        <x:v>0.702703</x:v>
      </x:c>
      <x:c r="M143" s="18" t="n">
        <x:v>0.972973</x:v>
      </x:c>
      <x:c r="N143" s="18" t="n">
        <x:v>0.837838</x:v>
      </x:c>
      <x:c r="O143" s="18" t="n">
        <x:v>29.68</x:v>
      </x:c>
      <x:c r="P143" s="18" t="n">
        <x:v>-1838.78</x:v>
      </x:c>
      <x:c r="Q143" s="18" t="n">
        <x:v>131846.68</x:v>
      </x:c>
      <x:c r="R143" s="18" t="n">
        <x:v>2</x:v>
      </x:c>
      <x:c r="S143" s="18" t="n">
        <x:v>757881.3534</x:v>
      </x:c>
    </x:row>
    <x:row r="144">
      <x:c r="A144" s="17" t="str">
        <x:v>VEND-0126</x:v>
      </x:c>
      <x:c r="B144" s="17" t="str">
        <x:v>Redstone Drive Systems</x:v>
      </x:c>
      <x:c r="C144" s="17" t="str">
        <x:v>Motors &amp; Drives</x:v>
      </x:c>
      <x:c r="D144" s="17" t="str">
        <x:v>US</x:v>
      </x:c>
      <x:c r="E144" s="18" t="n">
        <x:v>0</x:v>
      </x:c>
      <x:c r="F144" s="18" t="n">
        <x:v>37</x:v>
      </x:c>
      <x:c r="G144" s="18" t="n">
        <x:v>37</x:v>
      </x:c>
      <x:c r="H144" s="18" t="n">
        <x:v>26</x:v>
      </x:c>
      <x:c r="I144" s="18" t="n">
        <x:v>36</x:v>
      </x:c>
      <x:c r="J144" s="18" t="n">
        <x:v>70.27</x:v>
      </x:c>
      <x:c r="K144" s="18" t="n">
        <x:v>97.3</x:v>
      </x:c>
      <x:c r="L144" s="18" t="n">
        <x:v>0.702703</x:v>
      </x:c>
      <x:c r="M144" s="18" t="n">
        <x:v>0.972973</x:v>
      </x:c>
      <x:c r="N144" s="18" t="n">
        <x:v>0.837838</x:v>
      </x:c>
      <x:c r="O144" s="18" t="n">
        <x:v>29.7</x:v>
      </x:c>
      <x:c r="P144" s="18" t="n">
        <x:v>-1057.94</x:v>
      </x:c>
      <x:c r="Q144" s="18" t="n">
        <x:v>47128.57</x:v>
      </x:c>
      <x:c r="R144" s="18" t="n">
        <x:v>2</x:v>
      </x:c>
      <x:c r="S144" s="18" t="n">
        <x:v>346956.3864</x:v>
      </x:c>
    </x:row>
    <x:row r="145">
      <x:c r="A145" s="17" t="str">
        <x:v>VEND-0059</x:v>
      </x:c>
      <x:c r="B145" s="17" t="str">
        <x:v>Fairview Controls</x:v>
      </x:c>
      <x:c r="C145" s="17" t="str">
        <x:v>Electronics</x:v>
      </x:c>
      <x:c r="D145" s="17" t="str">
        <x:v>CN</x:v>
      </x:c>
      <x:c r="E145" s="18" t="n">
        <x:v>0</x:v>
      </x:c>
      <x:c r="F145" s="18" t="n">
        <x:v>10</x:v>
      </x:c>
      <x:c r="G145" s="18" t="n">
        <x:v>10</x:v>
      </x:c>
      <x:c r="H145" s="18" t="n">
        <x:v>7</x:v>
      </x:c>
      <x:c r="I145" s="18" t="n">
        <x:v>10</x:v>
      </x:c>
      <x:c r="J145" s="18" t="n">
        <x:v>70</x:v>
      </x:c>
      <x:c r="K145" s="18" t="n">
        <x:v>100</x:v>
      </x:c>
      <x:c r="L145" s="18" t="n">
        <x:v>0.7</x:v>
      </x:c>
      <x:c r="M145" s="18" t="n">
        <x:v>1</x:v>
      </x:c>
      <x:c r="N145" s="18" t="n">
        <x:v>0.85</x:v>
      </x:c>
      <x:c r="O145" s="18" t="n">
        <x:v>52.4</x:v>
      </x:c>
      <x:c r="P145" s="18" t="n">
        <x:v>186.34</x:v>
      </x:c>
      <x:c r="Q145" s="18" t="n">
        <x:v>52560.43</x:v>
      </x:c>
      <x:c r="R145" s="18" t="n">
        <x:v>3</x:v>
      </x:c>
      <x:c r="S145" s="18" t="n">
        <x:v>108199.5192</x:v>
      </x:c>
    </x:row>
    <x:row r="146">
      <x:c r="A146" s="17" t="str">
        <x:v>VEND-0136</x:v>
      </x:c>
      <x:c r="B146" s="17" t="str">
        <x:v>Riverbend Drive Systems</x:v>
      </x:c>
      <x:c r="C146" s="17" t="str">
        <x:v>Motors &amp; Drives</x:v>
      </x:c>
      <x:c r="D146" s="17" t="str">
        <x:v>MX</x:v>
      </x:c>
      <x:c r="E146" s="18" t="n">
        <x:v>0</x:v>
      </x:c>
      <x:c r="F146" s="18" t="n">
        <x:v>27</x:v>
      </x:c>
      <x:c r="G146" s="18" t="n">
        <x:v>27</x:v>
      </x:c>
      <x:c r="H146" s="18" t="n">
        <x:v>19</x:v>
      </x:c>
      <x:c r="I146" s="18" t="n">
        <x:v>27</x:v>
      </x:c>
      <x:c r="J146" s="18" t="n">
        <x:v>70.37</x:v>
      </x:c>
      <x:c r="K146" s="18" t="n">
        <x:v>100</x:v>
      </x:c>
      <x:c r="L146" s="18" t="n">
        <x:v>0.703704</x:v>
      </x:c>
      <x:c r="M146" s="18" t="n">
        <x:v>1</x:v>
      </x:c>
      <x:c r="N146" s="18" t="n">
        <x:v>0.851852</x:v>
      </x:c>
      <x:c r="O146" s="18" t="n">
        <x:v>26.19</x:v>
      </x:c>
      <x:c r="P146" s="18" t="n">
        <x:v>1961.44</x:v>
      </x:c>
      <x:c r="Q146" s="18" t="n">
        <x:v>128245.1</x:v>
      </x:c>
      <x:c r="R146" s="18" t="n">
        <x:v>1</x:v>
      </x:c>
      <x:c r="S146" s="18" t="n">
        <x:v>232423.9209</x:v>
      </x:c>
    </x:row>
    <x:row r="147">
      <x:c r="A147" s="17" t="str">
        <x:v>VEND-0058</x:v>
      </x:c>
      <x:c r="B147" s="17" t="str">
        <x:v>Fairview Industrial Supply</x:v>
      </x:c>
      <x:c r="C147" s="17" t="str">
        <x:v>MRO</x:v>
      </x:c>
      <x:c r="D147" s="17" t="str">
        <x:v>US</x:v>
      </x:c>
      <x:c r="E147" s="18" t="n">
        <x:v>0</x:v>
      </x:c>
      <x:c r="F147" s="18" t="n">
        <x:v>7</x:v>
      </x:c>
      <x:c r="G147" s="18" t="n">
        <x:v>7</x:v>
      </x:c>
      <x:c r="H147" s="18" t="n">
        <x:v>5</x:v>
      </x:c>
      <x:c r="I147" s="18" t="n">
        <x:v>7</x:v>
      </x:c>
      <x:c r="J147" s="18" t="n">
        <x:v>71.43</x:v>
      </x:c>
      <x:c r="K147" s="18" t="n">
        <x:v>100</x:v>
      </x:c>
      <x:c r="L147" s="18" t="n">
        <x:v>0.714286</x:v>
      </x:c>
      <x:c r="M147" s="18" t="n">
        <x:v>1</x:v>
      </x:c>
      <x:c r="N147" s="18" t="n">
        <x:v>0.857143</x:v>
      </x:c>
      <x:c r="O147" s="18" t="n">
        <x:v>35.29</x:v>
      </x:c>
      <x:c r="P147" s="18" t="n">
        <x:v>171.07</x:v>
      </x:c>
      <x:c r="Q147" s="18" t="n">
        <x:v>7172.38</x:v>
      </x:c>
      <x:c r="R147" s="18" t="n">
        <x:v>1</x:v>
      </x:c>
      <x:c r="S147" s="18" t="n">
        <x:v>23727.9043</x:v>
      </x:c>
    </x:row>
    <x:row r="148">
      <x:c r="A148" s="17" t="str">
        <x:v>VEND-0041</x:v>
      </x:c>
      <x:c r="B148" s="17" t="str">
        <x:v>Continental Logistics</x:v>
      </x:c>
      <x:c r="C148" s="17" t="str">
        <x:v>Freight</x:v>
      </x:c>
      <x:c r="D148" s="17" t="str">
        <x:v>CN</x:v>
      </x:c>
      <x:c r="E148" s="18" t="n">
        <x:v>0</x:v>
      </x:c>
      <x:c r="F148" s="18" t="n">
        <x:v>25</x:v>
      </x:c>
      <x:c r="G148" s="18" t="n">
        <x:v>25</x:v>
      </x:c>
      <x:c r="H148" s="18" t="n">
        <x:v>19</x:v>
      </x:c>
      <x:c r="I148" s="18" t="n">
        <x:v>24</x:v>
      </x:c>
      <x:c r="J148" s="18" t="n">
        <x:v>76</x:v>
      </x:c>
      <x:c r="K148" s="18" t="n">
        <x:v>96</x:v>
      </x:c>
      <x:c r="L148" s="18" t="n">
        <x:v>0.76</x:v>
      </x:c>
      <x:c r="M148" s="18" t="n">
        <x:v>0.96</x:v>
      </x:c>
      <x:c r="N148" s="18" t="n">
        <x:v>0.86</x:v>
      </x:c>
      <x:c r="O148" s="18" t="n">
        <x:v>26.56</x:v>
      </x:c>
      <x:c r="P148" s="18" t="n">
        <x:v>-1277.09</x:v>
      </x:c>
      <x:c r="Q148" s="18" t="n">
        <x:v>73698.34</x:v>
      </x:c>
      <x:c r="R148" s="18" t="n">
        <x:v>2</x:v>
      </x:c>
      <x:c r="S148" s="18" t="n">
        <x:v>383740.5068</x:v>
      </x:c>
    </x:row>
    <x:row r="149">
      <x:c r="A149" s="17" t="str">
        <x:v>VEND-0132</x:v>
      </x:c>
      <x:c r="B149" s="17" t="str">
        <x:v>Ridgeway Surface Technologies</x:v>
      </x:c>
      <x:c r="C149" s="17" t="str">
        <x:v>Outside Processing</x:v>
      </x:c>
      <x:c r="D149" s="17" t="str">
        <x:v>JP</x:v>
      </x:c>
      <x:c r="E149" s="18" t="n">
        <x:v>0</x:v>
      </x:c>
      <x:c r="F149" s="18" t="n">
        <x:v>11</x:v>
      </x:c>
      <x:c r="G149" s="18" t="n">
        <x:v>11</x:v>
      </x:c>
      <x:c r="H149" s="18" t="n">
        <x:v>8</x:v>
      </x:c>
      <x:c r="I149" s="18" t="n">
        <x:v>11</x:v>
      </x:c>
      <x:c r="J149" s="18" t="n">
        <x:v>72.73</x:v>
      </x:c>
      <x:c r="K149" s="18" t="n">
        <x:v>100</x:v>
      </x:c>
      <x:c r="L149" s="18" t="n">
        <x:v>0.727273</x:v>
      </x:c>
      <x:c r="M149" s="18" t="n">
        <x:v>1</x:v>
      </x:c>
      <x:c r="N149" s="18" t="n">
        <x:v>0.863636</x:v>
      </x:c>
      <x:c r="O149" s="18" t="n">
        <x:v>36.27</x:v>
      </x:c>
      <x:c r="P149" s="18" t="n">
        <x:v>807.85</x:v>
      </x:c>
      <x:c r="Q149" s="18" t="n">
        <x:v>11448.89</x:v>
      </x:c>
      <x:c r="R149" s="18" t="n">
        <x:v>1</x:v>
      </x:c>
      <x:c r="S149" s="18" t="n">
        <x:v>67145.2362</x:v>
      </x:c>
    </x:row>
    <x:row r="150">
      <x:c r="A150" s="17" t="str">
        <x:v>VEND-0046</x:v>
      </x:c>
      <x:c r="B150" s="17" t="str">
        <x:v>Crown Drive Systems</x:v>
      </x:c>
      <x:c r="C150" s="17" t="str">
        <x:v>Motors &amp; Drives</x:v>
      </x:c>
      <x:c r="D150" s="17" t="str">
        <x:v>MX</x:v>
      </x:c>
      <x:c r="E150" s="18" t="n">
        <x:v>0</x:v>
      </x:c>
      <x:c r="F150" s="18" t="n">
        <x:v>27</x:v>
      </x:c>
      <x:c r="G150" s="18" t="n">
        <x:v>27</x:v>
      </x:c>
      <x:c r="H150" s="18" t="n">
        <x:v>20</x:v>
      </x:c>
      <x:c r="I150" s="18" t="n">
        <x:v>27</x:v>
      </x:c>
      <x:c r="J150" s="18" t="n">
        <x:v>74.07</x:v>
      </x:c>
      <x:c r="K150" s="18" t="n">
        <x:v>100</x:v>
      </x:c>
      <x:c r="L150" s="18" t="n">
        <x:v>0.740741</x:v>
      </x:c>
      <x:c r="M150" s="18" t="n">
        <x:v>1</x:v>
      </x:c>
      <x:c r="N150" s="18" t="n">
        <x:v>0.87037</x:v>
      </x:c>
      <x:c r="O150" s="18" t="n">
        <x:v>43.41</x:v>
      </x:c>
      <x:c r="P150" s="18" t="n">
        <x:v>4257.03</x:v>
      </x:c>
      <x:c r="Q150" s="18" t="n">
        <x:v>121664.27</x:v>
      </x:c>
      <x:c r="R150" s="18" t="n">
        <x:v>3</x:v>
      </x:c>
      <x:c r="S150" s="18" t="n">
        <x:v>389933.2461</x:v>
      </x:c>
    </x:row>
    <x:row r="151">
      <x:c r="A151" s="17" t="str">
        <x:v>VEND-0176</x:v>
      </x:c>
      <x:c r="B151" s="17" t="str">
        <x:v>Woodcrest Drive Systems</x:v>
      </x:c>
      <x:c r="C151" s="17" t="str">
        <x:v>Motors &amp; Drives</x:v>
      </x:c>
      <x:c r="D151" s="17" t="str">
        <x:v>CN</x:v>
      </x:c>
      <x:c r="E151" s="18" t="n">
        <x:v>0</x:v>
      </x:c>
      <x:c r="F151" s="18" t="n">
        <x:v>28</x:v>
      </x:c>
      <x:c r="G151" s="18" t="n">
        <x:v>28</x:v>
      </x:c>
      <x:c r="H151" s="18" t="n">
        <x:v>21</x:v>
      </x:c>
      <x:c r="I151" s="18" t="n">
        <x:v>28</x:v>
      </x:c>
      <x:c r="J151" s="18" t="n">
        <x:v>75</x:v>
      </x:c>
      <x:c r="K151" s="18" t="n">
        <x:v>100</x:v>
      </x:c>
      <x:c r="L151" s="18" t="n">
        <x:v>0.75</x:v>
      </x:c>
      <x:c r="M151" s="18" t="n">
        <x:v>1</x:v>
      </x:c>
      <x:c r="N151" s="18" t="n">
        <x:v>0.875</x:v>
      </x:c>
      <x:c r="O151" s="18" t="n">
        <x:v>33.39</x:v>
      </x:c>
      <x:c r="P151" s="18" t="n">
        <x:v>6295.74</x:v>
      </x:c>
      <x:c r="Q151" s="18" t="n">
        <x:v>154095.4</x:v>
      </x:c>
      <x:c r="R151" s="18" t="n">
        <x:v>3</x:v>
      </x:c>
      <x:c r="S151" s="18" t="n">
        <x:v>355856.1314</x:v>
      </x:c>
    </x:row>
    <x:row r="152">
      <x:c r="A152" s="17" t="str">
        <x:v>VEND-0171</x:v>
      </x:c>
      <x:c r="B152" s="17" t="str">
        <x:v>Westfield Logistics</x:v>
      </x:c>
      <x:c r="C152" s="17" t="str">
        <x:v>Freight</x:v>
      </x:c>
      <x:c r="D152" s="17" t="str">
        <x:v>US</x:v>
      </x:c>
      <x:c r="E152" s="18" t="n">
        <x:v>0</x:v>
      </x:c>
      <x:c r="F152" s="18" t="n">
        <x:v>26</x:v>
      </x:c>
      <x:c r="G152" s="18" t="n">
        <x:v>26</x:v>
      </x:c>
      <x:c r="H152" s="18" t="n">
        <x:v>21</x:v>
      </x:c>
      <x:c r="I152" s="18" t="n">
        <x:v>25</x:v>
      </x:c>
      <x:c r="J152" s="18" t="n">
        <x:v>80.77</x:v>
      </x:c>
      <x:c r="K152" s="18" t="n">
        <x:v>96.15</x:v>
      </x:c>
      <x:c r="L152" s="18" t="n">
        <x:v>0.807692</x:v>
      </x:c>
      <x:c r="M152" s="18" t="n">
        <x:v>0.961538</x:v>
      </x:c>
      <x:c r="N152" s="18" t="n">
        <x:v>0.884615</x:v>
      </x:c>
      <x:c r="O152" s="18" t="n">
        <x:v>26.69</x:v>
      </x:c>
      <x:c r="P152" s="18" t="n">
        <x:v>3044.3</x:v>
      </x:c>
      <x:c r="Q152" s="18" t="n">
        <x:v>45941.26</x:v>
      </x:c>
      <x:c r="R152" s="18" t="n">
        <x:v>1</x:v>
      </x:c>
      <x:c r="S152" s="18" t="n">
        <x:v>280736.8395</x:v>
      </x:c>
    </x:row>
    <x:row r="153">
      <x:c r="A153" s="17" t="str">
        <x:v>VEND-0086</x:v>
      </x:c>
      <x:c r="B153" s="17" t="str">
        <x:v>Landmark Drive Systems</x:v>
      </x:c>
      <x:c r="C153" s="17" t="str">
        <x:v>Motors &amp; Drives</x:v>
      </x:c>
      <x:c r="D153" s="17" t="str">
        <x:v>CN</x:v>
      </x:c>
      <x:c r="E153" s="18" t="n">
        <x:v>0</x:v>
      </x:c>
      <x:c r="F153" s="18" t="n">
        <x:v>22</x:v>
      </x:c>
      <x:c r="G153" s="18" t="n">
        <x:v>22</x:v>
      </x:c>
      <x:c r="H153" s="18" t="n">
        <x:v>17</x:v>
      </x:c>
      <x:c r="I153" s="18" t="n">
        <x:v>22</x:v>
      </x:c>
      <x:c r="J153" s="18" t="n">
        <x:v>77.27</x:v>
      </x:c>
      <x:c r="K153" s="18" t="n">
        <x:v>100</x:v>
      </x:c>
      <x:c r="L153" s="18" t="n">
        <x:v>0.772727</x:v>
      </x:c>
      <x:c r="M153" s="18" t="n">
        <x:v>1</x:v>
      </x:c>
      <x:c r="N153" s="18" t="n">
        <x:v>0.886364</x:v>
      </x:c>
      <x:c r="O153" s="18" t="n">
        <x:v>30.05</x:v>
      </x:c>
      <x:c r="P153" s="18" t="n">
        <x:v>1602.53</x:v>
      </x:c>
      <x:c r="Q153" s="18" t="n">
        <x:v>22518.85</x:v>
      </x:c>
      <x:c r="R153" s="18" t="n">
        <x:v>1</x:v>
      </x:c>
      <x:c r="S153" s="18" t="n">
        <x:v>260769.8441</x:v>
      </x:c>
    </x:row>
    <x:row r="154">
      <x:c r="A154" s="17" t="str">
        <x:v>VEND-0121</x:v>
      </x:c>
      <x:c r="B154" s="17" t="str">
        <x:v>Redstone Logistics</x:v>
      </x:c>
      <x:c r="C154" s="17" t="str">
        <x:v>Freight</x:v>
      </x:c>
      <x:c r="D154" s="17" t="str">
        <x:v>US</x:v>
      </x:c>
      <x:c r="E154" s="18" t="n">
        <x:v>0</x:v>
      </x:c>
      <x:c r="F154" s="18" t="n">
        <x:v>19</x:v>
      </x:c>
      <x:c r="G154" s="18" t="n">
        <x:v>19</x:v>
      </x:c>
      <x:c r="H154" s="18" t="n">
        <x:v>16</x:v>
      </x:c>
      <x:c r="I154" s="18" t="n">
        <x:v>19</x:v>
      </x:c>
      <x:c r="J154" s="18" t="n">
        <x:v>84.21</x:v>
      </x:c>
      <x:c r="K154" s="18" t="n">
        <x:v>100</x:v>
      </x:c>
      <x:c r="L154" s="18" t="n">
        <x:v>0.842105</x:v>
      </x:c>
      <x:c r="M154" s="18" t="n">
        <x:v>1</x:v>
      </x:c>
      <x:c r="N154" s="18" t="n">
        <x:v>0.921053</x:v>
      </x:c>
      <x:c r="O154" s="18" t="n">
        <x:v>32.26</x:v>
      </x:c>
      <x:c r="P154" s="18" t="n">
        <x:v>6397.61</x:v>
      </x:c>
      <x:c r="Q154" s="18" t="n">
        <x:v>28051.31</x:v>
      </x:c>
      <x:c r="R154" s="18" t="n">
        <x:v>1</x:v>
      </x:c>
      <x:c r="S154" s="18" t="n">
        <x:v>277022.2599</x:v>
      </x:c>
    </x:row>
    <x:row r="155">
      <x:c r="A155" s="17" t="str">
        <x:v>VEND-0001</x:v>
      </x:c>
      <x:c r="B155" s="17" t="str">
        <x:v>Allegheny Logistics</x:v>
      </x:c>
      <x:c r="C155" s="17" t="str">
        <x:v>Freight</x:v>
      </x:c>
      <x:c r="D155" s="17" t="str">
        <x:v>MX</x:v>
      </x:c>
      <x:c r="E155" s="18" t="n">
        <x:v>0</x:v>
      </x:c>
      <x:c r="F155" s="18" t="n">
        <x:v>14</x:v>
      </x:c>
      <x:c r="G155" s="18" t="n">
        <x:v>14</x:v>
      </x:c>
      <x:c r="H155" s="18" t="n">
        <x:v>14</x:v>
      </x:c>
      <x:c r="I155" s="18" t="n">
        <x:v>14</x:v>
      </x:c>
      <x:c r="J155" s="18" t="n">
        <x:v>100</x:v>
      </x:c>
      <x:c r="K155" s="18" t="n">
        <x:v>100</x:v>
      </x:c>
      <x:c r="L155" s="18" t="n">
        <x:v>1</x:v>
      </x:c>
      <x:c r="M155" s="18" t="n">
        <x:v>1</x:v>
      </x:c>
      <x:c r="N155" s="18" t="n">
        <x:v>1</x:v>
      </x:c>
      <x:c r="O155" s="18" t="n">
        <x:v>22.57</x:v>
      </x:c>
      <x:c r="P155" s="18" t="n">
        <x:v>4641.31</x:v>
      </x:c>
      <x:c r="Q155" s="18" t="n">
        <x:v>53120.67</x:v>
      </x:c>
      <x:c r="R155" s="18" t="n">
        <x:v>0</x:v>
      </x:c>
      <x:c r="S155" s="18" t="n">
        <x:v>239773.6697</x:v>
      </x:c>
    </x:row>
    <x:row r="156">
      <x:c r="A156" s="17" t="str">
        <x:v>VEND-0036</x:v>
      </x:c>
      <x:c r="B156" s="17" t="str">
        <x:v>Clearpoint Drive Systems</x:v>
      </x:c>
      <x:c r="C156" s="17" t="str">
        <x:v>Motors &amp; Drives</x:v>
      </x:c>
      <x:c r="D156" s="17" t="str">
        <x:v>US</x:v>
      </x:c>
      <x:c r="E156" s="18" t="n">
        <x:v>0</x:v>
      </x:c>
      <x:c r="F156" s="18" t="n">
        <x:v>15</x:v>
      </x:c>
      <x:c r="G156" s="18" t="n">
        <x:v>15</x:v>
      </x:c>
      <x:c r="H156" s="18" t="n">
        <x:v>15</x:v>
      </x:c>
      <x:c r="I156" s="18" t="n">
        <x:v>15</x:v>
      </x:c>
      <x:c r="J156" s="18" t="n">
        <x:v>100</x:v>
      </x:c>
      <x:c r="K156" s="18" t="n">
        <x:v>100</x:v>
      </x:c>
      <x:c r="L156" s="18" t="n">
        <x:v>1</x:v>
      </x:c>
      <x:c r="M156" s="18" t="n">
        <x:v>1</x:v>
      </x:c>
      <x:c r="N156" s="18" t="n">
        <x:v>1</x:v>
      </x:c>
      <x:c r="O156" s="18" t="n">
        <x:v>32.67</x:v>
      </x:c>
      <x:c r="P156" s="18" t="n">
        <x:v>1438.72</x:v>
      </x:c>
      <x:c r="Q156" s="18" t="n">
        <x:v>29934.97</x:v>
      </x:c>
      <x:c r="R156" s="18" t="n">
        <x:v>0</x:v>
      </x:c>
      <x:c r="S156" s="18" t="n">
        <x:v>204163.7914</x:v>
      </x:c>
    </x:row>
    <x:row r="157">
      <x:c r="A157" s="17" t="str">
        <x:v>VEND-0166</x:v>
      </x:c>
      <x:c r="B157" s="17" t="str">
        <x:v>Valley Drive Systems</x:v>
      </x:c>
      <x:c r="C157" s="17" t="str">
        <x:v>Motors &amp; Drives</x:v>
      </x:c>
      <x:c r="D157" s="17" t="str">
        <x:v>US</x:v>
      </x:c>
      <x:c r="E157" s="18" t="n">
        <x:v>0</x:v>
      </x:c>
      <x:c r="F157" s="18" t="n">
        <x:v>16</x:v>
      </x:c>
      <x:c r="G157" s="18" t="n">
        <x:v>16</x:v>
      </x:c>
      <x:c r="H157" s="18" t="n">
        <x:v>16</x:v>
      </x:c>
      <x:c r="I157" s="18" t="n">
        <x:v>16</x:v>
      </x:c>
      <x:c r="J157" s="18" t="n">
        <x:v>100</x:v>
      </x:c>
      <x:c r="K157" s="18" t="n">
        <x:v>100</x:v>
      </x:c>
      <x:c r="L157" s="18" t="n">
        <x:v>1</x:v>
      </x:c>
      <x:c r="M157" s="18" t="n">
        <x:v>1</x:v>
      </x:c>
      <x:c r="N157" s="18" t="n">
        <x:v>1</x:v>
      </x:c>
      <x:c r="O157" s="18" t="n">
        <x:v>32.31</x:v>
      </x:c>
      <x:c r="P157" s="18" t="n">
        <x:v>-5763.32</x:v>
      </x:c>
      <x:c r="Q157" s="18" t="n">
        <x:v>10212.16</x:v>
      </x:c>
      <x:c r="R157" s="18" t="n">
        <x:v>0</x:v>
      </x:c>
      <x:c r="S157" s="18" t="n">
        <x:v>360570.0777</x:v>
      </x:c>
    </x:row>
  </x:sheetData>
  <x:pageMargins left="0.7" right="0.7" top="0.75" bottom="0.75" header="0.3" footer="0.3"/>
</x:worksheet>
</file>