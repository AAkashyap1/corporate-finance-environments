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Q3 Capacity" sheetId="2" r:id="rId5"/>
    <x:sheet xmlns:r="http://schemas.openxmlformats.org/officeDocument/2006/relationships" name="YTD Capacity" sheetId="3" r:id="rId6"/>
    <x:sheet xmlns:r="http://schemas.openxmlformats.org/officeDocument/2006/relationships" name="YTD Scope Totals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Work Center Capacity</x:v>
      </x:c>
      <x:c r="B1" s="3" t="str">
        <x:v>Work Center Capacity</x:v>
      </x:c>
      <x:c r="C1" s="3" t="str">
        <x:v>Work Center Capacity</x:v>
      </x:c>
      <x:c r="D1" s="3" t="str">
        <x:v>Work Center Capacity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YTD through 2026-06-30 and Q3 2026</x:v>
      </x:c>
      <x:c r="C3" s="10"/>
      <x:c r="D3" s="10"/>
    </x:row>
    <x:row r="4">
      <x:c r="A4" s="9" t="str">
        <x:v>Prepared by</x:v>
      </x:c>
      <x:c r="B4" s="10" t="str">
        <x:v>Operations Finance Director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Q3 Capacity</x:v>
      </x:c>
      <x:c r="B11" s="23" t="n">
        <x:v>24</x:v>
      </x:c>
      <x:c r="C11" s="23" t="n">
        <x:f>MAX(0,COUNTA('Q3 Capacity'!A2:A25))</x:f>
        <x:v>24</x:v>
      </x:c>
      <x:c r="D11" s="22" t="str">
        <x:f>IF(B11=C11,"OK","CHECK")</x:f>
        <x:v>OK</x:v>
      </x:c>
    </x:row>
    <x:row r="12">
      <x:c r="A12" s="22" t="str">
        <x:v>YTD Capacity</x:v>
      </x:c>
      <x:c r="B12" s="23" t="n">
        <x:v>24</x:v>
      </x:c>
      <x:c r="C12" s="23" t="n">
        <x:f>MAX(0,COUNTA('YTD Capacity'!A2:A25))</x:f>
        <x:v>24</x:v>
      </x:c>
      <x:c r="D12" s="22" t="str">
        <x:f>IF(B12=C12,"OK","CHECK")</x:f>
        <x:v>OK</x:v>
      </x:c>
    </x:row>
    <x:row r="13">
      <x:c r="A13" s="22" t="str">
        <x:v>YTD Scope Totals</x:v>
      </x:c>
      <x:c r="B13" s="23" t="n">
        <x:v>1</x:v>
      </x:c>
      <x:c r="C13" s="23" t="n">
        <x:f>MAX(0,COUNTA('YTD Scope Totals'!A2:A2))</x:f>
        <x:v>1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1" hidden="0" customWidth="1"/>
    <x:col min="4" max="4" width="21" hidden="0" customWidth="1"/>
    <x:col min="5" max="5" width="16" hidden="0" customWidth="1"/>
  </x:cols>
  <x:sheetData>
    <x:row r="1">
      <x:c r="A1" s="15" t="str">
        <x:v>site_code</x:v>
      </x:c>
      <x:c r="B1" s="15" t="str">
        <x:v>work_center</x:v>
      </x:c>
      <x:c r="C1" s="15" t="str">
        <x:v>name</x:v>
      </x:c>
      <x:c r="D1" s="15" t="str">
        <x:v>net_available_hours</x:v>
      </x:c>
      <x:c r="E1" s="15" t="str">
        <x:v>downtime_hours</x:v>
      </x:c>
    </x:row>
    <x:row r="2">
      <x:c r="A2" s="17" t="str">
        <x:v>100</x:v>
      </x:c>
      <x:c r="B2" s="17" t="str">
        <x:v>WC-100-01</x:v>
      </x:c>
      <x:c r="C2" s="17" t="str">
        <x:v>Kitting</x:v>
      </x:c>
      <x:c r="D2" s="18" t="n">
        <x:v>1024</x:v>
      </x:c>
      <x:c r="E2" s="18" t="n">
        <x:v>0</x:v>
      </x:c>
    </x:row>
    <x:row r="3">
      <x:c r="A3" s="17" t="str">
        <x:v>100</x:v>
      </x:c>
      <x:c r="B3" s="17" t="str">
        <x:v>WC-100-02</x:v>
      </x:c>
      <x:c r="C3" s="17" t="str">
        <x:v>Subassembly</x:v>
      </x:c>
      <x:c r="D3" s="18" t="n">
        <x:v>1536</x:v>
      </x:c>
      <x:c r="E3" s="18" t="n">
        <x:v>0</x:v>
      </x:c>
    </x:row>
    <x:row r="4">
      <x:c r="A4" s="17" t="str">
        <x:v>100</x:v>
      </x:c>
      <x:c r="B4" s="17" t="str">
        <x:v>WC-100-03</x:v>
      </x:c>
      <x:c r="C4" s="17" t="str">
        <x:v>Final Assembly A</x:v>
      </x:c>
      <x:c r="D4" s="18" t="n">
        <x:v>1536</x:v>
      </x:c>
      <x:c r="E4" s="18" t="n">
        <x:v>0</x:v>
      </x:c>
    </x:row>
    <x:row r="5">
      <x:c r="A5" s="17" t="str">
        <x:v>100</x:v>
      </x:c>
      <x:c r="B5" s="17" t="str">
        <x:v>WC-100-04</x:v>
      </x:c>
      <x:c r="C5" s="17" t="str">
        <x:v>Final Assembly B</x:v>
      </x:c>
      <x:c r="D5" s="18" t="n">
        <x:v>1536</x:v>
      </x:c>
      <x:c r="E5" s="18" t="n">
        <x:v>0</x:v>
      </x:c>
    </x:row>
    <x:row r="6">
      <x:c r="A6" s="17" t="str">
        <x:v>100</x:v>
      </x:c>
      <x:c r="B6" s="17" t="str">
        <x:v>WC-100-05</x:v>
      </x:c>
      <x:c r="C6" s="17" t="str">
        <x:v>Test</x:v>
      </x:c>
      <x:c r="D6" s="18" t="n">
        <x:v>1536</x:v>
      </x:c>
      <x:c r="E6" s="18" t="n">
        <x:v>0</x:v>
      </x:c>
    </x:row>
    <x:row r="7">
      <x:c r="A7" s="17" t="str">
        <x:v>100</x:v>
      </x:c>
      <x:c r="B7" s="17" t="str">
        <x:v>WC-100-06</x:v>
      </x:c>
      <x:c r="C7" s="17" t="str">
        <x:v>Paint</x:v>
      </x:c>
      <x:c r="D7" s="18" t="n">
        <x:v>1536</x:v>
      </x:c>
      <x:c r="E7" s="18" t="n">
        <x:v>0</x:v>
      </x:c>
    </x:row>
    <x:row r="8">
      <x:c r="A8" s="17" t="str">
        <x:v>100</x:v>
      </x:c>
      <x:c r="B8" s="17" t="str">
        <x:v>WC-100-07</x:v>
      </x:c>
      <x:c r="C8" s="17" t="str">
        <x:v>Systems Integration</x:v>
      </x:c>
      <x:c r="D8" s="18" t="n">
        <x:v>1536</x:v>
      </x:c>
      <x:c r="E8" s="18" t="n">
        <x:v>0</x:v>
      </x:c>
    </x:row>
    <x:row r="9">
      <x:c r="A9" s="17" t="str">
        <x:v>100</x:v>
      </x:c>
      <x:c r="B9" s="17" t="str">
        <x:v>WC-100-08</x:v>
      </x:c>
      <x:c r="C9" s="17" t="str">
        <x:v>Pack</x:v>
      </x:c>
      <x:c r="D9" s="18" t="n">
        <x:v>1024</x:v>
      </x:c>
      <x:c r="E9" s="18" t="n">
        <x:v>0</x:v>
      </x:c>
    </x:row>
    <x:row r="10">
      <x:c r="A10" s="17" t="str">
        <x:v>200</x:v>
      </x:c>
      <x:c r="B10" s="17" t="str">
        <x:v>WC-200-01</x:v>
      </x:c>
      <x:c r="C10" s="17" t="str">
        <x:v>Saw</x:v>
      </x:c>
      <x:c r="D10" s="18" t="n">
        <x:v>1024</x:v>
      </x:c>
      <x:c r="E10" s="18" t="n">
        <x:v>0</x:v>
      </x:c>
    </x:row>
    <x:row r="11">
      <x:c r="A11" s="17" t="str">
        <x:v>200</x:v>
      </x:c>
      <x:c r="B11" s="17" t="str">
        <x:v>WC-200-02</x:v>
      </x:c>
      <x:c r="C11" s="17" t="str">
        <x:v>CNC Mill A</x:v>
      </x:c>
      <x:c r="D11" s="18" t="n">
        <x:v>1536</x:v>
      </x:c>
      <x:c r="E11" s="18" t="n">
        <x:v>0</x:v>
      </x:c>
    </x:row>
    <x:row r="12">
      <x:c r="A12" s="17" t="str">
        <x:v>200</x:v>
      </x:c>
      <x:c r="B12" s="17" t="str">
        <x:v>WC-200-03</x:v>
      </x:c>
      <x:c r="C12" s="17" t="str">
        <x:v>CNC Mill B</x:v>
      </x:c>
      <x:c r="D12" s="18" t="n">
        <x:v>1536</x:v>
      </x:c>
      <x:c r="E12" s="18" t="n">
        <x:v>0</x:v>
      </x:c>
    </x:row>
    <x:row r="13">
      <x:c r="A13" s="17" t="str">
        <x:v>200</x:v>
      </x:c>
      <x:c r="B13" s="17" t="str">
        <x:v>WC-200-04</x:v>
      </x:c>
      <x:c r="C13" s="17" t="str">
        <x:v>CNC Turn</x:v>
      </x:c>
      <x:c r="D13" s="18" t="n">
        <x:v>1536</x:v>
      </x:c>
      <x:c r="E13" s="18" t="n">
        <x:v>0</x:v>
      </x:c>
    </x:row>
    <x:row r="14">
      <x:c r="A14" s="17" t="str">
        <x:v>200</x:v>
      </x:c>
      <x:c r="B14" s="17" t="str">
        <x:v>WC-200-05</x:v>
      </x:c>
      <x:c r="C14" s="17" t="str">
        <x:v>Gear Cut</x:v>
      </x:c>
      <x:c r="D14" s="18" t="n">
        <x:v>1536</x:v>
      </x:c>
      <x:c r="E14" s="18" t="n">
        <x:v>0</x:v>
      </x:c>
    </x:row>
    <x:row r="15">
      <x:c r="A15" s="17" t="str">
        <x:v>200</x:v>
      </x:c>
      <x:c r="B15" s="17" t="str">
        <x:v>WC-200-06</x:v>
      </x:c>
      <x:c r="C15" s="17" t="str">
        <x:v>Deburr</x:v>
      </x:c>
      <x:c r="D15" s="18" t="n">
        <x:v>1536</x:v>
      </x:c>
      <x:c r="E15" s="18" t="n">
        <x:v>0</x:v>
      </x:c>
    </x:row>
    <x:row r="16">
      <x:c r="A16" s="17" t="str">
        <x:v>200</x:v>
      </x:c>
      <x:c r="B16" s="17" t="str">
        <x:v>WC-200-07</x:v>
      </x:c>
      <x:c r="C16" s="17" t="str">
        <x:v>Inspection</x:v>
      </x:c>
      <x:c r="D16" s="18" t="n">
        <x:v>1536</x:v>
      </x:c>
      <x:c r="E16" s="18" t="n">
        <x:v>0</x:v>
      </x:c>
    </x:row>
    <x:row r="17">
      <x:c r="A17" s="17" t="str">
        <x:v>200</x:v>
      </x:c>
      <x:c r="B17" s="17" t="str">
        <x:v>WC-200-08</x:v>
      </x:c>
      <x:c r="C17" s="17" t="str">
        <x:v>Outside Process</x:v>
      </x:c>
      <x:c r="D17" s="18" t="n">
        <x:v>1024</x:v>
      </x:c>
      <x:c r="E17" s="18" t="n">
        <x:v>0</x:v>
      </x:c>
    </x:row>
    <x:row r="18">
      <x:c r="A18" s="17" t="str">
        <x:v>300</x:v>
      </x:c>
      <x:c r="B18" s="17" t="str">
        <x:v>WC-300-01</x:v>
      </x:c>
      <x:c r="C18" s="17" t="str">
        <x:v>PCB Prep</x:v>
      </x:c>
      <x:c r="D18" s="18" t="n">
        <x:v>1024</x:v>
      </x:c>
      <x:c r="E18" s="18" t="n">
        <x:v>0</x:v>
      </x:c>
    </x:row>
    <x:row r="19">
      <x:c r="A19" s="17" t="str">
        <x:v>300</x:v>
      </x:c>
      <x:c r="B19" s="17" t="str">
        <x:v>WC-300-02</x:v>
      </x:c>
      <x:c r="C19" s="17" t="str">
        <x:v>Panel Build A</x:v>
      </x:c>
      <x:c r="D19" s="18" t="n">
        <x:v>1536</x:v>
      </x:c>
      <x:c r="E19" s="18" t="n">
        <x:v>0</x:v>
      </x:c>
    </x:row>
    <x:row r="20">
      <x:c r="A20" s="17" t="str">
        <x:v>300</x:v>
      </x:c>
      <x:c r="B20" s="17" t="str">
        <x:v>WC-300-03</x:v>
      </x:c>
      <x:c r="C20" s="17" t="str">
        <x:v>Panel Build B</x:v>
      </x:c>
      <x:c r="D20" s="18" t="n">
        <x:v>1536</x:v>
      </x:c>
      <x:c r="E20" s="18" t="n">
        <x:v>0</x:v>
      </x:c>
    </x:row>
    <x:row r="21">
      <x:c r="A21" s="17" t="str">
        <x:v>300</x:v>
      </x:c>
      <x:c r="B21" s="17" t="str">
        <x:v>WC-300-04</x:v>
      </x:c>
      <x:c r="C21" s="17" t="str">
        <x:v>Wiring</x:v>
      </x:c>
      <x:c r="D21" s="18" t="n">
        <x:v>1536</x:v>
      </x:c>
      <x:c r="E21" s="18" t="n">
        <x:v>0</x:v>
      </x:c>
    </x:row>
    <x:row r="22">
      <x:c r="A22" s="17" t="str">
        <x:v>300</x:v>
      </x:c>
      <x:c r="B22" s="17" t="str">
        <x:v>WC-300-05</x:v>
      </x:c>
      <x:c r="C22" s="17" t="str">
        <x:v>Programming</x:v>
      </x:c>
      <x:c r="D22" s="18" t="n">
        <x:v>1536</x:v>
      </x:c>
      <x:c r="E22" s="18" t="n">
        <x:v>0</x:v>
      </x:c>
    </x:row>
    <x:row r="23">
      <x:c r="A23" s="17" t="str">
        <x:v>300</x:v>
      </x:c>
      <x:c r="B23" s="17" t="str">
        <x:v>WC-300-06</x:v>
      </x:c>
      <x:c r="C23" s="17" t="str">
        <x:v>Electrical Test</x:v>
      </x:c>
      <x:c r="D23" s="18" t="n">
        <x:v>1536</x:v>
      </x:c>
      <x:c r="E23" s="18" t="n">
        <x:v>0</x:v>
      </x:c>
    </x:row>
    <x:row r="24">
      <x:c r="A24" s="17" t="str">
        <x:v>300</x:v>
      </x:c>
      <x:c r="B24" s="17" t="str">
        <x:v>WC-300-07</x:v>
      </x:c>
      <x:c r="C24" s="17" t="str">
        <x:v>Burn-In</x:v>
      </x:c>
      <x:c r="D24" s="18" t="n">
        <x:v>1536</x:v>
      </x:c>
      <x:c r="E24" s="18" t="n">
        <x:v>0</x:v>
      </x:c>
    </x:row>
    <x:row r="25">
      <x:c r="A25" s="17" t="str">
        <x:v>300</x:v>
      </x:c>
      <x:c r="B25" s="17" t="str">
        <x:v>WC-300-08</x:v>
      </x:c>
      <x:c r="C25" s="17" t="str">
        <x:v>Pack</x:v>
      </x:c>
      <x:c r="D25" s="18" t="n">
        <x:v>1024</x:v>
      </x:c>
      <x:c r="E25" s="1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1" hidden="0" customWidth="1"/>
    <x:col min="4" max="4" width="21" hidden="0" customWidth="1"/>
    <x:col min="5" max="5" width="16" hidden="0" customWidth="1"/>
  </x:cols>
  <x:sheetData>
    <x:row r="1">
      <x:c r="A1" s="15" t="str">
        <x:v>site_code</x:v>
      </x:c>
      <x:c r="B1" s="15" t="str">
        <x:v>work_center</x:v>
      </x:c>
      <x:c r="C1" s="15" t="str">
        <x:v>name</x:v>
      </x:c>
      <x:c r="D1" s="15" t="str">
        <x:v>net_available_hours</x:v>
      </x:c>
      <x:c r="E1" s="15" t="str">
        <x:v>downtime_hours</x:v>
      </x:c>
    </x:row>
    <x:row r="2">
      <x:c r="A2" s="17" t="str">
        <x:v>100</x:v>
      </x:c>
      <x:c r="B2" s="17" t="str">
        <x:v>WC-100-01</x:v>
      </x:c>
      <x:c r="C2" s="17" t="str">
        <x:v>Kitting</x:v>
      </x:c>
      <x:c r="D2" s="18" t="n">
        <x:v>2032</x:v>
      </x:c>
      <x:c r="E2" s="18" t="n">
        <x:v>0</x:v>
      </x:c>
    </x:row>
    <x:row r="3">
      <x:c r="A3" s="17" t="str">
        <x:v>100</x:v>
      </x:c>
      <x:c r="B3" s="17" t="str">
        <x:v>WC-100-02</x:v>
      </x:c>
      <x:c r="C3" s="17" t="str">
        <x:v>Subassembly</x:v>
      </x:c>
      <x:c r="D3" s="18" t="n">
        <x:v>3048</x:v>
      </x:c>
      <x:c r="E3" s="18" t="n">
        <x:v>0</x:v>
      </x:c>
    </x:row>
    <x:row r="4">
      <x:c r="A4" s="17" t="str">
        <x:v>100</x:v>
      </x:c>
      <x:c r="B4" s="17" t="str">
        <x:v>WC-100-03</x:v>
      </x:c>
      <x:c r="C4" s="17" t="str">
        <x:v>Final Assembly A</x:v>
      </x:c>
      <x:c r="D4" s="18" t="n">
        <x:v>3048</x:v>
      </x:c>
      <x:c r="E4" s="18" t="n">
        <x:v>0</x:v>
      </x:c>
    </x:row>
    <x:row r="5">
      <x:c r="A5" s="17" t="str">
        <x:v>100</x:v>
      </x:c>
      <x:c r="B5" s="17" t="str">
        <x:v>WC-100-04</x:v>
      </x:c>
      <x:c r="C5" s="17" t="str">
        <x:v>Final Assembly B</x:v>
      </x:c>
      <x:c r="D5" s="18" t="n">
        <x:v>3048</x:v>
      </x:c>
      <x:c r="E5" s="18" t="n">
        <x:v>0</x:v>
      </x:c>
    </x:row>
    <x:row r="6">
      <x:c r="A6" s="17" t="str">
        <x:v>100</x:v>
      </x:c>
      <x:c r="B6" s="17" t="str">
        <x:v>WC-100-05</x:v>
      </x:c>
      <x:c r="C6" s="17" t="str">
        <x:v>Test</x:v>
      </x:c>
      <x:c r="D6" s="18" t="n">
        <x:v>3048</x:v>
      </x:c>
      <x:c r="E6" s="18" t="n">
        <x:v>0</x:v>
      </x:c>
    </x:row>
    <x:row r="7">
      <x:c r="A7" s="17" t="str">
        <x:v>100</x:v>
      </x:c>
      <x:c r="B7" s="17" t="str">
        <x:v>WC-100-06</x:v>
      </x:c>
      <x:c r="C7" s="17" t="str">
        <x:v>Paint</x:v>
      </x:c>
      <x:c r="D7" s="18" t="n">
        <x:v>3048</x:v>
      </x:c>
      <x:c r="E7" s="18" t="n">
        <x:v>0</x:v>
      </x:c>
    </x:row>
    <x:row r="8">
      <x:c r="A8" s="17" t="str">
        <x:v>100</x:v>
      </x:c>
      <x:c r="B8" s="17" t="str">
        <x:v>WC-100-07</x:v>
      </x:c>
      <x:c r="C8" s="17" t="str">
        <x:v>Systems Integration</x:v>
      </x:c>
      <x:c r="D8" s="18" t="n">
        <x:v>3048</x:v>
      </x:c>
      <x:c r="E8" s="18" t="n">
        <x:v>0</x:v>
      </x:c>
    </x:row>
    <x:row r="9">
      <x:c r="A9" s="17" t="str">
        <x:v>100</x:v>
      </x:c>
      <x:c r="B9" s="17" t="str">
        <x:v>WC-100-08</x:v>
      </x:c>
      <x:c r="C9" s="17" t="str">
        <x:v>Pack</x:v>
      </x:c>
      <x:c r="D9" s="18" t="n">
        <x:v>2032</x:v>
      </x:c>
      <x:c r="E9" s="18" t="n">
        <x:v>0</x:v>
      </x:c>
    </x:row>
    <x:row r="10">
      <x:c r="A10" s="17" t="str">
        <x:v>200</x:v>
      </x:c>
      <x:c r="B10" s="17" t="str">
        <x:v>WC-200-01</x:v>
      </x:c>
      <x:c r="C10" s="17" t="str">
        <x:v>Saw</x:v>
      </x:c>
      <x:c r="D10" s="18" t="n">
        <x:v>2032</x:v>
      </x:c>
      <x:c r="E10" s="18" t="n">
        <x:v>0</x:v>
      </x:c>
    </x:row>
    <x:row r="11">
      <x:c r="A11" s="17" t="str">
        <x:v>200</x:v>
      </x:c>
      <x:c r="B11" s="17" t="str">
        <x:v>WC-200-02</x:v>
      </x:c>
      <x:c r="C11" s="17" t="str">
        <x:v>CNC Mill A</x:v>
      </x:c>
      <x:c r="D11" s="18" t="n">
        <x:v>3048</x:v>
      </x:c>
      <x:c r="E11" s="18" t="n">
        <x:v>0</x:v>
      </x:c>
    </x:row>
    <x:row r="12">
      <x:c r="A12" s="17" t="str">
        <x:v>200</x:v>
      </x:c>
      <x:c r="B12" s="17" t="str">
        <x:v>WC-200-03</x:v>
      </x:c>
      <x:c r="C12" s="17" t="str">
        <x:v>CNC Mill B</x:v>
      </x:c>
      <x:c r="D12" s="18" t="n">
        <x:v>3048</x:v>
      </x:c>
      <x:c r="E12" s="18" t="n">
        <x:v>0</x:v>
      </x:c>
    </x:row>
    <x:row r="13">
      <x:c r="A13" s="17" t="str">
        <x:v>200</x:v>
      </x:c>
      <x:c r="B13" s="17" t="str">
        <x:v>WC-200-04</x:v>
      </x:c>
      <x:c r="C13" s="17" t="str">
        <x:v>CNC Turn</x:v>
      </x:c>
      <x:c r="D13" s="18" t="n">
        <x:v>3048</x:v>
      </x:c>
      <x:c r="E13" s="18" t="n">
        <x:v>0</x:v>
      </x:c>
    </x:row>
    <x:row r="14">
      <x:c r="A14" s="17" t="str">
        <x:v>200</x:v>
      </x:c>
      <x:c r="B14" s="17" t="str">
        <x:v>WC-200-05</x:v>
      </x:c>
      <x:c r="C14" s="17" t="str">
        <x:v>Gear Cut</x:v>
      </x:c>
      <x:c r="D14" s="18" t="n">
        <x:v>3048</x:v>
      </x:c>
      <x:c r="E14" s="18" t="n">
        <x:v>0</x:v>
      </x:c>
    </x:row>
    <x:row r="15">
      <x:c r="A15" s="17" t="str">
        <x:v>200</x:v>
      </x:c>
      <x:c r="B15" s="17" t="str">
        <x:v>WC-200-06</x:v>
      </x:c>
      <x:c r="C15" s="17" t="str">
        <x:v>Deburr</x:v>
      </x:c>
      <x:c r="D15" s="18" t="n">
        <x:v>3048</x:v>
      </x:c>
      <x:c r="E15" s="18" t="n">
        <x:v>0</x:v>
      </x:c>
    </x:row>
    <x:row r="16">
      <x:c r="A16" s="17" t="str">
        <x:v>200</x:v>
      </x:c>
      <x:c r="B16" s="17" t="str">
        <x:v>WC-200-07</x:v>
      </x:c>
      <x:c r="C16" s="17" t="str">
        <x:v>Inspection</x:v>
      </x:c>
      <x:c r="D16" s="18" t="n">
        <x:v>3048</x:v>
      </x:c>
      <x:c r="E16" s="18" t="n">
        <x:v>0</x:v>
      </x:c>
    </x:row>
    <x:row r="17">
      <x:c r="A17" s="17" t="str">
        <x:v>200</x:v>
      </x:c>
      <x:c r="B17" s="17" t="str">
        <x:v>WC-200-08</x:v>
      </x:c>
      <x:c r="C17" s="17" t="str">
        <x:v>Outside Process</x:v>
      </x:c>
      <x:c r="D17" s="18" t="n">
        <x:v>2032</x:v>
      </x:c>
      <x:c r="E17" s="18" t="n">
        <x:v>0</x:v>
      </x:c>
    </x:row>
    <x:row r="18">
      <x:c r="A18" s="17" t="str">
        <x:v>300</x:v>
      </x:c>
      <x:c r="B18" s="17" t="str">
        <x:v>WC-300-01</x:v>
      </x:c>
      <x:c r="C18" s="17" t="str">
        <x:v>PCB Prep</x:v>
      </x:c>
      <x:c r="D18" s="18" t="n">
        <x:v>2032</x:v>
      </x:c>
      <x:c r="E18" s="18" t="n">
        <x:v>0</x:v>
      </x:c>
    </x:row>
    <x:row r="19">
      <x:c r="A19" s="17" t="str">
        <x:v>300</x:v>
      </x:c>
      <x:c r="B19" s="17" t="str">
        <x:v>WC-300-02</x:v>
      </x:c>
      <x:c r="C19" s="17" t="str">
        <x:v>Panel Build A</x:v>
      </x:c>
      <x:c r="D19" s="18" t="n">
        <x:v>3048</x:v>
      </x:c>
      <x:c r="E19" s="18" t="n">
        <x:v>0</x:v>
      </x:c>
    </x:row>
    <x:row r="20">
      <x:c r="A20" s="17" t="str">
        <x:v>300</x:v>
      </x:c>
      <x:c r="B20" s="17" t="str">
        <x:v>WC-300-03</x:v>
      </x:c>
      <x:c r="C20" s="17" t="str">
        <x:v>Panel Build B</x:v>
      </x:c>
      <x:c r="D20" s="18" t="n">
        <x:v>3048</x:v>
      </x:c>
      <x:c r="E20" s="18" t="n">
        <x:v>0</x:v>
      </x:c>
    </x:row>
    <x:row r="21">
      <x:c r="A21" s="17" t="str">
        <x:v>300</x:v>
      </x:c>
      <x:c r="B21" s="17" t="str">
        <x:v>WC-300-04</x:v>
      </x:c>
      <x:c r="C21" s="17" t="str">
        <x:v>Wiring</x:v>
      </x:c>
      <x:c r="D21" s="18" t="n">
        <x:v>3048</x:v>
      </x:c>
      <x:c r="E21" s="18" t="n">
        <x:v>0</x:v>
      </x:c>
    </x:row>
    <x:row r="22">
      <x:c r="A22" s="17" t="str">
        <x:v>300</x:v>
      </x:c>
      <x:c r="B22" s="17" t="str">
        <x:v>WC-300-05</x:v>
      </x:c>
      <x:c r="C22" s="17" t="str">
        <x:v>Programming</x:v>
      </x:c>
      <x:c r="D22" s="18" t="n">
        <x:v>3048</x:v>
      </x:c>
      <x:c r="E22" s="18" t="n">
        <x:v>0</x:v>
      </x:c>
    </x:row>
    <x:row r="23">
      <x:c r="A23" s="17" t="str">
        <x:v>300</x:v>
      </x:c>
      <x:c r="B23" s="17" t="str">
        <x:v>WC-300-06</x:v>
      </x:c>
      <x:c r="C23" s="17" t="str">
        <x:v>Electrical Test</x:v>
      </x:c>
      <x:c r="D23" s="18" t="n">
        <x:v>3048</x:v>
      </x:c>
      <x:c r="E23" s="18" t="n">
        <x:v>0</x:v>
      </x:c>
    </x:row>
    <x:row r="24">
      <x:c r="A24" s="17" t="str">
        <x:v>300</x:v>
      </x:c>
      <x:c r="B24" s="17" t="str">
        <x:v>WC-300-07</x:v>
      </x:c>
      <x:c r="C24" s="17" t="str">
        <x:v>Burn-In</x:v>
      </x:c>
      <x:c r="D24" s="18" t="n">
        <x:v>3048</x:v>
      </x:c>
      <x:c r="E24" s="18" t="n">
        <x:v>0</x:v>
      </x:c>
    </x:row>
    <x:row r="25">
      <x:c r="A25" s="17" t="str">
        <x:v>300</x:v>
      </x:c>
      <x:c r="B25" s="17" t="str">
        <x:v>WC-300-08</x:v>
      </x:c>
      <x:c r="C25" s="17" t="str">
        <x:v>Pack</x:v>
      </x:c>
      <x:c r="D25" s="18" t="n">
        <x:v>2032</x:v>
      </x:c>
      <x:c r="E25" s="1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</x:cols>
  <x:sheetData>
    <x:row r="1">
      <x:c r="A1" s="15" t="str">
        <x:v>net_available_hours</x:v>
      </x:c>
      <x:c r="B1" s="15" t="str">
        <x:v>downtime_hours</x:v>
      </x:c>
    </x:row>
    <x:row r="2">
      <x:c r="A2" s="18" t="n">
        <x:v>67056</x:v>
      </x:c>
      <x:c r="B2" s="18" t="n">
        <x:v>0</x:v>
      </x:c>
    </x:row>
  </x:sheetData>
  <x:pageMargins left="0.7" right="0.7" top="0.75" bottom="0.75" header="0.3" footer="0.3"/>
</x:worksheet>
</file>