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Valuation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Inventory Valuation by Site</x:v>
      </x:c>
      <x:c r="B1" s="3" t="str">
        <x:v>Inventory Valuation by Site</x:v>
      </x:c>
      <x:c r="C1" s="3" t="str">
        <x:v>Inventory Valuation by Site</x:v>
      </x:c>
      <x:c r="D1" s="3" t="str">
        <x:v>Inventory Valuation by Site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Director, Supply Chain Finance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Valuation</x:v>
      </x:c>
      <x:c r="B11" s="23" t="n">
        <x:v>17</x:v>
      </x:c>
      <x:c r="C11" s="23" t="n">
        <x:f>MAX(0,COUNTA('Valuation'!A2:A18))</x:f>
        <x:v>17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18" hidden="0" customWidth="1"/>
    <x:col min="4" max="4" width="17" hidden="0" customWidth="1"/>
  </x:cols>
  <x:sheetData>
    <x:row r="1">
      <x:c r="A1" s="15" t="str">
        <x:v>site_code</x:v>
      </x:c>
      <x:c r="B1" s="15" t="str">
        <x:v>item_type</x:v>
      </x:c>
      <x:c r="C1" s="15" t="str">
        <x:v>on_hand_quantity</x:v>
      </x:c>
      <x:c r="D1" s="15" t="str">
        <x:v>inventory_value</x:v>
      </x:c>
    </x:row>
    <x:row r="2">
      <x:c r="A2" s="17" t="str">
        <x:v>100</x:v>
      </x:c>
      <x:c r="B2" s="17" t="str">
        <x:v>Finished Good</x:v>
      </x:c>
      <x:c r="C2" s="18" t="n">
        <x:v>19000</x:v>
      </x:c>
      <x:c r="D2" s="18" t="n">
        <x:v>28343145.48</x:v>
      </x:c>
    </x:row>
    <x:row r="3">
      <x:c r="A3" s="17" t="str">
        <x:v>100</x:v>
      </x:c>
      <x:c r="B3" s="17" t="str">
        <x:v>Manufactured Subassembly</x:v>
      </x:c>
      <x:c r="C3" s="18" t="n">
        <x:v>14089.49</x:v>
      </x:c>
      <x:c r="D3" s="18" t="n">
        <x:v>11106715.17</x:v>
      </x:c>
    </x:row>
    <x:row r="4">
      <x:c r="A4" s="17" t="str">
        <x:v>100</x:v>
      </x:c>
      <x:c r="B4" s="17" t="str">
        <x:v>Aftermarket</x:v>
      </x:c>
      <x:c r="C4" s="18" t="n">
        <x:v>5380</x:v>
      </x:c>
      <x:c r="D4" s="18" t="n">
        <x:v>4959898.74</x:v>
      </x:c>
    </x:row>
    <x:row r="5">
      <x:c r="A5" s="17" t="str">
        <x:v>100</x:v>
      </x:c>
      <x:c r="B5" s="17" t="str">
        <x:v>Purchased Component</x:v>
      </x:c>
      <x:c r="C5" s="18" t="n">
        <x:v>17593.31</x:v>
      </x:c>
      <x:c r="D5" s="18" t="n">
        <x:v>1668772.48</x:v>
      </x:c>
    </x:row>
    <x:row r="6">
      <x:c r="A6" s="17" t="str">
        <x:v>100</x:v>
      </x:c>
      <x:c r="B6" s="17" t="str">
        <x:v>Raw Material</x:v>
      </x:c>
      <x:c r="C6" s="18" t="n">
        <x:v>26946.75</x:v>
      </x:c>
      <x:c r="D6" s="18" t="n">
        <x:v>645446.53</x:v>
      </x:c>
    </x:row>
    <x:row r="7">
      <x:c r="A7" s="17" t="str">
        <x:v>200</x:v>
      </x:c>
      <x:c r="B7" s="17" t="str">
        <x:v>Manufactured Subassembly</x:v>
      </x:c>
      <x:c r="C7" s="18" t="n">
        <x:v>29269.12</x:v>
      </x:c>
      <x:c r="D7" s="18" t="n">
        <x:v>16867096.11</x:v>
      </x:c>
    </x:row>
    <x:row r="8">
      <x:c r="A8" s="17" t="str">
        <x:v>200</x:v>
      </x:c>
      <x:c r="B8" s="17" t="str">
        <x:v>Finished Good</x:v>
      </x:c>
      <x:c r="C8" s="18" t="n">
        <x:v>8009.27</x:v>
      </x:c>
      <x:c r="D8" s="18" t="n">
        <x:v>7432491.12</x:v>
      </x:c>
    </x:row>
    <x:row r="9">
      <x:c r="A9" s="17" t="str">
        <x:v>200</x:v>
      </x:c>
      <x:c r="B9" s="17" t="str">
        <x:v>Purchased Component</x:v>
      </x:c>
      <x:c r="C9" s="18" t="n">
        <x:v>17593.31</x:v>
      </x:c>
      <x:c r="D9" s="18" t="n">
        <x:v>1668772.48</x:v>
      </x:c>
    </x:row>
    <x:row r="10">
      <x:c r="A10" s="17" t="str">
        <x:v>200</x:v>
      </x:c>
      <x:c r="B10" s="17" t="str">
        <x:v>Raw Material</x:v>
      </x:c>
      <x:c r="C10" s="18" t="n">
        <x:v>26946.75</x:v>
      </x:c>
      <x:c r="D10" s="18" t="n">
        <x:v>645446.53</x:v>
      </x:c>
    </x:row>
    <x:row r="11">
      <x:c r="A11" s="17" t="str">
        <x:v>300</x:v>
      </x:c>
      <x:c r="B11" s="17" t="str">
        <x:v>Finished Good</x:v>
      </x:c>
      <x:c r="C11" s="18" t="n">
        <x:v>9445.88</x:v>
      </x:c>
      <x:c r="D11" s="18" t="n">
        <x:v>16021680.95</x:v>
      </x:c>
    </x:row>
    <x:row r="12">
      <x:c r="A12" s="17" t="str">
        <x:v>300</x:v>
      </x:c>
      <x:c r="B12" s="17" t="str">
        <x:v>Manufactured Subassembly</x:v>
      </x:c>
      <x:c r="C12" s="18" t="n">
        <x:v>18558.63</x:v>
      </x:c>
      <x:c r="D12" s="18" t="n">
        <x:v>12356532.84</x:v>
      </x:c>
    </x:row>
    <x:row r="13">
      <x:c r="A13" s="17" t="str">
        <x:v>300</x:v>
      </x:c>
      <x:c r="B13" s="17" t="str">
        <x:v>Aftermarket</x:v>
      </x:c>
      <x:c r="C13" s="18" t="n">
        <x:v>798</x:v>
      </x:c>
      <x:c r="D13" s="18" t="n">
        <x:v>1791516.47</x:v>
      </x:c>
    </x:row>
    <x:row r="14">
      <x:c r="A14" s="17" t="str">
        <x:v>300</x:v>
      </x:c>
      <x:c r="B14" s="17" t="str">
        <x:v>Purchased Component</x:v>
      </x:c>
      <x:c r="C14" s="18" t="n">
        <x:v>17593.31</x:v>
      </x:c>
      <x:c r="D14" s="18" t="n">
        <x:v>1668772.48</x:v>
      </x:c>
    </x:row>
    <x:row r="15">
      <x:c r="A15" s="17" t="str">
        <x:v>300</x:v>
      </x:c>
      <x:c r="B15" s="17" t="str">
        <x:v>Raw Material</x:v>
      </x:c>
      <x:c r="C15" s="18" t="n">
        <x:v>26946.75</x:v>
      </x:c>
      <x:c r="D15" s="18" t="n">
        <x:v>645446.53</x:v>
      </x:c>
    </x:row>
    <x:row r="16">
      <x:c r="A16" s="17" t="str">
        <x:v>400</x:v>
      </x:c>
      <x:c r="B16" s="17" t="str">
        <x:v>Aftermarket</x:v>
      </x:c>
      <x:c r="C16" s="18" t="n">
        <x:v>12915.76</x:v>
      </x:c>
      <x:c r="D16" s="18" t="n">
        <x:v>13569148.65</x:v>
      </x:c>
    </x:row>
    <x:row r="17">
      <x:c r="A17" s="17" t="str">
        <x:v>400</x:v>
      </x:c>
      <x:c r="B17" s="17" t="str">
        <x:v>Purchased Component</x:v>
      </x:c>
      <x:c r="C17" s="18" t="n">
        <x:v>31667.97</x:v>
      </x:c>
      <x:c r="D17" s="18" t="n">
        <x:v>3003790.46</x:v>
      </x:c>
    </x:row>
    <x:row r="18">
      <x:c r="A18" s="17" t="str">
        <x:v>400</x:v>
      </x:c>
      <x:c r="B18" s="17" t="str">
        <x:v>Raw Material</x:v>
      </x:c>
      <x:c r="C18" s="18" t="n">
        <x:v>48504.15</x:v>
      </x:c>
      <x:c r="D18" s="18" t="n">
        <x:v>1161803.75</x:v>
      </x:c>
    </x:row>
  </x:sheetData>
  <x:pageMargins left="0.7" right="0.7" top="0.75" bottom="0.75" header="0.3" footer="0.3"/>
</x:worksheet>
</file>