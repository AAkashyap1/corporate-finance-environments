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Debt" sheetId="2" r:id="rId5"/>
    <x:sheet xmlns:r="http://schemas.openxmlformats.org/officeDocument/2006/relationships" name="LTM P&amp;L" sheetId="3" r:id="rI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2703D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Debt Covenant Model</x:v>
      </x:c>
      <x:c r="B1" s="3" t="str">
        <x:v>Debt Covenant Model</x:v>
      </x:c>
      <x:c r="C1" s="3" t="str">
        <x:v>Debt Covenant Model</x:v>
      </x:c>
      <x:c r="D1" s="3" t="str">
        <x:v>Debt Covenant Model</x:v>
      </x:c>
    </x:row>
    <x:row r="2">
      <x:c r="A2" s="6" t="str">
        <x:v>PINEHAVEN MOTION SYSTEMS  •  FINANCE ANALYTICS</x:v>
      </x:c>
      <x:c r="B2" s="6" t="str">
        <x:v>PINEHAVEN MOTION SYSTEMS  •  FINANCE ANALYTICS</x:v>
      </x:c>
      <x:c r="C2" s="6" t="str">
        <x:v>PINEHAVEN MOTION SYSTEMS  •  FINANCE ANALYTICS</x:v>
      </x:c>
      <x:c r="D2" s="6" t="str">
        <x:v>PINEHAVEN MOTION SYSTEMS  •  FINANCE ANALYTICS</x:v>
      </x:c>
    </x:row>
    <x:row r="3">
      <x:c r="A3" s="9" t="str">
        <x:v>Period / As of</x:v>
      </x:c>
      <x:c r="B3" s="10" t="str">
        <x:v>LTM through 2026-06-30</x:v>
      </x:c>
      <x:c r="C3" s="10"/>
      <x:c r="D3" s="10"/>
    </x:row>
    <x:row r="4">
      <x:c r="A4" s="9" t="str">
        <x:v>Prepared by</x:v>
      </x:c>
      <x:c r="B4" s="10" t="str">
        <x:v>Treasurer</x:v>
      </x:c>
      <x:c r="C4" s="10"/>
      <x:c r="D4" s="10"/>
    </x:row>
    <x:row r="5">
      <x:c r="A5" s="9" t="str">
        <x:v>Primary system</x:v>
      </x:c>
      <x:c r="B5" s="10" t="str">
        <x:v>Pinehaven integrated ERP</x:v>
      </x:c>
      <x:c r="C5" s="10"/>
      <x:c r="D5" s="10"/>
    </x:row>
    <x:row r="6">
      <x:c r="A6" s="9" t="str">
        <x:v>Report status</x:v>
      </x:c>
      <x:c r="B6" s="10" t="str">
        <x:v>Issued management report</x:v>
      </x:c>
      <x:c r="C6" s="10"/>
      <x:c r="D6" s="10"/>
    </x:row>
    <x:row r="7">
      <x:c r="A7" s="9" t="str">
        <x:v>Distribution</x:v>
      </x:c>
      <x:c r="B7" s="10" t="str">
        <x:v>Finance leadership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Debt</x:v>
      </x:c>
      <x:c r="B11" s="23" t="n">
        <x:v>3</x:v>
      </x:c>
      <x:c r="C11" s="23" t="n">
        <x:f>MAX(0,COUNTA('Debt'!A2:A4))</x:f>
        <x:v>3</x:v>
      </x:c>
      <x:c r="D11" s="22" t="str">
        <x:f>IF(B11=C11,"OK","CHECK")</x:f>
        <x:v>OK</x:v>
      </x:c>
    </x:row>
    <x:row r="12">
      <x:c r="A12" s="22" t="str">
        <x:v>LTM P&amp;L</x:v>
      </x:c>
      <x:c r="B12" s="23" t="n">
        <x:v>16</x:v>
      </x:c>
      <x:c r="C12" s="23" t="n">
        <x:f>MAX(0,COUNTA('LTM P&amp;L'!A2:A17))</x:f>
        <x:v>16</x:v>
      </x:c>
      <x:c r="D12" s="22" t="str">
        <x:f>IF(B12=C12,"OK","CHECK")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23" hidden="0" customWidth="1"/>
    <x:col min="4" max="4" width="12" hidden="0" customWidth="1"/>
    <x:col min="5" max="5" width="15" hidden="0" customWidth="1"/>
    <x:col min="6" max="6" width="15" hidden="0" customWidth="1"/>
    <x:col min="7" max="7" width="17" hidden="0" customWidth="1"/>
  </x:cols>
  <x:sheetData>
    <x:row r="1">
      <x:c r="A1" s="15" t="str">
        <x:v>id</x:v>
      </x:c>
      <x:c r="B1" s="15" t="str">
        <x:v>instrument_type</x:v>
      </x:c>
      <x:c r="C1" s="15" t="str">
        <x:v>outstanding_principal</x:v>
      </x:c>
      <x:c r="D1" s="15" t="str">
        <x:v>commitment</x:v>
      </x:c>
      <x:c r="E1" s="15" t="str">
        <x:v>interest_rate</x:v>
      </x:c>
      <x:c r="F1" s="15" t="str">
        <x:v>maturity_date</x:v>
      </x:c>
      <x:c r="G1" s="15" t="str">
        <x:v>current_portion</x:v>
      </x:c>
    </x:row>
    <x:row r="2">
      <x:c r="A2" s="17" t="str">
        <x:v>EQ-2024</x:v>
      </x:c>
      <x:c r="B2" s="17" t="str">
        <x:v>Equipment Loan</x:v>
      </x:c>
      <x:c r="C2" s="18" t="n">
        <x:v>9800000</x:v>
      </x:c>
      <x:c r="D2" s="18" t="n">
        <x:v>9800000</x:v>
      </x:c>
      <x:c r="E2" s="18" t="n">
        <x:v>0.061</x:v>
      </x:c>
      <x:c r="F2" s="17" t="str">
        <x:v>2028-12-31</x:v>
      </x:c>
      <x:c r="G2" s="18" t="n">
        <x:v>2800000</x:v>
      </x:c>
    </x:row>
    <x:row r="3">
      <x:c r="A3" s="17" t="str">
        <x:v>TL-2022</x:v>
      </x:c>
      <x:c r="B3" s="17" t="str">
        <x:v>Term Loan</x:v>
      </x:c>
      <x:c r="C3" s="18" t="n">
        <x:v>74500000</x:v>
      </x:c>
      <x:c r="D3" s="18" t="n">
        <x:v>74500000</x:v>
      </x:c>
      <x:c r="E3" s="18" t="n">
        <x:v>0.0725</x:v>
      </x:c>
      <x:c r="F3" s="17" t="str">
        <x:v>2029-09-30</x:v>
      </x:c>
      <x:c r="G3" s="18" t="n">
        <x:v>5000000</x:v>
      </x:c>
    </x:row>
    <x:row r="4">
      <x:c r="A4" s="17" t="str">
        <x:v>ABL-2025</x:v>
      </x:c>
      <x:c r="B4" s="17" t="str">
        <x:v>Revolver</x:v>
      </x:c>
      <x:c r="C4" s="18" t="n">
        <x:v>8250000</x:v>
      </x:c>
      <x:c r="D4" s="18" t="n">
        <x:v>45000000</x:v>
      </x:c>
      <x:c r="E4" s="18" t="n">
        <x:v>0.0675</x:v>
      </x:c>
      <x:c r="F4" s="17" t="str">
        <x:v>2030-03-31</x:v>
      </x:c>
      <x:c r="G4" s="18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0" hidden="0" customWidth="1"/>
    <x:col min="3" max="3" width="14" hidden="0" customWidth="1"/>
    <x:col min="4" max="4" width="14" hidden="0" customWidth="1"/>
  </x:cols>
  <x:sheetData>
    <x:row r="1">
      <x:c r="A1" s="15" t="str">
        <x:v>code</x:v>
      </x:c>
      <x:c r="B1" s="15" t="str">
        <x:v>name</x:v>
      </x:c>
      <x:c r="C1" s="15" t="str">
        <x:v>account_type</x:v>
      </x:c>
      <x:c r="D1" s="15" t="str">
        <x:v>amount</x:v>
      </x:c>
    </x:row>
    <x:row r="2">
      <x:c r="A2" s="17" t="str">
        <x:v>4000</x:v>
      </x:c>
      <x:c r="B2" s="17" t="str">
        <x:v>Product Revenue</x:v>
      </x:c>
      <x:c r="C2" s="17" t="str">
        <x:v>Revenue</x:v>
      </x:c>
      <x:c r="D2" s="18" t="n">
        <x:v>230256920.86</x:v>
      </x:c>
    </x:row>
    <x:row r="3">
      <x:c r="A3" s="17" t="str">
        <x:v>4010</x:v>
      </x:c>
      <x:c r="B3" s="17" t="str">
        <x:v>Aftermarket Revenue</x:v>
      </x:c>
      <x:c r="C3" s="17" t="str">
        <x:v>Revenue</x:v>
      </x:c>
      <x:c r="D3" s="18" t="n">
        <x:v>60334191.79</x:v>
      </x:c>
    </x:row>
    <x:row r="4">
      <x:c r="A4" s="17" t="str">
        <x:v>5000</x:v>
      </x:c>
      <x:c r="B4" s="17" t="str">
        <x:v>Material Cost of Sales</x:v>
      </x:c>
      <x:c r="C4" s="17" t="str">
        <x:v>Expense</x:v>
      </x:c>
      <x:c r="D4" s="18" t="n">
        <x:v>198365100.25</x:v>
      </x:c>
    </x:row>
    <x:row r="5">
      <x:c r="A5" s="17" t="str">
        <x:v>5100</x:v>
      </x:c>
      <x:c r="B5" s="17" t="str">
        <x:v>Purchase Price Variance</x:v>
      </x:c>
      <x:c r="C5" s="17" t="str">
        <x:v>Expense</x:v>
      </x:c>
      <x:c r="D5" s="18" t="n">
        <x:v>169679.21</x:v>
      </x:c>
    </x:row>
    <x:row r="6">
      <x:c r="A6" s="17" t="str">
        <x:v>5110</x:v>
      </x:c>
      <x:c r="B6" s="17" t="str">
        <x:v>Material Usage Variance</x:v>
      </x:c>
      <x:c r="C6" s="17" t="str">
        <x:v>Expense</x:v>
      </x:c>
      <x:c r="D6" s="18" t="n">
        <x:v>1523326.88</x:v>
      </x:c>
    </x:row>
    <x:row r="7">
      <x:c r="A7" s="17" t="str">
        <x:v>5200</x:v>
      </x:c>
      <x:c r="B7" s="17" t="str">
        <x:v>Direct Labor Clearing</x:v>
      </x:c>
      <x:c r="C7" s="17" t="str">
        <x:v>Expense</x:v>
      </x:c>
      <x:c r="D7" s="18" t="n">
        <x:v>-0.07</x:v>
      </x:c>
    </x:row>
    <x:row r="8">
      <x:c r="A8" s="17" t="str">
        <x:v>5210</x:v>
      </x:c>
      <x:c r="B8" s="17" t="str">
        <x:v>Variable Overhead Absorption</x:v>
      </x:c>
      <x:c r="C8" s="17" t="str">
        <x:v>Expense</x:v>
      </x:c>
      <x:c r="D8" s="18" t="n">
        <x:v>0</x:v>
      </x:c>
    </x:row>
    <x:row r="9">
      <x:c r="A9" s="17" t="str">
        <x:v>5220</x:v>
      </x:c>
      <x:c r="B9" s="17" t="str">
        <x:v>Fixed Overhead Absorption</x:v>
      </x:c>
      <x:c r="C9" s="17" t="str">
        <x:v>Expense</x:v>
      </x:c>
      <x:c r="D9" s="18" t="n">
        <x:v>0</x:v>
      </x:c>
    </x:row>
    <x:row r="10">
      <x:c r="A10" s="17" t="str">
        <x:v>6000</x:v>
      </x:c>
      <x:c r="B10" s="17" t="str">
        <x:v>Sales &amp; Marketing</x:v>
      </x:c>
      <x:c r="C10" s="17" t="str">
        <x:v>Expense</x:v>
      </x:c>
      <x:c r="D10" s="18" t="n">
        <x:v>13263898.95</x:v>
      </x:c>
    </x:row>
    <x:row r="11">
      <x:c r="A11" s="17" t="str">
        <x:v>6100</x:v>
      </x:c>
      <x:c r="B11" s="17" t="str">
        <x:v>Research &amp; Development</x:v>
      </x:c>
      <x:c r="C11" s="17" t="str">
        <x:v>Expense</x:v>
      </x:c>
      <x:c r="D11" s="18" t="n">
        <x:v>10316365.85</x:v>
      </x:c>
    </x:row>
    <x:row r="12">
      <x:c r="A12" s="17" t="str">
        <x:v>6200</x:v>
      </x:c>
      <x:c r="B12" s="17" t="str">
        <x:v>General &amp; Administrative</x:v>
      </x:c>
      <x:c r="C12" s="17" t="str">
        <x:v>Expense</x:v>
      </x:c>
      <x:c r="D12" s="18" t="n">
        <x:v>30949097.56</x:v>
      </x:c>
    </x:row>
    <x:row r="13">
      <x:c r="A13" s="17" t="str">
        <x:v>6300</x:v>
      </x:c>
      <x:c r="B13" s="17" t="str">
        <x:v>Distribution &amp; Service</x:v>
      </x:c>
      <x:c r="C13" s="17" t="str">
        <x:v>Expense</x:v>
      </x:c>
      <x:c r="D13" s="18" t="n">
        <x:v>10316365.85</x:v>
      </x:c>
    </x:row>
    <x:row r="14">
      <x:c r="A14" s="17" t="str">
        <x:v>6400</x:v>
      </x:c>
      <x:c r="B14" s="17" t="str">
        <x:v>Depreciation &amp; Amortization</x:v>
      </x:c>
      <x:c r="C14" s="17" t="str">
        <x:v>Expense</x:v>
      </x:c>
      <x:c r="D14" s="18" t="n">
        <x:v>23706861</x:v>
      </x:c>
    </x:row>
    <x:row r="15">
      <x:c r="A15" s="17" t="str">
        <x:v>6500</x:v>
      </x:c>
      <x:c r="B15" s="17" t="str">
        <x:v>Maintenance Expense</x:v>
      </x:c>
      <x:c r="C15" s="17" t="str">
        <x:v>Expense</x:v>
      </x:c>
      <x:c r="D15" s="18" t="n">
        <x:v>8842599.28</x:v>
      </x:c>
    </x:row>
    <x:row r="16">
      <x:c r="A16" s="17" t="str">
        <x:v>7000</x:v>
      </x:c>
      <x:c r="B16" s="17" t="str">
        <x:v>Interest Expense</x:v>
      </x:c>
      <x:c r="C16" s="17" t="str">
        <x:v>Expense</x:v>
      </x:c>
      <x:c r="D16" s="18" t="n">
        <x:v>6555924.96</x:v>
      </x:c>
    </x:row>
    <x:row r="17">
      <x:c r="A17" s="17" t="str">
        <x:v>7100</x:v>
      </x:c>
      <x:c r="B17" s="17" t="str">
        <x:v>Other Income / Expense</x:v>
      </x:c>
      <x:c r="C17" s="17" t="str">
        <x:v>Expense</x:v>
      </x:c>
      <x:c r="D17" s="18" t="n">
        <x:v>37.65</x:v>
      </x:c>
    </x:row>
  </x:sheetData>
  <x:pageMargins left="0.7" right="0.7" top="0.75" bottom="0.75" header="0.3" footer="0.3"/>
</x:worksheet>
</file>