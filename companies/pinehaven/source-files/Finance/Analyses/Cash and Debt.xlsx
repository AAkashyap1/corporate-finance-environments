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Debt" sheetId="2" r:id="rId5"/>
    <x:sheet xmlns:r="http://schemas.openxmlformats.org/officeDocument/2006/relationships" name="Cash GL" sheetId="3" r:id="rId6"/>
    <x:sheet xmlns:r="http://schemas.openxmlformats.org/officeDocument/2006/relationships" name="13 Week Bas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Cash and Debt</x:v>
      </x:c>
      <x:c r="B1" s="3" t="str">
        <x:v>Cash and Debt</x:v>
      </x:c>
      <x:c r="C1" s="3" t="str">
        <x:v>Cash and Debt</x:v>
      </x:c>
      <x:c r="D1" s="3" t="str">
        <x:v>Cash and Debt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2026-06-30</x:v>
      </x:c>
      <x:c r="C3" s="10"/>
      <x:c r="D3" s="10"/>
    </x:row>
    <x:row r="4">
      <x:c r="A4" s="9" t="str">
        <x:v>Prepared by</x:v>
      </x:c>
      <x:c r="B4" s="10" t="str">
        <x:v>Treasurer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Debt</x:v>
      </x:c>
      <x:c r="B11" s="23" t="n">
        <x:v>3</x:v>
      </x:c>
      <x:c r="C11" s="23" t="n">
        <x:f>MAX(0,COUNTA('Debt'!A2:A4))</x:f>
        <x:v>3</x:v>
      </x:c>
      <x:c r="D11" s="22" t="str">
        <x:f>IF(B11=C11,"OK","CHECK")</x:f>
        <x:v>OK</x:v>
      </x:c>
    </x:row>
    <x:row r="12">
      <x:c r="A12" s="22" t="str">
        <x:v>Cash GL</x:v>
      </x:c>
      <x:c r="B12" s="23" t="n">
        <x:v>1</x:v>
      </x:c>
      <x:c r="C12" s="23" t="n">
        <x:f>MAX(0,COUNTA('Cash GL'!A2:A2))</x:f>
        <x:v>1</x:v>
      </x:c>
      <x:c r="D12" s="22" t="str">
        <x:f>IF(B12=C12,"OK","CHECK")</x:f>
        <x:v>OK</x:v>
      </x:c>
    </x:row>
    <x:row r="13">
      <x:c r="A13" s="22" t="str">
        <x:v>13 Week Base</x:v>
      </x:c>
      <x:c r="B13" s="23" t="n">
        <x:v>13</x:v>
      </x:c>
      <x:c r="C13" s="23" t="n">
        <x:f>MAX(0,COUNTA('13 Week Base'!A2:A14))</x:f>
        <x:v>13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17" hidden="0" customWidth="1"/>
    <x:col min="4" max="4" width="32" hidden="0" customWidth="1"/>
    <x:col min="5" max="5" width="23" hidden="0" customWidth="1"/>
    <x:col min="6" max="6" width="12" hidden="0" customWidth="1"/>
    <x:col min="7" max="7" width="15" hidden="0" customWidth="1"/>
    <x:col min="8" max="8" width="15" hidden="0" customWidth="1"/>
    <x:col min="9" max="9" width="17" hidden="0" customWidth="1"/>
    <x:col min="10" max="10" width="10" hidden="0" customWidth="1"/>
  </x:cols>
  <x:sheetData>
    <x:row r="1">
      <x:c r="A1" s="15" t="str">
        <x:v>id</x:v>
      </x:c>
      <x:c r="B1" s="15" t="str">
        <x:v>description</x:v>
      </x:c>
      <x:c r="C1" s="15" t="str">
        <x:v>instrument_type</x:v>
      </x:c>
      <x:c r="D1" s="15" t="str">
        <x:v>lender</x:v>
      </x:c>
      <x:c r="E1" s="15" t="str">
        <x:v>outstanding_principal</x:v>
      </x:c>
      <x:c r="F1" s="15" t="str">
        <x:v>commitment</x:v>
      </x:c>
      <x:c r="G1" s="15" t="str">
        <x:v>interest_rate</x:v>
      </x:c>
      <x:c r="H1" s="15" t="str">
        <x:v>maturity_date</x:v>
      </x:c>
      <x:c r="I1" s="15" t="str">
        <x:v>current_portion</x:v>
      </x:c>
      <x:c r="J1" s="15" t="str">
        <x:v>status</x:v>
      </x:c>
    </x:row>
    <x:row r="2">
      <x:c r="A2" s="17" t="str">
        <x:v>EQ-2024</x:v>
      </x:c>
      <x:c r="B2" s="17" t="str">
        <x:v>Equipment financing facility</x:v>
      </x:c>
      <x:c r="C2" s="17" t="str">
        <x:v>Equipment Loan</x:v>
      </x:c>
      <x:c r="D2" s="17" t="str">
        <x:v>Industrial Equipment Finance</x:v>
      </x:c>
      <x:c r="E2" s="18" t="n">
        <x:v>9800000</x:v>
      </x:c>
      <x:c r="F2" s="18" t="n">
        <x:v>9800000</x:v>
      </x:c>
      <x:c r="G2" s="18" t="n">
        <x:v>0.061</x:v>
      </x:c>
      <x:c r="H2" s="17" t="str">
        <x:v>2028-12-31</x:v>
      </x:c>
      <x:c r="I2" s="18" t="n">
        <x:v>2800000</x:v>
      </x:c>
      <x:c r="J2" s="17" t="str">
        <x:v>Active</x:v>
      </x:c>
    </x:row>
    <x:row r="3">
      <x:c r="A3" s="17" t="str">
        <x:v>TL-2022</x:v>
      </x:c>
      <x:c r="B3" s="17" t="str">
        <x:v>Sponsor acquisition term loan</x:v>
      </x:c>
      <x:c r="C3" s="17" t="str">
        <x:v>Term Loan</x:v>
      </x:c>
      <x:c r="D3" s="17" t="str">
        <x:v>First National Commercial Bank</x:v>
      </x:c>
      <x:c r="E3" s="18" t="n">
        <x:v>74500000</x:v>
      </x:c>
      <x:c r="F3" s="18" t="n">
        <x:v>74500000</x:v>
      </x:c>
      <x:c r="G3" s="18" t="n">
        <x:v>0.0725</x:v>
      </x:c>
      <x:c r="H3" s="17" t="str">
        <x:v>2029-09-30</x:v>
      </x:c>
      <x:c r="I3" s="18" t="n">
        <x:v>5000000</x:v>
      </x:c>
      <x:c r="J3" s="17" t="str">
        <x:v>Active</x:v>
      </x:c>
    </x:row>
    <x:row r="4">
      <x:c r="A4" s="17" t="str">
        <x:v>ABL-2025</x:v>
      </x:c>
      <x:c r="B4" s="17" t="str">
        <x:v>Asset-based revolving credit facility</x:v>
      </x:c>
      <x:c r="C4" s="17" t="str">
        <x:v>Revolver</x:v>
      </x:c>
      <x:c r="D4" s="17" t="str">
        <x:v>Midwest Business Bank</x:v>
      </x:c>
      <x:c r="E4" s="18" t="n">
        <x:v>8250000</x:v>
      </x:c>
      <x:c r="F4" s="18" t="n">
        <x:v>45000000</x:v>
      </x:c>
      <x:c r="G4" s="18" t="n">
        <x:v>0.0675</x:v>
      </x:c>
      <x:c r="H4" s="17" t="str">
        <x:v>2030-03-31</x:v>
      </x:c>
      <x:c r="I4" s="18" t="n">
        <x:v>0</x:v>
      </x:c>
      <x:c r="J4" s="17" t="str">
        <x:v>Active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2" hidden="0" customWidth="1"/>
  </x:cols>
  <x:sheetData>
    <x:row r="1">
      <x:c r="A1" s="15" t="str">
        <x:v>account_code</x:v>
      </x:c>
      <x:c r="B1" s="15" t="str">
        <x:v>name</x:v>
      </x:c>
      <x:c r="C1" s="15" t="str">
        <x:v>balance</x:v>
      </x:c>
    </x:row>
    <x:row r="2">
      <x:c r="A2" s="17" t="str">
        <x:v>1000</x:v>
      </x:c>
      <x:c r="B2" s="17" t="str">
        <x:v>Operating Cash</x:v>
      </x:c>
      <x:c r="C2" s="18" t="n">
        <x:v>26728663.7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2" hidden="0" customWidth="1"/>
    <x:col min="4" max="4" width="15" hidden="0" customWidth="1"/>
    <x:col min="5" max="5" width="19" hidden="0" customWidth="1"/>
    <x:col min="6" max="6" width="22" hidden="0" customWidth="1"/>
    <x:col min="7" max="7" width="11" hidden="0" customWidth="1"/>
    <x:col min="8" max="8" width="22" hidden="0" customWidth="1"/>
    <x:col min="9" max="9" width="16" hidden="0" customWidth="1"/>
    <x:col min="10" max="10" width="21" hidden="0" customWidth="1"/>
  </x:cols>
  <x:sheetData>
    <x:row r="1">
      <x:c r="A1" s="15" t="str">
        <x:v>week_number</x:v>
      </x:c>
      <x:c r="B1" s="15" t="str">
        <x:v>week_ending</x:v>
      </x:c>
      <x:c r="C1" s="15" t="str">
        <x:v>customer_collections</x:v>
      </x:c>
      <x:c r="D1" s="15" t="str">
        <x:v>other_inflows</x:v>
      </x:c>
      <x:c r="E1" s="15" t="str">
        <x:v>supplier_payments</x:v>
      </x:c>
      <x:c r="F1" s="15" t="str">
        <x:v>payroll_and_benefits</x:v>
      </x:c>
      <x:c r="G1" s="15" t="str">
        <x:v>interest</x:v>
      </x:c>
      <x:c r="H1" s="15" t="str">
        <x:v>capital_expenditures</x:v>
      </x:c>
      <x:c r="I1" s="15" t="str">
        <x:v>other_outflows</x:v>
      </x:c>
      <x:c r="J1" s="15" t="str">
        <x:v>minimum_cash_buffer</x:v>
      </x:c>
    </x:row>
    <x:row r="2">
      <x:c r="A2" s="18" t="n">
        <x:v>1</x:v>
      </x:c>
      <x:c r="B2" s="17" t="str">
        <x:v>2026-07-03</x:v>
      </x:c>
      <x:c r="C2" s="18" t="n">
        <x:v>4200000</x:v>
      </x:c>
      <x:c r="D2" s="18" t="n">
        <x:v>0</x:v>
      </x:c>
      <x:c r="E2" s="18" t="n">
        <x:v>3600000</x:v>
      </x:c>
      <x:c r="F2" s="18" t="n">
        <x:v>0</x:v>
      </x:c>
      <x:c r="G2" s="18" t="n">
        <x:v>0</x:v>
      </x:c>
      <x:c r="H2" s="18" t="n">
        <x:v>650000</x:v>
      </x:c>
      <x:c r="I2" s="18" t="n">
        <x:v>0</x:v>
      </x:c>
      <x:c r="J2" s="18" t="n">
        <x:v>15000000</x:v>
      </x:c>
    </x:row>
    <x:row r="3">
      <x:c r="A3" s="18" t="n">
        <x:v>2</x:v>
      </x:c>
      <x:c r="B3" s="17" t="str">
        <x:v>2026-07-10</x:v>
      </x:c>
      <x:c r="C3" s="18" t="n">
        <x:v>6100000</x:v>
      </x:c>
      <x:c r="D3" s="18" t="n">
        <x:v>0</x:v>
      </x:c>
      <x:c r="E3" s="18" t="n">
        <x:v>4300000</x:v>
      </x:c>
      <x:c r="F3" s="18" t="n">
        <x:v>2850000</x:v>
      </x:c>
      <x:c r="G3" s="18" t="n">
        <x:v>0</x:v>
      </x:c>
      <x:c r="H3" s="18" t="n">
        <x:v>400000</x:v>
      </x:c>
      <x:c r="I3" s="18" t="n">
        <x:v>0</x:v>
      </x:c>
      <x:c r="J3" s="18" t="n">
        <x:v>15000000</x:v>
      </x:c>
    </x:row>
    <x:row r="4">
      <x:c r="A4" s="18" t="n">
        <x:v>3</x:v>
      </x:c>
      <x:c r="B4" s="17" t="str">
        <x:v>2026-07-17</x:v>
      </x:c>
      <x:c r="C4" s="18" t="n">
        <x:v>5700000</x:v>
      </x:c>
      <x:c r="D4" s="18" t="n">
        <x:v>0</x:v>
      </x:c>
      <x:c r="E4" s="18" t="n">
        <x:v>4100000</x:v>
      </x:c>
      <x:c r="F4" s="18" t="n">
        <x:v>0</x:v>
      </x:c>
      <x:c r="G4" s="18" t="n">
        <x:v>0</x:v>
      </x:c>
      <x:c r="H4" s="18" t="n">
        <x:v>950000</x:v>
      </x:c>
      <x:c r="I4" s="18" t="n">
        <x:v>0</x:v>
      </x:c>
      <x:c r="J4" s="18" t="n">
        <x:v>15000000</x:v>
      </x:c>
    </x:row>
    <x:row r="5">
      <x:c r="A5" s="18" t="n">
        <x:v>4</x:v>
      </x:c>
      <x:c r="B5" s="17" t="str">
        <x:v>2026-07-24</x:v>
      </x:c>
      <x:c r="C5" s="18" t="n">
        <x:v>6300000</x:v>
      </x:c>
      <x:c r="D5" s="18" t="n">
        <x:v>0</x:v>
      </x:c>
      <x:c r="E5" s="18" t="n">
        <x:v>4700000</x:v>
      </x:c>
      <x:c r="F5" s="18" t="n">
        <x:v>2925000</x:v>
      </x:c>
      <x:c r="G5" s="18" t="n">
        <x:v>546327.08</x:v>
      </x:c>
      <x:c r="H5" s="18" t="n">
        <x:v>350000</x:v>
      </x:c>
      <x:c r="I5" s="18" t="n">
        <x:v>0</x:v>
      </x:c>
      <x:c r="J5" s="18" t="n">
        <x:v>15000000</x:v>
      </x:c>
    </x:row>
    <x:row r="6">
      <x:c r="A6" s="18" t="n">
        <x:v>5</x:v>
      </x:c>
      <x:c r="B6" s="17" t="str">
        <x:v>2026-07-31</x:v>
      </x:c>
      <x:c r="C6" s="18" t="n">
        <x:v>5400000</x:v>
      </x:c>
      <x:c r="D6" s="18" t="n">
        <x:v>0</x:v>
      </x:c>
      <x:c r="E6" s="18" t="n">
        <x:v>4200000</x:v>
      </x:c>
      <x:c r="F6" s="18" t="n">
        <x:v>0</x:v>
      </x:c>
      <x:c r="G6" s="18" t="n">
        <x:v>0</x:v>
      </x:c>
      <x:c r="H6" s="18" t="n">
        <x:v>1100000</x:v>
      </x:c>
      <x:c r="I6" s="18" t="n">
        <x:v>0</x:v>
      </x:c>
      <x:c r="J6" s="18" t="n">
        <x:v>15000000</x:v>
      </x:c>
    </x:row>
    <x:row r="7">
      <x:c r="A7" s="18" t="n">
        <x:v>6</x:v>
      </x:c>
      <x:c r="B7" s="17" t="str">
        <x:v>2026-08-07</x:v>
      </x:c>
      <x:c r="C7" s="18" t="n">
        <x:v>6000000</x:v>
      </x:c>
      <x:c r="D7" s="18" t="n">
        <x:v>0</x:v>
      </x:c>
      <x:c r="E7" s="18" t="n">
        <x:v>4500000</x:v>
      </x:c>
      <x:c r="F7" s="18" t="n">
        <x:v>2880000</x:v>
      </x:c>
      <x:c r="G7" s="18" t="n">
        <x:v>0</x:v>
      </x:c>
      <x:c r="H7" s="18" t="n">
        <x:v>500000</x:v>
      </x:c>
      <x:c r="I7" s="18" t="n">
        <x:v>0</x:v>
      </x:c>
      <x:c r="J7" s="18" t="n">
        <x:v>15000000</x:v>
      </x:c>
    </x:row>
    <x:row r="8">
      <x:c r="A8" s="18" t="n">
        <x:v>7</x:v>
      </x:c>
      <x:c r="B8" s="17" t="str">
        <x:v>2026-08-14</x:v>
      </x:c>
      <x:c r="C8" s="18" t="n">
        <x:v>5800000</x:v>
      </x:c>
      <x:c r="D8" s="18" t="n">
        <x:v>0</x:v>
      </x:c>
      <x:c r="E8" s="18" t="n">
        <x:v>4400000</x:v>
      </x:c>
      <x:c r="F8" s="18" t="n">
        <x:v>0</x:v>
      </x:c>
      <x:c r="G8" s="18" t="n">
        <x:v>0</x:v>
      </x:c>
      <x:c r="H8" s="18" t="n">
        <x:v>750000</x:v>
      </x:c>
      <x:c r="I8" s="18" t="n">
        <x:v>0</x:v>
      </x:c>
      <x:c r="J8" s="18" t="n">
        <x:v>15000000</x:v>
      </x:c>
    </x:row>
    <x:row r="9">
      <x:c r="A9" s="18" t="n">
        <x:v>8</x:v>
      </x:c>
      <x:c r="B9" s="17" t="str">
        <x:v>2026-08-21</x:v>
      </x:c>
      <x:c r="C9" s="18" t="n">
        <x:v>6200000</x:v>
      </x:c>
      <x:c r="D9" s="18" t="n">
        <x:v>0</x:v>
      </x:c>
      <x:c r="E9" s="18" t="n">
        <x:v>4800000</x:v>
      </x:c>
      <x:c r="F9" s="18" t="n">
        <x:v>2910000</x:v>
      </x:c>
      <x:c r="G9" s="18" t="n">
        <x:v>546327.08</x:v>
      </x:c>
      <x:c r="H9" s="18" t="n">
        <x:v>425000</x:v>
      </x:c>
      <x:c r="I9" s="18" t="n">
        <x:v>0</x:v>
      </x:c>
      <x:c r="J9" s="18" t="n">
        <x:v>15000000</x:v>
      </x:c>
    </x:row>
    <x:row r="10">
      <x:c r="A10" s="18" t="n">
        <x:v>9</x:v>
      </x:c>
      <x:c r="B10" s="17" t="str">
        <x:v>2026-08-28</x:v>
      </x:c>
      <x:c r="C10" s="18" t="n">
        <x:v>5500000</x:v>
      </x:c>
      <x:c r="D10" s="18" t="n">
        <x:v>0</x:v>
      </x:c>
      <x:c r="E10" s="18" t="n">
        <x:v>4300000</x:v>
      </x:c>
      <x:c r="F10" s="18" t="n">
        <x:v>0</x:v>
      </x:c>
      <x:c r="G10" s="18" t="n">
        <x:v>0</x:v>
      </x:c>
      <x:c r="H10" s="18" t="n">
        <x:v>1200000</x:v>
      </x:c>
      <x:c r="I10" s="18" t="n">
        <x:v>0</x:v>
      </x:c>
      <x:c r="J10" s="18" t="n">
        <x:v>15000000</x:v>
      </x:c>
    </x:row>
    <x:row r="11">
      <x:c r="A11" s="18" t="n">
        <x:v>10</x:v>
      </x:c>
      <x:c r="B11" s="17" t="str">
        <x:v>2026-09-04</x:v>
      </x:c>
      <x:c r="C11" s="18" t="n">
        <x:v>6100000</x:v>
      </x:c>
      <x:c r="D11" s="18" t="n">
        <x:v>0</x:v>
      </x:c>
      <x:c r="E11" s="18" t="n">
        <x:v>4600000</x:v>
      </x:c>
      <x:c r="F11" s="18" t="n">
        <x:v>2865000</x:v>
      </x:c>
      <x:c r="G11" s="18" t="n">
        <x:v>0</x:v>
      </x:c>
      <x:c r="H11" s="18" t="n">
        <x:v>375000</x:v>
      </x:c>
      <x:c r="I11" s="18" t="n">
        <x:v>0</x:v>
      </x:c>
      <x:c r="J11" s="18" t="n">
        <x:v>15000000</x:v>
      </x:c>
    </x:row>
    <x:row r="12">
      <x:c r="A12" s="18" t="n">
        <x:v>11</x:v>
      </x:c>
      <x:c r="B12" s="17" t="str">
        <x:v>2026-09-11</x:v>
      </x:c>
      <x:c r="C12" s="18" t="n">
        <x:v>5900000</x:v>
      </x:c>
      <x:c r="D12" s="18" t="n">
        <x:v>0</x:v>
      </x:c>
      <x:c r="E12" s="18" t="n">
        <x:v>4500000</x:v>
      </x:c>
      <x:c r="F12" s="18" t="n">
        <x:v>0</x:v>
      </x:c>
      <x:c r="G12" s="18" t="n">
        <x:v>0</x:v>
      </x:c>
      <x:c r="H12" s="18" t="n">
        <x:v>625000</x:v>
      </x:c>
      <x:c r="I12" s="18" t="n">
        <x:v>0</x:v>
      </x:c>
      <x:c r="J12" s="18" t="n">
        <x:v>15000000</x:v>
      </x:c>
    </x:row>
    <x:row r="13">
      <x:c r="A13" s="18" t="n">
        <x:v>12</x:v>
      </x:c>
      <x:c r="B13" s="17" t="str">
        <x:v>2026-09-18</x:v>
      </x:c>
      <x:c r="C13" s="18" t="n">
        <x:v>6400000</x:v>
      </x:c>
      <x:c r="D13" s="18" t="n">
        <x:v>0</x:v>
      </x:c>
      <x:c r="E13" s="18" t="n">
        <x:v>4900000</x:v>
      </x:c>
      <x:c r="F13" s="18" t="n">
        <x:v>2940000</x:v>
      </x:c>
      <x:c r="G13" s="18" t="n">
        <x:v>546327.08</x:v>
      </x:c>
      <x:c r="H13" s="18" t="n">
        <x:v>850000</x:v>
      </x:c>
      <x:c r="I13" s="18" t="n">
        <x:v>0</x:v>
      </x:c>
      <x:c r="J13" s="18" t="n">
        <x:v>15000000</x:v>
      </x:c>
    </x:row>
    <x:row r="14">
      <x:c r="A14" s="18" t="n">
        <x:v>13</x:v>
      </x:c>
      <x:c r="B14" s="17" t="str">
        <x:v>2026-09-25</x:v>
      </x:c>
      <x:c r="C14" s="18" t="n">
        <x:v>5700000</x:v>
      </x:c>
      <x:c r="D14" s="18" t="n">
        <x:v>0</x:v>
      </x:c>
      <x:c r="E14" s="18" t="n">
        <x:v>4400000</x:v>
      </x:c>
      <x:c r="F14" s="18" t="n">
        <x:v>0</x:v>
      </x:c>
      <x:c r="G14" s="18" t="n">
        <x:v>0</x:v>
      </x:c>
      <x:c r="H14" s="18" t="n">
        <x:v>825000</x:v>
      </x:c>
      <x:c r="I14" s="18" t="n">
        <x:v>0</x:v>
      </x:c>
      <x:c r="J14" s="18" t="n">
        <x:v>15000000</x:v>
      </x:c>
    </x:row>
  </x:sheetData>
  <x:pageMargins left="0.7" right="0.7" top="0.75" bottom="0.75" header="0.3" footer="0.3"/>
</x:worksheet>
</file>