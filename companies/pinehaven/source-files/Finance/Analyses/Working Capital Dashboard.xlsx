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Controls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2703D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Working Capital Dashboard</x:v>
      </x:c>
      <x:c r="B1" s="3" t="str">
        <x:v>Working Capital Dashboard</x:v>
      </x:c>
      <x:c r="C1" s="3" t="str">
        <x:v>Working Capital Dashboard</x:v>
      </x:c>
      <x:c r="D1" s="3" t="str">
        <x:v>Working Capital Dashboard</x:v>
      </x:c>
    </x:row>
    <x:row r="2">
      <x:c r="A2" s="6" t="str">
        <x:v>PINEHAVEN MOTION SYSTEMS  •  FINANCE ANALYTICS</x:v>
      </x:c>
      <x:c r="B2" s="6" t="str">
        <x:v>PINEHAVEN MOTION SYSTEMS  •  FINANCE ANALYTICS</x:v>
      </x:c>
      <x:c r="C2" s="6" t="str">
        <x:v>PINEHAVEN MOTION SYSTEMS  •  FINANCE ANALYTICS</x:v>
      </x:c>
      <x:c r="D2" s="6" t="str">
        <x:v>PINEHAVEN MOTION SYSTEMS  •  FINANCE ANALYTICS</x:v>
      </x:c>
    </x:row>
    <x:row r="3">
      <x:c r="A3" s="9" t="str">
        <x:v>Period / As of</x:v>
      </x:c>
      <x:c r="B3" s="10" t="str">
        <x:v>2026-06-30</x:v>
      </x:c>
      <x:c r="C3" s="10"/>
      <x:c r="D3" s="10"/>
    </x:row>
    <x:row r="4">
      <x:c r="A4" s="9" t="str">
        <x:v>Prepared by</x:v>
      </x:c>
      <x:c r="B4" s="10" t="str">
        <x:v>FP&amp;A Director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Finance leadership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Controls</x:v>
      </x:c>
      <x:c r="B11" s="23" t="n">
        <x:v>3</x:v>
      </x:c>
      <x:c r="C11" s="23" t="n">
        <x:f>MAX(0,COUNTA('Controls'!A2:A4))</x:f>
        <x:v>3</x:v>
      </x:c>
      <x:c r="D11" s="22" t="str">
        <x:f>IF(B11=C11,"OK","CHECK")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</x:cols>
  <x:sheetData>
    <x:row r="1">
      <x:c r="A1" s="15" t="str">
        <x:v>metric</x:v>
      </x:c>
      <x:c r="B1" s="15" t="str">
        <x:v>value</x:v>
      </x:c>
    </x:row>
    <x:row r="2">
      <x:c r="A2" s="17" t="str">
        <x:v>Accounts Receivable</x:v>
      </x:c>
      <x:c r="B2" s="18" t="n">
        <x:v>13846917.33</x:v>
      </x:c>
    </x:row>
    <x:row r="3">
      <x:c r="A3" s="17" t="str">
        <x:v>Inventory</x:v>
      </x:c>
      <x:c r="B3" s="18" t="n">
        <x:v>123556476.76</x:v>
      </x:c>
    </x:row>
    <x:row r="4">
      <x:c r="A4" s="17" t="str">
        <x:v>Accounts Payable</x:v>
      </x:c>
      <x:c r="B4" s="18" t="n">
        <x:v>6376653.93</x:v>
      </x:c>
    </x:row>
  </x:sheetData>
  <x:pageMargins left="0.7" right="0.7" top="0.75" bottom="0.75" header="0.3" footer="0.3"/>
</x:worksheet>
</file>