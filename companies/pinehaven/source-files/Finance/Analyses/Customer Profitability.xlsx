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Customers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703D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Customer Profitability</x:v>
      </x:c>
      <x:c r="B1" s="3" t="str">
        <x:v>Customer Profitability</x:v>
      </x:c>
      <x:c r="C1" s="3" t="str">
        <x:v>Customer Profitability</x:v>
      </x:c>
      <x:c r="D1" s="3" t="str">
        <x:v>Customer Profitability</x:v>
      </x:c>
    </x:row>
    <x:row r="2">
      <x:c r="A2" s="6" t="str">
        <x:v>PINEHAVEN MOTION SYSTEMS  •  FINANCE ANALYTICS</x:v>
      </x:c>
      <x:c r="B2" s="6" t="str">
        <x:v>PINEHAVEN MOTION SYSTEMS  •  FINANCE ANALYTICS</x:v>
      </x:c>
      <x:c r="C2" s="6" t="str">
        <x:v>PINEHAVEN MOTION SYSTEMS  •  FINANCE ANALYTICS</x:v>
      </x:c>
      <x:c r="D2" s="6" t="str">
        <x:v>PINEHAVEN MOTION SYSTEMS  •  FINANCE ANALYTICS</x:v>
      </x:c>
    </x:row>
    <x:row r="3">
      <x:c r="A3" s="9" t="str">
        <x:v>Period / As of</x:v>
      </x:c>
      <x:c r="B3" s="10" t="str">
        <x:v>YTD through 2026-06-30</x:v>
      </x:c>
      <x:c r="C3" s="10"/>
      <x:c r="D3" s="10"/>
    </x:row>
    <x:row r="4">
      <x:c r="A4" s="9" t="str">
        <x:v>Prepared by</x:v>
      </x:c>
      <x:c r="B4" s="10" t="str">
        <x:v>Commercial Finance Director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Finance leadership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Customers</x:v>
      </x:c>
      <x:c r="B11" s="23" t="n">
        <x:v>240</x:v>
      </x:c>
      <x:c r="C11" s="23" t="n">
        <x:f>MAX(0,COUNTA('Customers'!A2:A241))</x:f>
        <x:v>240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3" hidden="0" customWidth="1"/>
    <x:col min="3" max="3" width="27" hidden="0" customWidth="1"/>
    <x:col min="4" max="4" width="11" hidden="0" customWidth="1"/>
    <x:col min="5" max="5" width="10" hidden="0" customWidth="1"/>
    <x:col min="6" max="6" width="12" hidden="0" customWidth="1"/>
    <x:col min="7" max="7" width="15" hidden="0" customWidth="1"/>
    <x:col min="8" max="8" width="14" hidden="0" customWidth="1"/>
    <x:col min="9" max="9" width="14" hidden="0" customWidth="1"/>
  </x:cols>
  <x:sheetData>
    <x:row r="1">
      <x:c r="A1" s="15" t="str">
        <x:v>customer_id</x:v>
      </x:c>
      <x:c r="B1" s="15" t="str">
        <x:v>name</x:v>
      </x:c>
      <x:c r="C1" s="15" t="str">
        <x:v>end_market</x:v>
      </x:c>
      <x:c r="D1" s="15" t="str">
        <x:v>region</x:v>
      </x:c>
      <x:c r="E1" s="15" t="str">
        <x:v>units</x:v>
      </x:c>
      <x:c r="F1" s="15" t="str">
        <x:v>revenue</x:v>
      </x:c>
      <x:c r="G1" s="15" t="str">
        <x:v>standard_cost</x:v>
      </x:c>
      <x:c r="H1" s="15" t="str">
        <x:v>gross_profit</x:v>
      </x:c>
      <x:c r="I1" s="15" t="str">
        <x:v>gross_margin</x:v>
      </x:c>
    </x:row>
    <x:row r="2">
      <x:c r="A2" s="17" t="str">
        <x:v>CUST-0182</x:v>
      </x:c>
      <x:c r="B2" s="17" t="str">
        <x:v>Monarch Engineering</x:v>
      </x:c>
      <x:c r="C2" s="17" t="str">
        <x:v>Food &amp; Beverage Equipment</x:v>
      </x:c>
      <x:c r="D2" s="17" t="str">
        <x:v>West</x:v>
      </x:c>
      <x:c r="E2" s="18" t="n">
        <x:v>248</x:v>
      </x:c>
      <x:c r="F2" s="18" t="n">
        <x:v>1230492.75</x:v>
      </x:c>
      <x:c r="G2" s="18" t="n">
        <x:v>854058.27</x:v>
      </x:c>
      <x:c r="H2" s="18" t="n">
        <x:v>376434.48</x:v>
      </x:c>
      <x:c r="I2" s="18" t="n">
        <x:v>0.305922</x:v>
      </x:c>
    </x:row>
    <x:row r="3">
      <x:c r="A3" s="17" t="str">
        <x:v>CUST-0029</x:v>
      </x:c>
      <x:c r="B3" s="17" t="str">
        <x:v>Riverton Automation</x:v>
      </x:c>
      <x:c r="C3" s="17" t="str">
        <x:v>General Industrial</x:v>
      </x:c>
      <x:c r="D3" s="17" t="str">
        <x:v>Northeast</x:v>
      </x:c>
      <x:c r="E3" s="18" t="n">
        <x:v>315</x:v>
      </x:c>
      <x:c r="F3" s="18" t="n">
        <x:v>1167547.65</x:v>
      </x:c>
      <x:c r="G3" s="18" t="n">
        <x:v>783223.9</x:v>
      </x:c>
      <x:c r="H3" s="18" t="n">
        <x:v>384323.75</x:v>
      </x:c>
      <x:c r="I3" s="18" t="n">
        <x:v>0.329172</x:v>
      </x:c>
    </x:row>
    <x:row r="4">
      <x:c r="A4" s="17" t="str">
        <x:v>CUST-0211</x:v>
      </x:c>
      <x:c r="B4" s="17" t="str">
        <x:v>Fairmont Process Solutions</x:v>
      </x:c>
      <x:c r="C4" s="17" t="str">
        <x:v>Logistics Automation</x:v>
      </x:c>
      <x:c r="D4" s="17" t="str">
        <x:v>Canada</x:v>
      </x:c>
      <x:c r="E4" s="18" t="n">
        <x:v>342</x:v>
      </x:c>
      <x:c r="F4" s="18" t="n">
        <x:v>1147044.17</x:v>
      </x:c>
      <x:c r="G4" s="18" t="n">
        <x:v>770958.03</x:v>
      </x:c>
      <x:c r="H4" s="18" t="n">
        <x:v>376086.14</x:v>
      </x:c>
      <x:c r="I4" s="18" t="n">
        <x:v>0.327874</x:v>
      </x:c>
    </x:row>
    <x:row r="5">
      <x:c r="A5" s="17" t="str">
        <x:v>CUST-0181</x:v>
      </x:c>
      <x:c r="B5" s="17" t="str">
        <x:v>Meridian Engineering</x:v>
      </x:c>
      <x:c r="C5" s="17" t="str">
        <x:v>Logistics Automation</x:v>
      </x:c>
      <x:c r="D5" s="17" t="str">
        <x:v>Canada</x:v>
      </x:c>
      <x:c r="E5" s="18" t="n">
        <x:v>312</x:v>
      </x:c>
      <x:c r="F5" s="18" t="n">
        <x:v>1112191.26</x:v>
      </x:c>
      <x:c r="G5" s="18" t="n">
        <x:v>735963.29</x:v>
      </x:c>
      <x:c r="H5" s="18" t="n">
        <x:v>376227.97</x:v>
      </x:c>
      <x:c r="I5" s="18" t="n">
        <x:v>0.338276</x:v>
      </x:c>
    </x:row>
    <x:row r="6">
      <x:c r="A6" s="17" t="str">
        <x:v>CUST-0194</x:v>
      </x:c>
      <x:c r="B6" s="17" t="str">
        <x:v>Triad Engineering</x:v>
      </x:c>
      <x:c r="C6" s="17" t="str">
        <x:v>Food &amp; Beverage Equipment</x:v>
      </x:c>
      <x:c r="D6" s="17" t="str">
        <x:v>West</x:v>
      </x:c>
      <x:c r="E6" s="18" t="n">
        <x:v>309</x:v>
      </x:c>
      <x:c r="F6" s="18" t="n">
        <x:v>1103651.22</x:v>
      </x:c>
      <x:c r="G6" s="18" t="n">
        <x:v>738243.4</x:v>
      </x:c>
      <x:c r="H6" s="18" t="n">
        <x:v>365407.82</x:v>
      </x:c>
      <x:c r="I6" s="18" t="n">
        <x:v>0.33109</x:v>
      </x:c>
    </x:row>
    <x:row r="7">
      <x:c r="A7" s="17" t="str">
        <x:v>CUST-0124</x:v>
      </x:c>
      <x:c r="B7" s="17" t="str">
        <x:v>Bluewater Industries</x:v>
      </x:c>
      <x:c r="C7" s="17" t="str">
        <x:v>Forest Products</x:v>
      </x:c>
      <x:c r="D7" s="17" t="str">
        <x:v>Southeast</x:v>
      </x:c>
      <x:c r="E7" s="18" t="n">
        <x:v>312</x:v>
      </x:c>
      <x:c r="F7" s="18" t="n">
        <x:v>1070612.81</x:v>
      </x:c>
      <x:c r="G7" s="18" t="n">
        <x:v>715435.44</x:v>
      </x:c>
      <x:c r="H7" s="18" t="n">
        <x:v>355177.37</x:v>
      </x:c>
      <x:c r="I7" s="18" t="n">
        <x:v>0.331751</x:v>
      </x:c>
    </x:row>
    <x:row r="8">
      <x:c r="A8" s="17" t="str">
        <x:v>CUST-0212</x:v>
      </x:c>
      <x:c r="B8" s="17" t="str">
        <x:v>Frontier Process Solutions</x:v>
      </x:c>
      <x:c r="C8" s="17" t="str">
        <x:v>Food &amp; Beverage Equipment</x:v>
      </x:c>
      <x:c r="D8" s="17" t="str">
        <x:v>West</x:v>
      </x:c>
      <x:c r="E8" s="18" t="n">
        <x:v>289</x:v>
      </x:c>
      <x:c r="F8" s="18" t="n">
        <x:v>1015217.46</x:v>
      </x:c>
      <x:c r="G8" s="18" t="n">
        <x:v>706600.41</x:v>
      </x:c>
      <x:c r="H8" s="18" t="n">
        <x:v>308617.05</x:v>
      </x:c>
      <x:c r="I8" s="18" t="n">
        <x:v>0.303991</x:v>
      </x:c>
    </x:row>
    <x:row r="9">
      <x:c r="A9" s="17" t="str">
        <x:v>CUST-0130</x:v>
      </x:c>
      <x:c r="B9" s="17" t="str">
        <x:v>Evergreen Industries</x:v>
      </x:c>
      <x:c r="C9" s="17" t="str">
        <x:v>Forest Products</x:v>
      </x:c>
      <x:c r="D9" s="17" t="str">
        <x:v>Southeast</x:v>
      </x:c>
      <x:c r="E9" s="18" t="n">
        <x:v>276</x:v>
      </x:c>
      <x:c r="F9" s="18" t="n">
        <x:v>1006466.6</x:v>
      </x:c>
      <x:c r="G9" s="18" t="n">
        <x:v>688040.13</x:v>
      </x:c>
      <x:c r="H9" s="18" t="n">
        <x:v>318426.47</x:v>
      </x:c>
      <x:c r="I9" s="18" t="n">
        <x:v>0.316381</x:v>
      </x:c>
    </x:row>
    <x:row r="10">
      <x:c r="A10" s="17" t="str">
        <x:v>CUST-0073</x:v>
      </x:c>
      <x:c r="B10" s="17" t="str">
        <x:v>Timberline Systems</x:v>
      </x:c>
      <x:c r="C10" s="17" t="str">
        <x:v>Logistics Automation</x:v>
      </x:c>
      <x:c r="D10" s="17" t="str">
        <x:v>Canada</x:v>
      </x:c>
      <x:c r="E10" s="18" t="n">
        <x:v>342</x:v>
      </x:c>
      <x:c r="F10" s="18" t="n">
        <x:v>1005038.15</x:v>
      </x:c>
      <x:c r="G10" s="18" t="n">
        <x:v>704599.51</x:v>
      </x:c>
      <x:c r="H10" s="18" t="n">
        <x:v>300438.64</x:v>
      </x:c>
      <x:c r="I10" s="18" t="n">
        <x:v>0.298933</x:v>
      </x:c>
    </x:row>
    <x:row r="11">
      <x:c r="A11" s="17" t="str">
        <x:v>CUST-0003</x:v>
      </x:c>
      <x:c r="B11" s="17" t="str">
        <x:v>Beacon Automation</x:v>
      </x:c>
      <x:c r="C11" s="17" t="str">
        <x:v>Water &amp; Wastewater</x:v>
      </x:c>
      <x:c r="D11" s="17" t="str">
        <x:v>Southwest</x:v>
      </x:c>
      <x:c r="E11" s="18" t="n">
        <x:v>386</x:v>
      </x:c>
      <x:c r="F11" s="18" t="n">
        <x:v>1002915.63</x:v>
      </x:c>
      <x:c r="G11" s="18" t="n">
        <x:v>714538.15</x:v>
      </x:c>
      <x:c r="H11" s="18" t="n">
        <x:v>288377.48</x:v>
      </x:c>
      <x:c r="I11" s="18" t="n">
        <x:v>0.287539</x:v>
      </x:c>
    </x:row>
    <x:row r="12">
      <x:c r="A12" s="17" t="str">
        <x:v>CUST-0063</x:v>
      </x:c>
      <x:c r="B12" s="17" t="str">
        <x:v>Northline Systems</x:v>
      </x:c>
      <x:c r="C12" s="17" t="str">
        <x:v>Water &amp; Wastewater</x:v>
      </x:c>
      <x:c r="D12" s="17" t="str">
        <x:v>Southwest</x:v>
      </x:c>
      <x:c r="E12" s="18" t="n">
        <x:v>329</x:v>
      </x:c>
      <x:c r="F12" s="18" t="n">
        <x:v>987384.62</x:v>
      </x:c>
      <x:c r="G12" s="18" t="n">
        <x:v>699348.02</x:v>
      </x:c>
      <x:c r="H12" s="18" t="n">
        <x:v>288036.6</x:v>
      </x:c>
      <x:c r="I12" s="18" t="n">
        <x:v>0.291717</x:v>
      </x:c>
    </x:row>
    <x:row r="13">
      <x:c r="A13" s="17" t="str">
        <x:v>CUST-0150</x:v>
      </x:c>
      <x:c r="B13" s="17" t="str">
        <x:v>Rockford Industries</x:v>
      </x:c>
      <x:c r="C13" s="17" t="str">
        <x:v>Packaging Automation</x:v>
      </x:c>
      <x:c r="D13" s="17" t="str">
        <x:v>Midwest</x:v>
      </x:c>
      <x:c r="E13" s="18" t="n">
        <x:v>276</x:v>
      </x:c>
      <x:c r="F13" s="18" t="n">
        <x:v>978935.47</x:v>
      </x:c>
      <x:c r="G13" s="18" t="n">
        <x:v>671572.65</x:v>
      </x:c>
      <x:c r="H13" s="18" t="n">
        <x:v>307362.82</x:v>
      </x:c>
      <x:c r="I13" s="18" t="n">
        <x:v>0.313977</x:v>
      </x:c>
    </x:row>
    <x:row r="14">
      <x:c r="A14" s="17" t="str">
        <x:v>CUST-0216</x:v>
      </x:c>
      <x:c r="B14" s="17" t="str">
        <x:v>Ironwood Process Solutions</x:v>
      </x:c>
      <x:c r="C14" s="17" t="str">
        <x:v>Packaging Automation</x:v>
      </x:c>
      <x:c r="D14" s="17" t="str">
        <x:v>Midwest</x:v>
      </x:c>
      <x:c r="E14" s="18" t="n">
        <x:v>326</x:v>
      </x:c>
      <x:c r="F14" s="18" t="n">
        <x:v>974634.09</x:v>
      </x:c>
      <x:c r="G14" s="18" t="n">
        <x:v>654738.64</x:v>
      </x:c>
      <x:c r="H14" s="18" t="n">
        <x:v>319895.45</x:v>
      </x:c>
      <x:c r="I14" s="18" t="n">
        <x:v>0.328221</x:v>
      </x:c>
    </x:row>
    <x:row r="15">
      <x:c r="A15" s="17" t="str">
        <x:v>CUST-0085</x:v>
      </x:c>
      <x:c r="B15" s="17" t="str">
        <x:v>Bridgepoint Equipment</x:v>
      </x:c>
      <x:c r="C15" s="17" t="str">
        <x:v>Logistics Automation</x:v>
      </x:c>
      <x:c r="D15" s="17" t="str">
        <x:v>Canada</x:v>
      </x:c>
      <x:c r="E15" s="18" t="n">
        <x:v>333</x:v>
      </x:c>
      <x:c r="F15" s="18" t="n">
        <x:v>972124.7</x:v>
      </x:c>
      <x:c r="G15" s="18" t="n">
        <x:v>666564.83</x:v>
      </x:c>
      <x:c r="H15" s="18" t="n">
        <x:v>305559.87</x:v>
      </x:c>
      <x:c r="I15" s="18" t="n">
        <x:v>0.314322</x:v>
      </x:c>
    </x:row>
    <x:row r="16">
      <x:c r="A16" s="17" t="str">
        <x:v>CUST-0009</x:v>
      </x:c>
      <x:c r="B16" s="17" t="str">
        <x:v>Eastgate Automation</x:v>
      </x:c>
      <x:c r="C16" s="17" t="str">
        <x:v>Water &amp; Wastewater</x:v>
      </x:c>
      <x:c r="D16" s="17" t="str">
        <x:v>Southwest</x:v>
      </x:c>
      <x:c r="E16" s="18" t="n">
        <x:v>351</x:v>
      </x:c>
      <x:c r="F16" s="18" t="n">
        <x:v>954850.64</x:v>
      </x:c>
      <x:c r="G16" s="18" t="n">
        <x:v>640758.62</x:v>
      </x:c>
      <x:c r="H16" s="18" t="n">
        <x:v>314092.02</x:v>
      </x:c>
      <x:c r="I16" s="18" t="n">
        <x:v>0.328944</x:v>
      </x:c>
    </x:row>
    <x:row r="17">
      <x:c r="A17" s="17" t="str">
        <x:v>CUST-0125</x:v>
      </x:c>
      <x:c r="B17" s="17" t="str">
        <x:v>Bridgepoint Industries</x:v>
      </x:c>
      <x:c r="C17" s="17" t="str">
        <x:v>General Industrial</x:v>
      </x:c>
      <x:c r="D17" s="17" t="str">
        <x:v>Northeast</x:v>
      </x:c>
      <x:c r="E17" s="18" t="n">
        <x:v>309</x:v>
      </x:c>
      <x:c r="F17" s="18" t="n">
        <x:v>953822.89</x:v>
      </x:c>
      <x:c r="G17" s="18" t="n">
        <x:v>673604.05</x:v>
      </x:c>
      <x:c r="H17" s="18" t="n">
        <x:v>280218.84</x:v>
      </x:c>
      <x:c r="I17" s="18" t="n">
        <x:v>0.293785</x:v>
      </x:c>
    </x:row>
    <x:row r="18">
      <x:c r="A18" s="17" t="str">
        <x:v>CUST-0137</x:v>
      </x:c>
      <x:c r="B18" s="17" t="str">
        <x:v>Juniper Industries</x:v>
      </x:c>
      <x:c r="C18" s="17" t="str">
        <x:v>General Industrial</x:v>
      </x:c>
      <x:c r="D18" s="17" t="str">
        <x:v>Northeast</x:v>
      </x:c>
      <x:c r="E18" s="18" t="n">
        <x:v>295</x:v>
      </x:c>
      <x:c r="F18" s="18" t="n">
        <x:v>947563.09</x:v>
      </x:c>
      <x:c r="G18" s="18" t="n">
        <x:v>643515.62</x:v>
      </x:c>
      <x:c r="H18" s="18" t="n">
        <x:v>304047.47</x:v>
      </x:c>
      <x:c r="I18" s="18" t="n">
        <x:v>0.320873</x:v>
      </x:c>
    </x:row>
    <x:row r="19">
      <x:c r="A19" s="17" t="str">
        <x:v>CUST-0229</x:v>
      </x:c>
      <x:c r="B19" s="17" t="str">
        <x:v>Riverton Process Solutions</x:v>
      </x:c>
      <x:c r="C19" s="17" t="str">
        <x:v>Logistics Automation</x:v>
      </x:c>
      <x:c r="D19" s="17" t="str">
        <x:v>Canada</x:v>
      </x:c>
      <x:c r="E19" s="18" t="n">
        <x:v>331</x:v>
      </x:c>
      <x:c r="F19" s="18" t="n">
        <x:v>936555.61</x:v>
      </x:c>
      <x:c r="G19" s="18" t="n">
        <x:v>613846.1</x:v>
      </x:c>
      <x:c r="H19" s="18" t="n">
        <x:v>322709.51</x:v>
      </x:c>
      <x:c r="I19" s="18" t="n">
        <x:v>0.344571</x:v>
      </x:c>
    </x:row>
    <x:row r="20">
      <x:c r="A20" s="17" t="str">
        <x:v>CUST-0115</x:v>
      </x:c>
      <x:c r="B20" s="17" t="str">
        <x:v>Valley Forge Equipment</x:v>
      </x:c>
      <x:c r="C20" s="17" t="str">
        <x:v>Logistics Automation</x:v>
      </x:c>
      <x:c r="D20" s="17" t="str">
        <x:v>Canada</x:v>
      </x:c>
      <x:c r="E20" s="18" t="n">
        <x:v>278</x:v>
      </x:c>
      <x:c r="F20" s="18" t="n">
        <x:v>905594.13</x:v>
      </x:c>
      <x:c r="G20" s="18" t="n">
        <x:v>627722.77</x:v>
      </x:c>
      <x:c r="H20" s="18" t="n">
        <x:v>277871.36</x:v>
      </x:c>
      <x:c r="I20" s="18" t="n">
        <x:v>0.306839</x:v>
      </x:c>
    </x:row>
    <x:row r="21">
      <x:c r="A21" s="17" t="str">
        <x:v>CUST-0089</x:v>
      </x:c>
      <x:c r="B21" s="17" t="str">
        <x:v>Eastgate Equipment</x:v>
      </x:c>
      <x:c r="C21" s="17" t="str">
        <x:v>General Industrial</x:v>
      </x:c>
      <x:c r="D21" s="17" t="str">
        <x:v>Northeast</x:v>
      </x:c>
      <x:c r="E21" s="18" t="n">
        <x:v>289</x:v>
      </x:c>
      <x:c r="F21" s="18" t="n">
        <x:v>876281.26</x:v>
      </x:c>
      <x:c r="G21" s="18" t="n">
        <x:v>576513.14</x:v>
      </x:c>
      <x:c r="H21" s="18" t="n">
        <x:v>299768.12</x:v>
      </x:c>
      <x:c r="I21" s="18" t="n">
        <x:v>0.342091</x:v>
      </x:c>
    </x:row>
    <x:row r="22">
      <x:c r="A22" s="17" t="str">
        <x:v>CUST-0226</x:v>
      </x:c>
      <x:c r="B22" s="17" t="str">
        <x:v>Pioneer Process Solutions</x:v>
      </x:c>
      <x:c r="C22" s="17" t="str">
        <x:v>Forest Products</x:v>
      </x:c>
      <x:c r="D22" s="17" t="str">
        <x:v>Southeast</x:v>
      </x:c>
      <x:c r="E22" s="18" t="n">
        <x:v>284</x:v>
      </x:c>
      <x:c r="F22" s="18" t="n">
        <x:v>874225.96</x:v>
      </x:c>
      <x:c r="G22" s="18" t="n">
        <x:v>585408.7</x:v>
      </x:c>
      <x:c r="H22" s="18" t="n">
        <x:v>288817.26</x:v>
      </x:c>
      <x:c r="I22" s="18" t="n">
        <x:v>0.330369</x:v>
      </x:c>
    </x:row>
    <x:row r="23">
      <x:c r="A23" s="17" t="str">
        <x:v>CUST-0196</x:v>
      </x:c>
      <x:c r="B23" s="17" t="str">
        <x:v>Vector Engineering</x:v>
      </x:c>
      <x:c r="C23" s="17" t="str">
        <x:v>Forest Products</x:v>
      </x:c>
      <x:c r="D23" s="17" t="str">
        <x:v>Southeast</x:v>
      </x:c>
      <x:c r="E23" s="18" t="n">
        <x:v>298</x:v>
      </x:c>
      <x:c r="F23" s="18" t="n">
        <x:v>872389.98</x:v>
      </x:c>
      <x:c r="G23" s="18" t="n">
        <x:v>590068.51</x:v>
      </x:c>
      <x:c r="H23" s="18" t="n">
        <x:v>282321.47</x:v>
      </x:c>
      <x:c r="I23" s="18" t="n">
        <x:v>0.323618</x:v>
      </x:c>
    </x:row>
    <x:row r="24">
      <x:c r="A24" s="17" t="str">
        <x:v>CUST-0006</x:v>
      </x:c>
      <x:c r="B24" s="17" t="str">
        <x:v>Clearwater Automation</x:v>
      </x:c>
      <x:c r="C24" s="17" t="str">
        <x:v>Packaging Automation</x:v>
      </x:c>
      <x:c r="D24" s="17" t="str">
        <x:v>Midwest</x:v>
      </x:c>
      <x:c r="E24" s="18" t="n">
        <x:v>329</x:v>
      </x:c>
      <x:c r="F24" s="18" t="n">
        <x:v>870326.93</x:v>
      </x:c>
      <x:c r="G24" s="18" t="n">
        <x:v>589177.9</x:v>
      </x:c>
      <x:c r="H24" s="18" t="n">
        <x:v>281149.03</x:v>
      </x:c>
      <x:c r="I24" s="18" t="n">
        <x:v>0.323038</x:v>
      </x:c>
    </x:row>
    <x:row r="25">
      <x:c r="A25" s="17" t="str">
        <x:v>CUST-0172</x:v>
      </x:c>
      <x:c r="B25" s="17" t="str">
        <x:v>Frontier Engineering</x:v>
      </x:c>
      <x:c r="C25" s="17" t="str">
        <x:v>Forest Products</x:v>
      </x:c>
      <x:c r="D25" s="17" t="str">
        <x:v>Southeast</x:v>
      </x:c>
      <x:c r="E25" s="18" t="n">
        <x:v>331</x:v>
      </x:c>
      <x:c r="F25" s="18" t="n">
        <x:v>866353.43</x:v>
      </x:c>
      <x:c r="G25" s="18" t="n">
        <x:v>593672.35</x:v>
      </x:c>
      <x:c r="H25" s="18" t="n">
        <x:v>272681.08</x:v>
      </x:c>
      <x:c r="I25" s="18" t="n">
        <x:v>0.314746</x:v>
      </x:c>
    </x:row>
    <x:row r="26">
      <x:c r="A26" s="17" t="str">
        <x:v>CUST-0028</x:v>
      </x:c>
      <x:c r="B26" s="17" t="str">
        <x:v>Redwood Automation</x:v>
      </x:c>
      <x:c r="C26" s="17" t="str">
        <x:v>Forest Products</x:v>
      </x:c>
      <x:c r="D26" s="17" t="str">
        <x:v>Southeast</x:v>
      </x:c>
      <x:c r="E26" s="18" t="n">
        <x:v>241</x:v>
      </x:c>
      <x:c r="F26" s="18" t="n">
        <x:v>852444.62</x:v>
      </x:c>
      <x:c r="G26" s="18" t="n">
        <x:v>590925.06</x:v>
      </x:c>
      <x:c r="H26" s="18" t="n">
        <x:v>261519.56</x:v>
      </x:c>
      <x:c r="I26" s="18" t="n">
        <x:v>0.306788</x:v>
      </x:c>
    </x:row>
    <x:row r="27">
      <x:c r="A27" s="17" t="str">
        <x:v>CUST-0107</x:v>
      </x:c>
      <x:c r="B27" s="17" t="str">
        <x:v>Prairie State Equipment</x:v>
      </x:c>
      <x:c r="C27" s="17" t="str">
        <x:v>General Industrial</x:v>
      </x:c>
      <x:c r="D27" s="17" t="str">
        <x:v>Northeast</x:v>
      </x:c>
      <x:c r="E27" s="18" t="n">
        <x:v>305</x:v>
      </x:c>
      <x:c r="F27" s="18" t="n">
        <x:v>849609.07</x:v>
      </x:c>
      <x:c r="G27" s="18" t="n">
        <x:v>570862.7</x:v>
      </x:c>
      <x:c r="H27" s="18" t="n">
        <x:v>278746.37</x:v>
      </x:c>
      <x:c r="I27" s="18" t="n">
        <x:v>0.328088</x:v>
      </x:c>
    </x:row>
    <x:row r="28">
      <x:c r="A28" s="17" t="str">
        <x:v>CUST-0206</x:v>
      </x:c>
      <x:c r="B28" s="17" t="str">
        <x:v>Clearwater Process Solutions</x:v>
      </x:c>
      <x:c r="C28" s="17" t="str">
        <x:v>Food &amp; Beverage Equipment</x:v>
      </x:c>
      <x:c r="D28" s="17" t="str">
        <x:v>West</x:v>
      </x:c>
      <x:c r="E28" s="18" t="n">
        <x:v>325</x:v>
      </x:c>
      <x:c r="F28" s="18" t="n">
        <x:v>848006.93</x:v>
      </x:c>
      <x:c r="G28" s="18" t="n">
        <x:v>590595.73</x:v>
      </x:c>
      <x:c r="H28" s="18" t="n">
        <x:v>257411.2</x:v>
      </x:c>
      <x:c r="I28" s="18" t="n">
        <x:v>0.303548</x:v>
      </x:c>
    </x:row>
    <x:row r="29">
      <x:c r="A29" s="17" t="str">
        <x:v>CUST-0120</x:v>
      </x:c>
      <x:c r="B29" s="17" t="str">
        <x:v>Woodland Equipment</x:v>
      </x:c>
      <x:c r="C29" s="17" t="str">
        <x:v>Packaging Automation</x:v>
      </x:c>
      <x:c r="D29" s="17" t="str">
        <x:v>Midwest</x:v>
      </x:c>
      <x:c r="E29" s="18" t="n">
        <x:v>263</x:v>
      </x:c>
      <x:c r="F29" s="18" t="n">
        <x:v>843903.17</x:v>
      </x:c>
      <x:c r="G29" s="18" t="n">
        <x:v>594154.28</x:v>
      </x:c>
      <x:c r="H29" s="18" t="n">
        <x:v>249748.89</x:v>
      </x:c>
      <x:c r="I29" s="18" t="n">
        <x:v>0.295945</x:v>
      </x:c>
    </x:row>
    <x:row r="30">
      <x:c r="A30" s="17" t="str">
        <x:v>CUST-0057</x:v>
      </x:c>
      <x:c r="B30" s="17" t="str">
        <x:v>Juniper Systems</x:v>
      </x:c>
      <x:c r="C30" s="17" t="str">
        <x:v>Water &amp; Wastewater</x:v>
      </x:c>
      <x:c r="D30" s="17" t="str">
        <x:v>Southwest</x:v>
      </x:c>
      <x:c r="E30" s="18" t="n">
        <x:v>307</x:v>
      </x:c>
      <x:c r="F30" s="18" t="n">
        <x:v>840616.46</x:v>
      </x:c>
      <x:c r="G30" s="18" t="n">
        <x:v>576070.55</x:v>
      </x:c>
      <x:c r="H30" s="18" t="n">
        <x:v>264545.91</x:v>
      </x:c>
      <x:c r="I30" s="18" t="n">
        <x:v>0.314705</x:v>
      </x:c>
    </x:row>
    <x:row r="31">
      <x:c r="A31" s="17" t="str">
        <x:v>CUST-0126</x:v>
      </x:c>
      <x:c r="B31" s="17" t="str">
        <x:v>Clearwater Industries</x:v>
      </x:c>
      <x:c r="C31" s="17" t="str">
        <x:v>Packaging Automation</x:v>
      </x:c>
      <x:c r="D31" s="17" t="str">
        <x:v>Midwest</x:v>
      </x:c>
      <x:c r="E31" s="18" t="n">
        <x:v>304</x:v>
      </x:c>
      <x:c r="F31" s="18" t="n">
        <x:v>840537.28</x:v>
      </x:c>
      <x:c r="G31" s="18" t="n">
        <x:v>547983.69</x:v>
      </x:c>
      <x:c r="H31" s="18" t="n">
        <x:v>292553.59</x:v>
      </x:c>
      <x:c r="I31" s="18" t="n">
        <x:v>0.348055</x:v>
      </x:c>
    </x:row>
    <x:row r="32">
      <x:c r="A32" s="17" t="str">
        <x:v>CUST-0099</x:v>
      </x:c>
      <x:c r="B32" s="17" t="str">
        <x:v>Lakeshore Equipment</x:v>
      </x:c>
      <x:c r="C32" s="17" t="str">
        <x:v>Water &amp; Wastewater</x:v>
      </x:c>
      <x:c r="D32" s="17" t="str">
        <x:v>Southwest</x:v>
      </x:c>
      <x:c r="E32" s="18" t="n">
        <x:v>219</x:v>
      </x:c>
      <x:c r="F32" s="18" t="n">
        <x:v>839573.56</x:v>
      </x:c>
      <x:c r="G32" s="18" t="n">
        <x:v>575699.32</x:v>
      </x:c>
      <x:c r="H32" s="18" t="n">
        <x:v>263874.24</x:v>
      </x:c>
      <x:c r="I32" s="18" t="n">
        <x:v>0.314296</x:v>
      </x:c>
    </x:row>
    <x:row r="33">
      <x:c r="A33" s="17" t="str">
        <x:v>CUST-0039</x:v>
      </x:c>
      <x:c r="B33" s="17" t="str">
        <x:v>Windward Automation</x:v>
      </x:c>
      <x:c r="C33" s="17" t="str">
        <x:v>Water &amp; Wastewater</x:v>
      </x:c>
      <x:c r="D33" s="17" t="str">
        <x:v>Southwest</x:v>
      </x:c>
      <x:c r="E33" s="18" t="n">
        <x:v>241</x:v>
      </x:c>
      <x:c r="F33" s="18" t="n">
        <x:v>834742.18</x:v>
      </x:c>
      <x:c r="G33" s="18" t="n">
        <x:v>570178.37</x:v>
      </x:c>
      <x:c r="H33" s="18" t="n">
        <x:v>264563.81</x:v>
      </x:c>
      <x:c r="I33" s="18" t="n">
        <x:v>0.316941</x:v>
      </x:c>
    </x:row>
    <x:row r="34">
      <x:c r="A34" s="17" t="str">
        <x:v>CUST-0176</x:v>
      </x:c>
      <x:c r="B34" s="17" t="str">
        <x:v>Ironwood Engineering</x:v>
      </x:c>
      <x:c r="C34" s="17" t="str">
        <x:v>Food &amp; Beverage Equipment</x:v>
      </x:c>
      <x:c r="D34" s="17" t="str">
        <x:v>West</x:v>
      </x:c>
      <x:c r="E34" s="18" t="n">
        <x:v>377</x:v>
      </x:c>
      <x:c r="F34" s="18" t="n">
        <x:v>822919.76</x:v>
      </x:c>
      <x:c r="G34" s="18" t="n">
        <x:v>554952.69</x:v>
      </x:c>
      <x:c r="H34" s="18" t="n">
        <x:v>267967.07</x:v>
      </x:c>
      <x:c r="I34" s="18" t="n">
        <x:v>0.32563</x:v>
      </x:c>
    </x:row>
    <x:row r="35">
      <x:c r="A35" s="17" t="str">
        <x:v>CUST-0016</x:v>
      </x:c>
      <x:c r="B35" s="17" t="str">
        <x:v>Ironwood Automation</x:v>
      </x:c>
      <x:c r="C35" s="17" t="str">
        <x:v>Forest Products</x:v>
      </x:c>
      <x:c r="D35" s="17" t="str">
        <x:v>Southeast</x:v>
      </x:c>
      <x:c r="E35" s="18" t="n">
        <x:v>298</x:v>
      </x:c>
      <x:c r="F35" s="18" t="n">
        <x:v>821031.97</x:v>
      </x:c>
      <x:c r="G35" s="18" t="n">
        <x:v>562635.46</x:v>
      </x:c>
      <x:c r="H35" s="18" t="n">
        <x:v>258396.51</x:v>
      </x:c>
      <x:c r="I35" s="18" t="n">
        <x:v>0.314722</x:v>
      </x:c>
    </x:row>
    <x:row r="36">
      <x:c r="A36" s="17" t="str">
        <x:v>CUST-0192</x:v>
      </x:c>
      <x:c r="B36" s="17" t="str">
        <x:v>Summit Engineering</x:v>
      </x:c>
      <x:c r="C36" s="17" t="str">
        <x:v>Packaging Automation</x:v>
      </x:c>
      <x:c r="D36" s="17" t="str">
        <x:v>Midwest</x:v>
      </x:c>
      <x:c r="E36" s="18" t="n">
        <x:v>329</x:v>
      </x:c>
      <x:c r="F36" s="18" t="n">
        <x:v>799779.04</x:v>
      </x:c>
      <x:c r="G36" s="18" t="n">
        <x:v>554617.34</x:v>
      </x:c>
      <x:c r="H36" s="18" t="n">
        <x:v>245161.7</x:v>
      </x:c>
      <x:c r="I36" s="18" t="n">
        <x:v>0.306537</x:v>
      </x:c>
    </x:row>
    <x:row r="37">
      <x:c r="A37" s="17" t="str">
        <x:v>CUST-0142</x:v>
      </x:c>
      <x:c r="B37" s="17" t="str">
        <x:v>Monarch Industries</x:v>
      </x:c>
      <x:c r="C37" s="17" t="str">
        <x:v>Forest Products</x:v>
      </x:c>
      <x:c r="D37" s="17" t="str">
        <x:v>Southeast</x:v>
      </x:c>
      <x:c r="E37" s="18" t="n">
        <x:v>283</x:v>
      </x:c>
      <x:c r="F37" s="18" t="n">
        <x:v>799234.33</x:v>
      </x:c>
      <x:c r="G37" s="18" t="n">
        <x:v>523653.02</x:v>
      </x:c>
      <x:c r="H37" s="18" t="n">
        <x:v>275581.31</x:v>
      </x:c>
      <x:c r="I37" s="18" t="n">
        <x:v>0.344807</x:v>
      </x:c>
    </x:row>
    <x:row r="38">
      <x:c r="A38" s="17" t="str">
        <x:v>CUST-0045</x:v>
      </x:c>
      <x:c r="B38" s="17" t="str">
        <x:v>Bridgepoint Systems</x:v>
      </x:c>
      <x:c r="C38" s="17" t="str">
        <x:v>Water &amp; Wastewater</x:v>
      </x:c>
      <x:c r="D38" s="17" t="str">
        <x:v>Southwest</x:v>
      </x:c>
      <x:c r="E38" s="18" t="n">
        <x:v>298</x:v>
      </x:c>
      <x:c r="F38" s="18" t="n">
        <x:v>795307.65</x:v>
      </x:c>
      <x:c r="G38" s="18" t="n">
        <x:v>544844.09</x:v>
      </x:c>
      <x:c r="H38" s="18" t="n">
        <x:v>250463.56</x:v>
      </x:c>
      <x:c r="I38" s="18" t="n">
        <x:v>0.314927</x:v>
      </x:c>
    </x:row>
    <x:row r="39">
      <x:c r="A39" s="17" t="str">
        <x:v>CUST-0069</x:v>
      </x:c>
      <x:c r="B39" s="17" t="str">
        <x:v>Riverton Systems</x:v>
      </x:c>
      <x:c r="C39" s="17" t="str">
        <x:v>Water &amp; Wastewater</x:v>
      </x:c>
      <x:c r="D39" s="17" t="str">
        <x:v>Southwest</x:v>
      </x:c>
      <x:c r="E39" s="18" t="n">
        <x:v>326</x:v>
      </x:c>
      <x:c r="F39" s="18" t="n">
        <x:v>795076.14</x:v>
      </x:c>
      <x:c r="G39" s="18" t="n">
        <x:v>530300.03</x:v>
      </x:c>
      <x:c r="H39" s="18" t="n">
        <x:v>264776.11</x:v>
      </x:c>
      <x:c r="I39" s="18" t="n">
        <x:v>0.33302</x:v>
      </x:c>
    </x:row>
    <x:row r="40">
      <x:c r="A40" s="17" t="str">
        <x:v>CUST-0186</x:v>
      </x:c>
      <x:c r="B40" s="17" t="str">
        <x:v>Pioneer Engineering</x:v>
      </x:c>
      <x:c r="C40" s="17" t="str">
        <x:v>Packaging Automation</x:v>
      </x:c>
      <x:c r="D40" s="17" t="str">
        <x:v>Midwest</x:v>
      </x:c>
      <x:c r="E40" s="18" t="n">
        <x:v>364</x:v>
      </x:c>
      <x:c r="F40" s="18" t="n">
        <x:v>792805.69</x:v>
      </x:c>
      <x:c r="G40" s="18" t="n">
        <x:v>528019.14</x:v>
      </x:c>
      <x:c r="H40" s="18" t="n">
        <x:v>264786.55</x:v>
      </x:c>
      <x:c r="I40" s="18" t="n">
        <x:v>0.333987</x:v>
      </x:c>
    </x:row>
    <x:row r="41">
      <x:c r="A41" s="17" t="str">
        <x:v>CUST-0139</x:v>
      </x:c>
      <x:c r="B41" s="17" t="str">
        <x:v>Lakeshore Industries</x:v>
      </x:c>
      <x:c r="C41" s="17" t="str">
        <x:v>Logistics Automation</x:v>
      </x:c>
      <x:c r="D41" s="17" t="str">
        <x:v>Canada</x:v>
      </x:c>
      <x:c r="E41" s="18" t="n">
        <x:v>276</x:v>
      </x:c>
      <x:c r="F41" s="18" t="n">
        <x:v>777119.62</x:v>
      </x:c>
      <x:c r="G41" s="18" t="n">
        <x:v>516952.27</x:v>
      </x:c>
      <x:c r="H41" s="18" t="n">
        <x:v>260167.35</x:v>
      </x:c>
      <x:c r="I41" s="18" t="n">
        <x:v>0.334784</x:v>
      </x:c>
    </x:row>
    <x:row r="42">
      <x:c r="A42" s="17" t="str">
        <x:v>CUST-0060</x:v>
      </x:c>
      <x:c r="B42" s="17" t="str">
        <x:v>Maple Ridge Systems</x:v>
      </x:c>
      <x:c r="C42" s="17" t="str">
        <x:v>Packaging Automation</x:v>
      </x:c>
      <x:c r="D42" s="17" t="str">
        <x:v>Midwest</x:v>
      </x:c>
      <x:c r="E42" s="18" t="n">
        <x:v>364</x:v>
      </x:c>
      <x:c r="F42" s="18" t="n">
        <x:v>776445.19</x:v>
      </x:c>
      <x:c r="G42" s="18" t="n">
        <x:v>549522.01</x:v>
      </x:c>
      <x:c r="H42" s="18" t="n">
        <x:v>226923.18</x:v>
      </x:c>
      <x:c r="I42" s="18" t="n">
        <x:v>0.292259</x:v>
      </x:c>
    </x:row>
    <x:row r="43">
      <x:c r="A43" s="17" t="str">
        <x:v>CUST-0012</x:v>
      </x:c>
      <x:c r="B43" s="17" t="str">
        <x:v>Frontier Automation</x:v>
      </x:c>
      <x:c r="C43" s="17" t="str">
        <x:v>Packaging Automation</x:v>
      </x:c>
      <x:c r="D43" s="17" t="str">
        <x:v>Midwest</x:v>
      </x:c>
      <x:c r="E43" s="18" t="n">
        <x:v>285</x:v>
      </x:c>
      <x:c r="F43" s="18" t="n">
        <x:v>776296.36</x:v>
      </x:c>
      <x:c r="G43" s="18" t="n">
        <x:v>547248.64</x:v>
      </x:c>
      <x:c r="H43" s="18" t="n">
        <x:v>229047.72</x:v>
      </x:c>
      <x:c r="I43" s="18" t="n">
        <x:v>0.295052</x:v>
      </x:c>
    </x:row>
    <x:row r="44">
      <x:c r="A44" s="17" t="str">
        <x:v>CUST-0046</x:v>
      </x:c>
      <x:c r="B44" s="17" t="str">
        <x:v>Clearwater Systems</x:v>
      </x:c>
      <x:c r="C44" s="17" t="str">
        <x:v>Forest Products</x:v>
      </x:c>
      <x:c r="D44" s="17" t="str">
        <x:v>Southeast</x:v>
      </x:c>
      <x:c r="E44" s="18" t="n">
        <x:v>320</x:v>
      </x:c>
      <x:c r="F44" s="18" t="n">
        <x:v>769932.34</x:v>
      </x:c>
      <x:c r="G44" s="18" t="n">
        <x:v>510948.11</x:v>
      </x:c>
      <x:c r="H44" s="18" t="n">
        <x:v>258984.23</x:v>
      </x:c>
      <x:c r="I44" s="18" t="n">
        <x:v>0.336373</x:v>
      </x:c>
    </x:row>
    <x:row r="45">
      <x:c r="A45" s="17" t="str">
        <x:v>CUST-0159</x:v>
      </x:c>
      <x:c r="B45" s="17" t="str">
        <x:v>Windward Industries</x:v>
      </x:c>
      <x:c r="C45" s="17" t="str">
        <x:v>Water &amp; Wastewater</x:v>
      </x:c>
      <x:c r="D45" s="17" t="str">
        <x:v>Southwest</x:v>
      </x:c>
      <x:c r="E45" s="18" t="n">
        <x:v>320</x:v>
      </x:c>
      <x:c r="F45" s="18" t="n">
        <x:v>766609.21</x:v>
      </x:c>
      <x:c r="G45" s="18" t="n">
        <x:v>508763.35</x:v>
      </x:c>
      <x:c r="H45" s="18" t="n">
        <x:v>257845.86</x:v>
      </x:c>
      <x:c r="I45" s="18" t="n">
        <x:v>0.336346</x:v>
      </x:c>
    </x:row>
    <x:row r="46">
      <x:c r="A46" s="17" t="str">
        <x:v>CUST-0207</x:v>
      </x:c>
      <x:c r="B46" s="17" t="str">
        <x:v>Crescent Process Solutions</x:v>
      </x:c>
      <x:c r="C46" s="17" t="str">
        <x:v>Water &amp; Wastewater</x:v>
      </x:c>
      <x:c r="D46" s="17" t="str">
        <x:v>Southwest</x:v>
      </x:c>
      <x:c r="E46" s="18" t="n">
        <x:v>247</x:v>
      </x:c>
      <x:c r="F46" s="18" t="n">
        <x:v>759272.02</x:v>
      </x:c>
      <x:c r="G46" s="18" t="n">
        <x:v>532332.32</x:v>
      </x:c>
      <x:c r="H46" s="18" t="n">
        <x:v>226939.7</x:v>
      </x:c>
      <x:c r="I46" s="18" t="n">
        <x:v>0.298891</x:v>
      </x:c>
    </x:row>
    <x:row r="47">
      <x:c r="A47" s="17" t="str">
        <x:v>CUST-0048</x:v>
      </x:c>
      <x:c r="B47" s="17" t="str">
        <x:v>Delta Systems</x:v>
      </x:c>
      <x:c r="C47" s="17" t="str">
        <x:v>Packaging Automation</x:v>
      </x:c>
      <x:c r="D47" s="17" t="str">
        <x:v>Midwest</x:v>
      </x:c>
      <x:c r="E47" s="18" t="n">
        <x:v>320</x:v>
      </x:c>
      <x:c r="F47" s="18" t="n">
        <x:v>742924.63</x:v>
      </x:c>
      <x:c r="G47" s="18" t="n">
        <x:v>516122.27</x:v>
      </x:c>
      <x:c r="H47" s="18" t="n">
        <x:v>226802.36</x:v>
      </x:c>
      <x:c r="I47" s="18" t="n">
        <x:v>0.305283</x:v>
      </x:c>
    </x:row>
    <x:row r="48">
      <x:c r="A48" s="17" t="str">
        <x:v>CUST-0162</x:v>
      </x:c>
      <x:c r="B48" s="17" t="str">
        <x:v>Arbor Ridge Engineering</x:v>
      </x:c>
      <x:c r="C48" s="17" t="str">
        <x:v>Packaging Automation</x:v>
      </x:c>
      <x:c r="D48" s="17" t="str">
        <x:v>Midwest</x:v>
      </x:c>
      <x:c r="E48" s="18" t="n">
        <x:v>282</x:v>
      </x:c>
      <x:c r="F48" s="18" t="n">
        <x:v>735441.6</x:v>
      </x:c>
      <x:c r="G48" s="18" t="n">
        <x:v>504789.58</x:v>
      </x:c>
      <x:c r="H48" s="18" t="n">
        <x:v>230652.02</x:v>
      </x:c>
      <x:c r="I48" s="18" t="n">
        <x:v>0.313624</x:v>
      </x:c>
    </x:row>
    <x:row r="49">
      <x:c r="A49" s="17" t="str">
        <x:v>CUST-0059</x:v>
      </x:c>
      <x:c r="B49" s="17" t="str">
        <x:v>Lakeshore Systems</x:v>
      </x:c>
      <x:c r="C49" s="17" t="str">
        <x:v>General Industrial</x:v>
      </x:c>
      <x:c r="D49" s="17" t="str">
        <x:v>Northeast</x:v>
      </x:c>
      <x:c r="E49" s="18" t="n">
        <x:v>221</x:v>
      </x:c>
      <x:c r="F49" s="18" t="n">
        <x:v>735383.66</x:v>
      </x:c>
      <x:c r="G49" s="18" t="n">
        <x:v>512823.21</x:v>
      </x:c>
      <x:c r="H49" s="18" t="n">
        <x:v>222560.45</x:v>
      </x:c>
      <x:c r="I49" s="18" t="n">
        <x:v>0.302645</x:v>
      </x:c>
    </x:row>
    <x:row r="50">
      <x:c r="A50" s="17" t="str">
        <x:v>CUST-0002</x:v>
      </x:c>
      <x:c r="B50" s="17" t="str">
        <x:v>Arbor Ridge Automation</x:v>
      </x:c>
      <x:c r="C50" s="17" t="str">
        <x:v>Food &amp; Beverage Equipment</x:v>
      </x:c>
      <x:c r="D50" s="17" t="str">
        <x:v>West</x:v>
      </x:c>
      <x:c r="E50" s="18" t="n">
        <x:v>364</x:v>
      </x:c>
      <x:c r="F50" s="18" t="n">
        <x:v>725359.34</x:v>
      </x:c>
      <x:c r="G50" s="18" t="n">
        <x:v>523110.04</x:v>
      </x:c>
      <x:c r="H50" s="18" t="n">
        <x:v>202249.3</x:v>
      </x:c>
      <x:c r="I50" s="18" t="n">
        <x:v>0.278826</x:v>
      </x:c>
    </x:row>
    <x:row r="51">
      <x:c r="A51" s="17" t="str">
        <x:v>CUST-0169</x:v>
      </x:c>
      <x:c r="B51" s="17" t="str">
        <x:v>Eastgate Engineering</x:v>
      </x:c>
      <x:c r="C51" s="17" t="str">
        <x:v>Logistics Automation</x:v>
      </x:c>
      <x:c r="D51" s="17" t="str">
        <x:v>Canada</x:v>
      </x:c>
      <x:c r="E51" s="18" t="n">
        <x:v>272</x:v>
      </x:c>
      <x:c r="F51" s="18" t="n">
        <x:v>723897.99</x:v>
      </x:c>
      <x:c r="G51" s="18" t="n">
        <x:v>481331.93</x:v>
      </x:c>
      <x:c r="H51" s="18" t="n">
        <x:v>242566.06</x:v>
      </x:c>
      <x:c r="I51" s="18" t="n">
        <x:v>0.335083</x:v>
      </x:c>
    </x:row>
    <x:row r="52">
      <x:c r="A52" s="17" t="str">
        <x:v>CUST-0165</x:v>
      </x:c>
      <x:c r="B52" s="17" t="str">
        <x:v>Bridgepoint Engineering</x:v>
      </x:c>
      <x:c r="C52" s="17" t="str">
        <x:v>Water &amp; Wastewater</x:v>
      </x:c>
      <x:c r="D52" s="17" t="str">
        <x:v>Southwest</x:v>
      </x:c>
      <x:c r="E52" s="18" t="n">
        <x:v>232</x:v>
      </x:c>
      <x:c r="F52" s="18" t="n">
        <x:v>714372.71</x:v>
      </x:c>
      <x:c r="G52" s="18" t="n">
        <x:v>503547.27</x:v>
      </x:c>
      <x:c r="H52" s="18" t="n">
        <x:v>210825.44</x:v>
      </x:c>
      <x:c r="I52" s="18" t="n">
        <x:v>0.29512</x:v>
      </x:c>
    </x:row>
    <x:row r="53">
      <x:c r="A53" s="17" t="str">
        <x:v>CUST-0066</x:v>
      </x:c>
      <x:c r="B53" s="17" t="str">
        <x:v>Pioneer Systems</x:v>
      </x:c>
      <x:c r="C53" s="17" t="str">
        <x:v>Packaging Automation</x:v>
      </x:c>
      <x:c r="D53" s="17" t="str">
        <x:v>Midwest</x:v>
      </x:c>
      <x:c r="E53" s="18" t="n">
        <x:v>285</x:v>
      </x:c>
      <x:c r="F53" s="18" t="n">
        <x:v>707403.2</x:v>
      </x:c>
      <x:c r="G53" s="18" t="n">
        <x:v>462543.25</x:v>
      </x:c>
      <x:c r="H53" s="18" t="n">
        <x:v>244859.95</x:v>
      </x:c>
      <x:c r="I53" s="18" t="n">
        <x:v>0.346139</x:v>
      </x:c>
    </x:row>
    <x:row r="54">
      <x:c r="A54" s="17" t="str">
        <x:v>CUST-0199</x:v>
      </x:c>
      <x:c r="B54" s="17" t="str">
        <x:v>Windward Engineering</x:v>
      </x:c>
      <x:c r="C54" s="17" t="str">
        <x:v>Logistics Automation</x:v>
      </x:c>
      <x:c r="D54" s="17" t="str">
        <x:v>Canada</x:v>
      </x:c>
      <x:c r="E54" s="18" t="n">
        <x:v>243</x:v>
      </x:c>
      <x:c r="F54" s="18" t="n">
        <x:v>707232.63</x:v>
      </x:c>
      <x:c r="G54" s="18" t="n">
        <x:v>461961.41</x:v>
      </x:c>
      <x:c r="H54" s="18" t="n">
        <x:v>245271.22</x:v>
      </x:c>
      <x:c r="I54" s="18" t="n">
        <x:v>0.346804</x:v>
      </x:c>
    </x:row>
    <x:row r="55">
      <x:c r="A55" s="17" t="str">
        <x:v>CUST-0151</x:v>
      </x:c>
      <x:c r="B55" s="17" t="str">
        <x:v>Silverline Industries</x:v>
      </x:c>
      <x:c r="C55" s="17" t="str">
        <x:v>Logistics Automation</x:v>
      </x:c>
      <x:c r="D55" s="17" t="str">
        <x:v>Canada</x:v>
      </x:c>
      <x:c r="E55" s="18" t="n">
        <x:v>172</x:v>
      </x:c>
      <x:c r="F55" s="18" t="n">
        <x:v>705417.26</x:v>
      </x:c>
      <x:c r="G55" s="18" t="n">
        <x:v>491114.41</x:v>
      </x:c>
      <x:c r="H55" s="18" t="n">
        <x:v>214302.85</x:v>
      </x:c>
      <x:c r="I55" s="18" t="n">
        <x:v>0.303796</x:v>
      </x:c>
    </x:row>
    <x:row r="56">
      <x:c r="A56" s="17" t="str">
        <x:v>CUST-0095</x:v>
      </x:c>
      <x:c r="B56" s="17" t="str">
        <x:v>Highland Equipment</x:v>
      </x:c>
      <x:c r="C56" s="17" t="str">
        <x:v>General Industrial</x:v>
      </x:c>
      <x:c r="D56" s="17" t="str">
        <x:v>Northeast</x:v>
      </x:c>
      <x:c r="E56" s="18" t="n">
        <x:v>177</x:v>
      </x:c>
      <x:c r="F56" s="18" t="n">
        <x:v>705265.82</x:v>
      </x:c>
      <x:c r="G56" s="18" t="n">
        <x:v>496027.74</x:v>
      </x:c>
      <x:c r="H56" s="18" t="n">
        <x:v>209238.08</x:v>
      </x:c>
      <x:c r="I56" s="18" t="n">
        <x:v>0.29668</x:v>
      </x:c>
    </x:row>
    <x:row r="57">
      <x:c r="A57" s="17" t="str">
        <x:v>CUST-0200</x:v>
      </x:c>
      <x:c r="B57" s="17" t="str">
        <x:v>Woodland Engineering</x:v>
      </x:c>
      <x:c r="C57" s="17" t="str">
        <x:v>Food &amp; Beverage Equipment</x:v>
      </x:c>
      <x:c r="D57" s="17" t="str">
        <x:v>West</x:v>
      </x:c>
      <x:c r="E57" s="18" t="n">
        <x:v>289</x:v>
      </x:c>
      <x:c r="F57" s="18" t="n">
        <x:v>704119.22</x:v>
      </x:c>
      <x:c r="G57" s="18" t="n">
        <x:v>483752.79</x:v>
      </x:c>
      <x:c r="H57" s="18" t="n">
        <x:v>220366.43</x:v>
      </x:c>
      <x:c r="I57" s="18" t="n">
        <x:v>0.312967</x:v>
      </x:c>
    </x:row>
    <x:row r="58">
      <x:c r="A58" s="17" t="str">
        <x:v>CUST-0109</x:v>
      </x:c>
      <x:c r="B58" s="17" t="str">
        <x:v>Riverton Equipment</x:v>
      </x:c>
      <x:c r="C58" s="17" t="str">
        <x:v>Logistics Automation</x:v>
      </x:c>
      <x:c r="D58" s="17" t="str">
        <x:v>Canada</x:v>
      </x:c>
      <x:c r="E58" s="18" t="n">
        <x:v>292</x:v>
      </x:c>
      <x:c r="F58" s="18" t="n">
        <x:v>699666.61</x:v>
      </x:c>
      <x:c r="G58" s="18" t="n">
        <x:v>458767.01</x:v>
      </x:c>
      <x:c r="H58" s="18" t="n">
        <x:v>240899.6</x:v>
      </x:c>
      <x:c r="I58" s="18" t="n">
        <x:v>0.344306</x:v>
      </x:c>
    </x:row>
    <x:row r="59">
      <x:c r="A59" s="17" t="str">
        <x:v>CUST-0145</x:v>
      </x:c>
      <x:c r="B59" s="17" t="str">
        <x:v>Parkside Industries</x:v>
      </x:c>
      <x:c r="C59" s="17" t="str">
        <x:v>Logistics Automation</x:v>
      </x:c>
      <x:c r="D59" s="17" t="str">
        <x:v>Canada</x:v>
      </x:c>
      <x:c r="E59" s="18" t="n">
        <x:v>311</x:v>
      </x:c>
      <x:c r="F59" s="18" t="n">
        <x:v>682826.58</x:v>
      </x:c>
      <x:c r="G59" s="18" t="n">
        <x:v>478941.63</x:v>
      </x:c>
      <x:c r="H59" s="18" t="n">
        <x:v>203884.95</x:v>
      </x:c>
      <x:c r="I59" s="18" t="n">
        <x:v>0.29859</x:v>
      </x:c>
    </x:row>
    <x:row r="60">
      <x:c r="A60" s="17" t="str">
        <x:v>CUST-0086</x:v>
      </x:c>
      <x:c r="B60" s="17" t="str">
        <x:v>Clearwater Equipment</x:v>
      </x:c>
      <x:c r="C60" s="17" t="str">
        <x:v>Food &amp; Beverage Equipment</x:v>
      </x:c>
      <x:c r="D60" s="17" t="str">
        <x:v>West</x:v>
      </x:c>
      <x:c r="E60" s="18" t="n">
        <x:v>273</x:v>
      </x:c>
      <x:c r="F60" s="18" t="n">
        <x:v>680569.23</x:v>
      </x:c>
      <x:c r="G60" s="18" t="n">
        <x:v>466135.44</x:v>
      </x:c>
      <x:c r="H60" s="18" t="n">
        <x:v>214433.79</x:v>
      </x:c>
      <x:c r="I60" s="18" t="n">
        <x:v>0.31508</x:v>
      </x:c>
    </x:row>
    <x:row r="61">
      <x:c r="A61" s="17" t="str">
        <x:v>CUST-0131</x:v>
      </x:c>
      <x:c r="B61" s="17" t="str">
        <x:v>Fairmont Industries</x:v>
      </x:c>
      <x:c r="C61" s="17" t="str">
        <x:v>General Industrial</x:v>
      </x:c>
      <x:c r="D61" s="17" t="str">
        <x:v>Northeast</x:v>
      </x:c>
      <x:c r="E61" s="18" t="n">
        <x:v>364</x:v>
      </x:c>
      <x:c r="F61" s="18" t="n">
        <x:v>678686.87</x:v>
      </x:c>
      <x:c r="G61" s="18" t="n">
        <x:v>468959.41</x:v>
      </x:c>
      <x:c r="H61" s="18" t="n">
        <x:v>209727.46</x:v>
      </x:c>
      <x:c r="I61" s="18" t="n">
        <x:v>0.309019</x:v>
      </x:c>
    </x:row>
    <x:row r="62">
      <x:c r="A62" s="17" t="str">
        <x:v>CUST-0144</x:v>
      </x:c>
      <x:c r="B62" s="17" t="str">
        <x:v>Oakmont Industries</x:v>
      </x:c>
      <x:c r="C62" s="17" t="str">
        <x:v>Packaging Automation</x:v>
      </x:c>
      <x:c r="D62" s="17" t="str">
        <x:v>Midwest</x:v>
      </x:c>
      <x:c r="E62" s="18" t="n">
        <x:v>333</x:v>
      </x:c>
      <x:c r="F62" s="18" t="n">
        <x:v>677902.35</x:v>
      </x:c>
      <x:c r="G62" s="18" t="n">
        <x:v>452378.16</x:v>
      </x:c>
      <x:c r="H62" s="18" t="n">
        <x:v>225524.19</x:v>
      </x:c>
      <x:c r="I62" s="18" t="n">
        <x:v>0.332679</x:v>
      </x:c>
    </x:row>
    <x:row r="63">
      <x:c r="A63" s="17" t="str">
        <x:v>CUST-0077</x:v>
      </x:c>
      <x:c r="B63" s="17" t="str">
        <x:v>Westbridge Systems</x:v>
      </x:c>
      <x:c r="C63" s="17" t="str">
        <x:v>General Industrial</x:v>
      </x:c>
      <x:c r="D63" s="17" t="str">
        <x:v>Northeast</x:v>
      </x:c>
      <x:c r="E63" s="18" t="n">
        <x:v>265</x:v>
      </x:c>
      <x:c r="F63" s="18" t="n">
        <x:v>674238.1</x:v>
      </x:c>
      <x:c r="G63" s="18" t="n">
        <x:v>484554.61</x:v>
      </x:c>
      <x:c r="H63" s="18" t="n">
        <x:v>189683.49</x:v>
      </x:c>
      <x:c r="I63" s="18" t="n">
        <x:v>0.28133</x:v>
      </x:c>
    </x:row>
    <x:row r="64">
      <x:c r="A64" s="17" t="str">
        <x:v>CUST-0239</x:v>
      </x:c>
      <x:c r="B64" s="17" t="str">
        <x:v>Windward Process Solutions</x:v>
      </x:c>
      <x:c r="C64" s="17" t="str">
        <x:v>General Industrial</x:v>
      </x:c>
      <x:c r="D64" s="17" t="str">
        <x:v>Northeast</x:v>
      </x:c>
      <x:c r="E64" s="18" t="n">
        <x:v>248</x:v>
      </x:c>
      <x:c r="F64" s="18" t="n">
        <x:v>671926.1</x:v>
      </x:c>
      <x:c r="G64" s="18" t="n">
        <x:v>447185.85</x:v>
      </x:c>
      <x:c r="H64" s="18" t="n">
        <x:v>224740.25</x:v>
      </x:c>
      <x:c r="I64" s="18" t="n">
        <x:v>0.334472</x:v>
      </x:c>
    </x:row>
    <x:row r="65">
      <x:c r="A65" s="17" t="str">
        <x:v>CUST-0011</x:v>
      </x:c>
      <x:c r="B65" s="17" t="str">
        <x:v>Fairmont Automation</x:v>
      </x:c>
      <x:c r="C65" s="17" t="str">
        <x:v>General Industrial</x:v>
      </x:c>
      <x:c r="D65" s="17" t="str">
        <x:v>Northeast</x:v>
      </x:c>
      <x:c r="E65" s="18" t="n">
        <x:v>296</x:v>
      </x:c>
      <x:c r="F65" s="18" t="n">
        <x:v>671924.51</x:v>
      </x:c>
      <x:c r="G65" s="18" t="n">
        <x:v>464086.64</x:v>
      </x:c>
      <x:c r="H65" s="18" t="n">
        <x:v>207837.87</x:v>
      </x:c>
      <x:c r="I65" s="18" t="n">
        <x:v>0.309317</x:v>
      </x:c>
    </x:row>
    <x:row r="66">
      <x:c r="A66" s="17" t="str">
        <x:v>CUST-0114</x:v>
      </x:c>
      <x:c r="B66" s="17" t="str">
        <x:v>Triad Equipment</x:v>
      </x:c>
      <x:c r="C66" s="17" t="str">
        <x:v>Packaging Automation</x:v>
      </x:c>
      <x:c r="D66" s="17" t="str">
        <x:v>Midwest</x:v>
      </x:c>
      <x:c r="E66" s="18" t="n">
        <x:v>342</x:v>
      </x:c>
      <x:c r="F66" s="18" t="n">
        <x:v>668054.94</x:v>
      </x:c>
      <x:c r="G66" s="18" t="n">
        <x:v>451766.38</x:v>
      </x:c>
      <x:c r="H66" s="18" t="n">
        <x:v>216288.56</x:v>
      </x:c>
      <x:c r="I66" s="18" t="n">
        <x:v>0.323759</x:v>
      </x:c>
    </x:row>
    <x:row r="67">
      <x:c r="A67" s="17" t="str">
        <x:v>CUST-0136</x:v>
      </x:c>
      <x:c r="B67" s="17" t="str">
        <x:v>Ironwood Industries</x:v>
      </x:c>
      <x:c r="C67" s="17" t="str">
        <x:v>Forest Products</x:v>
      </x:c>
      <x:c r="D67" s="17" t="str">
        <x:v>Southeast</x:v>
      </x:c>
      <x:c r="E67" s="18" t="n">
        <x:v>329</x:v>
      </x:c>
      <x:c r="F67" s="18" t="n">
        <x:v>664152.9</x:v>
      </x:c>
      <x:c r="G67" s="18" t="n">
        <x:v>426050.98</x:v>
      </x:c>
      <x:c r="H67" s="18" t="n">
        <x:v>238101.92</x:v>
      </x:c>
      <x:c r="I67" s="18" t="n">
        <x:v>0.358505</x:v>
      </x:c>
    </x:row>
    <x:row r="68">
      <x:c r="A68" s="17" t="str">
        <x:v>CUST-0141</x:v>
      </x:c>
      <x:c r="B68" s="17" t="str">
        <x:v>Meridian Industries</x:v>
      </x:c>
      <x:c r="C68" s="17" t="str">
        <x:v>Water &amp; Wastewater</x:v>
      </x:c>
      <x:c r="D68" s="17" t="str">
        <x:v>Southwest</x:v>
      </x:c>
      <x:c r="E68" s="18" t="n">
        <x:v>351</x:v>
      </x:c>
      <x:c r="F68" s="18" t="n">
        <x:v>658229.41</x:v>
      </x:c>
      <x:c r="G68" s="18" t="n">
        <x:v>440645.44</x:v>
      </x:c>
      <x:c r="H68" s="18" t="n">
        <x:v>217583.97</x:v>
      </x:c>
      <x:c r="I68" s="18" t="n">
        <x:v>0.330559</x:v>
      </x:c>
    </x:row>
    <x:row r="69">
      <x:c r="A69" s="17" t="str">
        <x:v>CUST-0112</x:v>
      </x:c>
      <x:c r="B69" s="17" t="str">
        <x:v>Summit Equipment</x:v>
      </x:c>
      <x:c r="C69" s="17" t="str">
        <x:v>Forest Products</x:v>
      </x:c>
      <x:c r="D69" s="17" t="str">
        <x:v>Southeast</x:v>
      </x:c>
      <x:c r="E69" s="18" t="n">
        <x:v>245</x:v>
      </x:c>
      <x:c r="F69" s="18" t="n">
        <x:v>652065.26</x:v>
      </x:c>
      <x:c r="G69" s="18" t="n">
        <x:v>447825.07</x:v>
      </x:c>
      <x:c r="H69" s="18" t="n">
        <x:v>204240.19</x:v>
      </x:c>
      <x:c r="I69" s="18" t="n">
        <x:v>0.31322</x:v>
      </x:c>
    </x:row>
    <x:row r="70">
      <x:c r="A70" s="17" t="str">
        <x:v>CUST-0047</x:v>
      </x:c>
      <x:c r="B70" s="17" t="str">
        <x:v>Crescent Systems</x:v>
      </x:c>
      <x:c r="C70" s="17" t="str">
        <x:v>General Industrial</x:v>
      </x:c>
      <x:c r="D70" s="17" t="str">
        <x:v>Northeast</x:v>
      </x:c>
      <x:c r="E70" s="18" t="n">
        <x:v>276</x:v>
      </x:c>
      <x:c r="F70" s="18" t="n">
        <x:v>648350.43</x:v>
      </x:c>
      <x:c r="G70" s="18" t="n">
        <x:v>450977.67</x:v>
      </x:c>
      <x:c r="H70" s="18" t="n">
        <x:v>197372.76</x:v>
      </x:c>
      <x:c r="I70" s="18" t="n">
        <x:v>0.304423</x:v>
      </x:c>
    </x:row>
    <x:row r="71">
      <x:c r="A71" s="17" t="str">
        <x:v>CUST-0105</x:v>
      </x:c>
      <x:c r="B71" s="17" t="str">
        <x:v>Parkside Equipment</x:v>
      </x:c>
      <x:c r="C71" s="17" t="str">
        <x:v>Water &amp; Wastewater</x:v>
      </x:c>
      <x:c r="D71" s="17" t="str">
        <x:v>Southwest</x:v>
      </x:c>
      <x:c r="E71" s="18" t="n">
        <x:v>263</x:v>
      </x:c>
      <x:c r="F71" s="18" t="n">
        <x:v>647965.64</x:v>
      </x:c>
      <x:c r="G71" s="18" t="n">
        <x:v>451829.53</x:v>
      </x:c>
      <x:c r="H71" s="18" t="n">
        <x:v>196136.11</x:v>
      </x:c>
      <x:c r="I71" s="18" t="n">
        <x:v>0.302695</x:v>
      </x:c>
    </x:row>
    <x:row r="72">
      <x:c r="A72" s="17" t="str">
        <x:v>CUST-0055</x:v>
      </x:c>
      <x:c r="B72" s="17" t="str">
        <x:v>Highland Systems</x:v>
      </x:c>
      <x:c r="C72" s="17" t="str">
        <x:v>Logistics Automation</x:v>
      </x:c>
      <x:c r="D72" s="17" t="str">
        <x:v>Canada</x:v>
      </x:c>
      <x:c r="E72" s="18" t="n">
        <x:v>267</x:v>
      </x:c>
      <x:c r="F72" s="18" t="n">
        <x:v>642087.71</x:v>
      </x:c>
      <x:c r="G72" s="18" t="n">
        <x:v>440085.45</x:v>
      </x:c>
      <x:c r="H72" s="18" t="n">
        <x:v>202002.26</x:v>
      </x:c>
      <x:c r="I72" s="18" t="n">
        <x:v>0.314602</x:v>
      </x:c>
    </x:row>
    <x:row r="73">
      <x:c r="A73" s="17" t="str">
        <x:v>CUST-0221</x:v>
      </x:c>
      <x:c r="B73" s="17" t="str">
        <x:v>Meridian Process Solutions</x:v>
      </x:c>
      <x:c r="C73" s="17" t="str">
        <x:v>General Industrial</x:v>
      </x:c>
      <x:c r="D73" s="17" t="str">
        <x:v>Northeast</x:v>
      </x:c>
      <x:c r="E73" s="18" t="n">
        <x:v>274</x:v>
      </x:c>
      <x:c r="F73" s="18" t="n">
        <x:v>641763.81</x:v>
      </x:c>
      <x:c r="G73" s="18" t="n">
        <x:v>435288.82</x:v>
      </x:c>
      <x:c r="H73" s="18" t="n">
        <x:v>206474.99</x:v>
      </x:c>
      <x:c r="I73" s="18" t="n">
        <x:v>0.32173</x:v>
      </x:c>
    </x:row>
    <x:row r="74">
      <x:c r="A74" s="17" t="str">
        <x:v>CUST-0018</x:v>
      </x:c>
      <x:c r="B74" s="17" t="str">
        <x:v>Keystone Automation</x:v>
      </x:c>
      <x:c r="C74" s="17" t="str">
        <x:v>Packaging Automation</x:v>
      </x:c>
      <x:c r="D74" s="17" t="str">
        <x:v>Midwest</x:v>
      </x:c>
      <x:c r="E74" s="18" t="n">
        <x:v>302</x:v>
      </x:c>
      <x:c r="F74" s="18" t="n">
        <x:v>640114.5</x:v>
      </x:c>
      <x:c r="G74" s="18" t="n">
        <x:v>444267.04</x:v>
      </x:c>
      <x:c r="H74" s="18" t="n">
        <x:v>195847.46</x:v>
      </x:c>
      <x:c r="I74" s="18" t="n">
        <x:v>0.305957</x:v>
      </x:c>
    </x:row>
    <x:row r="75">
      <x:c r="A75" s="17" t="str">
        <x:v>CUST-0155</x:v>
      </x:c>
      <x:c r="B75" s="17" t="str">
        <x:v>Valley Forge Industries</x:v>
      </x:c>
      <x:c r="C75" s="17" t="str">
        <x:v>General Industrial</x:v>
      </x:c>
      <x:c r="D75" s="17" t="str">
        <x:v>Northeast</x:v>
      </x:c>
      <x:c r="E75" s="18" t="n">
        <x:v>311</x:v>
      </x:c>
      <x:c r="F75" s="18" t="n">
        <x:v>635983.5</x:v>
      </x:c>
      <x:c r="G75" s="18" t="n">
        <x:v>447643.02</x:v>
      </x:c>
      <x:c r="H75" s="18" t="n">
        <x:v>188340.48</x:v>
      </x:c>
      <x:c r="I75" s="18" t="n">
        <x:v>0.296141</x:v>
      </x:c>
    </x:row>
    <x:row r="76">
      <x:c r="A76" s="17" t="str">
        <x:v>CUST-0132</x:v>
      </x:c>
      <x:c r="B76" s="17" t="str">
        <x:v>Frontier Industries</x:v>
      </x:c>
      <x:c r="C76" s="17" t="str">
        <x:v>Packaging Automation</x:v>
      </x:c>
      <x:c r="D76" s="17" t="str">
        <x:v>Midwest</x:v>
      </x:c>
      <x:c r="E76" s="18" t="n">
        <x:v>362</x:v>
      </x:c>
      <x:c r="F76" s="18" t="n">
        <x:v>634386.56</x:v>
      </x:c>
      <x:c r="G76" s="18" t="n">
        <x:v>435831.26</x:v>
      </x:c>
      <x:c r="H76" s="18" t="n">
        <x:v>198555.3</x:v>
      </x:c>
      <x:c r="I76" s="18" t="n">
        <x:v>0.312988</x:v>
      </x:c>
    </x:row>
    <x:row r="77">
      <x:c r="A77" s="17" t="str">
        <x:v>CUST-0111</x:v>
      </x:c>
      <x:c r="B77" s="17" t="str">
        <x:v>Silverline Equipment</x:v>
      </x:c>
      <x:c r="C77" s="17" t="str">
        <x:v>Water &amp; Wastewater</x:v>
      </x:c>
      <x:c r="D77" s="17" t="str">
        <x:v>Southwest</x:v>
      </x:c>
      <x:c r="E77" s="18" t="n">
        <x:v>232</x:v>
      </x:c>
      <x:c r="F77" s="18" t="n">
        <x:v>633366.76</x:v>
      </x:c>
      <x:c r="G77" s="18" t="n">
        <x:v>429751.92</x:v>
      </x:c>
      <x:c r="H77" s="18" t="n">
        <x:v>203614.84</x:v>
      </x:c>
      <x:c r="I77" s="18" t="n">
        <x:v>0.32148</x:v>
      </x:c>
    </x:row>
    <x:row r="78">
      <x:c r="A78" s="17" t="str">
        <x:v>CUST-0004</x:v>
      </x:c>
      <x:c r="B78" s="17" t="str">
        <x:v>Bluewater Automation</x:v>
      </x:c>
      <x:c r="C78" s="17" t="str">
        <x:v>Forest Products</x:v>
      </x:c>
      <x:c r="D78" s="17" t="str">
        <x:v>Southeast</x:v>
      </x:c>
      <x:c r="E78" s="18" t="n">
        <x:v>331</x:v>
      </x:c>
      <x:c r="F78" s="18" t="n">
        <x:v>632272.2</x:v>
      </x:c>
      <x:c r="G78" s="18" t="n">
        <x:v>426244.44</x:v>
      </x:c>
      <x:c r="H78" s="18" t="n">
        <x:v>206027.76</x:v>
      </x:c>
      <x:c r="I78" s="18" t="n">
        <x:v>0.325853</x:v>
      </x:c>
    </x:row>
    <x:row r="79">
      <x:c r="A79" s="17" t="str">
        <x:v>CUST-0174</x:v>
      </x:c>
      <x:c r="B79" s="17" t="str">
        <x:v>Harbor Engineering</x:v>
      </x:c>
      <x:c r="C79" s="17" t="str">
        <x:v>Packaging Automation</x:v>
      </x:c>
      <x:c r="D79" s="17" t="str">
        <x:v>Midwest</x:v>
      </x:c>
      <x:c r="E79" s="18" t="n">
        <x:v>263</x:v>
      </x:c>
      <x:c r="F79" s="18" t="n">
        <x:v>631727.53</x:v>
      </x:c>
      <x:c r="G79" s="18" t="n">
        <x:v>429726.9</x:v>
      </x:c>
      <x:c r="H79" s="18" t="n">
        <x:v>202000.63</x:v>
      </x:c>
      <x:c r="I79" s="18" t="n">
        <x:v>0.319759</x:v>
      </x:c>
    </x:row>
    <x:row r="80">
      <x:c r="A80" s="17" t="str">
        <x:v>CUST-0190</x:v>
      </x:c>
      <x:c r="B80" s="17" t="str">
        <x:v>Rockford Engineering</x:v>
      </x:c>
      <x:c r="C80" s="17" t="str">
        <x:v>Forest Products</x:v>
      </x:c>
      <x:c r="D80" s="17" t="str">
        <x:v>Southeast</x:v>
      </x:c>
      <x:c r="E80" s="18" t="n">
        <x:v>331</x:v>
      </x:c>
      <x:c r="F80" s="18" t="n">
        <x:v>631286.58</x:v>
      </x:c>
      <x:c r="G80" s="18" t="n">
        <x:v>431697.69</x:v>
      </x:c>
      <x:c r="H80" s="18" t="n">
        <x:v>199588.89</x:v>
      </x:c>
      <x:c r="I80" s="18" t="n">
        <x:v>0.316162</x:v>
      </x:c>
    </x:row>
    <x:row r="81">
      <x:c r="A81" s="17" t="str">
        <x:v>CUST-0104</x:v>
      </x:c>
      <x:c r="B81" s="17" t="str">
        <x:v>Oakmont Equipment</x:v>
      </x:c>
      <x:c r="C81" s="17" t="str">
        <x:v>Food &amp; Beverage Equipment</x:v>
      </x:c>
      <x:c r="D81" s="17" t="str">
        <x:v>West</x:v>
      </x:c>
      <x:c r="E81" s="18" t="n">
        <x:v>364</x:v>
      </x:c>
      <x:c r="F81" s="18" t="n">
        <x:v>630859.15</x:v>
      </x:c>
      <x:c r="G81" s="18" t="n">
        <x:v>425962.83</x:v>
      </x:c>
      <x:c r="H81" s="18" t="n">
        <x:v>204896.32</x:v>
      </x:c>
      <x:c r="I81" s="18" t="n">
        <x:v>0.324789</x:v>
      </x:c>
    </x:row>
    <x:row r="82">
      <x:c r="A82" s="17" t="str">
        <x:v>CUST-0127</x:v>
      </x:c>
      <x:c r="B82" s="17" t="str">
        <x:v>Crescent Industries</x:v>
      </x:c>
      <x:c r="C82" s="17" t="str">
        <x:v>Logistics Automation</x:v>
      </x:c>
      <x:c r="D82" s="17" t="str">
        <x:v>Canada</x:v>
      </x:c>
      <x:c r="E82" s="18" t="n">
        <x:v>272</x:v>
      </x:c>
      <x:c r="F82" s="18" t="n">
        <x:v>627714.98</x:v>
      </x:c>
      <x:c r="G82" s="18" t="n">
        <x:v>430644.55</x:v>
      </x:c>
      <x:c r="H82" s="18" t="n">
        <x:v>197070.43</x:v>
      </x:c>
      <x:c r="I82" s="18" t="n">
        <x:v>0.313949</x:v>
      </x:c>
    </x:row>
    <x:row r="83">
      <x:c r="A83" s="17" t="str">
        <x:v>CUST-0119</x:v>
      </x:c>
      <x:c r="B83" s="17" t="str">
        <x:v>Windward Equipment</x:v>
      </x:c>
      <x:c r="C83" s="17" t="str">
        <x:v>General Industrial</x:v>
      </x:c>
      <x:c r="D83" s="17" t="str">
        <x:v>Northeast</x:v>
      </x:c>
      <x:c r="E83" s="18" t="n">
        <x:v>289</x:v>
      </x:c>
      <x:c r="F83" s="18" t="n">
        <x:v>626098.18</x:v>
      </x:c>
      <x:c r="G83" s="18" t="n">
        <x:v>433437.88</x:v>
      </x:c>
      <x:c r="H83" s="18" t="n">
        <x:v>192660.3</x:v>
      </x:c>
      <x:c r="I83" s="18" t="n">
        <x:v>0.307716</x:v>
      </x:c>
    </x:row>
    <x:row r="84">
      <x:c r="A84" s="17" t="str">
        <x:v>CUST-0116</x:v>
      </x:c>
      <x:c r="B84" s="17" t="str">
        <x:v>Vector Equipment</x:v>
      </x:c>
      <x:c r="C84" s="17" t="str">
        <x:v>Food &amp; Beverage Equipment</x:v>
      </x:c>
      <x:c r="D84" s="17" t="str">
        <x:v>West</x:v>
      </x:c>
      <x:c r="E84" s="18" t="n">
        <x:v>291</x:v>
      </x:c>
      <x:c r="F84" s="18" t="n">
        <x:v>624503.24</x:v>
      </x:c>
      <x:c r="G84" s="18" t="n">
        <x:v>431390.68</x:v>
      </x:c>
      <x:c r="H84" s="18" t="n">
        <x:v>193112.56</x:v>
      </x:c>
      <x:c r="I84" s="18" t="n">
        <x:v>0.309226</x:v>
      </x:c>
    </x:row>
    <x:row r="85">
      <x:c r="A85" s="17" t="str">
        <x:v>CUST-0167</x:v>
      </x:c>
      <x:c r="B85" s="17" t="str">
        <x:v>Crescent Engineering</x:v>
      </x:c>
      <x:c r="C85" s="17" t="str">
        <x:v>General Industrial</x:v>
      </x:c>
      <x:c r="D85" s="17" t="str">
        <x:v>Northeast</x:v>
      </x:c>
      <x:c r="E85" s="18" t="n">
        <x:v>276</x:v>
      </x:c>
      <x:c r="F85" s="18" t="n">
        <x:v>623268.58</x:v>
      </x:c>
      <x:c r="G85" s="18" t="n">
        <x:v>440070.43</x:v>
      </x:c>
      <x:c r="H85" s="18" t="n">
        <x:v>183198.15</x:v>
      </x:c>
      <x:c r="I85" s="18" t="n">
        <x:v>0.293931</x:v>
      </x:c>
    </x:row>
    <x:row r="86">
      <x:c r="A86" s="17" t="str">
        <x:v>CUST-0007</x:v>
      </x:c>
      <x:c r="B86" s="17" t="str">
        <x:v>Crescent Automation</x:v>
      </x:c>
      <x:c r="C86" s="17" t="str">
        <x:v>Logistics Automation</x:v>
      </x:c>
      <x:c r="D86" s="17" t="str">
        <x:v>Canada</x:v>
      </x:c>
      <x:c r="E86" s="18" t="n">
        <x:v>298</x:v>
      </x:c>
      <x:c r="F86" s="18" t="n">
        <x:v>619129.07</x:v>
      </x:c>
      <x:c r="G86" s="18" t="n">
        <x:v>418845.43</x:v>
      </x:c>
      <x:c r="H86" s="18" t="n">
        <x:v>200283.64</x:v>
      </x:c>
      <x:c r="I86" s="18" t="n">
        <x:v>0.323493</x:v>
      </x:c>
    </x:row>
    <x:row r="87">
      <x:c r="A87" s="17" t="str">
        <x:v>CUST-0164</x:v>
      </x:c>
      <x:c r="B87" s="17" t="str">
        <x:v>Bluewater Engineering</x:v>
      </x:c>
      <x:c r="C87" s="17" t="str">
        <x:v>Food &amp; Beverage Equipment</x:v>
      </x:c>
      <x:c r="D87" s="17" t="str">
        <x:v>West</x:v>
      </x:c>
      <x:c r="E87" s="18" t="n">
        <x:v>219</x:v>
      </x:c>
      <x:c r="F87" s="18" t="n">
        <x:v>618398.72</x:v>
      </x:c>
      <x:c r="G87" s="18" t="n">
        <x:v>423208.13</x:v>
      </x:c>
      <x:c r="H87" s="18" t="n">
        <x:v>195190.59</x:v>
      </x:c>
      <x:c r="I87" s="18" t="n">
        <x:v>0.315639</x:v>
      </x:c>
    </x:row>
    <x:row r="88">
      <x:c r="A88" s="17" t="str">
        <x:v>CUST-0074</x:v>
      </x:c>
      <x:c r="B88" s="17" t="str">
        <x:v>Triad Systems</x:v>
      </x:c>
      <x:c r="C88" s="17" t="str">
        <x:v>Food &amp; Beverage Equipment</x:v>
      </x:c>
      <x:c r="D88" s="17" t="str">
        <x:v>West</x:v>
      </x:c>
      <x:c r="E88" s="18" t="n">
        <x:v>421</x:v>
      </x:c>
      <x:c r="F88" s="18" t="n">
        <x:v>617467.9</x:v>
      </x:c>
      <x:c r="G88" s="18" t="n">
        <x:v>421107.89</x:v>
      </x:c>
      <x:c r="H88" s="18" t="n">
        <x:v>196360.01</x:v>
      </x:c>
      <x:c r="I88" s="18" t="n">
        <x:v>0.318008</x:v>
      </x:c>
    </x:row>
    <x:row r="89">
      <x:c r="A89" s="17" t="str">
        <x:v>CUST-0064</x:v>
      </x:c>
      <x:c r="B89" s="17" t="str">
        <x:v>Oakmont Systems</x:v>
      </x:c>
      <x:c r="C89" s="17" t="str">
        <x:v>Forest Products</x:v>
      </x:c>
      <x:c r="D89" s="17" t="str">
        <x:v>Southeast</x:v>
      </x:c>
      <x:c r="E89" s="18" t="n">
        <x:v>254</x:v>
      </x:c>
      <x:c r="F89" s="18" t="n">
        <x:v>617110.51</x:v>
      </x:c>
      <x:c r="G89" s="18" t="n">
        <x:v>409325.26</x:v>
      </x:c>
      <x:c r="H89" s="18" t="n">
        <x:v>207785.25</x:v>
      </x:c>
      <x:c r="I89" s="18" t="n">
        <x:v>0.336707</x:v>
      </x:c>
    </x:row>
    <x:row r="90">
      <x:c r="A90" s="17" t="str">
        <x:v>CUST-0235</x:v>
      </x:c>
      <x:c r="B90" s="17" t="str">
        <x:v>Valley Forge Process Solutions</x:v>
      </x:c>
      <x:c r="C90" s="17" t="str">
        <x:v>Logistics Automation</x:v>
      </x:c>
      <x:c r="D90" s="17" t="str">
        <x:v>Canada</x:v>
      </x:c>
      <x:c r="E90" s="18" t="n">
        <x:v>358</x:v>
      </x:c>
      <x:c r="F90" s="18" t="n">
        <x:v>614593.23</x:v>
      </x:c>
      <x:c r="G90" s="18" t="n">
        <x:v>426349.69</x:v>
      </x:c>
      <x:c r="H90" s="18" t="n">
        <x:v>188243.54</x:v>
      </x:c>
      <x:c r="I90" s="18" t="n">
        <x:v>0.30629</x:v>
      </x:c>
    </x:row>
    <x:row r="91">
      <x:c r="A91" s="17" t="str">
        <x:v>CUST-0015</x:v>
      </x:c>
      <x:c r="B91" s="17" t="str">
        <x:v>Highland Automation</x:v>
      </x:c>
      <x:c r="C91" s="17" t="str">
        <x:v>Water &amp; Wastewater</x:v>
      </x:c>
      <x:c r="D91" s="17" t="str">
        <x:v>Southwest</x:v>
      </x:c>
      <x:c r="E91" s="18" t="n">
        <x:v>326</x:v>
      </x:c>
      <x:c r="F91" s="18" t="n">
        <x:v>612105.99</x:v>
      </x:c>
      <x:c r="G91" s="18" t="n">
        <x:v>431294.09</x:v>
      </x:c>
      <x:c r="H91" s="18" t="n">
        <x:v>180811.9</x:v>
      </x:c>
      <x:c r="I91" s="18" t="n">
        <x:v>0.295393</x:v>
      </x:c>
    </x:row>
    <x:row r="92">
      <x:c r="A92" s="17" t="str">
        <x:v>CUST-0238</x:v>
      </x:c>
      <x:c r="B92" s="17" t="str">
        <x:v>Willow Creek Process Solutions</x:v>
      </x:c>
      <x:c r="C92" s="17" t="str">
        <x:v>Forest Products</x:v>
      </x:c>
      <x:c r="D92" s="17" t="str">
        <x:v>Southeast</x:v>
      </x:c>
      <x:c r="E92" s="18" t="n">
        <x:v>270</x:v>
      </x:c>
      <x:c r="F92" s="18" t="n">
        <x:v>606095.75</x:v>
      </x:c>
      <x:c r="G92" s="18" t="n">
        <x:v>417373.65</x:v>
      </x:c>
      <x:c r="H92" s="18" t="n">
        <x:v>188722.1</x:v>
      </x:c>
      <x:c r="I92" s="18" t="n">
        <x:v>0.311373</x:v>
      </x:c>
    </x:row>
    <x:row r="93">
      <x:c r="A93" s="17" t="str">
        <x:v>CUST-0231</x:v>
      </x:c>
      <x:c r="B93" s="17" t="str">
        <x:v>Silverline Process Solutions</x:v>
      </x:c>
      <x:c r="C93" s="17" t="str">
        <x:v>Water &amp; Wastewater</x:v>
      </x:c>
      <x:c r="D93" s="17" t="str">
        <x:v>Southwest</x:v>
      </x:c>
      <x:c r="E93" s="18" t="n">
        <x:v>298</x:v>
      </x:c>
      <x:c r="F93" s="18" t="n">
        <x:v>605804.26</x:v>
      </x:c>
      <x:c r="G93" s="18" t="n">
        <x:v>411969.71</x:v>
      </x:c>
      <x:c r="H93" s="18" t="n">
        <x:v>193834.55</x:v>
      </x:c>
      <x:c r="I93" s="18" t="n">
        <x:v>0.319962</x:v>
      </x:c>
    </x:row>
    <x:row r="94">
      <x:c r="A94" s="17" t="str">
        <x:v>CUST-0020</x:v>
      </x:c>
      <x:c r="B94" s="17" t="str">
        <x:v>Maple Ridge Automation</x:v>
      </x:c>
      <x:c r="C94" s="17" t="str">
        <x:v>Food &amp; Beverage Equipment</x:v>
      </x:c>
      <x:c r="D94" s="17" t="str">
        <x:v>West</x:v>
      </x:c>
      <x:c r="E94" s="18" t="n">
        <x:v>329</x:v>
      </x:c>
      <x:c r="F94" s="18" t="n">
        <x:v>604795.39</x:v>
      </x:c>
      <x:c r="G94" s="18" t="n">
        <x:v>427829.55</x:v>
      </x:c>
      <x:c r="H94" s="18" t="n">
        <x:v>176965.84</x:v>
      </x:c>
      <x:c r="I94" s="18" t="n">
        <x:v>0.292604</x:v>
      </x:c>
    </x:row>
    <x:row r="95">
      <x:c r="A95" s="17" t="str">
        <x:v>CUST-0067</x:v>
      </x:c>
      <x:c r="B95" s="17" t="str">
        <x:v>Prairie State Systems</x:v>
      </x:c>
      <x:c r="C95" s="17" t="str">
        <x:v>Logistics Automation</x:v>
      </x:c>
      <x:c r="D95" s="17" t="str">
        <x:v>Canada</x:v>
      </x:c>
      <x:c r="E95" s="18" t="n">
        <x:v>276</x:v>
      </x:c>
      <x:c r="F95" s="18" t="n">
        <x:v>602918.19</x:v>
      </x:c>
      <x:c r="G95" s="18" t="n">
        <x:v>396900.04</x:v>
      </x:c>
      <x:c r="H95" s="18" t="n">
        <x:v>206018.15</x:v>
      </x:c>
      <x:c r="I95" s="18" t="n">
        <x:v>0.341702</x:v>
      </x:c>
    </x:row>
    <x:row r="96">
      <x:c r="A96" s="17" t="str">
        <x:v>CUST-0017</x:v>
      </x:c>
      <x:c r="B96" s="17" t="str">
        <x:v>Juniper Automation</x:v>
      </x:c>
      <x:c r="C96" s="17" t="str">
        <x:v>General Industrial</x:v>
      </x:c>
      <x:c r="D96" s="17" t="str">
        <x:v>Northeast</x:v>
      </x:c>
      <x:c r="E96" s="18" t="n">
        <x:v>276</x:v>
      </x:c>
      <x:c r="F96" s="18" t="n">
        <x:v>600243.75</x:v>
      </x:c>
      <x:c r="G96" s="18" t="n">
        <x:v>413739.21</x:v>
      </x:c>
      <x:c r="H96" s="18" t="n">
        <x:v>186504.54</x:v>
      </x:c>
      <x:c r="I96" s="18" t="n">
        <x:v>0.310715</x:v>
      </x:c>
    </x:row>
    <x:row r="97">
      <x:c r="A97" s="17" t="str">
        <x:v>CUST-0078</x:v>
      </x:c>
      <x:c r="B97" s="17" t="str">
        <x:v>Willow Creek Systems</x:v>
      </x:c>
      <x:c r="C97" s="17" t="str">
        <x:v>Packaging Automation</x:v>
      </x:c>
      <x:c r="D97" s="17" t="str">
        <x:v>Midwest</x:v>
      </x:c>
      <x:c r="E97" s="18" t="n">
        <x:v>282</x:v>
      </x:c>
      <x:c r="F97" s="18" t="n">
        <x:v>599300.79</x:v>
      </x:c>
      <x:c r="G97" s="18" t="n">
        <x:v>417474.65</x:v>
      </x:c>
      <x:c r="H97" s="18" t="n">
        <x:v>181826.14</x:v>
      </x:c>
      <x:c r="I97" s="18" t="n">
        <x:v>0.303397</x:v>
      </x:c>
    </x:row>
    <x:row r="98">
      <x:c r="A98" s="17" t="str">
        <x:v>CUST-0191</x:v>
      </x:c>
      <x:c r="B98" s="17" t="str">
        <x:v>Silverline Engineering</x:v>
      </x:c>
      <x:c r="C98" s="17" t="str">
        <x:v>General Industrial</x:v>
      </x:c>
      <x:c r="D98" s="17" t="str">
        <x:v>Northeast</x:v>
      </x:c>
      <x:c r="E98" s="18" t="n">
        <x:v>262</x:v>
      </x:c>
      <x:c r="F98" s="18" t="n">
        <x:v>596472.08</x:v>
      </x:c>
      <x:c r="G98" s="18" t="n">
        <x:v>401528.34</x:v>
      </x:c>
      <x:c r="H98" s="18" t="n">
        <x:v>194943.74</x:v>
      </x:c>
      <x:c r="I98" s="18" t="n">
        <x:v>0.326828</x:v>
      </x:c>
    </x:row>
    <x:row r="99">
      <x:c r="A99" s="17" t="str">
        <x:v>CUST-0008</x:v>
      </x:c>
      <x:c r="B99" s="17" t="str">
        <x:v>Delta Automation</x:v>
      </x:c>
      <x:c r="C99" s="17" t="str">
        <x:v>Food &amp; Beverage Equipment</x:v>
      </x:c>
      <x:c r="D99" s="17" t="str">
        <x:v>West</x:v>
      </x:c>
      <x:c r="E99" s="18" t="n">
        <x:v>344</x:v>
      </x:c>
      <x:c r="F99" s="18" t="n">
        <x:v>595597.45</x:v>
      </x:c>
      <x:c r="G99" s="18" t="n">
        <x:v>413655.48</x:v>
      </x:c>
      <x:c r="H99" s="18" t="n">
        <x:v>181941.97</x:v>
      </x:c>
      <x:c r="I99" s="18" t="n">
        <x:v>0.305478</x:v>
      </x:c>
    </x:row>
    <x:row r="100">
      <x:c r="A100" s="17" t="str">
        <x:v>CUST-0082</x:v>
      </x:c>
      <x:c r="B100" s="17" t="str">
        <x:v>Arbor Ridge Equipment</x:v>
      </x:c>
      <x:c r="C100" s="17" t="str">
        <x:v>Forest Products</x:v>
      </x:c>
      <x:c r="D100" s="17" t="str">
        <x:v>Southeast</x:v>
      </x:c>
      <x:c r="E100" s="18" t="n">
        <x:v>329</x:v>
      </x:c>
      <x:c r="F100" s="18" t="n">
        <x:v>595489.24</x:v>
      </x:c>
      <x:c r="G100" s="18" t="n">
        <x:v>396270.54</x:v>
      </x:c>
      <x:c r="H100" s="18" t="n">
        <x:v>199218.7</x:v>
      </x:c>
      <x:c r="I100" s="18" t="n">
        <x:v>0.334546</x:v>
      </x:c>
    </x:row>
    <x:row r="101">
      <x:c r="A101" s="17" t="str">
        <x:v>CUST-0056</x:v>
      </x:c>
      <x:c r="B101" s="17" t="str">
        <x:v>Ironwood Systems</x:v>
      </x:c>
      <x:c r="C101" s="17" t="str">
        <x:v>Food &amp; Beverage Equipment</x:v>
      </x:c>
      <x:c r="D101" s="17" t="str">
        <x:v>West</x:v>
      </x:c>
      <x:c r="E101" s="18" t="n">
        <x:v>311</x:v>
      </x:c>
      <x:c r="F101" s="18" t="n">
        <x:v>594431.89</x:v>
      </x:c>
      <x:c r="G101" s="18" t="n">
        <x:v>403601.53</x:v>
      </x:c>
      <x:c r="H101" s="18" t="n">
        <x:v>190830.36</x:v>
      </x:c>
      <x:c r="I101" s="18" t="n">
        <x:v>0.32103</x:v>
      </x:c>
    </x:row>
    <x:row r="102">
      <x:c r="A102" s="17" t="str">
        <x:v>CUST-0224</x:v>
      </x:c>
      <x:c r="B102" s="17" t="str">
        <x:v>Oakmont Process Solutions</x:v>
      </x:c>
      <x:c r="C102" s="17" t="str">
        <x:v>Food &amp; Beverage Equipment</x:v>
      </x:c>
      <x:c r="D102" s="17" t="str">
        <x:v>West</x:v>
      </x:c>
      <x:c r="E102" s="18" t="n">
        <x:v>234</x:v>
      </x:c>
      <x:c r="F102" s="18" t="n">
        <x:v>593199.04</x:v>
      </x:c>
      <x:c r="G102" s="18" t="n">
        <x:v>409569.1</x:v>
      </x:c>
      <x:c r="H102" s="18" t="n">
        <x:v>183629.94</x:v>
      </x:c>
      <x:c r="I102" s="18" t="n">
        <x:v>0.309559</x:v>
      </x:c>
    </x:row>
    <x:row r="103">
      <x:c r="A103" s="17" t="str">
        <x:v>CUST-0117</x:v>
      </x:c>
      <x:c r="B103" s="17" t="str">
        <x:v>Westbridge Equipment</x:v>
      </x:c>
      <x:c r="C103" s="17" t="str">
        <x:v>Water &amp; Wastewater</x:v>
      </x:c>
      <x:c r="D103" s="17" t="str">
        <x:v>Southwest</x:v>
      </x:c>
      <x:c r="E103" s="18" t="n">
        <x:v>298</x:v>
      </x:c>
      <x:c r="F103" s="18" t="n">
        <x:v>590830.93</x:v>
      </x:c>
      <x:c r="G103" s="18" t="n">
        <x:v>406951.45</x:v>
      </x:c>
      <x:c r="H103" s="18" t="n">
        <x:v>183879.48</x:v>
      </x:c>
      <x:c r="I103" s="18" t="n">
        <x:v>0.311222</x:v>
      </x:c>
    </x:row>
    <x:row r="104">
      <x:c r="A104" s="17" t="str">
        <x:v>CUST-0096</x:v>
      </x:c>
      <x:c r="B104" s="17" t="str">
        <x:v>Ironwood Equipment</x:v>
      </x:c>
      <x:c r="C104" s="17" t="str">
        <x:v>Packaging Automation</x:v>
      </x:c>
      <x:c r="D104" s="17" t="str">
        <x:v>Midwest</x:v>
      </x:c>
      <x:c r="E104" s="18" t="n">
        <x:v>221</x:v>
      </x:c>
      <x:c r="F104" s="18" t="n">
        <x:v>590053.68</x:v>
      </x:c>
      <x:c r="G104" s="18" t="n">
        <x:v>397778.14</x:v>
      </x:c>
      <x:c r="H104" s="18" t="n">
        <x:v>192275.54</x:v>
      </x:c>
      <x:c r="I104" s="18" t="n">
        <x:v>0.325861</x:v>
      </x:c>
    </x:row>
    <x:row r="105">
      <x:c r="A105" s="17" t="str">
        <x:v>CUST-0154</x:v>
      </x:c>
      <x:c r="B105" s="17" t="str">
        <x:v>Triad Industries</x:v>
      </x:c>
      <x:c r="C105" s="17" t="str">
        <x:v>Forest Products</x:v>
      </x:c>
      <x:c r="D105" s="17" t="str">
        <x:v>Southeast</x:v>
      </x:c>
      <x:c r="E105" s="18" t="n">
        <x:v>199</x:v>
      </x:c>
      <x:c r="F105" s="18" t="n">
        <x:v>585794.51</x:v>
      </x:c>
      <x:c r="G105" s="18" t="n">
        <x:v>364221.86</x:v>
      </x:c>
      <x:c r="H105" s="18" t="n">
        <x:v>221572.65</x:v>
      </x:c>
      <x:c r="I105" s="18" t="n">
        <x:v>0.378243</x:v>
      </x:c>
    </x:row>
    <x:row r="106">
      <x:c r="A106" s="17" t="str">
        <x:v>CUST-0033</x:v>
      </x:c>
      <x:c r="B106" s="17" t="str">
        <x:v>Timberline Automation</x:v>
      </x:c>
      <x:c r="C106" s="17" t="str">
        <x:v>Water &amp; Wastewater</x:v>
      </x:c>
      <x:c r="D106" s="17" t="str">
        <x:v>Southwest</x:v>
      </x:c>
      <x:c r="E106" s="18" t="n">
        <x:v>282</x:v>
      </x:c>
      <x:c r="F106" s="18" t="n">
        <x:v>583564.53</x:v>
      </x:c>
      <x:c r="G106" s="18" t="n">
        <x:v>394127.52</x:v>
      </x:c>
      <x:c r="H106" s="18" t="n">
        <x:v>189437.01</x:v>
      </x:c>
      <x:c r="I106" s="18" t="n">
        <x:v>0.324621</x:v>
      </x:c>
    </x:row>
    <x:row r="107">
      <x:c r="A107" s="17" t="str">
        <x:v>CUST-0156</x:v>
      </x:c>
      <x:c r="B107" s="17" t="str">
        <x:v>Vector Industries</x:v>
      </x:c>
      <x:c r="C107" s="17" t="str">
        <x:v>Packaging Automation</x:v>
      </x:c>
      <x:c r="D107" s="17" t="str">
        <x:v>Midwest</x:v>
      </x:c>
      <x:c r="E107" s="18" t="n">
        <x:v>192</x:v>
      </x:c>
      <x:c r="F107" s="18" t="n">
        <x:v>581795.15</x:v>
      </x:c>
      <x:c r="G107" s="18" t="n">
        <x:v>389031.5</x:v>
      </x:c>
      <x:c r="H107" s="18" t="n">
        <x:v>192763.65</x:v>
      </x:c>
      <x:c r="I107" s="18" t="n">
        <x:v>0.331326</x:v>
      </x:c>
    </x:row>
    <x:row r="108">
      <x:c r="A108" s="17" t="str">
        <x:v>CUST-0173</x:v>
      </x:c>
      <x:c r="B108" s="17" t="str">
        <x:v>Granite Engineering</x:v>
      </x:c>
      <x:c r="C108" s="17" t="str">
        <x:v>General Industrial</x:v>
      </x:c>
      <x:c r="D108" s="17" t="str">
        <x:v>Northeast</x:v>
      </x:c>
      <x:c r="E108" s="18" t="n">
        <x:v>272</x:v>
      </x:c>
      <x:c r="F108" s="18" t="n">
        <x:v>581114.6</x:v>
      </x:c>
      <x:c r="G108" s="18" t="n">
        <x:v>396538.97</x:v>
      </x:c>
      <x:c r="H108" s="18" t="n">
        <x:v>184575.63</x:v>
      </x:c>
      <x:c r="I108" s="18" t="n">
        <x:v>0.317623</x:v>
      </x:c>
    </x:row>
    <x:row r="109">
      <x:c r="A109" s="17" t="str">
        <x:v>CUST-0184</x:v>
      </x:c>
      <x:c r="B109" s="17" t="str">
        <x:v>Oakmont Engineering</x:v>
      </x:c>
      <x:c r="C109" s="17" t="str">
        <x:v>Forest Products</x:v>
      </x:c>
      <x:c r="D109" s="17" t="str">
        <x:v>Southeast</x:v>
      </x:c>
      <x:c r="E109" s="18" t="n">
        <x:v>333</x:v>
      </x:c>
      <x:c r="F109" s="18" t="n">
        <x:v>575372.03</x:v>
      </x:c>
      <x:c r="G109" s="18" t="n">
        <x:v>387795.98</x:v>
      </x:c>
      <x:c r="H109" s="18" t="n">
        <x:v>187576.05</x:v>
      </x:c>
      <x:c r="I109" s="18" t="n">
        <x:v>0.326008</x:v>
      </x:c>
    </x:row>
    <x:row r="110">
      <x:c r="A110" s="17" t="str">
        <x:v>CUST-0121</x:v>
      </x:c>
      <x:c r="B110" s="17" t="str">
        <x:v>Apex Industries</x:v>
      </x:c>
      <x:c r="C110" s="17" t="str">
        <x:v>Logistics Automation</x:v>
      </x:c>
      <x:c r="D110" s="17" t="str">
        <x:v>Canada</x:v>
      </x:c>
      <x:c r="E110" s="18" t="n">
        <x:v>221</x:v>
      </x:c>
      <x:c r="F110" s="18" t="n">
        <x:v>572529.62</x:v>
      </x:c>
      <x:c r="G110" s="18" t="n">
        <x:v>379860.32</x:v>
      </x:c>
      <x:c r="H110" s="18" t="n">
        <x:v>192669.3</x:v>
      </x:c>
      <x:c r="I110" s="18" t="n">
        <x:v>0.336523</x:v>
      </x:c>
    </x:row>
    <x:row r="111">
      <x:c r="A111" s="17" t="str">
        <x:v>CUST-0122</x:v>
      </x:c>
      <x:c r="B111" s="17" t="str">
        <x:v>Arbor Ridge Industries</x:v>
      </x:c>
      <x:c r="C111" s="17" t="str">
        <x:v>Food &amp; Beverage Equipment</x:v>
      </x:c>
      <x:c r="D111" s="17" t="str">
        <x:v>West</x:v>
      </x:c>
      <x:c r="E111" s="18" t="n">
        <x:v>342</x:v>
      </x:c>
      <x:c r="F111" s="18" t="n">
        <x:v>572434.42</x:v>
      </x:c>
      <x:c r="G111" s="18" t="n">
        <x:v>397457.82</x:v>
      </x:c>
      <x:c r="H111" s="18" t="n">
        <x:v>174976.6</x:v>
      </x:c>
      <x:c r="I111" s="18" t="n">
        <x:v>0.305671</x:v>
      </x:c>
    </x:row>
    <x:row r="112">
      <x:c r="A112" s="17" t="str">
        <x:v>CUST-0106</x:v>
      </x:c>
      <x:c r="B112" s="17" t="str">
        <x:v>Pioneer Equipment</x:v>
      </x:c>
      <x:c r="C112" s="17" t="str">
        <x:v>Forest Products</x:v>
      </x:c>
      <x:c r="D112" s="17" t="str">
        <x:v>Southeast</x:v>
      </x:c>
      <x:c r="E112" s="18" t="n">
        <x:v>257</x:v>
      </x:c>
      <x:c r="F112" s="18" t="n">
        <x:v>570832.8</x:v>
      </x:c>
      <x:c r="G112" s="18" t="n">
        <x:v>391889.03</x:v>
      </x:c>
      <x:c r="H112" s="18" t="n">
        <x:v>178943.77</x:v>
      </x:c>
      <x:c r="I112" s="18" t="n">
        <x:v>0.313478</x:v>
      </x:c>
    </x:row>
    <x:row r="113">
      <x:c r="A113" s="17" t="str">
        <x:v>CUST-0233</x:v>
      </x:c>
      <x:c r="B113" s="17" t="str">
        <x:v>Timberline Process Solutions</x:v>
      </x:c>
      <x:c r="C113" s="17" t="str">
        <x:v>General Industrial</x:v>
      </x:c>
      <x:c r="D113" s="17" t="str">
        <x:v>Northeast</x:v>
      </x:c>
      <x:c r="E113" s="18" t="n">
        <x:v>289</x:v>
      </x:c>
      <x:c r="F113" s="18" t="n">
        <x:v>569108.02</x:v>
      </x:c>
      <x:c r="G113" s="18" t="n">
        <x:v>383776.66</x:v>
      </x:c>
      <x:c r="H113" s="18" t="n">
        <x:v>185331.36</x:v>
      </x:c>
      <x:c r="I113" s="18" t="n">
        <x:v>0.325652</x:v>
      </x:c>
    </x:row>
    <x:row r="114">
      <x:c r="A114" s="17" t="str">
        <x:v>CUST-0080</x:v>
      </x:c>
      <x:c r="B114" s="17" t="str">
        <x:v>Woodland Systems</x:v>
      </x:c>
      <x:c r="C114" s="17" t="str">
        <x:v>Food &amp; Beverage Equipment</x:v>
      </x:c>
      <x:c r="D114" s="17" t="str">
        <x:v>West</x:v>
      </x:c>
      <x:c r="E114" s="18" t="n">
        <x:v>278</x:v>
      </x:c>
      <x:c r="F114" s="18" t="n">
        <x:v>568879.89</x:v>
      </x:c>
      <x:c r="G114" s="18" t="n">
        <x:v>409534.98</x:v>
      </x:c>
      <x:c r="H114" s="18" t="n">
        <x:v>159344.91</x:v>
      </x:c>
      <x:c r="I114" s="18" t="n">
        <x:v>0.280103</x:v>
      </x:c>
    </x:row>
    <x:row r="115">
      <x:c r="A115" s="17" t="str">
        <x:v>CUST-0218</x:v>
      </x:c>
      <x:c r="B115" s="17" t="str">
        <x:v>Keystone Process Solutions</x:v>
      </x:c>
      <x:c r="C115" s="17" t="str">
        <x:v>Food &amp; Beverage Equipment</x:v>
      </x:c>
      <x:c r="D115" s="17" t="str">
        <x:v>West</x:v>
      </x:c>
      <x:c r="E115" s="18" t="n">
        <x:v>311</x:v>
      </x:c>
      <x:c r="F115" s="18" t="n">
        <x:v>566130.71</x:v>
      </x:c>
      <x:c r="G115" s="18" t="n">
        <x:v>390701.69</x:v>
      </x:c>
      <x:c r="H115" s="18" t="n">
        <x:v>175429.02</x:v>
      </x:c>
      <x:c r="I115" s="18" t="n">
        <x:v>0.309874</x:v>
      </x:c>
    </x:row>
    <x:row r="116">
      <x:c r="A116" s="17" t="str">
        <x:v>CUST-0177</x:v>
      </x:c>
      <x:c r="B116" s="17" t="str">
        <x:v>Juniper Engineering</x:v>
      </x:c>
      <x:c r="C116" s="17" t="str">
        <x:v>Water &amp; Wastewater</x:v>
      </x:c>
      <x:c r="D116" s="17" t="str">
        <x:v>Southwest</x:v>
      </x:c>
      <x:c r="E116" s="18" t="n">
        <x:v>314</x:v>
      </x:c>
      <x:c r="F116" s="18" t="n">
        <x:v>560759.2</x:v>
      </x:c>
      <x:c r="G116" s="18" t="n">
        <x:v>378915.84</x:v>
      </x:c>
      <x:c r="H116" s="18" t="n">
        <x:v>181843.36</x:v>
      </x:c>
      <x:c r="I116" s="18" t="n">
        <x:v>0.324281</x:v>
      </x:c>
    </x:row>
    <x:row r="117">
      <x:c r="A117" s="17" t="str">
        <x:v>CUST-0219</x:v>
      </x:c>
      <x:c r="B117" s="17" t="str">
        <x:v>Lakeshore Process Solutions</x:v>
      </x:c>
      <x:c r="C117" s="17" t="str">
        <x:v>Water &amp; Wastewater</x:v>
      </x:c>
      <x:c r="D117" s="17" t="str">
        <x:v>Southwest</x:v>
      </x:c>
      <x:c r="E117" s="18" t="n">
        <x:v>295</x:v>
      </x:c>
      <x:c r="F117" s="18" t="n">
        <x:v>560490.55</x:v>
      </x:c>
      <x:c r="G117" s="18" t="n">
        <x:v>369929.28</x:v>
      </x:c>
      <x:c r="H117" s="18" t="n">
        <x:v>190561.27</x:v>
      </x:c>
      <x:c r="I117" s="18" t="n">
        <x:v>0.33999</x:v>
      </x:c>
    </x:row>
    <x:row r="118">
      <x:c r="A118" s="17" t="str">
        <x:v>CUST-0240</x:v>
      </x:c>
      <x:c r="B118" s="17" t="str">
        <x:v>Woodland Process Solutions</x:v>
      </x:c>
      <x:c r="C118" s="17" t="str">
        <x:v>Packaging Automation</x:v>
      </x:c>
      <x:c r="D118" s="17" t="str">
        <x:v>Midwest</x:v>
      </x:c>
      <x:c r="E118" s="18" t="n">
        <x:v>274</x:v>
      </x:c>
      <x:c r="F118" s="18" t="n">
        <x:v>558724.04</x:v>
      </x:c>
      <x:c r="G118" s="18" t="n">
        <x:v>395913.75</x:v>
      </x:c>
      <x:c r="H118" s="18" t="n">
        <x:v>162810.29</x:v>
      </x:c>
      <x:c r="I118" s="18" t="n">
        <x:v>0.291397</x:v>
      </x:c>
    </x:row>
    <x:row r="119">
      <x:c r="A119" s="17" t="str">
        <x:v>CUST-0129</x:v>
      </x:c>
      <x:c r="B119" s="17" t="str">
        <x:v>Eastgate Industries</x:v>
      </x:c>
      <x:c r="C119" s="17" t="str">
        <x:v>Water &amp; Wastewater</x:v>
      </x:c>
      <x:c r="D119" s="17" t="str">
        <x:v>Southwest</x:v>
      </x:c>
      <x:c r="E119" s="18" t="n">
        <x:v>225</x:v>
      </x:c>
      <x:c r="F119" s="18" t="n">
        <x:v>555815.19</x:v>
      </x:c>
      <x:c r="G119" s="18" t="n">
        <x:v>373242.05</x:v>
      </x:c>
      <x:c r="H119" s="18" t="n">
        <x:v>182573.14</x:v>
      </x:c>
      <x:c r="I119" s="18" t="n">
        <x:v>0.328478</x:v>
      </x:c>
    </x:row>
    <x:row r="120">
      <x:c r="A120" s="17" t="str">
        <x:v>CUST-0147</x:v>
      </x:c>
      <x:c r="B120" s="17" t="str">
        <x:v>Prairie State Industries</x:v>
      </x:c>
      <x:c r="C120" s="17" t="str">
        <x:v>Water &amp; Wastewater</x:v>
      </x:c>
      <x:c r="D120" s="17" t="str">
        <x:v>Southwest</x:v>
      </x:c>
      <x:c r="E120" s="18" t="n">
        <x:v>260</x:v>
      </x:c>
      <x:c r="F120" s="18" t="n">
        <x:v>551968.68</x:v>
      </x:c>
      <x:c r="G120" s="18" t="n">
        <x:v>383719.38</x:v>
      </x:c>
      <x:c r="H120" s="18" t="n">
        <x:v>168249.3</x:v>
      </x:c>
      <x:c r="I120" s="18" t="n">
        <x:v>0.304817</x:v>
      </x:c>
    </x:row>
    <x:row r="121">
      <x:c r="A121" s="17" t="str">
        <x:v>CUST-0237</x:v>
      </x:c>
      <x:c r="B121" s="17" t="str">
        <x:v>Westbridge Process Solutions</x:v>
      </x:c>
      <x:c r="C121" s="17" t="str">
        <x:v>Water &amp; Wastewater</x:v>
      </x:c>
      <x:c r="D121" s="17" t="str">
        <x:v>Southwest</x:v>
      </x:c>
      <x:c r="E121" s="18" t="n">
        <x:v>325</x:v>
      </x:c>
      <x:c r="F121" s="18" t="n">
        <x:v>551933.97</x:v>
      </x:c>
      <x:c r="G121" s="18" t="n">
        <x:v>378903.82</x:v>
      </x:c>
      <x:c r="H121" s="18" t="n">
        <x:v>173030.15</x:v>
      </x:c>
      <x:c r="I121" s="18" t="n">
        <x:v>0.313498</x:v>
      </x:c>
    </x:row>
    <x:row r="122">
      <x:c r="A122" s="17" t="str">
        <x:v>CUST-0084</x:v>
      </x:c>
      <x:c r="B122" s="17" t="str">
        <x:v>Bluewater Equipment</x:v>
      </x:c>
      <x:c r="C122" s="17" t="str">
        <x:v>Packaging Automation</x:v>
      </x:c>
      <x:c r="D122" s="17" t="str">
        <x:v>Midwest</x:v>
      </x:c>
      <x:c r="E122" s="18" t="n">
        <x:v>298</x:v>
      </x:c>
      <x:c r="F122" s="18" t="n">
        <x:v>548562.05</x:v>
      </x:c>
      <x:c r="G122" s="18" t="n">
        <x:v>352989.87</x:v>
      </x:c>
      <x:c r="H122" s="18" t="n">
        <x:v>195572.18</x:v>
      </x:c>
      <x:c r="I122" s="18" t="n">
        <x:v>0.356518</x:v>
      </x:c>
    </x:row>
    <x:row r="123">
      <x:c r="A123" s="17" t="str">
        <x:v>CUST-0088</x:v>
      </x:c>
      <x:c r="B123" s="17" t="str">
        <x:v>Delta Equipment</x:v>
      </x:c>
      <x:c r="C123" s="17" t="str">
        <x:v>Forest Products</x:v>
      </x:c>
      <x:c r="D123" s="17" t="str">
        <x:v>Southeast</x:v>
      </x:c>
      <x:c r="E123" s="18" t="n">
        <x:v>276</x:v>
      </x:c>
      <x:c r="F123" s="18" t="n">
        <x:v>547151.57</x:v>
      </x:c>
      <x:c r="G123" s="18" t="n">
        <x:v>381519.88</x:v>
      </x:c>
      <x:c r="H123" s="18" t="n">
        <x:v>165631.69</x:v>
      </x:c>
      <x:c r="I123" s="18" t="n">
        <x:v>0.302716</x:v>
      </x:c>
    </x:row>
    <x:row r="124">
      <x:c r="A124" s="17" t="str">
        <x:v>CUST-0163</x:v>
      </x:c>
      <x:c r="B124" s="17" t="str">
        <x:v>Beacon Engineering</x:v>
      </x:c>
      <x:c r="C124" s="17" t="str">
        <x:v>Logistics Automation</x:v>
      </x:c>
      <x:c r="D124" s="17" t="str">
        <x:v>Canada</x:v>
      </x:c>
      <x:c r="E124" s="18" t="n">
        <x:v>292</x:v>
      </x:c>
      <x:c r="F124" s="18" t="n">
        <x:v>538772.76</x:v>
      </x:c>
      <x:c r="G124" s="18" t="n">
        <x:v>363240.93</x:v>
      </x:c>
      <x:c r="H124" s="18" t="n">
        <x:v>175531.83</x:v>
      </x:c>
      <x:c r="I124" s="18" t="n">
        <x:v>0.325799</x:v>
      </x:c>
    </x:row>
    <x:row r="125">
      <x:c r="A125" s="17" t="str">
        <x:v>CUST-0010</x:v>
      </x:c>
      <x:c r="B125" s="17" t="str">
        <x:v>Evergreen Automation</x:v>
      </x:c>
      <x:c r="C125" s="17" t="str">
        <x:v>Forest Products</x:v>
      </x:c>
      <x:c r="D125" s="17" t="str">
        <x:v>Southeast</x:v>
      </x:c>
      <x:c r="E125" s="18" t="n">
        <x:v>282</x:v>
      </x:c>
      <x:c r="F125" s="18" t="n">
        <x:v>534714.19</x:v>
      </x:c>
      <x:c r="G125" s="18" t="n">
        <x:v>369256.98</x:v>
      </x:c>
      <x:c r="H125" s="18" t="n">
        <x:v>165457.21</x:v>
      </x:c>
      <x:c r="I125" s="18" t="n">
        <x:v>0.309431</x:v>
      </x:c>
    </x:row>
    <x:row r="126">
      <x:c r="A126" s="17" t="str">
        <x:v>CUST-0051</x:v>
      </x:c>
      <x:c r="B126" s="17" t="str">
        <x:v>Fairmont Systems</x:v>
      </x:c>
      <x:c r="C126" s="17" t="str">
        <x:v>Water &amp; Wastewater</x:v>
      </x:c>
      <x:c r="D126" s="17" t="str">
        <x:v>Southwest</x:v>
      </x:c>
      <x:c r="E126" s="18" t="n">
        <x:v>289</x:v>
      </x:c>
      <x:c r="F126" s="18" t="n">
        <x:v>532944.32</x:v>
      </x:c>
      <x:c r="G126" s="18" t="n">
        <x:v>362991.85</x:v>
      </x:c>
      <x:c r="H126" s="18" t="n">
        <x:v>169952.47</x:v>
      </x:c>
      <x:c r="I126" s="18" t="n">
        <x:v>0.318893</x:v>
      </x:c>
    </x:row>
    <x:row r="127">
      <x:c r="A127" s="17" t="str">
        <x:v>CUST-0134</x:v>
      </x:c>
      <x:c r="B127" s="17" t="str">
        <x:v>Harbor Industries</x:v>
      </x:c>
      <x:c r="C127" s="17" t="str">
        <x:v>Food &amp; Beverage Equipment</x:v>
      </x:c>
      <x:c r="D127" s="17" t="str">
        <x:v>West</x:v>
      </x:c>
      <x:c r="E127" s="18" t="n">
        <x:v>199</x:v>
      </x:c>
      <x:c r="F127" s="18" t="n">
        <x:v>532295.14</x:v>
      </x:c>
      <x:c r="G127" s="18" t="n">
        <x:v>362490.77</x:v>
      </x:c>
      <x:c r="H127" s="18" t="n">
        <x:v>169804.37</x:v>
      </x:c>
      <x:c r="I127" s="18" t="n">
        <x:v>0.319004</x:v>
      </x:c>
    </x:row>
    <x:row r="128">
      <x:c r="A128" s="17" t="str">
        <x:v>CUST-0166</x:v>
      </x:c>
      <x:c r="B128" s="17" t="str">
        <x:v>Clearwater Engineering</x:v>
      </x:c>
      <x:c r="C128" s="17" t="str">
        <x:v>Forest Products</x:v>
      </x:c>
      <x:c r="D128" s="17" t="str">
        <x:v>Southeast</x:v>
      </x:c>
      <x:c r="E128" s="18" t="n">
        <x:v>210</x:v>
      </x:c>
      <x:c r="F128" s="18" t="n">
        <x:v>529216.9</x:v>
      </x:c>
      <x:c r="G128" s="18" t="n">
        <x:v>347434.76</x:v>
      </x:c>
      <x:c r="H128" s="18" t="n">
        <x:v>181782.14</x:v>
      </x:c>
      <x:c r="I128" s="18" t="n">
        <x:v>0.343493</x:v>
      </x:c>
    </x:row>
    <x:row r="129">
      <x:c r="A129" s="17" t="str">
        <x:v>CUST-0180</x:v>
      </x:c>
      <x:c r="B129" s="17" t="str">
        <x:v>Maple Ridge Engineering</x:v>
      </x:c>
      <x:c r="C129" s="17" t="str">
        <x:v>Packaging Automation</x:v>
      </x:c>
      <x:c r="D129" s="17" t="str">
        <x:v>Midwest</x:v>
      </x:c>
      <x:c r="E129" s="18" t="n">
        <x:v>276</x:v>
      </x:c>
      <x:c r="F129" s="18" t="n">
        <x:v>526932.58</x:v>
      </x:c>
      <x:c r="G129" s="18" t="n">
        <x:v>366271.14</x:v>
      </x:c>
      <x:c r="H129" s="18" t="n">
        <x:v>160661.44</x:v>
      </x:c>
      <x:c r="I129" s="18" t="n">
        <x:v>0.304899</x:v>
      </x:c>
    </x:row>
    <x:row r="130">
      <x:c r="A130" s="17" t="str">
        <x:v>CUST-0202</x:v>
      </x:c>
      <x:c r="B130" s="17" t="str">
        <x:v>Arbor Ridge Process Solutions</x:v>
      </x:c>
      <x:c r="C130" s="17" t="str">
        <x:v>Forest Products</x:v>
      </x:c>
      <x:c r="D130" s="17" t="str">
        <x:v>Southeast</x:v>
      </x:c>
      <x:c r="E130" s="18" t="n">
        <x:v>327</x:v>
      </x:c>
      <x:c r="F130" s="18" t="n">
        <x:v>523843.61</x:v>
      </x:c>
      <x:c r="G130" s="18" t="n">
        <x:v>357548.13</x:v>
      </x:c>
      <x:c r="H130" s="18" t="n">
        <x:v>166295.48</x:v>
      </x:c>
      <x:c r="I130" s="18" t="n">
        <x:v>0.317453</x:v>
      </x:c>
    </x:row>
    <x:row r="131">
      <x:c r="A131" s="17" t="str">
        <x:v>CUST-0054</x:v>
      </x:c>
      <x:c r="B131" s="17" t="str">
        <x:v>Harbor Systems</x:v>
      </x:c>
      <x:c r="C131" s="17" t="str">
        <x:v>Packaging Automation</x:v>
      </x:c>
      <x:c r="D131" s="17" t="str">
        <x:v>Midwest</x:v>
      </x:c>
      <x:c r="E131" s="18" t="n">
        <x:v>274</x:v>
      </x:c>
      <x:c r="F131" s="18" t="n">
        <x:v>523199.88</x:v>
      </x:c>
      <x:c r="G131" s="18" t="n">
        <x:v>355188.3</x:v>
      </x:c>
      <x:c r="H131" s="18" t="n">
        <x:v>168011.58</x:v>
      </x:c>
      <x:c r="I131" s="18" t="n">
        <x:v>0.321123</x:v>
      </x:c>
    </x:row>
    <x:row r="132">
      <x:c r="A132" s="17" t="str">
        <x:v>CUST-0138</x:v>
      </x:c>
      <x:c r="B132" s="17" t="str">
        <x:v>Keystone Industries</x:v>
      </x:c>
      <x:c r="C132" s="17" t="str">
        <x:v>Packaging Automation</x:v>
      </x:c>
      <x:c r="D132" s="17" t="str">
        <x:v>Midwest</x:v>
      </x:c>
      <x:c r="E132" s="18" t="n">
        <x:v>289</x:v>
      </x:c>
      <x:c r="F132" s="18" t="n">
        <x:v>521329.33</x:v>
      </x:c>
      <x:c r="G132" s="18" t="n">
        <x:v>357893.59</x:v>
      </x:c>
      <x:c r="H132" s="18" t="n">
        <x:v>163435.74</x:v>
      </x:c>
      <x:c r="I132" s="18" t="n">
        <x:v>0.313498</x:v>
      </x:c>
    </x:row>
    <x:row r="133">
      <x:c r="A133" s="17" t="str">
        <x:v>CUST-0118</x:v>
      </x:c>
      <x:c r="B133" s="17" t="str">
        <x:v>Willow Creek Equipment</x:v>
      </x:c>
      <x:c r="C133" s="17" t="str">
        <x:v>Forest Products</x:v>
      </x:c>
      <x:c r="D133" s="17" t="str">
        <x:v>Southeast</x:v>
      </x:c>
      <x:c r="E133" s="18" t="n">
        <x:v>309</x:v>
      </x:c>
      <x:c r="F133" s="18" t="n">
        <x:v>520954.55</x:v>
      </x:c>
      <x:c r="G133" s="18" t="n">
        <x:v>357313.3</x:v>
      </x:c>
      <x:c r="H133" s="18" t="n">
        <x:v>163641.25</x:v>
      </x:c>
      <x:c r="I133" s="18" t="n">
        <x:v>0.314118</x:v>
      </x:c>
    </x:row>
    <x:row r="134">
      <x:c r="A134" s="17" t="str">
        <x:v>CUST-0052</x:v>
      </x:c>
      <x:c r="B134" s="17" t="str">
        <x:v>Frontier Systems</x:v>
      </x:c>
      <x:c r="C134" s="17" t="str">
        <x:v>Forest Products</x:v>
      </x:c>
      <x:c r="D134" s="17" t="str">
        <x:v>Southeast</x:v>
      </x:c>
      <x:c r="E134" s="18" t="n">
        <x:v>358</x:v>
      </x:c>
      <x:c r="F134" s="18" t="n">
        <x:v>518232.17</x:v>
      </x:c>
      <x:c r="G134" s="18" t="n">
        <x:v>352579.58</x:v>
      </x:c>
      <x:c r="H134" s="18" t="n">
        <x:v>165652.59</x:v>
      </x:c>
      <x:c r="I134" s="18" t="n">
        <x:v>0.319649</x:v>
      </x:c>
    </x:row>
    <x:row r="135">
      <x:c r="A135" s="17" t="str">
        <x:v>CUST-0198</x:v>
      </x:c>
      <x:c r="B135" s="17" t="str">
        <x:v>Willow Creek Engineering</x:v>
      </x:c>
      <x:c r="C135" s="17" t="str">
        <x:v>Packaging Automation</x:v>
      </x:c>
      <x:c r="D135" s="17" t="str">
        <x:v>Midwest</x:v>
      </x:c>
      <x:c r="E135" s="18" t="n">
        <x:v>269</x:v>
      </x:c>
      <x:c r="F135" s="18" t="n">
        <x:v>514312.35</x:v>
      </x:c>
      <x:c r="G135" s="18" t="n">
        <x:v>351111.23</x:v>
      </x:c>
      <x:c r="H135" s="18" t="n">
        <x:v>163201.12</x:v>
      </x:c>
      <x:c r="I135" s="18" t="n">
        <x:v>0.317319</x:v>
      </x:c>
    </x:row>
    <x:row r="136">
      <x:c r="A136" s="17" t="str">
        <x:v>CUST-0091</x:v>
      </x:c>
      <x:c r="B136" s="17" t="str">
        <x:v>Fairmont Equipment</x:v>
      </x:c>
      <x:c r="C136" s="17" t="str">
        <x:v>Logistics Automation</x:v>
      </x:c>
      <x:c r="D136" s="17" t="str">
        <x:v>Canada</x:v>
      </x:c>
      <x:c r="E136" s="18" t="n">
        <x:v>333</x:v>
      </x:c>
      <x:c r="F136" s="18" t="n">
        <x:v>507321.02</x:v>
      </x:c>
      <x:c r="G136" s="18" t="n">
        <x:v>336940.44</x:v>
      </x:c>
      <x:c r="H136" s="18" t="n">
        <x:v>170380.58</x:v>
      </x:c>
      <x:c r="I136" s="18" t="n">
        <x:v>0.335844</x:v>
      </x:c>
    </x:row>
    <x:row r="137">
      <x:c r="A137" s="17" t="str">
        <x:v>CUST-0101</x:v>
      </x:c>
      <x:c r="B137" s="17" t="str">
        <x:v>Meridian Equipment</x:v>
      </x:c>
      <x:c r="C137" s="17" t="str">
        <x:v>General Industrial</x:v>
      </x:c>
      <x:c r="D137" s="17" t="str">
        <x:v>Northeast</x:v>
      </x:c>
      <x:c r="E137" s="18" t="n">
        <x:v>309</x:v>
      </x:c>
      <x:c r="F137" s="18" t="n">
        <x:v>505498.19</x:v>
      </x:c>
      <x:c r="G137" s="18" t="n">
        <x:v>338261.07</x:v>
      </x:c>
      <x:c r="H137" s="18" t="n">
        <x:v>167237.12</x:v>
      </x:c>
      <x:c r="I137" s="18" t="n">
        <x:v>0.330836</x:v>
      </x:c>
    </x:row>
    <x:row r="138">
      <x:c r="A138" s="17" t="str">
        <x:v>CUST-0072</x:v>
      </x:c>
      <x:c r="B138" s="17" t="str">
        <x:v>Summit Systems</x:v>
      </x:c>
      <x:c r="C138" s="17" t="str">
        <x:v>Packaging Automation</x:v>
      </x:c>
      <x:c r="D138" s="17" t="str">
        <x:v>Midwest</x:v>
      </x:c>
      <x:c r="E138" s="18" t="n">
        <x:v>238</x:v>
      </x:c>
      <x:c r="F138" s="18" t="n">
        <x:v>504640.66</x:v>
      </x:c>
      <x:c r="G138" s="18" t="n">
        <x:v>341989.39</x:v>
      </x:c>
      <x:c r="H138" s="18" t="n">
        <x:v>162651.27</x:v>
      </x:c>
      <x:c r="I138" s="18" t="n">
        <x:v>0.322311</x:v>
      </x:c>
    </x:row>
    <x:row r="139">
      <x:c r="A139" s="17" t="str">
        <x:v>CUST-0170</x:v>
      </x:c>
      <x:c r="B139" s="17" t="str">
        <x:v>Evergreen Engineering</x:v>
      </x:c>
      <x:c r="C139" s="17" t="str">
        <x:v>Food &amp; Beverage Equipment</x:v>
      </x:c>
      <x:c r="D139" s="17" t="str">
        <x:v>West</x:v>
      </x:c>
      <x:c r="E139" s="18" t="n">
        <x:v>276</x:v>
      </x:c>
      <x:c r="F139" s="18" t="n">
        <x:v>503469.51</x:v>
      </x:c>
      <x:c r="G139" s="18" t="n">
        <x:v>366794.97</x:v>
      </x:c>
      <x:c r="H139" s="18" t="n">
        <x:v>136674.54</x:v>
      </x:c>
      <x:c r="I139" s="18" t="n">
        <x:v>0.271465</x:v>
      </x:c>
    </x:row>
    <x:row r="140">
      <x:c r="A140" s="17" t="str">
        <x:v>CUST-0146</x:v>
      </x:c>
      <x:c r="B140" s="17" t="str">
        <x:v>Pioneer Industries</x:v>
      </x:c>
      <x:c r="C140" s="17" t="str">
        <x:v>Food &amp; Beverage Equipment</x:v>
      </x:c>
      <x:c r="D140" s="17" t="str">
        <x:v>West</x:v>
      </x:c>
      <x:c r="E140" s="18" t="n">
        <x:v>276</x:v>
      </x:c>
      <x:c r="F140" s="18" t="n">
        <x:v>503025.93</x:v>
      </x:c>
      <x:c r="G140" s="18" t="n">
        <x:v>345957.1</x:v>
      </x:c>
      <x:c r="H140" s="18" t="n">
        <x:v>157068.83</x:v>
      </x:c>
      <x:c r="I140" s="18" t="n">
        <x:v>0.312248</x:v>
      </x:c>
    </x:row>
    <x:row r="141">
      <x:c r="A141" s="17" t="str">
        <x:v>CUST-0220</x:v>
      </x:c>
      <x:c r="B141" s="17" t="str">
        <x:v>Maple Ridge Process Solutions</x:v>
      </x:c>
      <x:c r="C141" s="17" t="str">
        <x:v>Forest Products</x:v>
      </x:c>
      <x:c r="D141" s="17" t="str">
        <x:v>Southeast</x:v>
      </x:c>
      <x:c r="E141" s="18" t="n">
        <x:v>333</x:v>
      </x:c>
      <x:c r="F141" s="18" t="n">
        <x:v>500449.45</x:v>
      </x:c>
      <x:c r="G141" s="18" t="n">
        <x:v>344478.79</x:v>
      </x:c>
      <x:c r="H141" s="18" t="n">
        <x:v>155970.66</x:v>
      </x:c>
      <x:c r="I141" s="18" t="n">
        <x:v>0.311661</x:v>
      </x:c>
    </x:row>
    <x:row r="142">
      <x:c r="A142" s="17" t="str">
        <x:v>CUST-0209</x:v>
      </x:c>
      <x:c r="B142" s="17" t="str">
        <x:v>Eastgate Process Solutions</x:v>
      </x:c>
      <x:c r="C142" s="17" t="str">
        <x:v>General Industrial</x:v>
      </x:c>
      <x:c r="D142" s="17" t="str">
        <x:v>Northeast</x:v>
      </x:c>
      <x:c r="E142" s="18" t="n">
        <x:v>278</x:v>
      </x:c>
      <x:c r="F142" s="18" t="n">
        <x:v>499683.06</x:v>
      </x:c>
      <x:c r="G142" s="18" t="n">
        <x:v>344178.46</x:v>
      </x:c>
      <x:c r="H142" s="18" t="n">
        <x:v>155504.6</x:v>
      </x:c>
      <x:c r="I142" s="18" t="n">
        <x:v>0.311206</x:v>
      </x:c>
    </x:row>
    <x:row r="143">
      <x:c r="A143" s="17" t="str">
        <x:v>CUST-0234</x:v>
      </x:c>
      <x:c r="B143" s="17" t="str">
        <x:v>Triad Process Solutions</x:v>
      </x:c>
      <x:c r="C143" s="17" t="str">
        <x:v>Packaging Automation</x:v>
      </x:c>
      <x:c r="D143" s="17" t="str">
        <x:v>Midwest</x:v>
      </x:c>
      <x:c r="E143" s="18" t="n">
        <x:v>210</x:v>
      </x:c>
      <x:c r="F143" s="18" t="n">
        <x:v>498303.47</x:v>
      </x:c>
      <x:c r="G143" s="18" t="n">
        <x:v>329767.88</x:v>
      </x:c>
      <x:c r="H143" s="18" t="n">
        <x:v>168535.59</x:v>
      </x:c>
      <x:c r="I143" s="18" t="n">
        <x:v>0.338219</x:v>
      </x:c>
    </x:row>
    <x:row r="144">
      <x:c r="A144" s="17" t="str">
        <x:v>CUST-0036</x:v>
      </x:c>
      <x:c r="B144" s="17" t="str">
        <x:v>Vector Automation</x:v>
      </x:c>
      <x:c r="C144" s="17" t="str">
        <x:v>Packaging Automation</x:v>
      </x:c>
      <x:c r="D144" s="17" t="str">
        <x:v>Midwest</x:v>
      </x:c>
      <x:c r="E144" s="18" t="n">
        <x:v>241</x:v>
      </x:c>
      <x:c r="F144" s="18" t="n">
        <x:v>498300.95</x:v>
      </x:c>
      <x:c r="G144" s="18" t="n">
        <x:v>340653.87</x:v>
      </x:c>
      <x:c r="H144" s="18" t="n">
        <x:v>157647.08</x:v>
      </x:c>
      <x:c r="I144" s="18" t="n">
        <x:v>0.316369</x:v>
      </x:c>
    </x:row>
    <x:row r="145">
      <x:c r="A145" s="17" t="str">
        <x:v>CUST-0068</x:v>
      </x:c>
      <x:c r="B145" s="17" t="str">
        <x:v>Redwood Systems</x:v>
      </x:c>
      <x:c r="C145" s="17" t="str">
        <x:v>Food &amp; Beverage Equipment</x:v>
      </x:c>
      <x:c r="D145" s="17" t="str">
        <x:v>West</x:v>
      </x:c>
      <x:c r="E145" s="18" t="n">
        <x:v>285</x:v>
      </x:c>
      <x:c r="F145" s="18" t="n">
        <x:v>495683.86</x:v>
      </x:c>
      <x:c r="G145" s="18" t="n">
        <x:v>347269.29</x:v>
      </x:c>
      <x:c r="H145" s="18" t="n">
        <x:v>148414.57</x:v>
      </x:c>
      <x:c r="I145" s="18" t="n">
        <x:v>0.299414</x:v>
      </x:c>
    </x:row>
    <x:row r="146">
      <x:c r="A146" s="17" t="str">
        <x:v>CUST-0081</x:v>
      </x:c>
      <x:c r="B146" s="17" t="str">
        <x:v>Apex Equipment</x:v>
      </x:c>
      <x:c r="C146" s="17" t="str">
        <x:v>Water &amp; Wastewater</x:v>
      </x:c>
      <x:c r="D146" s="17" t="str">
        <x:v>Southwest</x:v>
      </x:c>
      <x:c r="E146" s="18" t="n">
        <x:v>241</x:v>
      </x:c>
      <x:c r="F146" s="18" t="n">
        <x:v>494346.02</x:v>
      </x:c>
      <x:c r="G146" s="18" t="n">
        <x:v>333671.26</x:v>
      </x:c>
      <x:c r="H146" s="18" t="n">
        <x:v>160674.76</x:v>
      </x:c>
      <x:c r="I146" s="18" t="n">
        <x:v>0.325025</x:v>
      </x:c>
    </x:row>
    <x:row r="147">
      <x:c r="A147" s="17" t="str">
        <x:v>CUST-0025</x:v>
      </x:c>
      <x:c r="B147" s="17" t="str">
        <x:v>Parkside Automation</x:v>
      </x:c>
      <x:c r="C147" s="17" t="str">
        <x:v>Logistics Automation</x:v>
      </x:c>
      <x:c r="D147" s="17" t="str">
        <x:v>Canada</x:v>
      </x:c>
      <x:c r="E147" s="18" t="n">
        <x:v>241</x:v>
      </x:c>
      <x:c r="F147" s="18" t="n">
        <x:v>492557.47</x:v>
      </x:c>
      <x:c r="G147" s="18" t="n">
        <x:v>330958.69</x:v>
      </x:c>
      <x:c r="H147" s="18" t="n">
        <x:v>161598.78</x:v>
      </x:c>
      <x:c r="I147" s="18" t="n">
        <x:v>0.328081</x:v>
      </x:c>
    </x:row>
    <x:row r="148">
      <x:c r="A148" s="17" t="str">
        <x:v>CUST-0001</x:v>
      </x:c>
      <x:c r="B148" s="17" t="str">
        <x:v>Apex Automation</x:v>
      </x:c>
      <x:c r="C148" s="17" t="str">
        <x:v>Logistics Automation</x:v>
      </x:c>
      <x:c r="D148" s="17" t="str">
        <x:v>Canada</x:v>
      </x:c>
      <x:c r="E148" s="18" t="n">
        <x:v>333</x:v>
      </x:c>
      <x:c r="F148" s="18" t="n">
        <x:v>486233.85</x:v>
      </x:c>
      <x:c r="G148" s="18" t="n">
        <x:v>330866.4</x:v>
      </x:c>
      <x:c r="H148" s="18" t="n">
        <x:v>155367.45</x:v>
      </x:c>
      <x:c r="I148" s="18" t="n">
        <x:v>0.319532</x:v>
      </x:c>
    </x:row>
    <x:row r="149">
      <x:c r="A149" s="17" t="str">
        <x:v>CUST-0232</x:v>
      </x:c>
      <x:c r="B149" s="17" t="str">
        <x:v>Summit Process Solutions</x:v>
      </x:c>
      <x:c r="C149" s="17" t="str">
        <x:v>Forest Products</x:v>
      </x:c>
      <x:c r="D149" s="17" t="str">
        <x:v>Southeast</x:v>
      </x:c>
      <x:c r="E149" s="18" t="n">
        <x:v>243</x:v>
      </x:c>
      <x:c r="F149" s="18" t="n">
        <x:v>485779.36</x:v>
      </x:c>
      <x:c r="G149" s="18" t="n">
        <x:v>316572.79</x:v>
      </x:c>
      <x:c r="H149" s="18" t="n">
        <x:v>169206.57</x:v>
      </x:c>
      <x:c r="I149" s="18" t="n">
        <x:v>0.34832</x:v>
      </x:c>
    </x:row>
    <x:row r="150">
      <x:c r="A150" s="17" t="str">
        <x:v>CUST-0058</x:v>
      </x:c>
      <x:c r="B150" s="17" t="str">
        <x:v>Keystone Systems</x:v>
      </x:c>
      <x:c r="C150" s="17" t="str">
        <x:v>Forest Products</x:v>
      </x:c>
      <x:c r="D150" s="17" t="str">
        <x:v>Southeast</x:v>
      </x:c>
      <x:c r="E150" s="18" t="n">
        <x:v>194</x:v>
      </x:c>
      <x:c r="F150" s="18" t="n">
        <x:v>484718.94</x:v>
      </x:c>
      <x:c r="G150" s="18" t="n">
        <x:v>337369.79</x:v>
      </x:c>
      <x:c r="H150" s="18" t="n">
        <x:v>147349.15</x:v>
      </x:c>
      <x:c r="I150" s="18" t="n">
        <x:v>0.303989</x:v>
      </x:c>
    </x:row>
    <x:row r="151">
      <x:c r="A151" s="17" t="str">
        <x:v>CUST-0135</x:v>
      </x:c>
      <x:c r="B151" s="17" t="str">
        <x:v>Highland Industries</x:v>
      </x:c>
      <x:c r="C151" s="17" t="str">
        <x:v>Water &amp; Wastewater</x:v>
      </x:c>
      <x:c r="D151" s="17" t="str">
        <x:v>Southwest</x:v>
      </x:c>
      <x:c r="E151" s="18" t="n">
        <x:v>241</x:v>
      </x:c>
      <x:c r="F151" s="18" t="n">
        <x:v>480696</x:v>
      </x:c>
      <x:c r="G151" s="18" t="n">
        <x:v>340737.56</x:v>
      </x:c>
      <x:c r="H151" s="18" t="n">
        <x:v>139958.44</x:v>
      </x:c>
      <x:c r="I151" s="18" t="n">
        <x:v>0.291158</x:v>
      </x:c>
    </x:row>
    <x:row r="152">
      <x:c r="A152" s="17" t="str">
        <x:v>CUST-0075</x:v>
      </x:c>
      <x:c r="B152" s="17" t="str">
        <x:v>Valley Forge Systems</x:v>
      </x:c>
      <x:c r="C152" s="17" t="str">
        <x:v>Water &amp; Wastewater</x:v>
      </x:c>
      <x:c r="D152" s="17" t="str">
        <x:v>Southwest</x:v>
      </x:c>
      <x:c r="E152" s="18" t="n">
        <x:v>263</x:v>
      </x:c>
      <x:c r="F152" s="18" t="n">
        <x:v>479028.45</x:v>
      </x:c>
      <x:c r="G152" s="18" t="n">
        <x:v>335910.05</x:v>
      </x:c>
      <x:c r="H152" s="18" t="n">
        <x:v>143118.4</x:v>
      </x:c>
      <x:c r="I152" s="18" t="n">
        <x:v>0.298768</x:v>
      </x:c>
    </x:row>
    <x:row r="153">
      <x:c r="A153" s="17" t="str">
        <x:v>CUST-0102</x:v>
      </x:c>
      <x:c r="B153" s="17" t="str">
        <x:v>Monarch Equipment</x:v>
      </x:c>
      <x:c r="C153" s="17" t="str">
        <x:v>Packaging Automation</x:v>
      </x:c>
      <x:c r="D153" s="17" t="str">
        <x:v>Midwest</x:v>
      </x:c>
      <x:c r="E153" s="18" t="n">
        <x:v>298</x:v>
      </x:c>
      <x:c r="F153" s="18" t="n">
        <x:v>476722</x:v>
      </x:c>
      <x:c r="G153" s="18" t="n">
        <x:v>327015.43</x:v>
      </x:c>
      <x:c r="H153" s="18" t="n">
        <x:v>149706.57</x:v>
      </x:c>
      <x:c r="I153" s="18" t="n">
        <x:v>0.314033</x:v>
      </x:c>
    </x:row>
    <x:row r="154">
      <x:c r="A154" s="17" t="str">
        <x:v>CUST-0161</x:v>
      </x:c>
      <x:c r="B154" s="17" t="str">
        <x:v>Apex Engineering</x:v>
      </x:c>
      <x:c r="C154" s="17" t="str">
        <x:v>General Industrial</x:v>
      </x:c>
      <x:c r="D154" s="17" t="str">
        <x:v>Northeast</x:v>
      </x:c>
      <x:c r="E154" s="18" t="n">
        <x:v>289</x:v>
      </x:c>
      <x:c r="F154" s="18" t="n">
        <x:v>474671.16</x:v>
      </x:c>
      <x:c r="G154" s="18" t="n">
        <x:v>316397.7</x:v>
      </x:c>
      <x:c r="H154" s="18" t="n">
        <x:v>158273.46</x:v>
      </x:c>
      <x:c r="I154" s="18" t="n">
        <x:v>0.333438</x:v>
      </x:c>
    </x:row>
    <x:row r="155">
      <x:c r="A155" s="17" t="str">
        <x:v>CUST-0227</x:v>
      </x:c>
      <x:c r="B155" s="17" t="str">
        <x:v>Prairie State Process Solutions</x:v>
      </x:c>
      <x:c r="C155" s="17" t="str">
        <x:v>General Industrial</x:v>
      </x:c>
      <x:c r="D155" s="17" t="str">
        <x:v>Northeast</x:v>
      </x:c>
      <x:c r="E155" s="18" t="n">
        <x:v>221</x:v>
      </x:c>
      <x:c r="F155" s="18" t="n">
        <x:v>462676.3</x:v>
      </x:c>
      <x:c r="G155" s="18" t="n">
        <x:v>315365.66</x:v>
      </x:c>
      <x:c r="H155" s="18" t="n">
        <x:v>147310.64</x:v>
      </x:c>
      <x:c r="I155" s="18" t="n">
        <x:v>0.318388</x:v>
      </x:c>
    </x:row>
    <x:row r="156">
      <x:c r="A156" s="17" t="str">
        <x:v>CUST-0062</x:v>
      </x:c>
      <x:c r="B156" s="17" t="str">
        <x:v>Monarch Systems</x:v>
      </x:c>
      <x:c r="C156" s="17" t="str">
        <x:v>Food &amp; Beverage Equipment</x:v>
      </x:c>
      <x:c r="D156" s="17" t="str">
        <x:v>West</x:v>
      </x:c>
      <x:c r="E156" s="18" t="n">
        <x:v>311</x:v>
      </x:c>
      <x:c r="F156" s="18" t="n">
        <x:v>461806.29</x:v>
      </x:c>
      <x:c r="G156" s="18" t="n">
        <x:v>332430.08</x:v>
      </x:c>
      <x:c r="H156" s="18" t="n">
        <x:v>129376.21</x:v>
      </x:c>
      <x:c r="I156" s="18" t="n">
        <x:v>0.280153</x:v>
      </x:c>
    </x:row>
    <x:row r="157">
      <x:c r="A157" s="17" t="str">
        <x:v>CUST-0024</x:v>
      </x:c>
      <x:c r="B157" s="17" t="str">
        <x:v>Oakmont Automation</x:v>
      </x:c>
      <x:c r="C157" s="17" t="str">
        <x:v>Packaging Automation</x:v>
      </x:c>
      <x:c r="D157" s="17" t="str">
        <x:v>Midwest</x:v>
      </x:c>
      <x:c r="E157" s="18" t="n">
        <x:v>192</x:v>
      </x:c>
      <x:c r="F157" s="18" t="n">
        <x:v>461255.39</x:v>
      </x:c>
      <x:c r="G157" s="18" t="n">
        <x:v>307936.99</x:v>
      </x:c>
      <x:c r="H157" s="18" t="n">
        <x:v>153318.4</x:v>
      </x:c>
      <x:c r="I157" s="18" t="n">
        <x:v>0.332394</x:v>
      </x:c>
    </x:row>
    <x:row r="158">
      <x:c r="A158" s="17" t="str">
        <x:v>CUST-0217</x:v>
      </x:c>
      <x:c r="B158" s="17" t="str">
        <x:v>Juniper Process Solutions</x:v>
      </x:c>
      <x:c r="C158" s="17" t="str">
        <x:v>Logistics Automation</x:v>
      </x:c>
      <x:c r="D158" s="17" t="str">
        <x:v>Canada</x:v>
      </x:c>
      <x:c r="E158" s="18" t="n">
        <x:v>276</x:v>
      </x:c>
      <x:c r="F158" s="18" t="n">
        <x:v>459502.58</x:v>
      </x:c>
      <x:c r="G158" s="18" t="n">
        <x:v>318433.86</x:v>
      </x:c>
      <x:c r="H158" s="18" t="n">
        <x:v>141068.72</x:v>
      </x:c>
      <x:c r="I158" s="18" t="n">
        <x:v>0.307003</x:v>
      </x:c>
    </x:row>
    <x:row r="159">
      <x:c r="A159" s="17" t="str">
        <x:v>CUST-0032</x:v>
      </x:c>
      <x:c r="B159" s="17" t="str">
        <x:v>Summit Automation</x:v>
      </x:c>
      <x:c r="C159" s="17" t="str">
        <x:v>Food &amp; Beverage Equipment</x:v>
      </x:c>
      <x:c r="D159" s="17" t="str">
        <x:v>West</x:v>
      </x:c>
      <x:c r="E159" s="18" t="n">
        <x:v>289</x:v>
      </x:c>
      <x:c r="F159" s="18" t="n">
        <x:v>458353.74</x:v>
      </x:c>
      <x:c r="G159" s="18" t="n">
        <x:v>317766.09</x:v>
      </x:c>
      <x:c r="H159" s="18" t="n">
        <x:v>140587.65</x:v>
      </x:c>
      <x:c r="I159" s="18" t="n">
        <x:v>0.306723</x:v>
      </x:c>
    </x:row>
    <x:row r="160">
      <x:c r="A160" s="17" t="str">
        <x:v>CUST-0157</x:v>
      </x:c>
      <x:c r="B160" s="17" t="str">
        <x:v>Westbridge Industries</x:v>
      </x:c>
      <x:c r="C160" s="17" t="str">
        <x:v>Logistics Automation</x:v>
      </x:c>
      <x:c r="D160" s="17" t="str">
        <x:v>Canada</x:v>
      </x:c>
      <x:c r="E160" s="18" t="n">
        <x:v>276</x:v>
      </x:c>
      <x:c r="F160" s="18" t="n">
        <x:v>456498.38</x:v>
      </x:c>
      <x:c r="G160" s="18" t="n">
        <x:v>317325.21</x:v>
      </x:c>
      <x:c r="H160" s="18" t="n">
        <x:v>139173.17</x:v>
      </x:c>
      <x:c r="I160" s="18" t="n">
        <x:v>0.304871</x:v>
      </x:c>
    </x:row>
    <x:row r="161">
      <x:c r="A161" s="17" t="str">
        <x:v>CUST-0037</x:v>
      </x:c>
      <x:c r="B161" s="17" t="str">
        <x:v>Westbridge Automation</x:v>
      </x:c>
      <x:c r="C161" s="17" t="str">
        <x:v>Logistics Automation</x:v>
      </x:c>
      <x:c r="D161" s="17" t="str">
        <x:v>Canada</x:v>
      </x:c>
      <x:c r="E161" s="18" t="n">
        <x:v>223</x:v>
      </x:c>
      <x:c r="F161" s="18" t="n">
        <x:v>455920.43</x:v>
      </x:c>
      <x:c r="G161" s="18" t="n">
        <x:v>305269.6</x:v>
      </x:c>
      <x:c r="H161" s="18" t="n">
        <x:v>150650.83</x:v>
      </x:c>
      <x:c r="I161" s="18" t="n">
        <x:v>0.330432</x:v>
      </x:c>
    </x:row>
    <x:row r="162">
      <x:c r="A162" s="17" t="str">
        <x:v>CUST-0030</x:v>
      </x:c>
      <x:c r="B162" s="17" t="str">
        <x:v>Rockford Automation</x:v>
      </x:c>
      <x:c r="C162" s="17" t="str">
        <x:v>Packaging Automation</x:v>
      </x:c>
      <x:c r="D162" s="17" t="str">
        <x:v>Midwest</x:v>
      </x:c>
      <x:c r="E162" s="18" t="n">
        <x:v>298</x:v>
      </x:c>
      <x:c r="F162" s="18" t="n">
        <x:v>451707.57</x:v>
      </x:c>
      <x:c r="G162" s="18" t="n">
        <x:v>314503.88</x:v>
      </x:c>
      <x:c r="H162" s="18" t="n">
        <x:v>137203.69</x:v>
      </x:c>
      <x:c r="I162" s="18" t="n">
        <x:v>0.303745</x:v>
      </x:c>
    </x:row>
    <x:row r="163">
      <x:c r="A163" s="17" t="str">
        <x:v>CUST-0185</x:v>
      </x:c>
      <x:c r="B163" s="17" t="str">
        <x:v>Parkside Engineering</x:v>
      </x:c>
      <x:c r="C163" s="17" t="str">
        <x:v>General Industrial</x:v>
      </x:c>
      <x:c r="D163" s="17" t="str">
        <x:v>Northeast</x:v>
      </x:c>
      <x:c r="E163" s="18" t="n">
        <x:v>333</x:v>
      </x:c>
      <x:c r="F163" s="18" t="n">
        <x:v>451531.46</x:v>
      </x:c>
      <x:c r="G163" s="18" t="n">
        <x:v>312001.43</x:v>
      </x:c>
      <x:c r="H163" s="18" t="n">
        <x:v>139530.03</x:v>
      </x:c>
      <x:c r="I163" s="18" t="n">
        <x:v>0.309015</x:v>
      </x:c>
    </x:row>
    <x:row r="164">
      <x:c r="A164" s="17" t="str">
        <x:v>CUST-0189</x:v>
      </x:c>
      <x:c r="B164" s="17" t="str">
        <x:v>Riverton Engineering</x:v>
      </x:c>
      <x:c r="C164" s="17" t="str">
        <x:v>Water &amp; Wastewater</x:v>
      </x:c>
      <x:c r="D164" s="17" t="str">
        <x:v>Southwest</x:v>
      </x:c>
      <x:c r="E164" s="18" t="n">
        <x:v>276</x:v>
      </x:c>
      <x:c r="F164" s="18" t="n">
        <x:v>450644.9</x:v>
      </x:c>
      <x:c r="G164" s="18" t="n">
        <x:v>304058.63</x:v>
      </x:c>
      <x:c r="H164" s="18" t="n">
        <x:v>146586.27</x:v>
      </x:c>
      <x:c r="I164" s="18" t="n">
        <x:v>0.325281</x:v>
      </x:c>
    </x:row>
    <x:row r="165">
      <x:c r="A165" s="17" t="str">
        <x:v>CUST-0193</x:v>
      </x:c>
      <x:c r="B165" s="17" t="str">
        <x:v>Timberline Engineering</x:v>
      </x:c>
      <x:c r="C165" s="17" t="str">
        <x:v>Logistics Automation</x:v>
      </x:c>
      <x:c r="D165" s="17" t="str">
        <x:v>Canada</x:v>
      </x:c>
      <x:c r="E165" s="18" t="n">
        <x:v>276</x:v>
      </x:c>
      <x:c r="F165" s="18" t="n">
        <x:v>450579.94</x:v>
      </x:c>
      <x:c r="G165" s="18" t="n">
        <x:v>312858.71</x:v>
      </x:c>
      <x:c r="H165" s="18" t="n">
        <x:v>137721.23</x:v>
      </x:c>
      <x:c r="I165" s="18" t="n">
        <x:v>0.305653</x:v>
      </x:c>
    </x:row>
    <x:row r="166">
      <x:c r="A166" s="17" t="str">
        <x:v>CUST-0021</x:v>
      </x:c>
      <x:c r="B166" s="17" t="str">
        <x:v>Meridian Automation</x:v>
      </x:c>
      <x:c r="C166" s="17" t="str">
        <x:v>Water &amp; Wastewater</x:v>
      </x:c>
      <x:c r="D166" s="17" t="str">
        <x:v>Southwest</x:v>
      </x:c>
      <x:c r="E166" s="18" t="n">
        <x:v>194</x:v>
      </x:c>
      <x:c r="F166" s="18" t="n">
        <x:v>449332.37</x:v>
      </x:c>
      <x:c r="G166" s="18" t="n">
        <x:v>301801.99</x:v>
      </x:c>
      <x:c r="H166" s="18" t="n">
        <x:v>147530.38</x:v>
      </x:c>
      <x:c r="I166" s="18" t="n">
        <x:v>0.328332</x:v>
      </x:c>
    </x:row>
    <x:row r="167">
      <x:c r="A167" s="17" t="str">
        <x:v>CUST-0087</x:v>
      </x:c>
      <x:c r="B167" s="17" t="str">
        <x:v>Crescent Equipment</x:v>
      </x:c>
      <x:c r="C167" s="17" t="str">
        <x:v>Water &amp; Wastewater</x:v>
      </x:c>
      <x:c r="D167" s="17" t="str">
        <x:v>Southwest</x:v>
      </x:c>
      <x:c r="E167" s="18" t="n">
        <x:v>269</x:v>
      </x:c>
      <x:c r="F167" s="18" t="n">
        <x:v>446386.55</x:v>
      </x:c>
      <x:c r="G167" s="18" t="n">
        <x:v>304865.97</x:v>
      </x:c>
      <x:c r="H167" s="18" t="n">
        <x:v>141520.58</x:v>
      </x:c>
      <x:c r="I167" s="18" t="n">
        <x:v>0.317036</x:v>
      </x:c>
    </x:row>
    <x:row r="168">
      <x:c r="A168" s="17" t="str">
        <x:v>CUST-0050</x:v>
      </x:c>
      <x:c r="B168" s="17" t="str">
        <x:v>Evergreen Systems</x:v>
      </x:c>
      <x:c r="C168" s="17" t="str">
        <x:v>Food &amp; Beverage Equipment</x:v>
      </x:c>
      <x:c r="D168" s="17" t="str">
        <x:v>West</x:v>
      </x:c>
      <x:c r="E168" s="18" t="n">
        <x:v>289</x:v>
      </x:c>
      <x:c r="F168" s="18" t="n">
        <x:v>445447.31</x:v>
      </x:c>
      <x:c r="G168" s="18" t="n">
        <x:v>308567.99</x:v>
      </x:c>
      <x:c r="H168" s="18" t="n">
        <x:v>136879.32</x:v>
      </x:c>
      <x:c r="I168" s="18" t="n">
        <x:v>0.307285</x:v>
      </x:c>
    </x:row>
    <x:row r="169">
      <x:c r="A169" s="17" t="str">
        <x:v>CUST-0108</x:v>
      </x:c>
      <x:c r="B169" s="17" t="str">
        <x:v>Redwood Equipment</x:v>
      </x:c>
      <x:c r="C169" s="17" t="str">
        <x:v>Packaging Automation</x:v>
      </x:c>
      <x:c r="D169" s="17" t="str">
        <x:v>Midwest</x:v>
      </x:c>
      <x:c r="E169" s="18" t="n">
        <x:v>331</x:v>
      </x:c>
      <x:c r="F169" s="18" t="n">
        <x:v>439447.59</x:v>
      </x:c>
      <x:c r="G169" s="18" t="n">
        <x:v>299627.07</x:v>
      </x:c>
      <x:c r="H169" s="18" t="n">
        <x:v>139820.52</x:v>
      </x:c>
      <x:c r="I169" s="18" t="n">
        <x:v>0.318173</x:v>
      </x:c>
    </x:row>
    <x:row r="170">
      <x:c r="A170" s="17" t="str">
        <x:v>CUST-0026</x:v>
      </x:c>
      <x:c r="B170" s="17" t="str">
        <x:v>Pioneer Automation</x:v>
      </x:c>
      <x:c r="C170" s="17" t="str">
        <x:v>Food &amp; Beverage Equipment</x:v>
      </x:c>
      <x:c r="D170" s="17" t="str">
        <x:v>West</x:v>
      </x:c>
      <x:c r="E170" s="18" t="n">
        <x:v>346</x:v>
      </x:c>
      <x:c r="F170" s="18" t="n">
        <x:v>438194.64</x:v>
      </x:c>
      <x:c r="G170" s="18" t="n">
        <x:v>300470.24</x:v>
      </x:c>
      <x:c r="H170" s="18" t="n">
        <x:v>137724.4</x:v>
      </x:c>
      <x:c r="I170" s="18" t="n">
        <x:v>0.3143</x:v>
      </x:c>
    </x:row>
    <x:row r="171">
      <x:c r="A171" s="17" t="str">
        <x:v>CUST-0178</x:v>
      </x:c>
      <x:c r="B171" s="17" t="str">
        <x:v>Keystone Engineering</x:v>
      </x:c>
      <x:c r="C171" s="17" t="str">
        <x:v>Forest Products</x:v>
      </x:c>
      <x:c r="D171" s="17" t="str">
        <x:v>Southeast</x:v>
      </x:c>
      <x:c r="E171" s="18" t="n">
        <x:v>303</x:v>
      </x:c>
      <x:c r="F171" s="18" t="n">
        <x:v>435139.03</x:v>
      </x:c>
      <x:c r="G171" s="18" t="n">
        <x:v>294554.06</x:v>
      </x:c>
      <x:c r="H171" s="18" t="n">
        <x:v>140584.97</x:v>
      </x:c>
      <x:c r="I171" s="18" t="n">
        <x:v>0.323081</x:v>
      </x:c>
    </x:row>
    <x:row r="172">
      <x:c r="A172" s="17" t="str">
        <x:v>CUST-0070</x:v>
      </x:c>
      <x:c r="B172" s="17" t="str">
        <x:v>Rockford Systems</x:v>
      </x:c>
      <x:c r="C172" s="17" t="str">
        <x:v>Forest Products</x:v>
      </x:c>
      <x:c r="D172" s="17" t="str">
        <x:v>Southeast</x:v>
      </x:c>
      <x:c r="E172" s="18" t="n">
        <x:v>268</x:v>
      </x:c>
      <x:c r="F172" s="18" t="n">
        <x:v>434412.26</x:v>
      </x:c>
      <x:c r="G172" s="18" t="n">
        <x:v>306074.55</x:v>
      </x:c>
      <x:c r="H172" s="18" t="n">
        <x:v>128337.71</x:v>
      </x:c>
      <x:c r="I172" s="18" t="n">
        <x:v>0.295428</x:v>
      </x:c>
    </x:row>
    <x:row r="173">
      <x:c r="A173" s="17" t="str">
        <x:v>CUST-0188</x:v>
      </x:c>
      <x:c r="B173" s="17" t="str">
        <x:v>Redwood Engineering</x:v>
      </x:c>
      <x:c r="C173" s="17" t="str">
        <x:v>Food &amp; Beverage Equipment</x:v>
      </x:c>
      <x:c r="D173" s="17" t="str">
        <x:v>West</x:v>
      </x:c>
      <x:c r="E173" s="18" t="n">
        <x:v>276</x:v>
      </x:c>
      <x:c r="F173" s="18" t="n">
        <x:v>428497.03</x:v>
      </x:c>
      <x:c r="G173" s="18" t="n">
        <x:v>303420.97</x:v>
      </x:c>
      <x:c r="H173" s="18" t="n">
        <x:v>125076.06</x:v>
      </x:c>
      <x:c r="I173" s="18" t="n">
        <x:v>0.291895</x:v>
      </x:c>
    </x:row>
    <x:row r="174">
      <x:c r="A174" s="17" t="str">
        <x:v>CUST-0168</x:v>
      </x:c>
      <x:c r="B174" s="17" t="str">
        <x:v>Delta Engineering</x:v>
      </x:c>
      <x:c r="C174" s="17" t="str">
        <x:v>Packaging Automation</x:v>
      </x:c>
      <x:c r="D174" s="17" t="str">
        <x:v>Midwest</x:v>
      </x:c>
      <x:c r="E174" s="18" t="n">
        <x:v>219</x:v>
      </x:c>
      <x:c r="F174" s="18" t="n">
        <x:v>427691.05</x:v>
      </x:c>
      <x:c r="G174" s="18" t="n">
        <x:v>285616.31</x:v>
      </x:c>
      <x:c r="H174" s="18" t="n">
        <x:v>142074.74</x:v>
      </x:c>
      <x:c r="I174" s="18" t="n">
        <x:v>0.33219</x:v>
      </x:c>
    </x:row>
    <x:row r="175">
      <x:c r="A175" s="17" t="str">
        <x:v>CUST-0098</x:v>
      </x:c>
      <x:c r="B175" s="17" t="str">
        <x:v>Keystone Equipment</x:v>
      </x:c>
      <x:c r="C175" s="17" t="str">
        <x:v>Food &amp; Beverage Equipment</x:v>
      </x:c>
      <x:c r="D175" s="17" t="str">
        <x:v>West</x:v>
      </x:c>
      <x:c r="E175" s="18" t="n">
        <x:v>243</x:v>
      </x:c>
      <x:c r="F175" s="18" t="n">
        <x:v>425298.31</x:v>
      </x:c>
      <x:c r="G175" s="18" t="n">
        <x:v>301854.37</x:v>
      </x:c>
      <x:c r="H175" s="18" t="n">
        <x:v>123443.94</x:v>
      </x:c>
      <x:c r="I175" s="18" t="n">
        <x:v>0.290253</x:v>
      </x:c>
    </x:row>
    <x:row r="176">
      <x:c r="A176" s="17" t="str">
        <x:v>CUST-0113</x:v>
      </x:c>
      <x:c r="B176" s="17" t="str">
        <x:v>Timberline Equipment</x:v>
      </x:c>
      <x:c r="C176" s="17" t="str">
        <x:v>General Industrial</x:v>
      </x:c>
      <x:c r="D176" s="17" t="str">
        <x:v>Northeast</x:v>
      </x:c>
      <x:c r="E176" s="18" t="n">
        <x:v>276</x:v>
      </x:c>
      <x:c r="F176" s="18" t="n">
        <x:v>424589.38</x:v>
      </x:c>
      <x:c r="G176" s="18" t="n">
        <x:v>296411.14</x:v>
      </x:c>
      <x:c r="H176" s="18" t="n">
        <x:v>128178.24</x:v>
      </x:c>
      <x:c r="I176" s="18" t="n">
        <x:v>0.301888</x:v>
      </x:c>
    </x:row>
    <x:row r="177">
      <x:c r="A177" s="17" t="str">
        <x:v>CUST-0148</x:v>
      </x:c>
      <x:c r="B177" s="17" t="str">
        <x:v>Redwood Industries</x:v>
      </x:c>
      <x:c r="C177" s="17" t="str">
        <x:v>Forest Products</x:v>
      </x:c>
      <x:c r="D177" s="17" t="str">
        <x:v>Southeast</x:v>
      </x:c>
      <x:c r="E177" s="18" t="n">
        <x:v>286</x:v>
      </x:c>
      <x:c r="F177" s="18" t="n">
        <x:v>424441.7</x:v>
      </x:c>
      <x:c r="G177" s="18" t="n">
        <x:v>290390.74</x:v>
      </x:c>
      <x:c r="H177" s="18" t="n">
        <x:v>134050.96</x:v>
      </x:c>
      <x:c r="I177" s="18" t="n">
        <x:v>0.315829</x:v>
      </x:c>
    </x:row>
    <x:row r="178">
      <x:c r="A178" s="17" t="str">
        <x:v>CUST-0179</x:v>
      </x:c>
      <x:c r="B178" s="17" t="str">
        <x:v>Lakeshore Engineering</x:v>
      </x:c>
      <x:c r="C178" s="17" t="str">
        <x:v>General Industrial</x:v>
      </x:c>
      <x:c r="D178" s="17" t="str">
        <x:v>Northeast</x:v>
      </x:c>
      <x:c r="E178" s="18" t="n">
        <x:v>270</x:v>
      </x:c>
      <x:c r="F178" s="18" t="n">
        <x:v>424008.57</x:v>
      </x:c>
      <x:c r="G178" s="18" t="n">
        <x:v>283271.55</x:v>
      </x:c>
      <x:c r="H178" s="18" t="n">
        <x:v>140737.02</x:v>
      </x:c>
      <x:c r="I178" s="18" t="n">
        <x:v>0.33192</x:v>
      </x:c>
    </x:row>
    <x:row r="179">
      <x:c r="A179" s="17" t="str">
        <x:v>CUST-0203</x:v>
      </x:c>
      <x:c r="B179" s="17" t="str">
        <x:v>Beacon Process Solutions</x:v>
      </x:c>
      <x:c r="C179" s="17" t="str">
        <x:v>General Industrial</x:v>
      </x:c>
      <x:c r="D179" s="17" t="str">
        <x:v>Northeast</x:v>
      </x:c>
      <x:c r="E179" s="18" t="n">
        <x:v>289</x:v>
      </x:c>
      <x:c r="F179" s="18" t="n">
        <x:v>418228.04</x:v>
      </x:c>
      <x:c r="G179" s="18" t="n">
        <x:v>292916.15</x:v>
      </x:c>
      <x:c r="H179" s="18" t="n">
        <x:v>125311.89</x:v>
      </x:c>
      <x:c r="I179" s="18" t="n">
        <x:v>0.299626</x:v>
      </x:c>
    </x:row>
    <x:row r="180">
      <x:c r="A180" s="17" t="str">
        <x:v>CUST-0065</x:v>
      </x:c>
      <x:c r="B180" s="17" t="str">
        <x:v>Parkside Systems</x:v>
      </x:c>
      <x:c r="C180" s="17" t="str">
        <x:v>General Industrial</x:v>
      </x:c>
      <x:c r="D180" s="17" t="str">
        <x:v>Northeast</x:v>
      </x:c>
      <x:c r="E180" s="18" t="n">
        <x:v>309</x:v>
      </x:c>
      <x:c r="F180" s="18" t="n">
        <x:v>416144.45</x:v>
      </x:c>
      <x:c r="G180" s="18" t="n">
        <x:v>288464.41</x:v>
      </x:c>
      <x:c r="H180" s="18" t="n">
        <x:v>127680.04</x:v>
      </x:c>
      <x:c r="I180" s="18" t="n">
        <x:v>0.306817</x:v>
      </x:c>
    </x:row>
    <x:row r="181">
      <x:c r="A181" s="17" t="str">
        <x:v>CUST-0031</x:v>
      </x:c>
      <x:c r="B181" s="17" t="str">
        <x:v>Silverline Automation</x:v>
      </x:c>
      <x:c r="C181" s="17" t="str">
        <x:v>Logistics Automation</x:v>
      </x:c>
      <x:c r="D181" s="17" t="str">
        <x:v>Canada</x:v>
      </x:c>
      <x:c r="E181" s="18" t="n">
        <x:v>311</x:v>
      </x:c>
      <x:c r="F181" s="18" t="n">
        <x:v>414748.94</x:v>
      </x:c>
      <x:c r="G181" s="18" t="n">
        <x:v>272407.93</x:v>
      </x:c>
      <x:c r="H181" s="18" t="n">
        <x:v>142341.01</x:v>
      </x:c>
      <x:c r="I181" s="18" t="n">
        <x:v>0.343198</x:v>
      </x:c>
    </x:row>
    <x:row r="182">
      <x:c r="A182" s="17" t="str">
        <x:v>CUST-0071</x:v>
      </x:c>
      <x:c r="B182" s="17" t="str">
        <x:v>Silverline Systems</x:v>
      </x:c>
      <x:c r="C182" s="17" t="str">
        <x:v>General Industrial</x:v>
      </x:c>
      <x:c r="D182" s="17" t="str">
        <x:v>Northeast</x:v>
      </x:c>
      <x:c r="E182" s="18" t="n">
        <x:v>345</x:v>
      </x:c>
      <x:c r="F182" s="18" t="n">
        <x:v>413258.64</x:v>
      </x:c>
      <x:c r="G182" s="18" t="n">
        <x:v>279271.23</x:v>
      </x:c>
      <x:c r="H182" s="18" t="n">
        <x:v>133987.41</x:v>
      </x:c>
      <x:c r="I182" s="18" t="n">
        <x:v>0.324222</x:v>
      </x:c>
    </x:row>
    <x:row r="183">
      <x:c r="A183" s="17" t="str">
        <x:v>CUST-0230</x:v>
      </x:c>
      <x:c r="B183" s="17" t="str">
        <x:v>Rockford Process Solutions</x:v>
      </x:c>
      <x:c r="C183" s="17" t="str">
        <x:v>Food &amp; Beverage Equipment</x:v>
      </x:c>
      <x:c r="D183" s="17" t="str">
        <x:v>West</x:v>
      </x:c>
      <x:c r="E183" s="18" t="n">
        <x:v>201</x:v>
      </x:c>
      <x:c r="F183" s="18" t="n">
        <x:v>410155.27</x:v>
      </x:c>
      <x:c r="G183" s="18" t="n">
        <x:v>291088.85</x:v>
      </x:c>
      <x:c r="H183" s="18" t="n">
        <x:v>119066.42</x:v>
      </x:c>
      <x:c r="I183" s="18" t="n">
        <x:v>0.290296</x:v>
      </x:c>
    </x:row>
    <x:row r="184">
      <x:c r="A184" s="17" t="str">
        <x:v>CUST-0035</x:v>
      </x:c>
      <x:c r="B184" s="17" t="str">
        <x:v>Valley Forge Automation</x:v>
      </x:c>
      <x:c r="C184" s="17" t="str">
        <x:v>General Industrial</x:v>
      </x:c>
      <x:c r="D184" s="17" t="str">
        <x:v>Northeast</x:v>
      </x:c>
      <x:c r="E184" s="18" t="n">
        <x:v>219</x:v>
      </x:c>
      <x:c r="F184" s="18" t="n">
        <x:v>407505.82</x:v>
      </x:c>
      <x:c r="G184" s="18" t="n">
        <x:v>286381.61</x:v>
      </x:c>
      <x:c r="H184" s="18" t="n">
        <x:v>121124.21</x:v>
      </x:c>
      <x:c r="I184" s="18" t="n">
        <x:v>0.297233</x:v>
      </x:c>
    </x:row>
    <x:row r="185">
      <x:c r="A185" s="17" t="str">
        <x:v>CUST-0133</x:v>
      </x:c>
      <x:c r="B185" s="17" t="str">
        <x:v>Granite Industries</x:v>
      </x:c>
      <x:c r="C185" s="17" t="str">
        <x:v>Logistics Automation</x:v>
      </x:c>
      <x:c r="D185" s="17" t="str">
        <x:v>Canada</x:v>
      </x:c>
      <x:c r="E185" s="18" t="n">
        <x:v>344</x:v>
      </x:c>
      <x:c r="F185" s="18" t="n">
        <x:v>404663.82</x:v>
      </x:c>
      <x:c r="G185" s="18" t="n">
        <x:v>279300.13</x:v>
      </x:c>
      <x:c r="H185" s="18" t="n">
        <x:v>125363.69</x:v>
      </x:c>
      <x:c r="I185" s="18" t="n">
        <x:v>0.309797</x:v>
      </x:c>
    </x:row>
    <x:row r="186">
      <x:c r="A186" s="17" t="str">
        <x:v>CUST-0061</x:v>
      </x:c>
      <x:c r="B186" s="17" t="str">
        <x:v>Meridian Systems</x:v>
      </x:c>
      <x:c r="C186" s="17" t="str">
        <x:v>Logistics Automation</x:v>
      </x:c>
      <x:c r="D186" s="17" t="str">
        <x:v>Canada</x:v>
      </x:c>
      <x:c r="E186" s="18" t="n">
        <x:v>289</x:v>
      </x:c>
      <x:c r="F186" s="18" t="n">
        <x:v>403354.11</x:v>
      </x:c>
      <x:c r="G186" s="18" t="n">
        <x:v>270447.59</x:v>
      </x:c>
      <x:c r="H186" s="18" t="n">
        <x:v>132906.52</x:v>
      </x:c>
      <x:c r="I186" s="18" t="n">
        <x:v>0.329503</x:v>
      </x:c>
    </x:row>
    <x:row r="187">
      <x:c r="A187" s="17" t="str">
        <x:v>CUST-0042</x:v>
      </x:c>
      <x:c r="B187" s="17" t="str">
        <x:v>Arbor Ridge Systems</x:v>
      </x:c>
      <x:c r="C187" s="17" t="str">
        <x:v>Packaging Automation</x:v>
      </x:c>
      <x:c r="D187" s="17" t="str">
        <x:v>Midwest</x:v>
      </x:c>
      <x:c r="E187" s="18" t="n">
        <x:v>208</x:v>
      </x:c>
      <x:c r="F187" s="18" t="n">
        <x:v>401863.4</x:v>
      </x:c>
      <x:c r="G187" s="18" t="n">
        <x:v>272362.97</x:v>
      </x:c>
      <x:c r="H187" s="18" t="n">
        <x:v>129500.43</x:v>
      </x:c>
      <x:c r="I187" s="18" t="n">
        <x:v>0.32225</x:v>
      </x:c>
    </x:row>
    <x:row r="188">
      <x:c r="A188" s="17" t="str">
        <x:v>CUST-0103</x:v>
      </x:c>
      <x:c r="B188" s="17" t="str">
        <x:v>Northline Equipment</x:v>
      </x:c>
      <x:c r="C188" s="17" t="str">
        <x:v>Logistics Automation</x:v>
      </x:c>
      <x:c r="D188" s="17" t="str">
        <x:v>Canada</x:v>
      </x:c>
      <x:c r="E188" s="18" t="n">
        <x:v>254</x:v>
      </x:c>
      <x:c r="F188" s="18" t="n">
        <x:v>399706.18</x:v>
      </x:c>
      <x:c r="G188" s="18" t="n">
        <x:v>267540.57</x:v>
      </x:c>
      <x:c r="H188" s="18" t="n">
        <x:v>132165.61</x:v>
      </x:c>
      <x:c r="I188" s="18" t="n">
        <x:v>0.330657</x:v>
      </x:c>
    </x:row>
    <x:row r="189">
      <x:c r="A189" s="17" t="str">
        <x:v>CUST-0225</x:v>
      </x:c>
      <x:c r="B189" s="17" t="str">
        <x:v>Parkside Process Solutions</x:v>
      </x:c>
      <x:c r="C189" s="17" t="str">
        <x:v>Water &amp; Wastewater</x:v>
      </x:c>
      <x:c r="D189" s="17" t="str">
        <x:v>Southwest</x:v>
      </x:c>
      <x:c r="E189" s="18" t="n">
        <x:v>206</x:v>
      </x:c>
      <x:c r="F189" s="18" t="n">
        <x:v>399350.1</x:v>
      </x:c>
      <x:c r="G189" s="18" t="n">
        <x:v>279150.04</x:v>
      </x:c>
      <x:c r="H189" s="18" t="n">
        <x:v>120200.06</x:v>
      </x:c>
      <x:c r="I189" s="18" t="n">
        <x:v>0.300989</x:v>
      </x:c>
    </x:row>
    <x:row r="190">
      <x:c r="A190" s="17" t="str">
        <x:v>CUST-0215</x:v>
      </x:c>
      <x:c r="B190" s="17" t="str">
        <x:v>Highland Process Solutions</x:v>
      </x:c>
      <x:c r="C190" s="17" t="str">
        <x:v>General Industrial</x:v>
      </x:c>
      <x:c r="D190" s="17" t="str">
        <x:v>Northeast</x:v>
      </x:c>
      <x:c r="E190" s="18" t="n">
        <x:v>267</x:v>
      </x:c>
      <x:c r="F190" s="18" t="n">
        <x:v>399292.43</x:v>
      </x:c>
      <x:c r="G190" s="18" t="n">
        <x:v>279690.67</x:v>
      </x:c>
      <x:c r="H190" s="18" t="n">
        <x:v>119601.76</x:v>
      </x:c>
      <x:c r="I190" s="18" t="n">
        <x:v>0.299534</x:v>
      </x:c>
    </x:row>
    <x:row r="191">
      <x:c r="A191" s="17" t="str">
        <x:v>CUST-0175</x:v>
      </x:c>
      <x:c r="B191" s="17" t="str">
        <x:v>Highland Engineering</x:v>
      </x:c>
      <x:c r="C191" s="17" t="str">
        <x:v>Logistics Automation</x:v>
      </x:c>
      <x:c r="D191" s="17" t="str">
        <x:v>Canada</x:v>
      </x:c>
      <x:c r="E191" s="18" t="n">
        <x:v>270</x:v>
      </x:c>
      <x:c r="F191" s="18" t="n">
        <x:v>399270.1</x:v>
      </x:c>
      <x:c r="G191" s="18" t="n">
        <x:v>273598.1</x:v>
      </x:c>
      <x:c r="H191" s="18" t="n">
        <x:v>125672</x:v>
      </x:c>
      <x:c r="I191" s="18" t="n">
        <x:v>0.314754</x:v>
      </x:c>
    </x:row>
    <x:row r="192">
      <x:c r="A192" s="17" t="str">
        <x:v>CUST-0183</x:v>
      </x:c>
      <x:c r="B192" s="17" t="str">
        <x:v>Northline Engineering</x:v>
      </x:c>
      <x:c r="C192" s="17" t="str">
        <x:v>Water &amp; Wastewater</x:v>
      </x:c>
      <x:c r="D192" s="17" t="str">
        <x:v>Southwest</x:v>
      </x:c>
      <x:c r="E192" s="18" t="n">
        <x:v>225</x:v>
      </x:c>
      <x:c r="F192" s="18" t="n">
        <x:v>399258.61</x:v>
      </x:c>
      <x:c r="G192" s="18" t="n">
        <x:v>282346.23</x:v>
      </x:c>
      <x:c r="H192" s="18" t="n">
        <x:v>116912.38</x:v>
      </x:c>
      <x:c r="I192" s="18" t="n">
        <x:v>0.292824</x:v>
      </x:c>
    </x:row>
    <x:row r="193">
      <x:c r="A193" s="17" t="str">
        <x:v>CUST-0128</x:v>
      </x:c>
      <x:c r="B193" s="17" t="str">
        <x:v>Delta Industries</x:v>
      </x:c>
      <x:c r="C193" s="17" t="str">
        <x:v>Food &amp; Beverage Equipment</x:v>
      </x:c>
      <x:c r="D193" s="17" t="str">
        <x:v>West</x:v>
      </x:c>
      <x:c r="E193" s="18" t="n">
        <x:v>276</x:v>
      </x:c>
      <x:c r="F193" s="18" t="n">
        <x:v>395648.7</x:v>
      </x:c>
      <x:c r="G193" s="18" t="n">
        <x:v>270505.11</x:v>
      </x:c>
      <x:c r="H193" s="18" t="n">
        <x:v>125143.59</x:v>
      </x:c>
      <x:c r="I193" s="18" t="n">
        <x:v>0.3163</x:v>
      </x:c>
    </x:row>
    <x:row r="194">
      <x:c r="A194" s="17" t="str">
        <x:v>CUST-0019</x:v>
      </x:c>
      <x:c r="B194" s="17" t="str">
        <x:v>Lakeshore Automation</x:v>
      </x:c>
      <x:c r="C194" s="17" t="str">
        <x:v>Logistics Automation</x:v>
      </x:c>
      <x:c r="D194" s="17" t="str">
        <x:v>Canada</x:v>
      </x:c>
      <x:c r="E194" s="18" t="n">
        <x:v>245</x:v>
      </x:c>
      <x:c r="F194" s="18" t="n">
        <x:v>394856.89</x:v>
      </x:c>
      <x:c r="G194" s="18" t="n">
        <x:v>264381.08</x:v>
      </x:c>
      <x:c r="H194" s="18" t="n">
        <x:v>130475.81</x:v>
      </x:c>
      <x:c r="I194" s="18" t="n">
        <x:v>0.330438</x:v>
      </x:c>
    </x:row>
    <x:row r="195">
      <x:c r="A195" s="17" t="str">
        <x:v>CUST-0195</x:v>
      </x:c>
      <x:c r="B195" s="17" t="str">
        <x:v>Valley Forge Engineering</x:v>
      </x:c>
      <x:c r="C195" s="17" t="str">
        <x:v>Water &amp; Wastewater</x:v>
      </x:c>
      <x:c r="D195" s="17" t="str">
        <x:v>Southwest</x:v>
      </x:c>
      <x:c r="E195" s="18" t="n">
        <x:v>263</x:v>
      </x:c>
      <x:c r="F195" s="18" t="n">
        <x:v>389371.69</x:v>
      </x:c>
      <x:c r="G195" s="18" t="n">
        <x:v>270697.97</x:v>
      </x:c>
      <x:c r="H195" s="18" t="n">
        <x:v>118673.72</x:v>
      </x:c>
      <x:c r="I195" s="18" t="n">
        <x:v>0.304783</x:v>
      </x:c>
    </x:row>
    <x:row r="196">
      <x:c r="A196" s="17" t="str">
        <x:v>CUST-0083</x:v>
      </x:c>
      <x:c r="B196" s="17" t="str">
        <x:v>Beacon Equipment</x:v>
      </x:c>
      <x:c r="C196" s="17" t="str">
        <x:v>General Industrial</x:v>
      </x:c>
      <x:c r="D196" s="17" t="str">
        <x:v>Northeast</x:v>
      </x:c>
      <x:c r="E196" s="18" t="n">
        <x:v>260</x:v>
      </x:c>
      <x:c r="F196" s="18" t="n">
        <x:v>384914.1</x:v>
      </x:c>
      <x:c r="G196" s="18" t="n">
        <x:v>262152.2</x:v>
      </x:c>
      <x:c r="H196" s="18" t="n">
        <x:v>122761.9</x:v>
      </x:c>
      <x:c r="I196" s="18" t="n">
        <x:v>0.318933</x:v>
      </x:c>
    </x:row>
    <x:row r="197">
      <x:c r="A197" s="17" t="str">
        <x:v>CUST-0014</x:v>
      </x:c>
      <x:c r="B197" s="17" t="str">
        <x:v>Harbor Automation</x:v>
      </x:c>
      <x:c r="C197" s="17" t="str">
        <x:v>Food &amp; Beverage Equipment</x:v>
      </x:c>
      <x:c r="D197" s="17" t="str">
        <x:v>West</x:v>
      </x:c>
      <x:c r="E197" s="18" t="n">
        <x:v>351</x:v>
      </x:c>
      <x:c r="F197" s="18" t="n">
        <x:v>381528.29</x:v>
      </x:c>
      <x:c r="G197" s="18" t="n">
        <x:v>257795.62</x:v>
      </x:c>
      <x:c r="H197" s="18" t="n">
        <x:v>123732.67</x:v>
      </x:c>
      <x:c r="I197" s="18" t="n">
        <x:v>0.324308</x:v>
      </x:c>
    </x:row>
    <x:row r="198">
      <x:c r="A198" s="17" t="str">
        <x:v>CUST-0214</x:v>
      </x:c>
      <x:c r="B198" s="17" t="str">
        <x:v>Harbor Process Solutions</x:v>
      </x:c>
      <x:c r="C198" s="17" t="str">
        <x:v>Forest Products</x:v>
      </x:c>
      <x:c r="D198" s="17" t="str">
        <x:v>Southeast</x:v>
      </x:c>
      <x:c r="E198" s="18" t="n">
        <x:v>311</x:v>
      </x:c>
      <x:c r="F198" s="18" t="n">
        <x:v>378896.3</x:v>
      </x:c>
      <x:c r="G198" s="18" t="n">
        <x:v>245383.01</x:v>
      </x:c>
      <x:c r="H198" s="18" t="n">
        <x:v>133513.29</x:v>
      </x:c>
      <x:c r="I198" s="18" t="n">
        <x:v>0.352374</x:v>
      </x:c>
    </x:row>
    <x:row r="199">
      <x:c r="A199" s="17" t="str">
        <x:v>CUST-0034</x:v>
      </x:c>
      <x:c r="B199" s="17" t="str">
        <x:v>Triad Automation</x:v>
      </x:c>
      <x:c r="C199" s="17" t="str">
        <x:v>Forest Products</x:v>
      </x:c>
      <x:c r="D199" s="17" t="str">
        <x:v>Southeast</x:v>
      </x:c>
      <x:c r="E199" s="18" t="n">
        <x:v>327</x:v>
      </x:c>
      <x:c r="F199" s="18" t="n">
        <x:v>377337.23</x:v>
      </x:c>
      <x:c r="G199" s="18" t="n">
        <x:v>250340.75</x:v>
      </x:c>
      <x:c r="H199" s="18" t="n">
        <x:v>126996.48</x:v>
      </x:c>
      <x:c r="I199" s="18" t="n">
        <x:v>0.33656</x:v>
      </x:c>
    </x:row>
    <x:row r="200">
      <x:c r="A200" s="17" t="str">
        <x:v>CUST-0049</x:v>
      </x:c>
      <x:c r="B200" s="17" t="str">
        <x:v>Eastgate Systems</x:v>
      </x:c>
      <x:c r="C200" s="17" t="str">
        <x:v>Logistics Automation</x:v>
      </x:c>
      <x:c r="D200" s="17" t="str">
        <x:v>Canada</x:v>
      </x:c>
      <x:c r="E200" s="18" t="n">
        <x:v>254</x:v>
      </x:c>
      <x:c r="F200" s="18" t="n">
        <x:v>377144.03</x:v>
      </x:c>
      <x:c r="G200" s="18" t="n">
        <x:v>256568.39</x:v>
      </x:c>
      <x:c r="H200" s="18" t="n">
        <x:v>120575.64</x:v>
      </x:c>
      <x:c r="I200" s="18" t="n">
        <x:v>0.319707</x:v>
      </x:c>
    </x:row>
    <x:row r="201">
      <x:c r="A201" s="17" t="str">
        <x:v>CUST-0143</x:v>
      </x:c>
      <x:c r="B201" s="17" t="str">
        <x:v>Northline Industries</x:v>
      </x:c>
      <x:c r="C201" s="17" t="str">
        <x:v>General Industrial</x:v>
      </x:c>
      <x:c r="D201" s="17" t="str">
        <x:v>Northeast</x:v>
      </x:c>
      <x:c r="E201" s="18" t="n">
        <x:v>289</x:v>
      </x:c>
      <x:c r="F201" s="18" t="n">
        <x:v>376548.89</x:v>
      </x:c>
      <x:c r="G201" s="18" t="n">
        <x:v>259187.05</x:v>
      </x:c>
      <x:c r="H201" s="18" t="n">
        <x:v>117361.84</x:v>
      </x:c>
      <x:c r="I201" s="18" t="n">
        <x:v>0.311678</x:v>
      </x:c>
    </x:row>
    <x:row r="202">
      <x:c r="A202" s="17" t="str">
        <x:v>CUST-0205</x:v>
      </x:c>
      <x:c r="B202" s="17" t="str">
        <x:v>Bridgepoint Process Solutions</x:v>
      </x:c>
      <x:c r="C202" s="17" t="str">
        <x:v>Logistics Automation</x:v>
      </x:c>
      <x:c r="D202" s="17" t="str">
        <x:v>Canada</x:v>
      </x:c>
      <x:c r="E202" s="18" t="n">
        <x:v>188</x:v>
      </x:c>
      <x:c r="F202" s="18" t="n">
        <x:v>366481.28</x:v>
      </x:c>
      <x:c r="G202" s="18" t="n">
        <x:v>261856.05</x:v>
      </x:c>
      <x:c r="H202" s="18" t="n">
        <x:v>104625.23</x:v>
      </x:c>
      <x:c r="I202" s="18" t="n">
        <x:v>0.285486</x:v>
      </x:c>
    </x:row>
    <x:row r="203">
      <x:c r="A203" s="17" t="str">
        <x:v>CUST-0044</x:v>
      </x:c>
      <x:c r="B203" s="17" t="str">
        <x:v>Bluewater Systems</x:v>
      </x:c>
      <x:c r="C203" s="17" t="str">
        <x:v>Food &amp; Beverage Equipment</x:v>
      </x:c>
      <x:c r="D203" s="17" t="str">
        <x:v>West</x:v>
      </x:c>
      <x:c r="E203" s="18" t="n">
        <x:v>320</x:v>
      </x:c>
      <x:c r="F203" s="18" t="n">
        <x:v>364681.03</x:v>
      </x:c>
      <x:c r="G203" s="18" t="n">
        <x:v>248870.5</x:v>
      </x:c>
      <x:c r="H203" s="18" t="n">
        <x:v>115810.53</x:v>
      </x:c>
      <x:c r="I203" s="18" t="n">
        <x:v>0.317567</x:v>
      </x:c>
    </x:row>
    <x:row r="204">
      <x:c r="A204" s="17" t="str">
        <x:v>CUST-0022</x:v>
      </x:c>
      <x:c r="B204" s="17" t="str">
        <x:v>Monarch Automation</x:v>
      </x:c>
      <x:c r="C204" s="17" t="str">
        <x:v>Forest Products</x:v>
      </x:c>
      <x:c r="D204" s="17" t="str">
        <x:v>Southeast</x:v>
      </x:c>
      <x:c r="E204" s="18" t="n">
        <x:v>221</x:v>
      </x:c>
      <x:c r="F204" s="18" t="n">
        <x:v>361243.04</x:v>
      </x:c>
      <x:c r="G204" s="18" t="n">
        <x:v>240457</x:v>
      </x:c>
      <x:c r="H204" s="18" t="n">
        <x:v>120786.04</x:v>
      </x:c>
      <x:c r="I204" s="18" t="n">
        <x:v>0.334362</x:v>
      </x:c>
    </x:row>
    <x:row r="205">
      <x:c r="A205" s="17" t="str">
        <x:v>CUST-0110</x:v>
      </x:c>
      <x:c r="B205" s="17" t="str">
        <x:v>Rockford Equipment</x:v>
      </x:c>
      <x:c r="C205" s="17" t="str">
        <x:v>Food &amp; Beverage Equipment</x:v>
      </x:c>
      <x:c r="D205" s="17" t="str">
        <x:v>West</x:v>
      </x:c>
      <x:c r="E205" s="18" t="n">
        <x:v>248</x:v>
      </x:c>
      <x:c r="F205" s="18" t="n">
        <x:v>359988.29</x:v>
      </x:c>
      <x:c r="G205" s="18" t="n">
        <x:v>249621.23</x:v>
      </x:c>
      <x:c r="H205" s="18" t="n">
        <x:v>110367.06</x:v>
      </x:c>
      <x:c r="I205" s="18" t="n">
        <x:v>0.306585</x:v>
      </x:c>
    </x:row>
    <x:row r="206">
      <x:c r="A206" s="17" t="str">
        <x:v>CUST-0187</x:v>
      </x:c>
      <x:c r="B206" s="17" t="str">
        <x:v>Prairie State Engineering</x:v>
      </x:c>
      <x:c r="C206" s="17" t="str">
        <x:v>Logistics Automation</x:v>
      </x:c>
      <x:c r="D206" s="17" t="str">
        <x:v>Canada</x:v>
      </x:c>
      <x:c r="E206" s="18" t="n">
        <x:v>188</x:v>
      </x:c>
      <x:c r="F206" s="18" t="n">
        <x:v>356239.27</x:v>
      </x:c>
      <x:c r="G206" s="18" t="n">
        <x:v>242239.07</x:v>
      </x:c>
      <x:c r="H206" s="18" t="n">
        <x:v>114000.2</x:v>
      </x:c>
      <x:c r="I206" s="18" t="n">
        <x:v>0.32001</x:v>
      </x:c>
    </x:row>
    <x:row r="207">
      <x:c r="A207" s="17" t="str">
        <x:v>CUST-0041</x:v>
      </x:c>
      <x:c r="B207" s="17" t="str">
        <x:v>Apex Systems</x:v>
      </x:c>
      <x:c r="C207" s="17" t="str">
        <x:v>General Industrial</x:v>
      </x:c>
      <x:c r="D207" s="17" t="str">
        <x:v>Northeast</x:v>
      </x:c>
      <x:c r="E207" s="18" t="n">
        <x:v>234</x:v>
      </x:c>
      <x:c r="F207" s="18" t="n">
        <x:v>353655.48</x:v>
      </x:c>
      <x:c r="G207" s="18" t="n">
        <x:v>243993.94</x:v>
      </x:c>
      <x:c r="H207" s="18" t="n">
        <x:v>109661.54</x:v>
      </x:c>
      <x:c r="I207" s="18" t="n">
        <x:v>0.31008</x:v>
      </x:c>
    </x:row>
    <x:row r="208">
      <x:c r="A208" s="17" t="str">
        <x:v>CUST-0043</x:v>
      </x:c>
      <x:c r="B208" s="17" t="str">
        <x:v>Beacon Systems</x:v>
      </x:c>
      <x:c r="C208" s="17" t="str">
        <x:v>Logistics Automation</x:v>
      </x:c>
      <x:c r="D208" s="17" t="str">
        <x:v>Canada</x:v>
      </x:c>
      <x:c r="E208" s="18" t="n">
        <x:v>296</x:v>
      </x:c>
      <x:c r="F208" s="18" t="n">
        <x:v>347190.75</x:v>
      </x:c>
      <x:c r="G208" s="18" t="n">
        <x:v>230588.76</x:v>
      </x:c>
      <x:c r="H208" s="18" t="n">
        <x:v>116601.99</x:v>
      </x:c>
      <x:c r="I208" s="18" t="n">
        <x:v>0.335844</x:v>
      </x:c>
    </x:row>
    <x:row r="209">
      <x:c r="A209" s="17" t="str">
        <x:v>CUST-0171</x:v>
      </x:c>
      <x:c r="B209" s="17" t="str">
        <x:v>Fairmont Engineering</x:v>
      </x:c>
      <x:c r="C209" s="17" t="str">
        <x:v>Water &amp; Wastewater</x:v>
      </x:c>
      <x:c r="D209" s="17" t="str">
        <x:v>Southwest</x:v>
      </x:c>
      <x:c r="E209" s="18" t="n">
        <x:v>270</x:v>
      </x:c>
      <x:c r="F209" s="18" t="n">
        <x:v>343929.81</x:v>
      </x:c>
      <x:c r="G209" s="18" t="n">
        <x:v>235122.53</x:v>
      </x:c>
      <x:c r="H209" s="18" t="n">
        <x:v>108807.28</x:v>
      </x:c>
      <x:c r="I209" s="18" t="n">
        <x:v>0.316365</x:v>
      </x:c>
    </x:row>
    <x:row r="210">
      <x:c r="A210" s="17" t="str">
        <x:v>CUST-0204</x:v>
      </x:c>
      <x:c r="B210" s="17" t="str">
        <x:v>Bluewater Process Solutions</x:v>
      </x:c>
      <x:c r="C210" s="17" t="str">
        <x:v>Packaging Automation</x:v>
      </x:c>
      <x:c r="D210" s="17" t="str">
        <x:v>Midwest</x:v>
      </x:c>
      <x:c r="E210" s="18" t="n">
        <x:v>270</x:v>
      </x:c>
      <x:c r="F210" s="18" t="n">
        <x:v>342088.64</x:v>
      </x:c>
      <x:c r="G210" s="18" t="n">
        <x:v>233115.28</x:v>
      </x:c>
      <x:c r="H210" s="18" t="n">
        <x:v>108973.36</x:v>
      </x:c>
      <x:c r="I210" s="18" t="n">
        <x:v>0.318553</x:v>
      </x:c>
    </x:row>
    <x:row r="211">
      <x:c r="A211" s="17" t="str">
        <x:v>CUST-0093</x:v>
      </x:c>
      <x:c r="B211" s="17" t="str">
        <x:v>Granite Equipment</x:v>
      </x:c>
      <x:c r="C211" s="17" t="str">
        <x:v>Water &amp; Wastewater</x:v>
      </x:c>
      <x:c r="D211" s="17" t="str">
        <x:v>Southwest</x:v>
      </x:c>
      <x:c r="E211" s="18" t="n">
        <x:v>241</x:v>
      </x:c>
      <x:c r="F211" s="18" t="n">
        <x:v>339925.13</x:v>
      </x:c>
      <x:c r="G211" s="18" t="n">
        <x:v>235784.27</x:v>
      </x:c>
      <x:c r="H211" s="18" t="n">
        <x:v>104140.86</x:v>
      </x:c>
      <x:c r="I211" s="18" t="n">
        <x:v>0.306364</x:v>
      </x:c>
    </x:row>
    <x:row r="212">
      <x:c r="A212" s="17" t="str">
        <x:v>CUST-0100</x:v>
      </x:c>
      <x:c r="B212" s="17" t="str">
        <x:v>Maple Ridge Equipment</x:v>
      </x:c>
      <x:c r="C212" s="17" t="str">
        <x:v>Forest Products</x:v>
      </x:c>
      <x:c r="D212" s="17" t="str">
        <x:v>Southeast</x:v>
      </x:c>
      <x:c r="E212" s="18" t="n">
        <x:v>254</x:v>
      </x:c>
      <x:c r="F212" s="18" t="n">
        <x:v>327913.82</x:v>
      </x:c>
      <x:c r="G212" s="18" t="n">
        <x:v>222160.79</x:v>
      </x:c>
      <x:c r="H212" s="18" t="n">
        <x:v>105753.03</x:v>
      </x:c>
      <x:c r="I212" s="18" t="n">
        <x:v>0.322503</x:v>
      </x:c>
    </x:row>
    <x:row r="213">
      <x:c r="A213" s="17" t="str">
        <x:v>CUST-0097</x:v>
      </x:c>
      <x:c r="B213" s="17" t="str">
        <x:v>Juniper Equipment</x:v>
      </x:c>
      <x:c r="C213" s="17" t="str">
        <x:v>Logistics Automation</x:v>
      </x:c>
      <x:c r="D213" s="17" t="str">
        <x:v>Canada</x:v>
      </x:c>
      <x:c r="E213" s="18" t="n">
        <x:v>192</x:v>
      </x:c>
      <x:c r="F213" s="18" t="n">
        <x:v>324621.24</x:v>
      </x:c>
      <x:c r="G213" s="18" t="n">
        <x:v>214946.66</x:v>
      </x:c>
      <x:c r="H213" s="18" t="n">
        <x:v>109674.58</x:v>
      </x:c>
      <x:c r="I213" s="18" t="n">
        <x:v>0.337854</x:v>
      </x:c>
    </x:row>
    <x:row r="214">
      <x:c r="A214" s="17" t="str">
        <x:v>CUST-0228</x:v>
      </x:c>
      <x:c r="B214" s="17" t="str">
        <x:v>Redwood Process Solutions</x:v>
      </x:c>
      <x:c r="C214" s="17" t="str">
        <x:v>Packaging Automation</x:v>
      </x:c>
      <x:c r="D214" s="17" t="str">
        <x:v>Midwest</x:v>
      </x:c>
      <x:c r="E214" s="18" t="n">
        <x:v>188</x:v>
      </x:c>
      <x:c r="F214" s="18" t="n">
        <x:v>320864.09</x:v>
      </x:c>
      <x:c r="G214" s="18" t="n">
        <x:v>218411.21</x:v>
      </x:c>
      <x:c r="H214" s="18" t="n">
        <x:v>102452.88</x:v>
      </x:c>
      <x:c r="I214" s="18" t="n">
        <x:v>0.319303</x:v>
      </x:c>
    </x:row>
    <x:row r="215">
      <x:c r="A215" s="17" t="str">
        <x:v>CUST-0027</x:v>
      </x:c>
      <x:c r="B215" s="17" t="str">
        <x:v>Prairie State Automation</x:v>
      </x:c>
      <x:c r="C215" s="17" t="str">
        <x:v>Water &amp; Wastewater</x:v>
      </x:c>
      <x:c r="D215" s="17" t="str">
        <x:v>Southwest</x:v>
      </x:c>
      <x:c r="E215" s="18" t="n">
        <x:v>289</x:v>
      </x:c>
      <x:c r="F215" s="18" t="n">
        <x:v>318272.41</x:v>
      </x:c>
      <x:c r="G215" s="18" t="n">
        <x:v>214506.91</x:v>
      </x:c>
      <x:c r="H215" s="18" t="n">
        <x:v>103765.5</x:v>
      </x:c>
      <x:c r="I215" s="18" t="n">
        <x:v>0.326027</x:v>
      </x:c>
    </x:row>
    <x:row r="216">
      <x:c r="A216" s="17" t="str">
        <x:v>CUST-0005</x:v>
      </x:c>
      <x:c r="B216" s="17" t="str">
        <x:v>Bridgepoint Automation</x:v>
      </x:c>
      <x:c r="C216" s="17" t="str">
        <x:v>General Industrial</x:v>
      </x:c>
      <x:c r="D216" s="17" t="str">
        <x:v>Northeast</x:v>
      </x:c>
      <x:c r="E216" s="18" t="n">
        <x:v>256</x:v>
      </x:c>
      <x:c r="F216" s="18" t="n">
        <x:v>316037.17</x:v>
      </x:c>
      <x:c r="G216" s="18" t="n">
        <x:v>217345.99</x:v>
      </x:c>
      <x:c r="H216" s="18" t="n">
        <x:v>98691.18</x:v>
      </x:c>
      <x:c r="I216" s="18" t="n">
        <x:v>0.312277</x:v>
      </x:c>
    </x:row>
    <x:row r="217">
      <x:c r="A217" s="17" t="str">
        <x:v>CUST-0140</x:v>
      </x:c>
      <x:c r="B217" s="17" t="str">
        <x:v>Maple Ridge Industries</x:v>
      </x:c>
      <x:c r="C217" s="17" t="str">
        <x:v>Food &amp; Beverage Equipment</x:v>
      </x:c>
      <x:c r="D217" s="17" t="str">
        <x:v>West</x:v>
      </x:c>
      <x:c r="E217" s="18" t="n">
        <x:v>254</x:v>
      </x:c>
      <x:c r="F217" s="18" t="n">
        <x:v>312019.68</x:v>
      </x:c>
      <x:c r="G217" s="18" t="n">
        <x:v>217044.5</x:v>
      </x:c>
      <x:c r="H217" s="18" t="n">
        <x:v>94975.18</x:v>
      </x:c>
      <x:c r="I217" s="18" t="n">
        <x:v>0.304388</x:v>
      </x:c>
    </x:row>
    <x:row r="218">
      <x:c r="A218" s="17" t="str">
        <x:v>CUST-0213</x:v>
      </x:c>
      <x:c r="B218" s="17" t="str">
        <x:v>Granite Process Solutions</x:v>
      </x:c>
      <x:c r="C218" s="17" t="str">
        <x:v>Water &amp; Wastewater</x:v>
      </x:c>
      <x:c r="D218" s="17" t="str">
        <x:v>Southwest</x:v>
      </x:c>
      <x:c r="E218" s="18" t="n">
        <x:v>276</x:v>
      </x:c>
      <x:c r="F218" s="18" t="n">
        <x:v>306732.7</x:v>
      </x:c>
      <x:c r="G218" s="18" t="n">
        <x:v>213129.7</x:v>
      </x:c>
      <x:c r="H218" s="18" t="n">
        <x:v>93603</x:v>
      </x:c>
      <x:c r="I218" s="18" t="n">
        <x:v>0.305161</x:v>
      </x:c>
    </x:row>
    <x:row r="219">
      <x:c r="A219" s="17" t="str">
        <x:v>CUST-0201</x:v>
      </x:c>
      <x:c r="B219" s="17" t="str">
        <x:v>Apex Process Solutions</x:v>
      </x:c>
      <x:c r="C219" s="17" t="str">
        <x:v>Water &amp; Wastewater</x:v>
      </x:c>
      <x:c r="D219" s="17" t="str">
        <x:v>Southwest</x:v>
      </x:c>
      <x:c r="E219" s="18" t="n">
        <x:v>137</x:v>
      </x:c>
      <x:c r="F219" s="18" t="n">
        <x:v>306615.4</x:v>
      </x:c>
      <x:c r="G219" s="18" t="n">
        <x:v>214114.7</x:v>
      </x:c>
      <x:c r="H219" s="18" t="n">
        <x:v>92500.7</x:v>
      </x:c>
      <x:c r="I219" s="18" t="n">
        <x:v>0.301683</x:v>
      </x:c>
    </x:row>
    <x:row r="220">
      <x:c r="A220" s="17" t="str">
        <x:v>CUST-0038</x:v>
      </x:c>
      <x:c r="B220" s="17" t="str">
        <x:v>Willow Creek Automation</x:v>
      </x:c>
      <x:c r="C220" s="17" t="str">
        <x:v>Food &amp; Beverage Equipment</x:v>
      </x:c>
      <x:c r="D220" s="17" t="str">
        <x:v>West</x:v>
      </x:c>
      <x:c r="E220" s="18" t="n">
        <x:v>221</x:v>
      </x:c>
      <x:c r="F220" s="18" t="n">
        <x:v>306471.04</x:v>
      </x:c>
      <x:c r="G220" s="18" t="n">
        <x:v>210441.37</x:v>
      </x:c>
      <x:c r="H220" s="18" t="n">
        <x:v>96029.67</x:v>
      </x:c>
      <x:c r="I220" s="18" t="n">
        <x:v>0.31334</x:v>
      </x:c>
    </x:row>
    <x:row r="221">
      <x:c r="A221" s="17" t="str">
        <x:v>CUST-0160</x:v>
      </x:c>
      <x:c r="B221" s="17" t="str">
        <x:v>Woodland Industries</x:v>
      </x:c>
      <x:c r="C221" s="17" t="str">
        <x:v>Forest Products</x:v>
      </x:c>
      <x:c r="D221" s="17" t="str">
        <x:v>Southeast</x:v>
      </x:c>
      <x:c r="E221" s="18" t="n">
        <x:v>234</x:v>
      </x:c>
      <x:c r="F221" s="18" t="n">
        <x:v>306036.49</x:v>
      </x:c>
      <x:c r="G221" s="18" t="n">
        <x:v>207192.82</x:v>
      </x:c>
      <x:c r="H221" s="18" t="n">
        <x:v>98843.67</x:v>
      </x:c>
      <x:c r="I221" s="18" t="n">
        <x:v>0.32298</x:v>
      </x:c>
    </x:row>
    <x:row r="222">
      <x:c r="A222" s="17" t="str">
        <x:v>CUST-0094</x:v>
      </x:c>
      <x:c r="B222" s="17" t="str">
        <x:v>Harbor Equipment</x:v>
      </x:c>
      <x:c r="C222" s="17" t="str">
        <x:v>Forest Products</x:v>
      </x:c>
      <x:c r="D222" s="17" t="str">
        <x:v>Southeast</x:v>
      </x:c>
      <x:c r="E222" s="18" t="n">
        <x:v>139</x:v>
      </x:c>
      <x:c r="F222" s="18" t="n">
        <x:v>296054.95</x:v>
      </x:c>
      <x:c r="G222" s="18" t="n">
        <x:v>194690.31</x:v>
      </x:c>
      <x:c r="H222" s="18" t="n">
        <x:v>101364.64</x:v>
      </x:c>
      <x:c r="I222" s="18" t="n">
        <x:v>0.342385</x:v>
      </x:c>
    </x:row>
    <x:row r="223">
      <x:c r="A223" s="17" t="str">
        <x:v>CUST-0079</x:v>
      </x:c>
      <x:c r="B223" s="17" t="str">
        <x:v>Windward Systems</x:v>
      </x:c>
      <x:c r="C223" s="17" t="str">
        <x:v>Logistics Automation</x:v>
      </x:c>
      <x:c r="D223" s="17" t="str">
        <x:v>Canada</x:v>
      </x:c>
      <x:c r="E223" s="18" t="n">
        <x:v>263</x:v>
      </x:c>
      <x:c r="F223" s="18" t="n">
        <x:v>295673.57</x:v>
      </x:c>
      <x:c r="G223" s="18" t="n">
        <x:v>197291.46</x:v>
      </x:c>
      <x:c r="H223" s="18" t="n">
        <x:v>98382.11</x:v>
      </x:c>
      <x:c r="I223" s="18" t="n">
        <x:v>0.332739</x:v>
      </x:c>
    </x:row>
    <x:row r="224">
      <x:c r="A224" s="17" t="str">
        <x:v>CUST-0053</x:v>
      </x:c>
      <x:c r="B224" s="17" t="str">
        <x:v>Granite Systems</x:v>
      </x:c>
      <x:c r="C224" s="17" t="str">
        <x:v>General Industrial</x:v>
      </x:c>
      <x:c r="D224" s="17" t="str">
        <x:v>Northeast</x:v>
      </x:c>
      <x:c r="E224" s="18" t="n">
        <x:v>213</x:v>
      </x:c>
      <x:c r="F224" s="18" t="n">
        <x:v>290206.53</x:v>
      </x:c>
      <x:c r="G224" s="18" t="n">
        <x:v>198290.56</x:v>
      </x:c>
      <x:c r="H224" s="18" t="n">
        <x:v>91915.97</x:v>
      </x:c>
      <x:c r="I224" s="18" t="n">
        <x:v>0.316726</x:v>
      </x:c>
    </x:row>
    <x:row r="225">
      <x:c r="A225" s="17" t="str">
        <x:v>CUST-0092</x:v>
      </x:c>
      <x:c r="B225" s="17" t="str">
        <x:v>Frontier Equipment</x:v>
      </x:c>
      <x:c r="C225" s="17" t="str">
        <x:v>Food &amp; Beverage Equipment</x:v>
      </x:c>
      <x:c r="D225" s="17" t="str">
        <x:v>West</x:v>
      </x:c>
      <x:c r="E225" s="18" t="n">
        <x:v>177</x:v>
      </x:c>
      <x:c r="F225" s="18" t="n">
        <x:v>287947.46</x:v>
      </x:c>
      <x:c r="G225" s="18" t="n">
        <x:v>195469.3</x:v>
      </x:c>
      <x:c r="H225" s="18" t="n">
        <x:v>92478.16</x:v>
      </x:c>
      <x:c r="I225" s="18" t="n">
        <x:v>0.321163</x:v>
      </x:c>
    </x:row>
    <x:row r="226">
      <x:c r="A226" s="17" t="str">
        <x:v>CUST-0149</x:v>
      </x:c>
      <x:c r="B226" s="17" t="str">
        <x:v>Riverton Industries</x:v>
      </x:c>
      <x:c r="C226" s="17" t="str">
        <x:v>General Industrial</x:v>
      </x:c>
      <x:c r="D226" s="17" t="str">
        <x:v>Northeast</x:v>
      </x:c>
      <x:c r="E226" s="18" t="n">
        <x:v>287</x:v>
      </x:c>
      <x:c r="F226" s="18" t="n">
        <x:v>282465.86</x:v>
      </x:c>
      <x:c r="G226" s="18" t="n">
        <x:v>193439.88</x:v>
      </x:c>
      <x:c r="H226" s="18" t="n">
        <x:v>89025.98</x:v>
      </x:c>
      <x:c r="I226" s="18" t="n">
        <x:v>0.315174</x:v>
      </x:c>
    </x:row>
    <x:row r="227">
      <x:c r="A227" s="17" t="str">
        <x:v>CUST-0013</x:v>
      </x:c>
      <x:c r="B227" s="17" t="str">
        <x:v>Granite Automation</x:v>
      </x:c>
      <x:c r="C227" s="17" t="str">
        <x:v>Logistics Automation</x:v>
      </x:c>
      <x:c r="D227" s="17" t="str">
        <x:v>Canada</x:v>
      </x:c>
      <x:c r="E227" s="18" t="n">
        <x:v>263</x:v>
      </x:c>
      <x:c r="F227" s="18" t="n">
        <x:v>279140.05</x:v>
      </x:c>
      <x:c r="G227" s="18" t="n">
        <x:v>185300.84</x:v>
      </x:c>
      <x:c r="H227" s="18" t="n">
        <x:v>93839.21</x:v>
      </x:c>
      <x:c r="I227" s="18" t="n">
        <x:v>0.336173</x:v>
      </x:c>
    </x:row>
    <x:row r="228">
      <x:c r="A228" s="17" t="str">
        <x:v>CUST-0152</x:v>
      </x:c>
      <x:c r="B228" s="17" t="str">
        <x:v>Summit Industries</x:v>
      </x:c>
      <x:c r="C228" s="17" t="str">
        <x:v>Food &amp; Beverage Equipment</x:v>
      </x:c>
      <x:c r="D228" s="17" t="str">
        <x:v>West</x:v>
      </x:c>
      <x:c r="E228" s="18" t="n">
        <x:v>243</x:v>
      </x:c>
      <x:c r="F228" s="18" t="n">
        <x:v>274955.61</x:v>
      </x:c>
      <x:c r="G228" s="18" t="n">
        <x:v>196562.11</x:v>
      </x:c>
      <x:c r="H228" s="18" t="n">
        <x:v>78393.5</x:v>
      </x:c>
      <x:c r="I228" s="18" t="n">
        <x:v>0.285113</x:v>
      </x:c>
    </x:row>
    <x:row r="229">
      <x:c r="A229" s="17" t="str">
        <x:v>CUST-0236</x:v>
      </x:c>
      <x:c r="B229" s="17" t="str">
        <x:v>Vector Process Solutions</x:v>
      </x:c>
      <x:c r="C229" s="17" t="str">
        <x:v>Food &amp; Beverage Equipment</x:v>
      </x:c>
      <x:c r="D229" s="17" t="str">
        <x:v>West</x:v>
      </x:c>
      <x:c r="E229" s="18" t="n">
        <x:v>210</x:v>
      </x:c>
      <x:c r="F229" s="18" t="n">
        <x:v>272088.85</x:v>
      </x:c>
      <x:c r="G229" s="18" t="n">
        <x:v>180304.29</x:v>
      </x:c>
      <x:c r="H229" s="18" t="n">
        <x:v>91784.56</x:v>
      </x:c>
      <x:c r="I229" s="18" t="n">
        <x:v>0.337333</x:v>
      </x:c>
    </x:row>
    <x:row r="230">
      <x:c r="A230" s="17" t="str">
        <x:v>CUST-0153</x:v>
      </x:c>
      <x:c r="B230" s="17" t="str">
        <x:v>Timberline Industries</x:v>
      </x:c>
      <x:c r="C230" s="17" t="str">
        <x:v>Water &amp; Wastewater</x:v>
      </x:c>
      <x:c r="D230" s="17" t="str">
        <x:v>Southwest</x:v>
      </x:c>
      <x:c r="E230" s="18" t="n">
        <x:v>256</x:v>
      </x:c>
      <x:c r="F230" s="18" t="n">
        <x:v>268549.19</x:v>
      </x:c>
      <x:c r="G230" s="18" t="n">
        <x:v>187595.29</x:v>
      </x:c>
      <x:c r="H230" s="18" t="n">
        <x:v>80953.9</x:v>
      </x:c>
      <x:c r="I230" s="18" t="n">
        <x:v>0.301449</x:v>
      </x:c>
    </x:row>
    <x:row r="231">
      <x:c r="A231" s="17" t="str">
        <x:v>CUST-0158</x:v>
      </x:c>
      <x:c r="B231" s="17" t="str">
        <x:v>Willow Creek Industries</x:v>
      </x:c>
      <x:c r="C231" s="17" t="str">
        <x:v>Food &amp; Beverage Equipment</x:v>
      </x:c>
      <x:c r="D231" s="17" t="str">
        <x:v>West</x:v>
      </x:c>
      <x:c r="E231" s="18" t="n">
        <x:v>199</x:v>
      </x:c>
      <x:c r="F231" s="18" t="n">
        <x:v>268537.96</x:v>
      </x:c>
      <x:c r="G231" s="18" t="n">
        <x:v>186755.74</x:v>
      </x:c>
      <x:c r="H231" s="18" t="n">
        <x:v>81782.22</x:v>
      </x:c>
      <x:c r="I231" s="18" t="n">
        <x:v>0.304546</x:v>
      </x:c>
    </x:row>
    <x:row r="232">
      <x:c r="A232" s="17" t="str">
        <x:v>CUST-0076</x:v>
      </x:c>
      <x:c r="B232" s="17" t="str">
        <x:v>Vector Systems</x:v>
      </x:c>
      <x:c r="C232" s="17" t="str">
        <x:v>Forest Products</x:v>
      </x:c>
      <x:c r="D232" s="17" t="str">
        <x:v>Southeast</x:v>
      </x:c>
      <x:c r="E232" s="18" t="n">
        <x:v>188</x:v>
      </x:c>
      <x:c r="F232" s="18" t="n">
        <x:v>263924.41</x:v>
      </x:c>
      <x:c r="G232" s="18" t="n">
        <x:v>179770.73</x:v>
      </x:c>
      <x:c r="H232" s="18" t="n">
        <x:v>84153.68</x:v>
      </x:c>
      <x:c r="I232" s="18" t="n">
        <x:v>0.318855</x:v>
      </x:c>
    </x:row>
    <x:row r="233">
      <x:c r="A233" s="17" t="str">
        <x:v>CUST-0123</x:v>
      </x:c>
      <x:c r="B233" s="17" t="str">
        <x:v>Beacon Industries</x:v>
      </x:c>
      <x:c r="C233" s="17" t="str">
        <x:v>Water &amp; Wastewater</x:v>
      </x:c>
      <x:c r="D233" s="17" t="str">
        <x:v>Southwest</x:v>
      </x:c>
      <x:c r="E233" s="18" t="n">
        <x:v>265</x:v>
      </x:c>
      <x:c r="F233" s="18" t="n">
        <x:v>260842.17</x:v>
      </x:c>
      <x:c r="G233" s="18" t="n">
        <x:v>178103.27</x:v>
      </x:c>
      <x:c r="H233" s="18" t="n">
        <x:v>82738.9</x:v>
      </x:c>
      <x:c r="I233" s="18" t="n">
        <x:v>0.317199</x:v>
      </x:c>
    </x:row>
    <x:row r="234">
      <x:c r="A234" s="17" t="str">
        <x:v>CUST-0210</x:v>
      </x:c>
      <x:c r="B234" s="17" t="str">
        <x:v>Evergreen Process Solutions</x:v>
      </x:c>
      <x:c r="C234" s="17" t="str">
        <x:v>Packaging Automation</x:v>
      </x:c>
      <x:c r="D234" s="17" t="str">
        <x:v>Midwest</x:v>
      </x:c>
      <x:c r="E234" s="18" t="n">
        <x:v>186</x:v>
      </x:c>
      <x:c r="F234" s="18" t="n">
        <x:v>257260.68</x:v>
      </x:c>
      <x:c r="G234" s="18" t="n">
        <x:v>175530.74</x:v>
      </x:c>
      <x:c r="H234" s="18" t="n">
        <x:v>81729.94</x:v>
      </x:c>
      <x:c r="I234" s="18" t="n">
        <x:v>0.317693</x:v>
      </x:c>
    </x:row>
    <x:row r="235">
      <x:c r="A235" s="17" t="str">
        <x:v>CUST-0090</x:v>
      </x:c>
      <x:c r="B235" s="17" t="str">
        <x:v>Evergreen Equipment</x:v>
      </x:c>
      <x:c r="C235" s="17" t="str">
        <x:v>Packaging Automation</x:v>
      </x:c>
      <x:c r="D235" s="17" t="str">
        <x:v>Midwest</x:v>
      </x:c>
      <x:c r="E235" s="18" t="n">
        <x:v>225</x:v>
      </x:c>
      <x:c r="F235" s="18" t="n">
        <x:v>247125.09</x:v>
      </x:c>
      <x:c r="G235" s="18" t="n">
        <x:v>173197.43</x:v>
      </x:c>
      <x:c r="H235" s="18" t="n">
        <x:v>73927.66</x:v>
      </x:c>
      <x:c r="I235" s="18" t="n">
        <x:v>0.299151</x:v>
      </x:c>
    </x:row>
    <x:row r="236">
      <x:c r="A236" s="17" t="str">
        <x:v>CUST-0208</x:v>
      </x:c>
      <x:c r="B236" s="17" t="str">
        <x:v>Delta Process Solutions</x:v>
      </x:c>
      <x:c r="C236" s="17" t="str">
        <x:v>Forest Products</x:v>
      </x:c>
      <x:c r="D236" s="17" t="str">
        <x:v>Southeast</x:v>
      </x:c>
      <x:c r="E236" s="18" t="n">
        <x:v>195</x:v>
      </x:c>
      <x:c r="F236" s="18" t="n">
        <x:v>232280.72</x:v>
      </x:c>
      <x:c r="G236" s="18" t="n">
        <x:v>158285.16</x:v>
      </x:c>
      <x:c r="H236" s="18" t="n">
        <x:v>73995.56</x:v>
      </x:c>
      <x:c r="I236" s="18" t="n">
        <x:v>0.318561</x:v>
      </x:c>
    </x:row>
    <x:row r="237">
      <x:c r="A237" s="17" t="str">
        <x:v>CUST-0040</x:v>
      </x:c>
      <x:c r="B237" s="17" t="str">
        <x:v>Woodland Automation</x:v>
      </x:c>
      <x:c r="C237" s="17" t="str">
        <x:v>Forest Products</x:v>
      </x:c>
      <x:c r="D237" s="17" t="str">
        <x:v>Southeast</x:v>
      </x:c>
      <x:c r="E237" s="18" t="n">
        <x:v>236</x:v>
      </x:c>
      <x:c r="F237" s="18" t="n">
        <x:v>221894.46</x:v>
      </x:c>
      <x:c r="G237" s="18" t="n">
        <x:v>154361.46</x:v>
      </x:c>
      <x:c r="H237" s="18" t="n">
        <x:v>67533</x:v>
      </x:c>
      <x:c r="I237" s="18" t="n">
        <x:v>0.304347</x:v>
      </x:c>
    </x:row>
    <x:row r="238">
      <x:c r="A238" s="17" t="str">
        <x:v>CUST-0223</x:v>
      </x:c>
      <x:c r="B238" s="17" t="str">
        <x:v>Northline Process Solutions</x:v>
      </x:c>
      <x:c r="C238" s="17" t="str">
        <x:v>Logistics Automation</x:v>
      </x:c>
      <x:c r="D238" s="17" t="str">
        <x:v>Canada</x:v>
      </x:c>
      <x:c r="E238" s="18" t="n">
        <x:v>188</x:v>
      </x:c>
      <x:c r="F238" s="18" t="n">
        <x:v>213129.07</x:v>
      </x:c>
      <x:c r="G238" s="18" t="n">
        <x:v>148908.5</x:v>
      </x:c>
      <x:c r="H238" s="18" t="n">
        <x:v>64220.57</x:v>
      </x:c>
      <x:c r="I238" s="18" t="n">
        <x:v>0.301322</x:v>
      </x:c>
    </x:row>
    <x:row r="239">
      <x:c r="A239" s="17" t="str">
        <x:v>CUST-0222</x:v>
      </x:c>
      <x:c r="B239" s="17" t="str">
        <x:v>Monarch Process Solutions</x:v>
      </x:c>
      <x:c r="C239" s="17" t="str">
        <x:v>Packaging Automation</x:v>
      </x:c>
      <x:c r="D239" s="17" t="str">
        <x:v>Midwest</x:v>
      </x:c>
      <x:c r="E239" s="18" t="n">
        <x:v>153</x:v>
      </x:c>
      <x:c r="F239" s="18" t="n">
        <x:v>205541.88</x:v>
      </x:c>
      <x:c r="G239" s="18" t="n">
        <x:v>138073.74</x:v>
      </x:c>
      <x:c r="H239" s="18" t="n">
        <x:v>67468.14</x:v>
      </x:c>
      <x:c r="I239" s="18" t="n">
        <x:v>0.328245</x:v>
      </x:c>
    </x:row>
    <x:row r="240">
      <x:c r="A240" s="17" t="str">
        <x:v>CUST-0023</x:v>
      </x:c>
      <x:c r="B240" s="17" t="str">
        <x:v>Northline Automation</x:v>
      </x:c>
      <x:c r="C240" s="17" t="str">
        <x:v>General Industrial</x:v>
      </x:c>
      <x:c r="D240" s="17" t="str">
        <x:v>Northeast</x:v>
      </x:c>
      <x:c r="E240" s="18" t="n">
        <x:v>190</x:v>
      </x:c>
      <x:c r="F240" s="18" t="n">
        <x:v>199924.84</x:v>
      </x:c>
      <x:c r="G240" s="18" t="n">
        <x:v>142290.92</x:v>
      </x:c>
      <x:c r="H240" s="18" t="n">
        <x:v>57633.92</x:v>
      </x:c>
      <x:c r="I240" s="18" t="n">
        <x:v>0.288278</x:v>
      </x:c>
    </x:row>
    <x:row r="241">
      <x:c r="A241" s="17" t="str">
        <x:v>CUST-0197</x:v>
      </x:c>
      <x:c r="B241" s="17" t="str">
        <x:v>Westbridge Engineering</x:v>
      </x:c>
      <x:c r="C241" s="17" t="str">
        <x:v>General Industrial</x:v>
      </x:c>
      <x:c r="D241" s="17" t="str">
        <x:v>Northeast</x:v>
      </x:c>
      <x:c r="E241" s="18" t="n">
        <x:v>179</x:v>
      </x:c>
      <x:c r="F241" s="18" t="n">
        <x:v>158121.62</x:v>
      </x:c>
      <x:c r="G241" s="18" t="n">
        <x:v>108636.22</x:v>
      </x:c>
      <x:c r="H241" s="18" t="n">
        <x:v>49485.4</x:v>
      </x:c>
      <x:c r="I241" s="18" t="n">
        <x:v>0.312958</x:v>
      </x:c>
    </x:row>
  </x:sheetData>
  <x:pageMargins left="0.7" right="0.7" top="0.75" bottom="0.75" header="0.3" footer="0.3"/>
</x:worksheet>
</file>