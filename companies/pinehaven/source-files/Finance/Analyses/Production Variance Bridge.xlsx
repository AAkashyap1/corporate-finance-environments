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Variance" sheetId="2" r:id="rId5"/>
    <x:sheet xmlns:r="http://schemas.openxmlformats.org/officeDocument/2006/relationships" name="Scope Totals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Production Variance Bridge</x:v>
      </x:c>
      <x:c r="B1" s="3" t="str">
        <x:v>Production Variance Bridge</x:v>
      </x:c>
      <x:c r="C1" s="3" t="str">
        <x:v>Production Variance Bridge</x:v>
      </x:c>
      <x:c r="D1" s="3" t="str">
        <x:v>Production Variance Bridge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Operations Finance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Variance</x:v>
      </x:c>
      <x:c r="B11" s="23" t="n">
        <x:v>12</x:v>
      </x:c>
      <x:c r="C11" s="23" t="n">
        <x:f>MAX(0,COUNTA('Variance'!A2:A13))</x:f>
        <x:v>12</x:v>
      </x:c>
      <x:c r="D11" s="22" t="str">
        <x:f>IF(B11=C11,"OK","CHECK")</x:f>
        <x:v>OK</x:v>
      </x:c>
    </x:row>
    <x:row r="12">
      <x:c r="A12" s="22" t="str">
        <x:v>Scope Totals</x:v>
      </x:c>
      <x:c r="B12" s="23" t="n">
        <x:v>1</x:v>
      </x:c>
      <x:c r="C12" s="23" t="n">
        <x:f>MAX(0,COUNTA('Scope Totals'!A2:A2))</x:f>
        <x:v>1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6" hidden="0" customWidth="1"/>
    <x:col min="4" max="4" width="12" hidden="0" customWidth="1"/>
    <x:col min="5" max="5" width="18" hidden="0" customWidth="1"/>
    <x:col min="6" max="6" width="13" hidden="0" customWidth="1"/>
    <x:col min="7" max="7" width="14" hidden="0" customWidth="1"/>
    <x:col min="8" max="8" width="11" hidden="0" customWidth="1"/>
    <x:col min="9" max="9" width="16" hidden="0" customWidth="1"/>
  </x:cols>
  <x:sheetData>
    <x:row r="1">
      <x:c r="A1" s="15" t="str">
        <x:v>site_code</x:v>
      </x:c>
      <x:c r="B1" s="15" t="str">
        <x:v>family</x:v>
      </x:c>
      <x:c r="C1" s="15" t="str">
        <x:v>material_usage</x:v>
      </x:c>
      <x:c r="D1" s="15" t="str">
        <x:v>labor_rate</x:v>
      </x:c>
      <x:c r="E1" s="15" t="str">
        <x:v>labor_efficiency</x:v>
      </x:c>
      <x:c r="F1" s="15" t="str">
        <x:v>variable_oh</x:v>
      </x:c>
      <x:c r="G1" s="15" t="str">
        <x:v>fixed_volume</x:v>
      </x:c>
      <x:c r="H1" s="15" t="str">
        <x:v>scrap</x:v>
      </x:c>
      <x:c r="I1" s="15" t="str">
        <x:v>total_variance</x:v>
      </x:c>
    </x:row>
    <x:row r="2">
      <x:c r="A2" s="17" t="str">
        <x:v>300</x:v>
      </x:c>
      <x:c r="B2" s="17" t="str">
        <x:v>AFT</x:v>
      </x:c>
      <x:c r="C2" s="18" t="n">
        <x:v>146688.61</x:v>
      </x:c>
      <x:c r="D2" s="18" t="n">
        <x:v>2773.05</x:v>
      </x:c>
      <x:c r="E2" s="18" t="n">
        <x:v>2674.97</x:v>
      </x:c>
      <x:c r="F2" s="18" t="n">
        <x:v>965.59</x:v>
      </x:c>
      <x:c r="G2" s="18" t="n">
        <x:v>-321826.36</x:v>
      </x:c>
      <x:c r="H2" s="18" t="n">
        <x:v>113603.2</x:v>
      </x:c>
      <x:c r="I2" s="18" t="n">
        <x:v>-55121.21</x:v>
      </x:c>
    </x:row>
    <x:row r="3">
      <x:c r="A3" s="17" t="str">
        <x:v>200</x:v>
      </x:c>
      <x:c r="B3" s="17" t="str">
        <x:v>DRV</x:v>
      </x:c>
      <x:c r="C3" s="18" t="n">
        <x:v>239525.94</x:v>
      </x:c>
      <x:c r="D3" s="18" t="n">
        <x:v>4034.81</x:v>
      </x:c>
      <x:c r="E3" s="18" t="n">
        <x:v>4308.72</x:v>
      </x:c>
      <x:c r="F3" s="18" t="n">
        <x:v>1539.05</x:v>
      </x:c>
      <x:c r="G3" s="18" t="n">
        <x:v>-378641.28</x:v>
      </x:c>
      <x:c r="H3" s="18" t="n">
        <x:v>146428.74</x:v>
      </x:c>
      <x:c r="I3" s="18" t="n">
        <x:v>17195.83</x:v>
      </x:c>
    </x:row>
    <x:row r="4">
      <x:c r="A4" s="17" t="str">
        <x:v>100</x:v>
      </x:c>
      <x:c r="B4" s="17" t="str">
        <x:v>ACT</x:v>
      </x:c>
      <x:c r="C4" s="18" t="n">
        <x:v>247814.52</x:v>
      </x:c>
      <x:c r="D4" s="18" t="n">
        <x:v>4588.33</x:v>
      </x:c>
      <x:c r="E4" s="18" t="n">
        <x:v>4086.07</x:v>
      </x:c>
      <x:c r="F4" s="18" t="n">
        <x:v>1518.2</x:v>
      </x:c>
      <x:c r="G4" s="18" t="n">
        <x:v>-156692.98</x:v>
      </x:c>
      <x:c r="H4" s="18" t="n">
        <x:v>148968.99</x:v>
      </x:c>
      <x:c r="I4" s="18" t="n">
        <x:v>250283.11</x:v>
      </x:c>
    </x:row>
    <x:row r="5">
      <x:c r="A5" s="17" t="str">
        <x:v>300</x:v>
      </x:c>
      <x:c r="B5" s="17" t="str">
        <x:v>SYS</x:v>
      </x:c>
      <x:c r="C5" s="18" t="n">
        <x:v>224910.47</x:v>
      </x:c>
      <x:c r="D5" s="18" t="n">
        <x:v>2082.67</x:v>
      </x:c>
      <x:c r="E5" s="18" t="n">
        <x:v>2341.5</x:v>
      </x:c>
      <x:c r="F5" s="18" t="n">
        <x:v>839.32</x:v>
      </x:c>
      <x:c r="G5" s="18" t="n">
        <x:v>-240096.37</x:v>
      </x:c>
      <x:c r="H5" s="18" t="n">
        <x:v>100152.94</x:v>
      </x:c>
      <x:c r="I5" s="18" t="n">
        <x:v>90230.35</x:v>
      </x:c>
    </x:row>
    <x:row r="6">
      <x:c r="A6" s="17" t="str">
        <x:v>100</x:v>
      </x:c>
      <x:c r="B6" s="17" t="str">
        <x:v>DRV</x:v>
      </x:c>
      <x:c r="C6" s="18" t="n">
        <x:v>235073.73</x:v>
      </x:c>
      <x:c r="D6" s="18" t="n">
        <x:v>4426.97</x:v>
      </x:c>
      <x:c r="E6" s="18" t="n">
        <x:v>4048.63</x:v>
      </x:c>
      <x:c r="F6" s="18" t="n">
        <x:v>1545.23</x:v>
      </x:c>
      <x:c r="G6" s="18" t="n">
        <x:v>-142924.48</x:v>
      </x:c>
      <x:c r="H6" s="18" t="n">
        <x:v>144309.48</x:v>
      </x:c>
      <x:c r="I6" s="18" t="n">
        <x:v>246479.57</x:v>
      </x:c>
    </x:row>
    <x:row r="7">
      <x:c r="A7" s="17" t="str">
        <x:v>100</x:v>
      </x:c>
      <x:c r="B7" s="17" t="str">
        <x:v>Subassembly</x:v>
      </x:c>
      <x:c r="C7" s="18" t="n">
        <x:v>109653.23</x:v>
      </x:c>
      <x:c r="D7" s="18" t="n">
        <x:v>4786.26</x:v>
      </x:c>
      <x:c r="E7" s="18" t="n">
        <x:v>4970.1</x:v>
      </x:c>
      <x:c r="F7" s="18" t="n">
        <x:v>1816.19</x:v>
      </x:c>
      <x:c r="G7" s="18" t="n">
        <x:v>-488360.26</x:v>
      </x:c>
      <x:c r="H7" s="18" t="n">
        <x:v>84043.28</x:v>
      </x:c>
      <x:c r="I7" s="18" t="n">
        <x:v>-283090.85</x:v>
      </x:c>
    </x:row>
    <x:row r="8">
      <x:c r="A8" s="17" t="str">
        <x:v>200</x:v>
      </x:c>
      <x:c r="B8" s="17" t="str">
        <x:v>Subassembly</x:v>
      </x:c>
      <x:c r="C8" s="18" t="n">
        <x:v>84661.05</x:v>
      </x:c>
      <x:c r="D8" s="18" t="n">
        <x:v>5026.21</x:v>
      </x:c>
      <x:c r="E8" s="18" t="n">
        <x:v>5036.77</x:v>
      </x:c>
      <x:c r="F8" s="18" t="n">
        <x:v>1850.89</x:v>
      </x:c>
      <x:c r="G8" s="18" t="n">
        <x:v>-96199.54</x:v>
      </x:c>
      <x:c r="H8" s="18" t="n">
        <x:v>63166.18</x:v>
      </x:c>
      <x:c r="I8" s="18" t="n">
        <x:v>63541.52</x:v>
      </x:c>
    </x:row>
    <x:row r="9">
      <x:c r="A9" s="17" t="str">
        <x:v>200</x:v>
      </x:c>
      <x:c r="B9" s="17" t="str">
        <x:v>ACT</x:v>
      </x:c>
      <x:c r="C9" s="18" t="n">
        <x:v>100957.56</x:v>
      </x:c>
      <x:c r="D9" s="18" t="n">
        <x:v>4252.1</x:v>
      </x:c>
      <x:c r="E9" s="18" t="n">
        <x:v>4601.07</x:v>
      </x:c>
      <x:c r="F9" s="18" t="n">
        <x:v>1648.6</x:v>
      </x:c>
      <x:c r="G9" s="18" t="n">
        <x:v>-336331.32</x:v>
      </x:c>
      <x:c r="H9" s="18" t="n">
        <x:v>73120.88</x:v>
      </x:c>
      <x:c r="I9" s="18" t="n">
        <x:v>-151751.46</x:v>
      </x:c>
    </x:row>
    <x:row r="10">
      <x:c r="A10" s="17" t="str">
        <x:v>100</x:v>
      </x:c>
      <x:c r="B10" s="17" t="str">
        <x:v>AFT</x:v>
      </x:c>
      <x:c r="C10" s="18" t="n">
        <x:v>140900.56</x:v>
      </x:c>
      <x:c r="D10" s="18" t="n">
        <x:v>5887.66</x:v>
      </x:c>
      <x:c r="E10" s="18" t="n">
        <x:v>6093.02</x:v>
      </x:c>
      <x:c r="F10" s="18" t="n">
        <x:v>2215.2</x:v>
      </x:c>
      <x:c r="G10" s="18" t="n">
        <x:v>-145374.09</x:v>
      </x:c>
      <x:c r="H10" s="18" t="n">
        <x:v>132734.85</x:v>
      </x:c>
      <x:c r="I10" s="18" t="n">
        <x:v>142457.27</x:v>
      </x:c>
    </x:row>
    <x:row r="11">
      <x:c r="A11" s="17" t="str">
        <x:v>300</x:v>
      </x:c>
      <x:c r="B11" s="17" t="str">
        <x:v>Subassembly</x:v>
      </x:c>
      <x:c r="C11" s="18" t="n">
        <x:v>107933.09</x:v>
      </x:c>
      <x:c r="D11" s="18" t="n">
        <x:v>4579.99</x:v>
      </x:c>
      <x:c r="E11" s="18" t="n">
        <x:v>4593.44</x:v>
      </x:c>
      <x:c r="F11" s="18" t="n">
        <x:v>1680.83</x:v>
      </x:c>
      <x:c r="G11" s="18" t="n">
        <x:v>-66413.8</x:v>
      </x:c>
      <x:c r="H11" s="18" t="n">
        <x:v>84901.55</x:v>
      </x:c>
      <x:c r="I11" s="18" t="n">
        <x:v>137275.12</x:v>
      </x:c>
    </x:row>
    <x:row r="12">
      <x:c r="A12" s="17" t="str">
        <x:v>100</x:v>
      </x:c>
      <x:c r="B12" s="17" t="str">
        <x:v>SYS</x:v>
      </x:c>
      <x:c r="C12" s="18" t="n">
        <x:v>130485.64</x:v>
      </x:c>
      <x:c r="D12" s="18" t="n">
        <x:v>2233.72</x:v>
      </x:c>
      <x:c r="E12" s="18" t="n">
        <x:v>1986.29</x:v>
      </x:c>
      <x:c r="F12" s="18" t="n">
        <x:v>753.9</x:v>
      </x:c>
      <x:c r="G12" s="18" t="n">
        <x:v>-72411.24</x:v>
      </x:c>
      <x:c r="H12" s="18" t="n">
        <x:v>73245.15</x:v>
      </x:c>
      <x:c r="I12" s="18" t="n">
        <x:v>136293.32</x:v>
      </x:c>
    </x:row>
    <x:row r="13">
      <x:c r="A13" s="17" t="str">
        <x:v>300</x:v>
      </x:c>
      <x:c r="B13" s="17" t="str">
        <x:v>CTL</x:v>
      </x:c>
      <x:c r="C13" s="18" t="n">
        <x:v>378285.49</x:v>
      </x:c>
      <x:c r="D13" s="18" t="n">
        <x:v>5782.9</x:v>
      </x:c>
      <x:c r="E13" s="18" t="n">
        <x:v>5782.7</x:v>
      </x:c>
      <x:c r="F13" s="18" t="n">
        <x:v>2121.61</x:v>
      </x:c>
      <x:c r="G13" s="18" t="n">
        <x:v>-408717.67</x:v>
      </x:c>
      <x:c r="H13" s="18" t="n">
        <x:v>249329.25</x:v>
      </x:c>
      <x:c r="I13" s="18" t="n">
        <x:v>232584.38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12" hidden="0" customWidth="1"/>
    <x:col min="5" max="5" width="18" hidden="0" customWidth="1"/>
    <x:col min="6" max="6" width="13" hidden="0" customWidth="1"/>
    <x:col min="7" max="7" width="14" hidden="0" customWidth="1"/>
    <x:col min="8" max="8" width="12" hidden="0" customWidth="1"/>
    <x:col min="9" max="9" width="16" hidden="0" customWidth="1"/>
  </x:cols>
  <x:sheetData>
    <x:row r="1">
      <x:c r="A1" s="15" t="str">
        <x:v>order_count</x:v>
      </x:c>
      <x:c r="B1" s="15" t="str">
        <x:v>standard_output_cost</x:v>
      </x:c>
      <x:c r="C1" s="15" t="str">
        <x:v>material_usage</x:v>
      </x:c>
      <x:c r="D1" s="15" t="str">
        <x:v>labor_rate</x:v>
      </x:c>
      <x:c r="E1" s="15" t="str">
        <x:v>labor_efficiency</x:v>
      </x:c>
      <x:c r="F1" s="15" t="str">
        <x:v>variable_oh</x:v>
      </x:c>
      <x:c r="G1" s="15" t="str">
        <x:v>fixed_volume</x:v>
      </x:c>
      <x:c r="H1" s="15" t="str">
        <x:v>scrap</x:v>
      </x:c>
      <x:c r="I1" s="15" t="str">
        <x:v>total_variance</x:v>
      </x:c>
    </x:row>
    <x:row r="2">
      <x:c r="A2" s="18" t="n">
        <x:v>5600</x:v>
      </x:c>
      <x:c r="B2" s="18" t="n">
        <x:v>94205188.21</x:v>
      </x:c>
      <x:c r="C2" s="18" t="n">
        <x:v>2146889.89</x:v>
      </x:c>
      <x:c r="D2" s="18" t="n">
        <x:v>50454.67</x:v>
      </x:c>
      <x:c r="E2" s="18" t="n">
        <x:v>50523.28</x:v>
      </x:c>
      <x:c r="F2" s="18" t="n">
        <x:v>18494.61</x:v>
      </x:c>
      <x:c r="G2" s="18" t="n">
        <x:v>-2853989.39</x:v>
      </x:c>
      <x:c r="H2" s="18" t="n">
        <x:v>1414004.49</x:v>
      </x:c>
      <x:c r="I2" s="18" t="n">
        <x:v>826376.95</x:v>
      </x:c>
    </x:row>
  </x:sheetData>
  <x:pageMargins left="0.7" right="0.7" top="0.75" bottom="0.75" header="0.3" footer="0.3"/>
</x:worksheet>
</file>