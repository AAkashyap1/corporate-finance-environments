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Families" sheetId="2" r:id="rI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2703D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Product Family Profitability</x:v>
      </x:c>
      <x:c r="B1" s="3" t="str">
        <x:v>Product Family Profitability</x:v>
      </x:c>
      <x:c r="C1" s="3" t="str">
        <x:v>Product Family Profitability</x:v>
      </x:c>
      <x:c r="D1" s="3" t="str">
        <x:v>Product Family Profitability</x:v>
      </x:c>
    </x:row>
    <x:row r="2">
      <x:c r="A2" s="6" t="str">
        <x:v>PINEHAVEN MOTION SYSTEMS  •  FINANCE ANALYTICS</x:v>
      </x:c>
      <x:c r="B2" s="6" t="str">
        <x:v>PINEHAVEN MOTION SYSTEMS  •  FINANCE ANALYTICS</x:v>
      </x:c>
      <x:c r="C2" s="6" t="str">
        <x:v>PINEHAVEN MOTION SYSTEMS  •  FINANCE ANALYTICS</x:v>
      </x:c>
      <x:c r="D2" s="6" t="str">
        <x:v>PINEHAVEN MOTION SYSTEMS  •  FINANCE ANALYTICS</x:v>
      </x:c>
    </x:row>
    <x:row r="3">
      <x:c r="A3" s="9" t="str">
        <x:v>Period / As of</x:v>
      </x:c>
      <x:c r="B3" s="10" t="str">
        <x:v>YTD through 2026-06-30</x:v>
      </x:c>
      <x:c r="C3" s="10"/>
      <x:c r="D3" s="10"/>
    </x:row>
    <x:row r="4">
      <x:c r="A4" s="9" t="str">
        <x:v>Prepared by</x:v>
      </x:c>
      <x:c r="B4" s="10" t="str">
        <x:v>Commercial Finance Director</x:v>
      </x:c>
      <x:c r="C4" s="10"/>
      <x:c r="D4" s="10"/>
    </x:row>
    <x:row r="5">
      <x:c r="A5" s="9" t="str">
        <x:v>Primary system</x:v>
      </x:c>
      <x:c r="B5" s="10" t="str">
        <x:v>Pinehaven integrated ERP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Finance leadership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Families</x:v>
      </x:c>
      <x:c r="B11" s="23" t="n">
        <x:v>5</x:v>
      </x:c>
      <x:c r="C11" s="23" t="n">
        <x:f>MAX(0,COUNTA('Families'!A2:A6))</x:f>
        <x:v>5</x:v>
      </x:c>
      <x:c r="D11" s="22" t="str">
        <x:f>IF(B11=C11,"OK","CHECK")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3" hidden="0" customWidth="1"/>
    <x:col min="4" max="4" width="15" hidden="0" customWidth="1"/>
    <x:col min="5" max="5" width="15" hidden="0" customWidth="1"/>
    <x:col min="6" max="6" width="14" hidden="0" customWidth="1"/>
    <x:col min="7" max="7" width="14" hidden="0" customWidth="1"/>
  </x:cols>
  <x:sheetData>
    <x:row r="1">
      <x:c r="A1" s="15" t="str">
        <x:v>product_family</x:v>
      </x:c>
      <x:c r="B1" s="15" t="str">
        <x:v>units</x:v>
      </x:c>
      <x:c r="C1" s="15" t="str">
        <x:v>revenue</x:v>
      </x:c>
      <x:c r="D1" s="15" t="str">
        <x:v>material_cost</x:v>
      </x:c>
      <x:c r="E1" s="15" t="str">
        <x:v>standard_cost</x:v>
      </x:c>
      <x:c r="F1" s="15" t="str">
        <x:v>gross_profit</x:v>
      </x:c>
      <x:c r="G1" s="15" t="str">
        <x:v>gross_margin</x:v>
      </x:c>
    </x:row>
    <x:row r="2">
      <x:c r="A2" s="17" t="str">
        <x:v>DRV</x:v>
      </x:c>
      <x:c r="B2" s="18" t="n">
        <x:v>15830</x:v>
      </x:c>
      <x:c r="C2" s="18" t="n">
        <x:v>34743737.12</x:v>
      </x:c>
      <x:c r="D2" s="18" t="n">
        <x:v>22310483.78</x:v>
      </x:c>
      <x:c r="E2" s="18" t="n">
        <x:v>23771269.5</x:v>
      </x:c>
      <x:c r="F2" s="18" t="n">
        <x:v>10972467.62</x:v>
      </x:c>
      <x:c r="G2" s="18" t="n">
        <x:v>0.315811</x:v>
      </x:c>
    </x:row>
    <x:row r="3">
      <x:c r="A3" s="17" t="str">
        <x:v>AFT</x:v>
      </x:c>
      <x:c r="B3" s="18" t="n">
        <x:v>15721</x:v>
      </x:c>
      <x:c r="C3" s="18" t="n">
        <x:v>28182890.08</x:v>
      </x:c>
      <x:c r="D3" s="18" t="n">
        <x:v>17802912.28</x:v>
      </x:c>
      <x:c r="E3" s="18" t="n">
        <x:v>19291925.4</x:v>
      </x:c>
      <x:c r="F3" s="18" t="n">
        <x:v>8890964.68</x:v>
      </x:c>
      <x:c r="G3" s="18" t="n">
        <x:v>0.315474</x:v>
      </x:c>
    </x:row>
    <x:row r="4">
      <x:c r="A4" s="17" t="str">
        <x:v>CTL</x:v>
      </x:c>
      <x:c r="B4" s="18" t="n">
        <x:v>10729</x:v>
      </x:c>
      <x:c r="C4" s="18" t="n">
        <x:v>27635468.73</x:v>
      </x:c>
      <x:c r="D4" s="18" t="n">
        <x:v>17888965.75</x:v>
      </x:c>
      <x:c r="E4" s="18" t="n">
        <x:v>18860612.06</x:v>
      </x:c>
      <x:c r="F4" s="18" t="n">
        <x:v>8774856.67</x:v>
      </x:c>
      <x:c r="G4" s="18" t="n">
        <x:v>0.317522</x:v>
      </x:c>
    </x:row>
    <x:row r="5">
      <x:c r="A5" s="17" t="str">
        <x:v>ACT</x:v>
      </x:c>
      <x:c r="B5" s="18" t="n">
        <x:v>16059</x:v>
      </x:c>
      <x:c r="C5" s="18" t="n">
        <x:v>25998248.85</x:v>
      </x:c>
      <x:c r="D5" s="18" t="n">
        <x:v>16207756.05</x:v>
      </x:c>
      <x:c r="E5" s="18" t="n">
        <x:v>17717416.13</x:v>
      </x:c>
      <x:c r="F5" s="18" t="n">
        <x:v>8280832.72</x:v>
      </x:c>
      <x:c r="G5" s="18" t="n">
        <x:v>0.318515</x:v>
      </x:c>
    </x:row>
    <x:row r="6">
      <x:c r="A6" s="17" t="str">
        <x:v>SYS</x:v>
      </x:c>
      <x:c r="B6" s="18" t="n">
        <x:v>7884</x:v>
      </x:c>
      <x:c r="C6" s="18" t="n">
        <x:v>19899905.63</x:v>
      </x:c>
      <x:c r="D6" s="18" t="n">
        <x:v>12840186.9</x:v>
      </x:c>
      <x:c r="E6" s="18" t="n">
        <x:v>13572087.69</x:v>
      </x:c>
      <x:c r="F6" s="18" t="n">
        <x:v>6327817.94</x:v>
      </x:c>
      <x:c r="G6" s="18" t="n">
        <x:v>0.317982</x:v>
      </x:c>
    </x:row>
  </x:sheetData>
  <x:pageMargins left="0.7" right="0.7" top="0.75" bottom="0.75" header="0.3" footer="0.3"/>
</x:worksheet>
</file>