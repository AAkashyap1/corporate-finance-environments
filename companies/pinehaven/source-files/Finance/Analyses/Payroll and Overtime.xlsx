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ayroll" sheetId="2" r:id="rI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Payroll and Overtime</x:v>
      </x:c>
      <x:c r="B1" s="3" t="str">
        <x:v>Payroll and Overtime</x:v>
      </x:c>
      <x:c r="C1" s="3" t="str">
        <x:v>Payroll and Overtime</x:v>
      </x:c>
      <x:c r="D1" s="3" t="str">
        <x:v>Payroll and Overtime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YTD through 2026-06-30</x:v>
      </x:c>
      <x:c r="C3" s="10"/>
      <x:c r="D3" s="10"/>
    </x:row>
    <x:row r="4">
      <x:c r="A4" s="9" t="str">
        <x:v>Prepared by</x:v>
      </x:c>
      <x:c r="B4" s="10" t="str">
        <x:v>FP&amp;A Manager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Payroll</x:v>
      </x:c>
      <x:c r="B11" s="23" t="n">
        <x:v>23</x:v>
      </x:c>
      <x:c r="C11" s="23" t="n">
        <x:f>MAX(0,COUNTA('Payroll'!A2:A24))</x:f>
        <x:v>23</x:v>
      </x:c>
      <x:c r="D11" s="22" t="str">
        <x:f>IF(B11=C11,"OK","CHECK")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26" hidden="0" customWidth="1"/>
    <x:col min="4" max="4" width="11" hidden="0" customWidth="1"/>
    <x:col min="5" max="5" width="15" hidden="0" customWidth="1"/>
    <x:col min="6" max="6" width="16" hidden="0" customWidth="1"/>
    <x:col min="7" max="7" width="12" hidden="0" customWidth="1"/>
    <x:col min="8" max="8" width="15" hidden="0" customWidth="1"/>
  </x:cols>
  <x:sheetData>
    <x:row r="1">
      <x:c r="A1" s="15" t="str">
        <x:v>site_code</x:v>
      </x:c>
      <x:c r="B1" s="15" t="str">
        <x:v>department_code</x:v>
      </x:c>
      <x:c r="C1" s="15" t="str">
        <x:v>name</x:v>
      </x:c>
      <x:c r="D1" s="15" t="str">
        <x:v>employees</x:v>
      </x:c>
      <x:c r="E1" s="15" t="str">
        <x:v>regular_hours</x:v>
      </x:c>
      <x:c r="F1" s="15" t="str">
        <x:v>overtime_hours</x:v>
      </x:c>
      <x:c r="G1" s="15" t="str">
        <x:v>gross_pay</x:v>
      </x:c>
      <x:c r="H1" s="15" t="str">
        <x:v>employer_cost</x:v>
      </x:c>
    </x:row>
    <x:row r="2">
      <x:c r="A2" s="17" t="str">
        <x:v>200</x:v>
      </x:c>
      <x:c r="B2" s="17" t="str">
        <x:v>MNT200</x:v>
      </x:c>
      <x:c r="C2" s="17" t="str">
        <x:v>Dayton Maintenance</x:v>
      </x:c>
      <x:c r="D2" s="18" t="n">
        <x:v>44</x:v>
      </x:c>
      <x:c r="E2" s="18" t="n">
        <x:v>45760</x:v>
      </x:c>
      <x:c r="F2" s="18" t="n">
        <x:v>0</x:v>
      </x:c>
      <x:c r="G2" s="18" t="n">
        <x:v>2287400.18</x:v>
      </x:c>
      <x:c r="H2" s="18" t="n">
        <x:v>2896992.15</x:v>
      </x:c>
    </x:row>
    <x:row r="3">
      <x:c r="A3" s="17" t="str">
        <x:v>200</x:v>
      </x:c>
      <x:c r="B3" s="17" t="str">
        <x:v>SCM</x:v>
      </x:c>
      <x:c r="C3" s="17" t="str">
        <x:v>Supply Chain</x:v>
      </x:c>
      <x:c r="D3" s="18" t="n">
        <x:v>44</x:v>
      </x:c>
      <x:c r="E3" s="18" t="n">
        <x:v>45760</x:v>
      </x:c>
      <x:c r="F3" s="18" t="n">
        <x:v>0</x:v>
      </x:c>
      <x:c r="G3" s="18" t="n">
        <x:v>2268875.18</x:v>
      </x:c>
      <x:c r="H3" s="18" t="n">
        <x:v>2873530.01</x:v>
      </x:c>
    </x:row>
    <x:row r="4">
      <x:c r="A4" s="17" t="str">
        <x:v>200</x:v>
      </x:c>
      <x:c r="B4" s="17" t="str">
        <x:v>QA200</x:v>
      </x:c>
      <x:c r="C4" s="17" t="str">
        <x:v>Dayton Quality</x:v>
      </x:c>
      <x:c r="D4" s="18" t="n">
        <x:v>43</x:v>
      </x:c>
      <x:c r="E4" s="18" t="n">
        <x:v>44720</x:v>
      </x:c>
      <x:c r="F4" s="18" t="n">
        <x:v>0</x:v>
      </x:c>
      <x:c r="G4" s="18" t="n">
        <x:v>2202250.18</x:v>
      </x:c>
      <x:c r="H4" s="18" t="n">
        <x:v>2789149.61</x:v>
      </x:c>
    </x:row>
    <x:row r="5">
      <x:c r="A5" s="17" t="str">
        <x:v>100</x:v>
      </x:c>
      <x:c r="B5" s="17" t="str">
        <x:v>QA100</x:v>
      </x:c>
      <x:c r="C5" s="17" t="str">
        <x:v>Grand Rapids Quality</x:v>
      </x:c>
      <x:c r="D5" s="18" t="n">
        <x:v>42</x:v>
      </x:c>
      <x:c r="E5" s="18" t="n">
        <x:v>43680</x:v>
      </x:c>
      <x:c r="F5" s="18" t="n">
        <x:v>0</x:v>
      </x:c>
      <x:c r="G5" s="18" t="n">
        <x:v>2185500.2</x:v>
      </x:c>
      <x:c r="H5" s="18" t="n">
        <x:v>2767935.82</x:v>
      </x:c>
    </x:row>
    <x:row r="6">
      <x:c r="A6" s="17" t="str">
        <x:v>100</x:v>
      </x:c>
      <x:c r="B6" s="17" t="str">
        <x:v>ENG</x:v>
      </x:c>
      <x:c r="C6" s="17" t="str">
        <x:v>Product Engineering</x:v>
      </x:c>
      <x:c r="D6" s="18" t="n">
        <x:v>42</x:v>
      </x:c>
      <x:c r="E6" s="18" t="n">
        <x:v>43680</x:v>
      </x:c>
      <x:c r="F6" s="18" t="n">
        <x:v>0</x:v>
      </x:c>
      <x:c r="G6" s="18" t="n">
        <x:v>2172675.18</x:v>
      </x:c>
      <x:c r="H6" s="18" t="n">
        <x:v>2751692.71</x:v>
      </x:c>
    </x:row>
    <x:row r="7">
      <x:c r="A7" s="17" t="str">
        <x:v>100</x:v>
      </x:c>
      <x:c r="B7" s="17" t="str">
        <x:v>RND</x:v>
      </x:c>
      <x:c r="C7" s="17" t="str">
        <x:v>Research &amp; Development</x:v>
      </x:c>
      <x:c r="D7" s="18" t="n">
        <x:v>41</x:v>
      </x:c>
      <x:c r="E7" s="18" t="n">
        <x:v>42640</x:v>
      </x:c>
      <x:c r="F7" s="18" t="n">
        <x:v>0</x:v>
      </x:c>
      <x:c r="G7" s="18" t="n">
        <x:v>2168750.09</x:v>
      </x:c>
      <x:c r="H7" s="18" t="n">
        <x:v>2746721.77</x:v>
      </x:c>
    </x:row>
    <x:row r="8">
      <x:c r="A8" s="17" t="str">
        <x:v>100</x:v>
      </x:c>
      <x:c r="B8" s="17" t="str">
        <x:v>MNT100</x:v>
      </x:c>
      <x:c r="C8" s="17" t="str">
        <x:v>Grand Rapids Maintenance</x:v>
      </x:c>
      <x:c r="D8" s="18" t="n">
        <x:v>42</x:v>
      </x:c>
      <x:c r="E8" s="18" t="n">
        <x:v>43680</x:v>
      </x:c>
      <x:c r="F8" s="18" t="n">
        <x:v>0</x:v>
      </x:c>
      <x:c r="G8" s="18" t="n">
        <x:v>2157000.3</x:v>
      </x:c>
      <x:c r="H8" s="18" t="n">
        <x:v>2731840.67</x:v>
      </x:c>
    </x:row>
    <x:row r="9">
      <x:c r="A9" s="17" t="str">
        <x:v>100</x:v>
      </x:c>
      <x:c r="B9" s="17" t="str">
        <x:v>SCM</x:v>
      </x:c>
      <x:c r="C9" s="17" t="str">
        <x:v>Supply Chain</x:v>
      </x:c>
      <x:c r="D9" s="18" t="n">
        <x:v>41</x:v>
      </x:c>
      <x:c r="E9" s="18" t="n">
        <x:v>42640</x:v>
      </x:c>
      <x:c r="F9" s="18" t="n">
        <x:v>0</x:v>
      </x:c>
      <x:c r="G9" s="18" t="n">
        <x:v>2154500.14</x:v>
      </x:c>
      <x:c r="H9" s="18" t="n">
        <x:v>2728674.26</x:v>
      </x:c>
    </x:row>
    <x:row r="10">
      <x:c r="A10" s="17" t="str">
        <x:v>300</x:v>
      </x:c>
      <x:c r="B10" s="17" t="str">
        <x:v>MNT300</x:v>
      </x:c>
      <x:c r="C10" s="17" t="str">
        <x:v>Greenville Maintenance</x:v>
      </x:c>
      <x:c r="D10" s="18" t="n">
        <x:v>41</x:v>
      </x:c>
      <x:c r="E10" s="18" t="n">
        <x:v>42640</x:v>
      </x:c>
      <x:c r="F10" s="18" t="n">
        <x:v>0</x:v>
      </x:c>
      <x:c r="G10" s="18" t="n">
        <x:v>2130275.16</x:v>
      </x:c>
      <x:c r="H10" s="18" t="n">
        <x:v>2697993.35</x:v>
      </x:c>
    </x:row>
    <x:row r="11">
      <x:c r="A11" s="17" t="str">
        <x:v>300</x:v>
      </x:c>
      <x:c r="B11" s="17" t="str">
        <x:v>ENG</x:v>
      </x:c>
      <x:c r="C11" s="17" t="str">
        <x:v>Product Engineering</x:v>
      </x:c>
      <x:c r="D11" s="18" t="n">
        <x:v>41</x:v>
      </x:c>
      <x:c r="E11" s="18" t="n">
        <x:v>42640</x:v>
      </x:c>
      <x:c r="F11" s="18" t="n">
        <x:v>0</x:v>
      </x:c>
      <x:c r="G11" s="18" t="n">
        <x:v>2116025.21</x:v>
      </x:c>
      <x:c r="H11" s="18" t="n">
        <x:v>2679945.58</x:v>
      </x:c>
    </x:row>
    <x:row r="12">
      <x:c r="A12" s="17" t="str">
        <x:v>300</x:v>
      </x:c>
      <x:c r="B12" s="17" t="str">
        <x:v>QA300</x:v>
      </x:c>
      <x:c r="C12" s="17" t="str">
        <x:v>Greenville Quality</x:v>
      </x:c>
      <x:c r="D12" s="18" t="n">
        <x:v>41</x:v>
      </x:c>
      <x:c r="E12" s="18" t="n">
        <x:v>42640</x:v>
      </x:c>
      <x:c r="F12" s="18" t="n">
        <x:v>0</x:v>
      </x:c>
      <x:c r="G12" s="18" t="n">
        <x:v>2100350.2</x:v>
      </x:c>
      <x:c r="H12" s="18" t="n">
        <x:v>2660093.28</x:v>
      </x:c>
    </x:row>
    <x:row r="13">
      <x:c r="A13" s="17" t="str">
        <x:v>200</x:v>
      </x:c>
      <x:c r="B13" s="17" t="str">
        <x:v>OPS200</x:v>
      </x:c>
      <x:c r="C13" s="17" t="str">
        <x:v>Dayton Operations</x:v>
      </x:c>
      <x:c r="D13" s="18" t="n">
        <x:v>44</x:v>
      </x:c>
      <x:c r="E13" s="18" t="n">
        <x:v>45760</x:v>
      </x:c>
      <x:c r="F13" s="18" t="n">
        <x:v>2286</x:v>
      </x:c>
      <x:c r="G13" s="18" t="n">
        <x:v>1525370.22</x:v>
      </x:c>
      <x:c r="H13" s="18" t="n">
        <x:v>1840359.31</x:v>
      </x:c>
    </x:row>
    <x:row r="14">
      <x:c r="A14" s="17" t="str">
        <x:v>100</x:v>
      </x:c>
      <x:c r="B14" s="17" t="str">
        <x:v>OPS100</x:v>
      </x:c>
      <x:c r="C14" s="17" t="str">
        <x:v>Grand Rapids Operations</x:v>
      </x:c>
      <x:c r="D14" s="18" t="n">
        <x:v>42</x:v>
      </x:c>
      <x:c r="E14" s="18" t="n">
        <x:v>43680</x:v>
      </x:c>
      <x:c r="F14" s="18" t="n">
        <x:v>2142</x:v>
      </x:c>
      <x:c r="G14" s="18" t="n">
        <x:v>1469475.06</x:v>
      </x:c>
      <x:c r="H14" s="18" t="n">
        <x:v>1772921.74</x:v>
      </x:c>
    </x:row>
    <x:row r="15">
      <x:c r="A15" s="17" t="str">
        <x:v>300</x:v>
      </x:c>
      <x:c r="B15" s="17" t="str">
        <x:v>OPS300</x:v>
      </x:c>
      <x:c r="C15" s="17" t="str">
        <x:v>Greenville Operations</x:v>
      </x:c>
      <x:c r="D15" s="18" t="n">
        <x:v>42</x:v>
      </x:c>
      <x:c r="E15" s="18" t="n">
        <x:v>43680</x:v>
      </x:c>
      <x:c r="F15" s="18" t="n">
        <x:v>2187</x:v>
      </x:c>
      <x:c r="G15" s="18" t="n">
        <x:v>1456801.04</x:v>
      </x:c>
      <x:c r="H15" s="18" t="n">
        <x:v>1757630.56</x:v>
      </x:c>
    </x:row>
    <x:row r="16">
      <x:c r="A16" s="17" t="str">
        <x:v>400</x:v>
      </x:c>
      <x:c r="B16" s="17" t="str">
        <x:v>SCM</x:v>
      </x:c>
      <x:c r="C16" s="17" t="str">
        <x:v>Supply Chain</x:v>
      </x:c>
      <x:c r="D16" s="18" t="n">
        <x:v>14</x:v>
      </x:c>
      <x:c r="E16" s="18" t="n">
        <x:v>14560</x:v>
      </x:c>
      <x:c r="F16" s="18" t="n">
        <x:v>0</x:v>
      </x:c>
      <x:c r="G16" s="18" t="n">
        <x:v>707600.01</x:v>
      </x:c>
      <x:c r="H16" s="18" t="n">
        <x:v>896175.28</x:v>
      </x:c>
    </x:row>
    <x:row r="17">
      <x:c r="A17" s="17" t="str">
        <x:v>400</x:v>
      </x:c>
      <x:c r="B17" s="17" t="str">
        <x:v>QA400</x:v>
      </x:c>
      <x:c r="C17" s="17" t="str">
        <x:v>Fort Worth Quality</x:v>
      </x:c>
      <x:c r="D17" s="18" t="n">
        <x:v>13</x:v>
      </x:c>
      <x:c r="E17" s="18" t="n">
        <x:v>13520</x:v>
      </x:c>
      <x:c r="F17" s="18" t="n">
        <x:v>0</x:v>
      </x:c>
      <x:c r="G17" s="18" t="n">
        <x:v>638125.02</x:v>
      </x:c>
      <x:c r="H17" s="18" t="n">
        <x:v>808185.3</x:v>
      </x:c>
    </x:row>
    <x:row r="18">
      <x:c r="A18" s="17" t="str">
        <x:v>100</x:v>
      </x:c>
      <x:c r="B18" s="17" t="str">
        <x:v>SALES</x:v>
      </x:c>
      <x:c r="C18" s="17" t="str">
        <x:v>Sales</x:v>
      </x:c>
      <x:c r="D18" s="18" t="n">
        <x:v>7</x:v>
      </x:c>
      <x:c r="E18" s="18" t="n">
        <x:v>7280</x:v>
      </x:c>
      <x:c r="F18" s="18" t="n">
        <x:v>0</x:v>
      </x:c>
      <x:c r="G18" s="18" t="n">
        <x:v>520800.02</x:v>
      </x:c>
      <x:c r="H18" s="18" t="n">
        <x:v>659593.22</x:v>
      </x:c>
    </x:row>
    <x:row r="19">
      <x:c r="A19" s="17" t="str">
        <x:v>100</x:v>
      </x:c>
      <x:c r="B19" s="17" t="str">
        <x:v>HR</x:v>
      </x:c>
      <x:c r="C19" s="17" t="str">
        <x:v>Human Resources</x:v>
      </x:c>
      <x:c r="D19" s="18" t="n">
        <x:v>7</x:v>
      </x:c>
      <x:c r="E19" s="18" t="n">
        <x:v>7280</x:v>
      </x:c>
      <x:c r="F19" s="18" t="n">
        <x:v>0</x:v>
      </x:c>
      <x:c r="G19" s="18" t="n">
        <x:v>509600</x:v>
      </x:c>
      <x:c r="H19" s="18" t="n">
        <x:v>645408.4</x:v>
      </x:c>
    </x:row>
    <x:row r="20">
      <x:c r="A20" s="17" t="str">
        <x:v>100</x:v>
      </x:c>
      <x:c r="B20" s="17" t="str">
        <x:v>IT</x:v>
      </x:c>
      <x:c r="C20" s="17" t="str">
        <x:v>Information Technology</x:v>
      </x:c>
      <x:c r="D20" s="18" t="n">
        <x:v>7</x:v>
      </x:c>
      <x:c r="E20" s="18" t="n">
        <x:v>7280</x:v>
      </x:c>
      <x:c r="F20" s="18" t="n">
        <x:v>0</x:v>
      </x:c>
      <x:c r="G20" s="18" t="n">
        <x:v>498399.98</x:v>
      </x:c>
      <x:c r="H20" s="18" t="n">
        <x:v>631223.58</x:v>
      </x:c>
    </x:row>
    <x:row r="21">
      <x:c r="A21" s="17" t="str">
        <x:v>100</x:v>
      </x:c>
      <x:c r="B21" s="17" t="str">
        <x:v>FIN</x:v>
      </x:c>
      <x:c r="C21" s="17" t="str">
        <x:v>Finance</x:v>
      </x:c>
      <x:c r="D21" s="18" t="n">
        <x:v>7</x:v>
      </x:c>
      <x:c r="E21" s="18" t="n">
        <x:v>7280</x:v>
      </x:c>
      <x:c r="F21" s="18" t="n">
        <x:v>0</x:v>
      </x:c>
      <x:c r="G21" s="18" t="n">
        <x:v>487200.09</x:v>
      </x:c>
      <x:c r="H21" s="18" t="n">
        <x:v>617038.89</x:v>
      </x:c>
    </x:row>
    <x:row r="22">
      <x:c r="A22" s="17" t="str">
        <x:v>100</x:v>
      </x:c>
      <x:c r="B22" s="17" t="str">
        <x:v>CORP</x:v>
      </x:c>
      <x:c r="C22" s="17" t="str">
        <x:v>Corporate</x:v>
      </x:c>
      <x:c r="D22" s="18" t="n">
        <x:v>7</x:v>
      </x:c>
      <x:c r="E22" s="18" t="n">
        <x:v>7280</x:v>
      </x:c>
      <x:c r="F22" s="18" t="n">
        <x:v>0</x:v>
      </x:c>
      <x:c r="G22" s="18" t="n">
        <x:v>475999.94</x:v>
      </x:c>
      <x:c r="H22" s="18" t="n">
        <x:v>602853.94</x:v>
      </x:c>
    </x:row>
    <x:row r="23">
      <x:c r="A23" s="17" t="str">
        <x:v>400</x:v>
      </x:c>
      <x:c r="B23" s="17" t="str">
        <x:v>SVC</x:v>
      </x:c>
      <x:c r="C23" s="17" t="str">
        <x:v>Field Service</x:v>
      </x:c>
      <x:c r="D23" s="18" t="n">
        <x:v>14</x:v>
      </x:c>
      <x:c r="E23" s="18" t="n">
        <x:v>14560</x:v>
      </x:c>
      <x:c r="F23" s="18" t="n">
        <x:v>735</x:v>
      </x:c>
      <x:c r="G23" s="18" t="n">
        <x:v>491326.54</x:v>
      </x:c>
      <x:c r="H23" s="18" t="n">
        <x:v>592785.49</x:v>
      </x:c>
    </x:row>
    <x:row r="24">
      <x:c r="A24" s="17" t="str">
        <x:v>400</x:v>
      </x:c>
      <x:c r="B24" s="17" t="str">
        <x:v>OPS400</x:v>
      </x:c>
      <x:c r="C24" s="17" t="str">
        <x:v>Fort Worth Distribution</x:v>
      </x:c>
      <x:c r="D24" s="18" t="n">
        <x:v>14</x:v>
      </x:c>
      <x:c r="E24" s="18" t="n">
        <x:v>14560</x:v>
      </x:c>
      <x:c r="F24" s="18" t="n">
        <x:v>731</x:v>
      </x:c>
      <x:c r="G24" s="18" t="n">
        <x:v>479387.77</x:v>
      </x:c>
      <x:c r="H24" s="18" t="n">
        <x:v>578381.41</x:v>
      </x:c>
    </x:row>
  </x:sheetData>
  <x:pageMargins left="0.7" right="0.7" top="0.75" bottom="0.75" header="0.3" footer="0.3"/>
</x:worksheet>
</file>