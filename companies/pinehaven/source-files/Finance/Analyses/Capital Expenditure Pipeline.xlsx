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ject Pipeline" sheetId="2" r:id="rId5"/>
    <x:sheet xmlns:r="http://schemas.openxmlformats.org/officeDocument/2006/relationships" name="Portfolio Assumptions" sheetId="3" r:id="rId6"/>
    <x:sheet xmlns:r="http://schemas.openxmlformats.org/officeDocument/2006/relationships" name="Make-Buy Case" sheetId="4" r:id="rId7"/>
    <x:sheet xmlns:r="http://schemas.openxmlformats.org/officeDocument/2006/relationships" name="Maintenance Context" sheetId="5" r:id="rI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2703D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Capital Expenditure Pipeline</x:v>
      </x:c>
      <x:c r="B1" s="3" t="str">
        <x:v>Capital Expenditure Pipeline</x:v>
      </x:c>
      <x:c r="C1" s="3" t="str">
        <x:v>Capital Expenditure Pipeline</x:v>
      </x:c>
      <x:c r="D1" s="3" t="str">
        <x:v>Capital Expenditure Pipeline</x:v>
      </x:c>
    </x:row>
    <x:row r="2">
      <x:c r="A2" s="6" t="str">
        <x:v>PINEHAVEN MOTION SYSTEMS  •  FINANCE ANALYTICS</x:v>
      </x:c>
      <x:c r="B2" s="6" t="str">
        <x:v>PINEHAVEN MOTION SYSTEMS  •  FINANCE ANALYTICS</x:v>
      </x:c>
      <x:c r="C2" s="6" t="str">
        <x:v>PINEHAVEN MOTION SYSTEMS  •  FINANCE ANALYTICS</x:v>
      </x:c>
      <x:c r="D2" s="6" t="str">
        <x:v>PINEHAVEN MOTION SYSTEMS  •  FINANCE ANALYTICS</x:v>
      </x:c>
    </x:row>
    <x:row r="3">
      <x:c r="A3" s="9" t="str">
        <x:v>Period / As of</x:v>
      </x:c>
      <x:c r="B3" s="10" t="str">
        <x:v>2026-06-30</x:v>
      </x:c>
      <x:c r="C3" s="10"/>
      <x:c r="D3" s="10"/>
    </x:row>
    <x:row r="4">
      <x:c r="A4" s="9" t="str">
        <x:v>Prepared by</x:v>
      </x:c>
      <x:c r="B4" s="10" t="str">
        <x:v>VP Finance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Finance leadership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Project Pipeline</x:v>
      </x:c>
      <x:c r="B11" s="23" t="n">
        <x:v>2</x:v>
      </x:c>
      <x:c r="C11" s="23" t="n">
        <x:f>MAX(0,COUNTA('Project Pipeline'!A2:A3))</x:f>
        <x:v>2</x:v>
      </x:c>
      <x:c r="D11" s="22" t="str">
        <x:f>IF(B11=C11,"OK","CHECK")</x:f>
        <x:v>OK</x:v>
      </x:c>
    </x:row>
    <x:row r="12">
      <x:c r="A12" s="22" t="str">
        <x:v>Portfolio Assumptions</x:v>
      </x:c>
      <x:c r="B12" s="23" t="n">
        <x:v>1</x:v>
      </x:c>
      <x:c r="C12" s="23" t="n">
        <x:f>MAX(0,COUNTA('Portfolio Assumptions'!A2:A2))</x:f>
        <x:v>1</x:v>
      </x:c>
      <x:c r="D12" s="22" t="str">
        <x:f>IF(B12=C12,"OK","CHECK")</x:f>
        <x:v>OK</x:v>
      </x:c>
    </x:row>
    <x:row r="13">
      <x:c r="A13" s="22" t="str">
        <x:v>Make-Buy Case</x:v>
      </x:c>
      <x:c r="B13" s="23" t="n">
        <x:v>1</x:v>
      </x:c>
      <x:c r="C13" s="23" t="n">
        <x:f>MAX(0,COUNTA('Make-Buy Case'!A2:A2))</x:f>
        <x:v>1</x:v>
      </x:c>
      <x:c r="D13" s="22" t="str">
        <x:f>IF(B13=C13,"OK","CHECK")</x:f>
        <x:v>OK</x:v>
      </x:c>
    </x:row>
    <x:row r="14">
      <x:c r="A14" s="22" t="str">
        <x:v>Maintenance Context</x:v>
      </x:c>
      <x:c r="B14" s="23" t="n">
        <x:v>15</x:v>
      </x:c>
      <x:c r="C14" s="23" t="n">
        <x:f>MAX(0,COUNTA('Maintenance Context'!A2:A16))</x:f>
        <x:v>15</x:v>
      </x:c>
      <x:c r="D14" s="22" t="str">
        <x:f>IF(B14=C14,"OK","CHECK")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3" hidden="0" customWidth="1"/>
    <x:col min="3" max="3" width="12" hidden="0" customWidth="1"/>
    <x:col min="4" max="4" width="11" hidden="0" customWidth="1"/>
    <x:col min="5" max="5" width="20" hidden="0" customWidth="1"/>
    <x:col min="6" max="6" width="16" hidden="0" customWidth="1"/>
    <x:col min="7" max="7" width="20" hidden="0" customWidth="1"/>
    <x:col min="8" max="8" width="15" hidden="0" customWidth="1"/>
    <x:col min="9" max="9" width="12" hidden="0" customWidth="1"/>
    <x:col min="10" max="10" width="18" hidden="0" customWidth="1"/>
    <x:col min="11" max="11" width="15" hidden="0" customWidth="1"/>
    <x:col min="12" max="12" width="13" hidden="0" customWidth="1"/>
    <x:col min="13" max="13" width="20" hidden="0" customWidth="1"/>
  </x:cols>
  <x:sheetData>
    <x:row r="1">
      <x:c r="A1" s="15" t="str">
        <x:v>project_id</x:v>
      </x:c>
      <x:c r="B1" s="15" t="str">
        <x:v>project_name</x:v>
      </x:c>
      <x:c r="C1" s="15" t="str">
        <x:v>site_name</x:v>
      </x:c>
      <x:c r="D1" s="15" t="str">
        <x:v>site_code</x:v>
      </x:c>
      <x:c r="E1" s="15" t="str">
        <x:v>initial_investment</x:v>
      </x:c>
      <x:c r="F1" s="15" t="str">
        <x:v>annual_savings</x:v>
      </x:c>
      <x:c r="G1" s="15" t="str">
        <x:v>annual_maintenance</x:v>
      </x:c>
      <x:c r="H1" s="15" t="str">
        <x:v>discount_rate</x:v>
      </x:c>
      <x:c r="I1" s="15" t="str">
        <x:v>life_years</x:v>
      </x:c>
      <x:c r="J1" s="15" t="str">
        <x:v>status</x:v>
      </x:c>
      <x:c r="K1" s="15" t="str">
        <x:v>owner</x:v>
      </x:c>
      <x:c r="L1" s="15" t="str">
        <x:v>risk_rating</x:v>
      </x:c>
      <x:c r="M1" s="15" t="str">
        <x:v>net_annual_benefit</x:v>
      </x:c>
    </x:row>
    <x:row r="2">
      <x:c r="A2" s="17" t="str">
        <x:v>CAP-DAY-001</x:v>
      </x:c>
      <x:c r="B2" s="17" t="str">
        <x:v>Dayton machining automation</x:v>
      </x:c>
      <x:c r="C2" s="17" t="str">
        <x:v>Dayton</x:v>
      </x:c>
      <x:c r="D2" s="17" t="str">
        <x:v>200</x:v>
      </x:c>
      <x:c r="E2" s="18" t="n">
        <x:v>4200000</x:v>
      </x:c>
      <x:c r="F2" s="18" t="n">
        <x:v>1180000</x:v>
      </x:c>
      <x:c r="G2" s="18" t="n">
        <x:v>135000</x:v>
      </x:c>
      <x:c r="H2" s="18" t="n">
        <x:v>0.105</x:v>
      </x:c>
      <x:c r="I2" s="18" t="n">
        <x:v>7</x:v>
      </x:c>
      <x:c r="J2" s="17" t="str">
        <x:v>Committee review</x:v>
      </x:c>
      <x:c r="K2" s="17" t="str">
        <x:v>VP Operations</x:v>
      </x:c>
      <x:c r="L2" s="17" t="str">
        <x:v>Medium</x:v>
      </x:c>
      <x:c r="M2" s="18" t="n">
        <x:v>1045000</x:v>
      </x:c>
    </x:row>
    <x:row r="3">
      <x:c r="A3" s="17" t="str">
        <x:v>CAP-GRV-001</x:v>
      </x:c>
      <x:c r="B3" s="17" t="str">
        <x:v>Greenville test-cell automation</x:v>
      </x:c>
      <x:c r="C3" s="17" t="str">
        <x:v>Greenville</x:v>
      </x:c>
      <x:c r="D3" s="17" t="str">
        <x:v>300</x:v>
      </x:c>
      <x:c r="E3" s="18" t="n">
        <x:v>2850000</x:v>
      </x:c>
      <x:c r="F3" s="18" t="n">
        <x:v>830000</x:v>
      </x:c>
      <x:c r="G3" s="18" t="n">
        <x:v>95000</x:v>
      </x:c>
      <x:c r="H3" s="18" t="n">
        <x:v>0.105</x:v>
      </x:c>
      <x:c r="I3" s="18" t="n">
        <x:v>6</x:v>
      </x:c>
      <x:c r="J3" s="17" t="str">
        <x:v>Committee review</x:v>
      </x:c>
      <x:c r="K3" s="17" t="str">
        <x:v>VP Operations</x:v>
      </x:c>
      <x:c r="L3" s="17" t="str">
        <x:v>Medium</x:v>
      </x:c>
      <x:c r="M3" s="18" t="n">
        <x:v>735000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33" hidden="0" customWidth="1"/>
  </x:cols>
  <x:sheetData>
    <x:row r="1">
      <x:c r="A1" s="15" t="str">
        <x:v>capital_budget</x:v>
      </x:c>
      <x:c r="B1" s="15" t="str">
        <x:v>valuation_date</x:v>
      </x:c>
      <x:c r="C1" s="15" t="str">
        <x:v>cash_flow_timing</x:v>
      </x:c>
      <x:c r="D1" s="15" t="str">
        <x:v>terminal_value</x:v>
      </x:c>
      <x:c r="E1" s="15" t="str">
        <x:v>residual_value</x:v>
      </x:c>
      <x:c r="F1" s="15" t="str">
        <x:v>tax_convention</x:v>
      </x:c>
    </x:row>
    <x:row r="2">
      <x:c r="A2" s="18" t="n">
        <x:v>5000000</x:v>
      </x:c>
      <x:c r="B2" s="17" t="str">
        <x:v>2026-06-30</x:v>
      </x:c>
      <x:c r="C2" s="17" t="str">
        <x:v>Year-end</x:v>
      </x:c>
      <x:c r="D2" s="18" t="n">
        <x:v>0</x:v>
      </x:c>
      <x:c r="E2" s="18" t="n">
        <x:v>0</x:v>
      </x:c>
      <x:c r="F2" s="17" t="str">
        <x:v>No tax effect in screening case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29" hidden="0" customWidth="1"/>
    <x:col min="5" max="5" width="19" hidden="0" customWidth="1"/>
    <x:col min="6" max="6" width="22" hidden="0" customWidth="1"/>
    <x:col min="7" max="7" width="26" hidden="0" customWidth="1"/>
    <x:col min="8" max="8" width="15" hidden="0" customWidth="1"/>
    <x:col min="9" max="9" width="16" hidden="0" customWidth="1"/>
    <x:col min="10" max="10" width="29" hidden="0" customWidth="1"/>
  </x:cols>
  <x:sheetData>
    <x:row r="1">
      <x:c r="A1" s="15" t="str">
        <x:v>case_id</x:v>
      </x:c>
      <x:c r="B1" s="15" t="str">
        <x:v>case_name</x:v>
      </x:c>
      <x:c r="C1" s="15" t="str">
        <x:v>annual_units</x:v>
      </x:c>
      <x:c r="D1" s="15" t="str">
        <x:v>make_variable_cost_per_unit</x:v>
      </x:c>
      <x:c r="E1" s="15" t="str">
        <x:v>buy_cost_per_unit</x:v>
      </x:c>
      <x:c r="F1" s="15" t="str">
        <x:v>avoidable_fixed_cost</x:v>
      </x:c>
      <x:c r="G1" s="15" t="str">
        <x:v>one_time_transition_cost</x:v>
      </x:c>
      <x:c r="H1" s="15" t="str">
        <x:v>discount_rate</x:v>
      </x:c>
      <x:c r="I1" s="15" t="str">
        <x:v>analysis_years</x:v>
      </x:c>
      <x:c r="J1" s="15" t="str">
        <x:v>owner</x:v>
      </x:c>
    </x:row>
    <x:row r="2">
      <x:c r="A2" s="17" t="str">
        <x:v>MB-CAB-001</x:v>
      </x:c>
      <x:c r="B2" s="17" t="str">
        <x:v>Cabinet assembly make-versus-buy</x:v>
      </x:c>
      <x:c r="C2" s="18" t="n">
        <x:v>4200</x:v>
      </x:c>
      <x:c r="D2" s="18" t="n">
        <x:v>2380</x:v>
      </x:c>
      <x:c r="E2" s="18" t="n">
        <x:v>2615</x:v>
      </x:c>
      <x:c r="F2" s="18" t="n">
        <x:v>480000</x:v>
      </x:c>
      <x:c r="G2" s="18" t="n">
        <x:v>725000</x:v>
      </x:c>
      <x:c r="H2" s="18" t="n">
        <x:v>0.105</x:v>
      </x:c>
      <x:c r="I2" s="18" t="n">
        <x:v>3</x:v>
      </x:c>
      <x:c r="J2" s="17" t="str">
        <x:v>Operations Finance Director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0" hidden="0" customWidth="1"/>
    <x:col min="4" max="4" width="19" hidden="0" customWidth="1"/>
    <x:col min="5" max="5" width="25" hidden="0" customWidth="1"/>
  </x:cols>
  <x:sheetData>
    <x:row r="1">
      <x:c r="A1" s="15" t="str">
        <x:v>site_code</x:v>
      </x:c>
      <x:c r="B1" s="15" t="str">
        <x:v>asset_class</x:v>
      </x:c>
      <x:c r="C1" s="15" t="str">
        <x:v>assets</x:v>
      </x:c>
      <x:c r="D1" s="15" t="str">
        <x:v>replacement_value</x:v>
      </x:c>
      <x:c r="E1" s="15" t="str">
        <x:v>high_criticality_assets</x:v>
      </x:c>
    </x:row>
    <x:row r="2">
      <x:c r="A2" s="17" t="str">
        <x:v>100</x:v>
      </x:c>
      <x:c r="B2" s="17" t="str">
        <x:v>Assembly</x:v>
      </x:c>
      <x:c r="C2" s="18" t="n">
        <x:v>8</x:v>
      </x:c>
      <x:c r="D2" s="18" t="n">
        <x:v>3876000</x:v>
      </x:c>
      <x:c r="E2" s="18" t="n">
        <x:v>0</x:v>
      </x:c>
    </x:row>
    <x:row r="3">
      <x:c r="A3" s="17" t="str">
        <x:v>100</x:v>
      </x:c>
      <x:c r="B3" s="17" t="str">
        <x:v>CNC</x:v>
      </x:c>
      <x:c r="C3" s="18" t="n">
        <x:v>8</x:v>
      </x:c>
      <x:c r="D3" s="18" t="n">
        <x:v>6732000</x:v>
      </x:c>
      <x:c r="E3" s="18" t="n">
        <x:v>0</x:v>
      </x:c>
    </x:row>
    <x:row r="4">
      <x:c r="A4" s="17" t="str">
        <x:v>100</x:v>
      </x:c>
      <x:c r="B4" s="17" t="str">
        <x:v>Facility</x:v>
      </x:c>
      <x:c r="C4" s="18" t="n">
        <x:v>8</x:v>
      </x:c>
      <x:c r="D4" s="18" t="n">
        <x:v>6186000</x:v>
      </x:c>
      <x:c r="E4" s="18" t="n">
        <x:v>0</x:v>
      </x:c>
    </x:row>
    <x:row r="5">
      <x:c r="A5" s="17" t="str">
        <x:v>100</x:v>
      </x:c>
      <x:c r="B5" s="17" t="str">
        <x:v>Material Handling</x:v>
      </x:c>
      <x:c r="C5" s="18" t="n">
        <x:v>8</x:v>
      </x:c>
      <x:c r="D5" s="18" t="n">
        <x:v>5304000</x:v>
      </x:c>
      <x:c r="E5" s="18" t="n">
        <x:v>0</x:v>
      </x:c>
    </x:row>
    <x:row r="6">
      <x:c r="A6" s="17" t="str">
        <x:v>100</x:v>
      </x:c>
      <x:c r="B6" s="17" t="str">
        <x:v>Test</x:v>
      </x:c>
      <x:c r="C6" s="18" t="n">
        <x:v>8</x:v>
      </x:c>
      <x:c r="D6" s="18" t="n">
        <x:v>4422000</x:v>
      </x:c>
      <x:c r="E6" s="18" t="n">
        <x:v>0</x:v>
      </x:c>
    </x:row>
    <x:row r="7">
      <x:c r="A7" s="17" t="str">
        <x:v>200</x:v>
      </x:c>
      <x:c r="B7" s="17" t="str">
        <x:v>Assembly</x:v>
      </x:c>
      <x:c r="C7" s="18" t="n">
        <x:v>8</x:v>
      </x:c>
      <x:c r="D7" s="18" t="n">
        <x:v>6690000</x:v>
      </x:c>
      <x:c r="E7" s="18" t="n">
        <x:v>0</x:v>
      </x:c>
    </x:row>
    <x:row r="8">
      <x:c r="A8" s="17" t="str">
        <x:v>200</x:v>
      </x:c>
      <x:c r="B8" s="17" t="str">
        <x:v>CNC</x:v>
      </x:c>
      <x:c r="C8" s="18" t="n">
        <x:v>8</x:v>
      </x:c>
      <x:c r="D8" s="18" t="n">
        <x:v>5976000</x:v>
      </x:c>
      <x:c r="E8" s="18" t="n">
        <x:v>0</x:v>
      </x:c>
    </x:row>
    <x:row r="9">
      <x:c r="A9" s="17" t="str">
        <x:v>200</x:v>
      </x:c>
      <x:c r="B9" s="17" t="str">
        <x:v>Facility</x:v>
      </x:c>
      <x:c r="C9" s="18" t="n">
        <x:v>8</x:v>
      </x:c>
      <x:c r="D9" s="18" t="n">
        <x:v>5262000</x:v>
      </x:c>
      <x:c r="E9" s="18" t="n">
        <x:v>0</x:v>
      </x:c>
    </x:row>
    <x:row r="10">
      <x:c r="A10" s="17" t="str">
        <x:v>200</x:v>
      </x:c>
      <x:c r="B10" s="17" t="str">
        <x:v>Material Handling</x:v>
      </x:c>
      <x:c r="C10" s="18" t="n">
        <x:v>8</x:v>
      </x:c>
      <x:c r="D10" s="18" t="n">
        <x:v>4380000</x:v>
      </x:c>
      <x:c r="E10" s="18" t="n">
        <x:v>0</x:v>
      </x:c>
    </x:row>
    <x:row r="11">
      <x:c r="A11" s="17" t="str">
        <x:v>200</x:v>
      </x:c>
      <x:c r="B11" s="17" t="str">
        <x:v>Test</x:v>
      </x:c>
      <x:c r="C11" s="18" t="n">
        <x:v>8</x:v>
      </x:c>
      <x:c r="D11" s="18" t="n">
        <x:v>5136000</x:v>
      </x:c>
      <x:c r="E11" s="18" t="n">
        <x:v>0</x:v>
      </x:c>
    </x:row>
    <x:row r="12">
      <x:c r="A12" s="17" t="str">
        <x:v>300</x:v>
      </x:c>
      <x:c r="B12" s="17" t="str">
        <x:v>Assembly</x:v>
      </x:c>
      <x:c r="C12" s="18" t="n">
        <x:v>8</x:v>
      </x:c>
      <x:c r="D12" s="18" t="n">
        <x:v>5934000</x:v>
      </x:c>
      <x:c r="E12" s="18" t="n">
        <x:v>0</x:v>
      </x:c>
    </x:row>
    <x:row r="13">
      <x:c r="A13" s="17" t="str">
        <x:v>300</x:v>
      </x:c>
      <x:c r="B13" s="17" t="str">
        <x:v>CNC</x:v>
      </x:c>
      <x:c r="C13" s="18" t="n">
        <x:v>8</x:v>
      </x:c>
      <x:c r="D13" s="18" t="n">
        <x:v>5220000</x:v>
      </x:c>
      <x:c r="E13" s="18" t="n">
        <x:v>0</x:v>
      </x:c>
    </x:row>
    <x:row r="14">
      <x:c r="A14" s="17" t="str">
        <x:v>300</x:v>
      </x:c>
      <x:c r="B14" s="17" t="str">
        <x:v>Facility</x:v>
      </x:c>
      <x:c r="C14" s="18" t="n">
        <x:v>8</x:v>
      </x:c>
      <x:c r="D14" s="18" t="n">
        <x:v>5472000</x:v>
      </x:c>
      <x:c r="E14" s="18" t="n">
        <x:v>0</x:v>
      </x:c>
    </x:row>
    <x:row r="15">
      <x:c r="A15" s="17" t="str">
        <x:v>300</x:v>
      </x:c>
      <x:c r="B15" s="17" t="str">
        <x:v>Material Handling</x:v>
      </x:c>
      <x:c r="C15" s="18" t="n">
        <x:v>8</x:v>
      </x:c>
      <x:c r="D15" s="18" t="n">
        <x:v>6228000</x:v>
      </x:c>
      <x:c r="E15" s="18" t="n">
        <x:v>0</x:v>
      </x:c>
    </x:row>
    <x:row r="16">
      <x:c r="A16" s="17" t="str">
        <x:v>300</x:v>
      </x:c>
      <x:c r="B16" s="17" t="str">
        <x:v>Test</x:v>
      </x:c>
      <x:c r="C16" s="18" t="n">
        <x:v>8</x:v>
      </x:c>
      <x:c r="D16" s="18" t="n">
        <x:v>6648000</x:v>
      </x:c>
      <x:c r="E16" s="18" t="n">
        <x:v>0</x:v>
      </x:c>
    </x:row>
  </x:sheetData>
  <x:pageMargins left="0.7" right="0.7" top="0.75" bottom="0.75" header="0.3" footer="0.3"/>
</x:worksheet>
</file>