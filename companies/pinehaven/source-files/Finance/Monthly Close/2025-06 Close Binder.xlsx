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2025-06 Monthly Close Binder</x:v>
      </x:c>
      <x:c r="B1" s="3" t="str">
        <x:v>2025-06 Monthly Close Binder</x:v>
      </x:c>
      <x:c r="C1" s="3" t="str">
        <x:v>2025-06 Monthly Close Binder</x:v>
      </x:c>
      <x:c r="D1" s="3" t="str">
        <x:v>2025-06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2025-06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19310510.98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4680215.15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16202511.61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-9376.75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99065.12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953832.7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741869.88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2225609.64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741869.88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2030155.5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635888.47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1442740717.68</x:v>
      </x:c>
      <x:c r="D2" s="18" t="n">
        <x:v>1471674478.48</x:v>
      </x:c>
      <x:c r="E2" s="18" t="n">
        <x:v>-28933760.8</x:v>
      </x:c>
    </x:row>
    <x:row r="3">
      <x:c r="A3" s="17" t="str">
        <x:v>1100</x:v>
      </x:c>
      <x:c r="B3" s="17" t="str">
        <x:v>Accounts Receivable</x:v>
      </x:c>
      <x:c r="C3" s="18" t="n">
        <x:v>412266583.19</x:v>
      </x:c>
      <x:c r="D3" s="18" t="n">
        <x:v>375157217.76</x:v>
      </x:c>
      <x:c r="E3" s="18" t="n">
        <x:v>37109365.43</x:v>
      </x:c>
    </x:row>
    <x:row r="4">
      <x:c r="A4" s="17" t="str">
        <x:v>1200</x:v>
      </x:c>
      <x:c r="B4" s="17" t="str">
        <x:v>Raw Material Inventory</x:v>
      </x:c>
      <x:c r="C4" s="18" t="n">
        <x:v>412402227.07</x:v>
      </x:c>
      <x:c r="D4" s="18" t="n">
        <x:v>286823458.53</x:v>
      </x:c>
      <x:c r="E4" s="18" t="n">
        <x:v>125578768.54</x:v>
      </x:c>
    </x:row>
    <x:row r="5">
      <x:c r="A5" s="17" t="str">
        <x:v>1210</x:v>
      </x:c>
      <x:c r="B5" s="17" t="str">
        <x:v>Work in Process Inventory</x:v>
      </x:c>
      <x:c r="C5" s="18" t="n">
        <x:v>306979526.75</x:v>
      </x:c>
      <x:c r="D5" s="18" t="n">
        <x:v>306121899.94</x:v>
      </x:c>
      <x:c r="E5" s="18" t="n">
        <x:v>857626.81</x:v>
      </x:c>
    </x:row>
    <x:row r="6">
      <x:c r="A6" s="17" t="str">
        <x:v>1220</x:v>
      </x:c>
      <x:c r="B6" s="17" t="str">
        <x:v>Finished Goods Inventory</x:v>
      </x:c>
      <x:c r="C6" s="18" t="n">
        <x:v>295432863.66</x:v>
      </x:c>
      <x:c r="D6" s="18" t="n">
        <x:v>218987799.53</x:v>
      </x:c>
      <x:c r="E6" s="18" t="n">
        <x:v>76445064.13</x:v>
      </x:c>
    </x:row>
    <x:row r="7">
      <x:c r="A7" s="17" t="str">
        <x:v>1230</x:v>
      </x:c>
      <x:c r="B7" s="17" t="str">
        <x:v>Aftermarket Inventory</x:v>
      </x:c>
      <x:c r="C7" s="18" t="n">
        <x:v>83412322.11</x:v>
      </x:c>
      <x:c r="D7" s="18" t="n">
        <x:v>56501433.78</x:v>
      </x:c>
      <x:c r="E7" s="18" t="n">
        <x:v>26910888.33</x:v>
      </x:c>
    </x:row>
    <x:row r="8">
      <x:c r="A8" s="17" t="str">
        <x:v>1500</x:v>
      </x:c>
      <x:c r="B8" s="17" t="str">
        <x:v>Machinery &amp; Equipment</x:v>
      </x:c>
      <x:c r="C8" s="18" t="n">
        <x:v>153246000</x:v>
      </x:c>
      <x:c r="D8" s="18" t="n">
        <x:v>0</x:v>
      </x:c>
      <x:c r="E8" s="18" t="n">
        <x:v>153246000</x:v>
      </x:c>
    </x:row>
    <x:row r="9">
      <x:c r="A9" s="17" t="str">
        <x:v>1510</x:v>
      </x:c>
      <x:c r="B9" s="17" t="str">
        <x:v>Buildings &amp; Improvements</x:v>
      </x:c>
      <x:c r="C9" s="18" t="n">
        <x:v>130972000</x:v>
      </x:c>
      <x:c r="D9" s="18" t="n">
        <x:v>0</x:v>
      </x:c>
      <x:c r="E9" s="18" t="n">
        <x:v>130972000</x:v>
      </x:c>
    </x:row>
    <x:row r="10">
      <x:c r="A10" s="17" t="str">
        <x:v>1520</x:v>
      </x:c>
      <x:c r="B10" s="17" t="str">
        <x:v>Furniture, IT &amp; Other</x:v>
      </x:c>
      <x:c r="C10" s="18" t="n">
        <x:v>111464000</x:v>
      </x:c>
      <x:c r="D10" s="18" t="n">
        <x:v>0</x:v>
      </x:c>
      <x:c r="E10" s="18" t="n">
        <x:v>111464000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272472183.39</x:v>
      </x:c>
      <x:c r="E11" s="18" t="n">
        <x:v>-272472183.39</x:v>
      </x:c>
    </x:row>
    <x:row r="12">
      <x:c r="A12" s="17" t="str">
        <x:v>2000</x:v>
      </x:c>
      <x:c r="B12" s="17" t="str">
        <x:v>Accounts Payable</x:v>
      </x:c>
      <x:c r="C12" s="18" t="n">
        <x:v>106883903.49</x:v>
      </x:c>
      <x:c r="D12" s="18" t="n">
        <x:v>115051629.85</x:v>
      </x:c>
      <x:c r="E12" s="18" t="n">
        <x:v>-8167726.36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1232233473.79</x:v>
      </x:c>
      <x:c r="E18" s="18" t="n">
        <x:v>-1232233473.79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84566609.32</x:v>
      </x:c>
      <x:c r="E19" s="18" t="n">
        <x:v>-84566609.32</x:v>
      </x:c>
    </x:row>
    <x:row r="20">
      <x:c r="A20" s="17" t="str">
        <x:v>5000</x:v>
      </x:c>
      <x:c r="B20" s="17" t="str">
        <x:v>Material Cost of Sales</x:v>
      </x:c>
      <x:c r="C20" s="18" t="n">
        <x:v>905138818.31</x:v>
      </x:c>
      <x:c r="D20" s="18" t="n">
        <x:v>0</x:v>
      </x:c>
      <x:c r="E20" s="18" t="n">
        <x:v>905138818.31</x:v>
      </x:c>
    </x:row>
    <x:row r="21">
      <x:c r="A21" s="17" t="str">
        <x:v>5100</x:v>
      </x:c>
      <x:c r="B21" s="17" t="str">
        <x:v>Purchase Price Variance</x:v>
      </x:c>
      <x:c r="C21" s="18" t="n">
        <x:v>2297520.33</x:v>
      </x:c>
      <x:c r="D21" s="18" t="n">
        <x:v>2085914.89</x:v>
      </x:c>
      <x:c r="E21" s="18" t="n">
        <x:v>211605.44</x:v>
      </x:c>
    </x:row>
    <x:row r="22">
      <x:c r="A22" s="17" t="str">
        <x:v>5110</x:v>
      </x:c>
      <x:c r="B22" s="17" t="str">
        <x:v>Material Usage Variance</x:v>
      </x:c>
      <x:c r="C22" s="18" t="n">
        <x:v>2589224</x:v>
      </x:c>
      <x:c r="D22" s="18" t="n">
        <x:v>302081.45</x:v>
      </x:c>
      <x:c r="E22" s="18" t="n">
        <x:v>2287142.55</x:v>
      </x:c>
    </x:row>
    <x:row r="23">
      <x:c r="A23" s="17" t="str">
        <x:v>5200</x:v>
      </x:c>
      <x:c r="B23" s="17" t="str">
        <x:v>Direct Labor Clearing</x:v>
      </x:c>
      <x:c r="C23" s="18" t="n">
        <x:v>9194177.13</x:v>
      </x:c>
      <x:c r="D23" s="18" t="n">
        <x:v>9194177.06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3314831.08</x:v>
      </x:c>
      <x:c r="D24" s="18" t="n">
        <x:v>3314831.08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7344978.56</x:v>
      </x:c>
      <x:c r="D25" s="18" t="n">
        <x:v>7344978.56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5754523.01</x:v>
      </x:c>
      <x:c r="D26" s="18" t="n">
        <x:v>0</x:v>
      </x:c>
      <x:c r="E26" s="18" t="n">
        <x:v>5754523.01</x:v>
      </x:c>
    </x:row>
    <x:row r="27">
      <x:c r="A27" s="17" t="str">
        <x:v>6100</x:v>
      </x:c>
      <x:c r="B27" s="17" t="str">
        <x:v>Research &amp; Development</x:v>
      </x:c>
      <x:c r="C27" s="18" t="n">
        <x:v>4475740.13</x:v>
      </x:c>
      <x:c r="D27" s="18" t="n">
        <x:v>0</x:v>
      </x:c>
      <x:c r="E27" s="18" t="n">
        <x:v>4475740.13</x:v>
      </x:c>
    </x:row>
    <x:row r="28">
      <x:c r="A28" s="17" t="str">
        <x:v>6200</x:v>
      </x:c>
      <x:c r="B28" s="17" t="str">
        <x:v>General &amp; Administrative</x:v>
      </x:c>
      <x:c r="C28" s="18" t="n">
        <x:v>174488051.29</x:v>
      </x:c>
      <x:c r="D28" s="18" t="n">
        <x:v>0</x:v>
      </x:c>
      <x:c r="E28" s="18" t="n">
        <x:v>174488051.29</x:v>
      </x:c>
    </x:row>
    <x:row r="29">
      <x:c r="A29" s="17" t="str">
        <x:v>6300</x:v>
      </x:c>
      <x:c r="B29" s="17" t="str">
        <x:v>Distribution &amp; Service</x:v>
      </x:c>
      <x:c r="C29" s="18" t="n">
        <x:v>4475740.13</x:v>
      </x:c>
      <x:c r="D29" s="18" t="n">
        <x:v>0</x:v>
      </x:c>
      <x:c r="E29" s="18" t="n">
        <x:v>4475740.13</x:v>
      </x:c>
    </x:row>
    <x:row r="30">
      <x:c r="A30" s="17" t="str">
        <x:v>6400</x:v>
      </x:c>
      <x:c r="B30" s="17" t="str">
        <x:v>Depreciation &amp; Amortization</x:v>
      </x:c>
      <x:c r="C30" s="18" t="n">
        <x:v>153034188.88</x:v>
      </x:c>
      <x:c r="D30" s="18" t="n">
        <x:v>0</x:v>
      </x:c>
      <x:c r="E30" s="18" t="n">
        <x:v>153034188.88</x:v>
      </x:c>
    </x:row>
    <x:row r="31">
      <x:c r="A31" s="17" t="str">
        <x:v>6500</x:v>
      </x:c>
      <x:c r="B31" s="17" t="str">
        <x:v>Maintenance Expense</x:v>
      </x:c>
      <x:c r="C31" s="18" t="n">
        <x:v>3836348.66</x:v>
      </x:c>
      <x:c r="D31" s="18" t="n">
        <x:v>0</x:v>
      </x:c>
      <x:c r="E31" s="18" t="n">
        <x:v>3836348.66</x:v>
      </x:c>
    </x:row>
    <x:row r="32">
      <x:c r="A32" s="17" t="str">
        <x:v>7000</x:v>
      </x:c>
      <x:c r="B32" s="17" t="str">
        <x:v>Interest Expense</x:v>
      </x:c>
      <x:c r="C32" s="18" t="n">
        <x:v>9833887.44</x:v>
      </x:c>
      <x:c r="D32" s="18" t="n">
        <x:v>0</x:v>
      </x:c>
      <x:c r="E32" s="18" t="n">
        <x:v>9833887.44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610</x:v>
      </x:c>
      <x:c r="C2" s="18" t="n">
        <x:v>24508209.71</x:v>
      </x:c>
      <x:c r="D2" s="18" t="n">
        <x:v>24508209.71</x:v>
      </x:c>
    </x:row>
    <x:row r="3">
      <x:c r="A3" s="17" t="str">
        <x:v>Fixed Assets</x:v>
      </x:c>
      <x:c r="B3" s="18" t="n">
        <x:v>10</x:v>
      </x:c>
      <x:c r="C3" s="18" t="n">
        <x:v>3270155.5</x:v>
      </x:c>
      <x:c r="D3" s="18" t="n">
        <x:v>3270155.5</x:v>
      </x:c>
    </x:row>
    <x:row r="4">
      <x:c r="A4" s="17" t="str">
        <x:v>Manufacturing</x:v>
      </x:c>
      <x:c r="B4" s="18" t="n">
        <x:v>32</x:v>
      </x:c>
      <x:c r="C4" s="18" t="n">
        <x:v>33586409.62</x:v>
      </x:c>
      <x:c r="D4" s="18" t="n">
        <x:v>33586409.62</x:v>
      </x:c>
    </x:row>
    <x:row r="5">
      <x:c r="A5" s="17" t="str">
        <x:v>Order to Cash</x:v>
      </x:c>
      <x:c r="B5" s="18" t="n">
        <x:v>1278</x:v>
      </x:c>
      <x:c r="C5" s="18" t="n">
        <x:v>40193237.74</x:v>
      </x:c>
      <x:c r="D5" s="18" t="n">
        <x:v>40193237.74</x:v>
      </x:c>
    </x:row>
    <x:row r="6">
      <x:c r="A6" s="17" t="str">
        <x:v>Payroll</x:v>
      </x:c>
      <x:c r="B6" s="18" t="n">
        <x:v>9</x:v>
      </x:c>
      <x:c r="C6" s="18" t="n">
        <x:v>6417796.8</x:v>
      </x:c>
      <x:c r="D6" s="18" t="n">
        <x:v>6417796.8</x:v>
      </x:c>
    </x:row>
    <x:row r="7">
      <x:c r="A7" s="17" t="str">
        <x:v>Procure to Pay</x:v>
      </x:c>
      <x:c r="B7" s="18" t="n">
        <x:v>1407</x:v>
      </x:c>
      <x:c r="C7" s="18" t="n">
        <x:v>7110655.21</x:v>
      </x:c>
      <x:c r="D7" s="18" t="n">
        <x:v>7110655.21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932</x:v>
      </x:c>
      <x:c r="C9" s="18" t="n">
        <x:v>6890548.41</x:v>
      </x:c>
      <x:c r="D9" s="18" t="n">
        <x:v>6890548.41</x:v>
      </x:c>
    </x:row>
  </x:sheetData>
  <x:pageMargins left="0.7" right="0.7" top="0.75" bottom="0.75" header="0.3" footer="0.3"/>
</x:worksheet>
</file>