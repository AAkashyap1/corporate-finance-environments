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2026-05 Monthly Close Binder</x:v>
      </x:c>
      <x:c r="B1" s="3" t="str">
        <x:v>2026-05 Monthly Close Binder</x:v>
      </x:c>
      <x:c r="C1" s="3" t="str">
        <x:v>2026-05 Monthly Close Binder</x:v>
      </x:c>
      <x:c r="D1" s="3" t="str">
        <x:v>2026-05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2026-05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20022747.24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6513374.53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18126329.95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5973.31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123821.25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953949.16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741960.46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2225881.38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741960.46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1894728.06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635966.1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1723206018.96</x:v>
      </x:c>
      <x:c r="D2" s="18" t="n">
        <x:v>1715709879.58</x:v>
      </x:c>
      <x:c r="E2" s="18" t="n">
        <x:v>7496139.38</x:v>
      </x:c>
    </x:row>
    <x:row r="3">
      <x:c r="A3" s="17" t="str">
        <x:v>1100</x:v>
      </x:c>
      <x:c r="B3" s="17" t="str">
        <x:v>Accounts Receivable</x:v>
      </x:c>
      <x:c r="C3" s="18" t="n">
        <x:v>694580321.31</x:v>
      </x:c>
      <x:c r="D3" s="18" t="n">
        <x:v>655622519.04</x:v>
      </x:c>
      <x:c r="E3" s="18" t="n">
        <x:v>38957802.27</x:v>
      </x:c>
    </x:row>
    <x:row r="4">
      <x:c r="A4" s="17" t="str">
        <x:v>1200</x:v>
      </x:c>
      <x:c r="B4" s="17" t="str">
        <x:v>Raw Material Inventory</x:v>
      </x:c>
      <x:c r="C4" s="18" t="n">
        <x:v>518523269.21</x:v>
      </x:c>
      <x:c r="D4" s="18" t="n">
        <x:v>462113631.64</x:v>
      </x:c>
      <x:c r="E4" s="18" t="n">
        <x:v>56409637.57</x:v>
      </x:c>
    </x:row>
    <x:row r="5">
      <x:c r="A5" s="17" t="str">
        <x:v>1210</x:v>
      </x:c>
      <x:c r="B5" s="17" t="str">
        <x:v>Work in Process Inventory</x:v>
      </x:c>
      <x:c r="C5" s="18" t="n">
        <x:v>494583101.08</x:v>
      </x:c>
      <x:c r="D5" s="18" t="n">
        <x:v>493798322.07</x:v>
      </x:c>
      <x:c r="E5" s="18" t="n">
        <x:v>784779.01</x:v>
      </x:c>
    </x:row>
    <x:row r="6">
      <x:c r="A6" s="17" t="str">
        <x:v>1220</x:v>
      </x:c>
      <x:c r="B6" s="17" t="str">
        <x:v>Finished Goods Inventory</x:v>
      </x:c>
      <x:c r="C6" s="18" t="n">
        <x:v>419107330.23</x:v>
      </x:c>
      <x:c r="D6" s="18" t="n">
        <x:v>371391645.77</x:v>
      </x:c>
      <x:c r="E6" s="18" t="n">
        <x:v>47715684.46</x:v>
      </x:c>
    </x:row>
    <x:row r="7">
      <x:c r="A7" s="17" t="str">
        <x:v>1230</x:v>
      </x:c>
      <x:c r="B7" s="17" t="str">
        <x:v>Aftermarket Inventory</x:v>
      </x:c>
      <x:c r="C7" s="18" t="n">
        <x:v>116091216.96</x:v>
      </x:c>
      <x:c r="D7" s="18" t="n">
        <x:v>96837548.32</x:v>
      </x:c>
      <x:c r="E7" s="18" t="n">
        <x:v>19253668.64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294304983.46</x:v>
      </x:c>
      <x:c r="E11" s="18" t="n">
        <x:v>-294304983.46</x:v>
      </x:c>
    </x:row>
    <x:row r="12">
      <x:c r="A12" s="17" t="str">
        <x:v>2000</x:v>
      </x:c>
      <x:c r="B12" s="17" t="str">
        <x:v>Accounts Payable</x:v>
      </x:c>
      <x:c r="C12" s="18" t="n">
        <x:v>183756141.36</x:v>
      </x:c>
      <x:c r="D12" s="18" t="n">
        <x:v>191685573.2</x:v>
      </x:c>
      <x:c r="E12" s="18" t="n">
        <x:v>-7929431.84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1455539111.45</x:v>
      </x:c>
      <x:c r="E18" s="18" t="n">
        <x:v>-1455539111.45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143574709.78</x:v>
      </x:c>
      <x:c r="E19" s="18" t="n">
        <x:v>-143574709.78</x:v>
      </x:c>
    </x:row>
    <x:row r="20">
      <x:c r="A20" s="17" t="str">
        <x:v>5000</x:v>
      </x:c>
      <x:c r="B20" s="17" t="str">
        <x:v>Material Cost of Sales</x:v>
      </x:c>
      <x:c r="C20" s="18" t="n">
        <x:v>1097878779.09</x:v>
      </x:c>
      <x:c r="D20" s="18" t="n">
        <x:v>0</x:v>
      </x:c>
      <x:c r="E20" s="18" t="n">
        <x:v>1097878779.09</x:v>
      </x:c>
    </x:row>
    <x:row r="21">
      <x:c r="A21" s="17" t="str">
        <x:v>5100</x:v>
      </x:c>
      <x:c r="B21" s="17" t="str">
        <x:v>Purchase Price Variance</x:v>
      </x:c>
      <x:c r="C21" s="18" t="n">
        <x:v>3853243.84</x:v>
      </x:c>
      <x:c r="D21" s="18" t="n">
        <x:v>3462314.35</x:v>
      </x:c>
      <x:c r="E21" s="18" t="n">
        <x:v>390929.49</x:v>
      </x:c>
    </x:row>
    <x:row r="22">
      <x:c r="A22" s="17" t="str">
        <x:v>5110</x:v>
      </x:c>
      <x:c r="B22" s="17" t="str">
        <x:v>Material Usage Variance</x:v>
      </x:c>
      <x:c r="C22" s="18" t="n">
        <x:v>4245861.87</x:v>
      </x:c>
      <x:c r="D22" s="18" t="n">
        <x:v>503001.32</x:v>
      </x:c>
      <x:c r="E22" s="18" t="n">
        <x:v>3742860.55</x:v>
      </x:c>
    </x:row>
    <x:row r="23">
      <x:c r="A23" s="17" t="str">
        <x:v>5200</x:v>
      </x:c>
      <x:c r="B23" s="17" t="str">
        <x:v>Direct Labor Clearing</x:v>
      </x:c>
      <x:c r="C23" s="18" t="n">
        <x:v>14804381.84</x:v>
      </x:c>
      <x:c r="D23" s="18" t="n">
        <x:v>14804381.77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5337400.36</x:v>
      </x:c>
      <x:c r="D24" s="18" t="n">
        <x:v>5337400.36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11824685.92</x:v>
      </x:c>
      <x:c r="D25" s="18" t="n">
        <x:v>11824685.92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17441038.13</x:v>
      </x:c>
      <x:c r="D26" s="18" t="n">
        <x:v>0</x:v>
      </x:c>
      <x:c r="E26" s="18" t="n">
        <x:v>17441038.13</x:v>
      </x:c>
    </x:row>
    <x:row r="27">
      <x:c r="A27" s="17" t="str">
        <x:v>6100</x:v>
      </x:c>
      <x:c r="B27" s="17" t="str">
        <x:v>Research &amp; Development</x:v>
      </x:c>
      <x:c r="C27" s="18" t="n">
        <x:v>13565251.89</x:v>
      </x:c>
      <x:c r="D27" s="18" t="n">
        <x:v>0</x:v>
      </x:c>
      <x:c r="E27" s="18" t="n">
        <x:v>13565251.89</x:v>
      </x:c>
    </x:row>
    <x:row r="28">
      <x:c r="A28" s="17" t="str">
        <x:v>6200</x:v>
      </x:c>
      <x:c r="B28" s="17" t="str">
        <x:v>General &amp; Administrative</x:v>
      </x:c>
      <x:c r="C28" s="18" t="n">
        <x:v>201756586.58</x:v>
      </x:c>
      <x:c r="D28" s="18" t="n">
        <x:v>0</x:v>
      </x:c>
      <x:c r="E28" s="18" t="n">
        <x:v>201756586.58</x:v>
      </x:c>
    </x:row>
    <x:row r="29">
      <x:c r="A29" s="17" t="str">
        <x:v>6300</x:v>
      </x:c>
      <x:c r="B29" s="17" t="str">
        <x:v>Distribution &amp; Service</x:v>
      </x:c>
      <x:c r="C29" s="18" t="n">
        <x:v>13565251.89</x:v>
      </x:c>
      <x:c r="D29" s="18" t="n">
        <x:v>0</x:v>
      </x:c>
      <x:c r="E29" s="18" t="n">
        <x:v>13565251.89</x:v>
      </x:c>
    </x:row>
    <x:row r="30">
      <x:c r="A30" s="17" t="str">
        <x:v>6400</x:v>
      </x:c>
      <x:c r="B30" s="17" t="str">
        <x:v>Depreciation &amp; Amortization</x:v>
      </x:c>
      <x:c r="C30" s="18" t="n">
        <x:v>174866988.95</x:v>
      </x:c>
      <x:c r="D30" s="18" t="n">
        <x:v>0</x:v>
      </x:c>
      <x:c r="E30" s="18" t="n">
        <x:v>174866988.95</x:v>
      </x:c>
    </x:row>
    <x:row r="31">
      <x:c r="A31" s="17" t="str">
        <x:v>6500</x:v>
      </x:c>
      <x:c r="B31" s="17" t="str">
        <x:v>Maintenance Expense</x:v>
      </x:c>
      <x:c r="C31" s="18" t="n">
        <x:v>11627358.73</x:v>
      </x:c>
      <x:c r="D31" s="18" t="n">
        <x:v>0</x:v>
      </x:c>
      <x:c r="E31" s="18" t="n">
        <x:v>11627358.73</x:v>
      </x:c>
    </x:row>
    <x:row r="32">
      <x:c r="A32" s="17" t="str">
        <x:v>7000</x:v>
      </x:c>
      <x:c r="B32" s="17" t="str">
        <x:v>Interest Expense</x:v>
      </x:c>
      <x:c r="C32" s="18" t="n">
        <x:v>15843485.32</x:v>
      </x:c>
      <x:c r="D32" s="18" t="n">
        <x:v>0</x:v>
      </x:c>
      <x:c r="E32" s="18" t="n">
        <x:v>15843485.32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652</x:v>
      </x:c>
      <x:c r="C2" s="18" t="n">
        <x:v>26316427.75</x:v>
      </x:c>
      <x:c r="D2" s="18" t="n">
        <x:v>26316427.75</x:v>
      </x:c>
    </x:row>
    <x:row r="3">
      <x:c r="A3" s="17" t="str">
        <x:v>Fixed Assets</x:v>
      </x:c>
      <x:c r="B3" s="18" t="n">
        <x:v>8</x:v>
      </x:c>
      <x:c r="C3" s="18" t="n">
        <x:v>1894728.06</x:v>
      </x:c>
      <x:c r="D3" s="18" t="n">
        <x:v>1894728.06</x:v>
      </x:c>
    </x:row>
    <x:row r="4">
      <x:c r="A4" s="17" t="str">
        <x:v>Manufacturing</x:v>
      </x:c>
      <x:c r="B4" s="18" t="n">
        <x:v>32</x:v>
      </x:c>
      <x:c r="C4" s="18" t="n">
        <x:v>34071583.15</x:v>
      </x:c>
      <x:c r="D4" s="18" t="n">
        <x:v>34071583.15</x:v>
      </x:c>
    </x:row>
    <x:row r="5">
      <x:c r="A5" s="17" t="str">
        <x:v>Order to Cash</x:v>
      </x:c>
      <x:c r="B5" s="18" t="n">
        <x:v>1352</x:v>
      </x:c>
      <x:c r="C5" s="18" t="n">
        <x:v>44662451.72</x:v>
      </x:c>
      <x:c r="D5" s="18" t="n">
        <x:v>44662451.72</x:v>
      </x:c>
    </x:row>
    <x:row r="6">
      <x:c r="A6" s="17" t="str">
        <x:v>Payroll</x:v>
      </x:c>
      <x:c r="B6" s="18" t="n">
        <x:v>9</x:v>
      </x:c>
      <x:c r="C6" s="18" t="n">
        <x:v>6416722.89</x:v>
      </x:c>
      <x:c r="D6" s="18" t="n">
        <x:v>6416722.89</x:v>
      </x:c>
    </x:row>
    <x:row r="7">
      <x:c r="A7" s="17" t="str">
        <x:v>Procure to Pay</x:v>
      </x:c>
      <x:c r="B7" s="18" t="n">
        <x:v>1458</x:v>
      </x:c>
      <x:c r="C7" s="18" t="n">
        <x:v>7052482.83</x:v>
      </x:c>
      <x:c r="D7" s="18" t="n">
        <x:v>7052482.83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988</x:v>
      </x:c>
      <x:c r="C9" s="18" t="n">
        <x:v>6990231.07</x:v>
      </x:c>
      <x:c r="D9" s="18" t="n">
        <x:v>6990231.07</x:v>
      </x:c>
    </x:row>
  </x:sheetData>
  <x:pageMargins left="0.7" right="0.7" top="0.75" bottom="0.75" header="0.3" footer="0.3"/>
</x:worksheet>
</file>