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2026-01 Monthly Close Binder</x:v>
      </x:c>
      <x:c r="B1" s="3" t="str">
        <x:v>2026-01 Monthly Close Binder</x:v>
      </x:c>
      <x:c r="C1" s="3" t="str">
        <x:v>2026-01 Monthly Close Binder</x:v>
      </x:c>
      <x:c r="D1" s="3" t="str">
        <x:v>2026-01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2026-01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21145836.87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5537918.93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18201777.19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7174.52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148587.77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954969.16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742753.79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2228261.36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742753.79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1979222.14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636646.1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1623559329.03</x:v>
      </x:c>
      <x:c r="D2" s="18" t="n">
        <x:v>1660153319.62</x:v>
      </x:c>
      <x:c r="E2" s="18" t="n">
        <x:v>-36593990.59</x:v>
      </x:c>
    </x:row>
    <x:row r="3">
      <x:c r="A3" s="17" t="str">
        <x:v>1100</x:v>
      </x:c>
      <x:c r="B3" s="17" t="str">
        <x:v>Accounts Receivable</x:v>
      </x:c>
      <x:c r="C3" s="18" t="n">
        <x:v>593081201.23</x:v>
      </x:c>
      <x:c r="D3" s="18" t="n">
        <x:v>555975829.11</x:v>
      </x:c>
      <x:c r="E3" s="18" t="n">
        <x:v>37105372.12</x:v>
      </x:c>
    </x:row>
    <x:row r="4">
      <x:c r="A4" s="17" t="str">
        <x:v>1200</x:v>
      </x:c>
      <x:c r="B4" s="17" t="str">
        <x:v>Raw Material Inventory</x:v>
      </x:c>
      <x:c r="C4" s="18" t="n">
        <x:v>480711826.38</x:v>
      </x:c>
      <x:c r="D4" s="18" t="n">
        <x:v>399427734.52</x:v>
      </x:c>
      <x:c r="E4" s="18" t="n">
        <x:v>81284091.86</x:v>
      </x:c>
    </x:row>
    <x:row r="5">
      <x:c r="A5" s="17" t="str">
        <x:v>1210</x:v>
      </x:c>
      <x:c r="B5" s="17" t="str">
        <x:v>Work in Process Inventory</x:v>
      </x:c>
      <x:c r="C5" s="18" t="n">
        <x:v>427543075.75</x:v>
      </x:c>
      <x:c r="D5" s="18" t="n">
        <x:v>426783729.02</x:v>
      </x:c>
      <x:c r="E5" s="18" t="n">
        <x:v>759346.73</x:v>
      </x:c>
    </x:row>
    <x:row r="6">
      <x:c r="A6" s="17" t="str">
        <x:v>1220</x:v>
      </x:c>
      <x:c r="B6" s="17" t="str">
        <x:v>Finished Goods Inventory</x:v>
      </x:c>
      <x:c r="C6" s="18" t="n">
        <x:v>374700262.36</x:v>
      </x:c>
      <x:c r="D6" s="18" t="n">
        <x:v>316597864.03</x:v>
      </x:c>
      <x:c r="E6" s="18" t="n">
        <x:v>58102398.33</x:v>
      </x:c>
    </x:row>
    <x:row r="7">
      <x:c r="A7" s="17" t="str">
        <x:v>1230</x:v>
      </x:c>
      <x:c r="B7" s="17" t="str">
        <x:v>Aftermarket Inventory</x:v>
      </x:c>
      <x:c r="C7" s="18" t="n">
        <x:v>104507646.51</x:v>
      </x:c>
      <x:c r="D7" s="18" t="n">
        <x:v>82244935.94</x:v>
      </x:c>
      <x:c r="E7" s="18" t="n">
        <x:v>22262710.57</x:v>
      </x:c>
    </x:row>
    <x:row r="8">
      <x:c r="A8" s="17" t="str">
        <x:v>1500</x:v>
      </x:c>
      <x:c r="B8" s="17" t="str">
        <x:v>Machinery &amp; Equipment</x:v>
      </x:c>
      <x:c r="C8" s="18" t="n">
        <x:v>157184000</x:v>
      </x:c>
      <x:c r="D8" s="18" t="n">
        <x:v>0</x:v>
      </x:c>
      <x:c r="E8" s="18" t="n">
        <x:v>157184000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286514783.25</x:v>
      </x:c>
      <x:c r="E11" s="18" t="n">
        <x:v>-286514783.25</x:v>
      </x:c>
    </x:row>
    <x:row r="12">
      <x:c r="A12" s="17" t="str">
        <x:v>2000</x:v>
      </x:c>
      <x:c r="B12" s="17" t="str">
        <x:v>Accounts Payable</x:v>
      </x:c>
      <x:c r="C12" s="18" t="n">
        <x:v>156061527.55</x:v>
      </x:c>
      <x:c r="D12" s="18" t="n">
        <x:v>164189720.85</x:v>
      </x:c>
      <x:c r="E12" s="18" t="n">
        <x:v>-8128193.3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75000000</x:v>
      </x:c>
      <x:c r="D17" s="18" t="n">
        <x:v>115196005.49</x:v>
      </x:c>
      <x:c r="E17" s="18" t="n">
        <x:v>-40196005.49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1375358871.19</x:v>
      </x:c>
      <x:c r="E18" s="18" t="n">
        <x:v>-1375358871.19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122255829.96</x:v>
      </x:c>
      <x:c r="E19" s="18" t="n">
        <x:v>-122255829.96</x:v>
      </x:c>
    </x:row>
    <x:row r="20">
      <x:c r="A20" s="17" t="str">
        <x:v>5000</x:v>
      </x:c>
      <x:c r="B20" s="17" t="str">
        <x:v>Material Cost of Sales</x:v>
      </x:c>
      <x:c r="C20" s="18" t="n">
        <x:v>1028492384.97</x:v>
      </x:c>
      <x:c r="D20" s="18" t="n">
        <x:v>0</x:v>
      </x:c>
      <x:c r="E20" s="18" t="n">
        <x:v>1028492384.97</x:v>
      </x:c>
    </x:row>
    <x:row r="21">
      <x:c r="A21" s="17" t="str">
        <x:v>5100</x:v>
      </x:c>
      <x:c r="B21" s="17" t="str">
        <x:v>Purchase Price Variance</x:v>
      </x:c>
      <x:c r="C21" s="18" t="n">
        <x:v>3300793.24</x:v>
      </x:c>
      <x:c r="D21" s="18" t="n">
        <x:v>2971262.43</x:v>
      </x:c>
      <x:c r="E21" s="18" t="n">
        <x:v>329530.81</x:v>
      </x:c>
    </x:row>
    <x:row r="22">
      <x:c r="A22" s="17" t="str">
        <x:v>5110</x:v>
      </x:c>
      <x:c r="B22" s="17" t="str">
        <x:v>Material Usage Variance</x:v>
      </x:c>
      <x:c r="C22" s="18" t="n">
        <x:v>3598896.31</x:v>
      </x:c>
      <x:c r="D22" s="18" t="n">
        <x:v>466216.06</x:v>
      </x:c>
      <x:c r="E22" s="18" t="n">
        <x:v>3132680.25</x:v>
      </x:c>
    </x:row>
    <x:row r="23">
      <x:c r="A23" s="17" t="str">
        <x:v>5200</x:v>
      </x:c>
      <x:c r="B23" s="17" t="str">
        <x:v>Direct Labor Clearing</x:v>
      </x:c>
      <x:c r="C23" s="18" t="n">
        <x:v>12804912.34</x:v>
      </x:c>
      <x:c r="D23" s="18" t="n">
        <x:v>12804912.28</x:v>
      </x:c>
      <x:c r="E23" s="18" t="n">
        <x:v>0.06</x:v>
      </x:c>
    </x:row>
    <x:row r="24">
      <x:c r="A24" s="17" t="str">
        <x:v>5210</x:v>
      </x:c>
      <x:c r="B24" s="17" t="str">
        <x:v>Variable Overhead Absorption</x:v>
      </x:c>
      <x:c r="C24" s="18" t="n">
        <x:v>4616391.1</x:v>
      </x:c>
      <x:c r="D24" s="18" t="n">
        <x:v>4616391.1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10227821.73</x:v>
      </x:c>
      <x:c r="D25" s="18" t="n">
        <x:v>10227821.73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13596365.05</x:v>
      </x:c>
      <x:c r="D26" s="18" t="n">
        <x:v>0</x:v>
      </x:c>
      <x:c r="E26" s="18" t="n">
        <x:v>13596365.05</x:v>
      </x:c>
    </x:row>
    <x:row r="27">
      <x:c r="A27" s="17" t="str">
        <x:v>6100</x:v>
      </x:c>
      <x:c r="B27" s="17" t="str">
        <x:v>Research &amp; Development</x:v>
      </x:c>
      <x:c r="C27" s="18" t="n">
        <x:v>10574950.61</x:v>
      </x:c>
      <x:c r="D27" s="18" t="n">
        <x:v>0</x:v>
      </x:c>
      <x:c r="E27" s="18" t="n">
        <x:v>10574950.61</x:v>
      </x:c>
    </x:row>
    <x:row r="28">
      <x:c r="A28" s="17" t="str">
        <x:v>6200</x:v>
      </x:c>
      <x:c r="B28" s="17" t="str">
        <x:v>General &amp; Administrative</x:v>
      </x:c>
      <x:c r="C28" s="18" t="n">
        <x:v>192785682.72</x:v>
      </x:c>
      <x:c r="D28" s="18" t="n">
        <x:v>0</x:v>
      </x:c>
      <x:c r="E28" s="18" t="n">
        <x:v>192785682.72</x:v>
      </x:c>
    </x:row>
    <x:row r="29">
      <x:c r="A29" s="17" t="str">
        <x:v>6300</x:v>
      </x:c>
      <x:c r="B29" s="17" t="str">
        <x:v>Distribution &amp; Service</x:v>
      </x:c>
      <x:c r="C29" s="18" t="n">
        <x:v>10574950.61</x:v>
      </x:c>
      <x:c r="D29" s="18" t="n">
        <x:v>0</x:v>
      </x:c>
      <x:c r="E29" s="18" t="n">
        <x:v>10574950.61</x:v>
      </x:c>
    </x:row>
    <x:row r="30">
      <x:c r="A30" s="17" t="str">
        <x:v>6400</x:v>
      </x:c>
      <x:c r="B30" s="17" t="str">
        <x:v>Depreciation &amp; Amortization</x:v>
      </x:c>
      <x:c r="C30" s="18" t="n">
        <x:v>167076788.74</x:v>
      </x:c>
      <x:c r="D30" s="18" t="n">
        <x:v>0</x:v>
      </x:c>
      <x:c r="E30" s="18" t="n">
        <x:v>167076788.74</x:v>
      </x:c>
    </x:row>
    <x:row r="31">
      <x:c r="A31" s="17" t="str">
        <x:v>6500</x:v>
      </x:c>
      <x:c r="B31" s="17" t="str">
        <x:v>Maintenance Expense</x:v>
      </x:c>
      <x:c r="C31" s="18" t="n">
        <x:v>9064243.35</x:v>
      </x:c>
      <x:c r="D31" s="18" t="n">
        <x:v>0</x:v>
      </x:c>
      <x:c r="E31" s="18" t="n">
        <x:v>9064243.35</x:v>
      </x:c>
    </x:row>
    <x:row r="32">
      <x:c r="A32" s="17" t="str">
        <x:v>7000</x:v>
      </x:c>
      <x:c r="B32" s="17" t="str">
        <x:v>Interest Expense</x:v>
      </x:c>
      <x:c r="C32" s="18" t="n">
        <x:v>13658177</x:v>
      </x:c>
      <x:c r="D32" s="18" t="n">
        <x:v>0</x:v>
      </x:c>
      <x:c r="E32" s="18" t="n">
        <x:v>13658177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640</x:v>
      </x:c>
      <x:c r="C2" s="18" t="n">
        <x:v>25513089.75</x:v>
      </x:c>
      <x:c r="D2" s="18" t="n">
        <x:v>25513089.75</x:v>
      </x:c>
    </x:row>
    <x:row r="3">
      <x:c r="A3" s="17" t="str">
        <x:v>Fixed Assets</x:v>
      </x:c>
      <x:c r="B3" s="18" t="n">
        <x:v>12</x:v>
      </x:c>
      <x:c r="C3" s="18" t="n">
        <x:v>3415222.14</x:v>
      </x:c>
      <x:c r="D3" s="18" t="n">
        <x:v>3415222.14</x:v>
      </x:c>
    </x:row>
    <x:row r="4">
      <x:c r="A4" s="17" t="str">
        <x:v>Manufacturing</x:v>
      </x:c>
      <x:c r="B4" s="18" t="n">
        <x:v>32</x:v>
      </x:c>
      <x:c r="C4" s="18" t="n">
        <x:v>33955993.12</x:v>
      </x:c>
      <x:c r="D4" s="18" t="n">
        <x:v>33955993.12</x:v>
      </x:c>
    </x:row>
    <x:row r="5">
      <x:c r="A5" s="17" t="str">
        <x:v>Order to Cash</x:v>
      </x:c>
      <x:c r="B5" s="18" t="n">
        <x:v>1356</x:v>
      </x:c>
      <x:c r="C5" s="18" t="n">
        <x:v>44885532.99</x:v>
      </x:c>
      <x:c r="D5" s="18" t="n">
        <x:v>44885532.99</x:v>
      </x:c>
    </x:row>
    <x:row r="6">
      <x:c r="A6" s="17" t="str">
        <x:v>Payroll</x:v>
      </x:c>
      <x:c r="B6" s="18" t="n">
        <x:v>9</x:v>
      </x:c>
      <x:c r="C6" s="18" t="n">
        <x:v>6422627.47</x:v>
      </x:c>
      <x:c r="D6" s="18" t="n">
        <x:v>6422627.47</x:v>
      </x:c>
    </x:row>
    <x:row r="7">
      <x:c r="A7" s="17" t="str">
        <x:v>Procure to Pay</x:v>
      </x:c>
      <x:c r="B7" s="18" t="n">
        <x:v>1434</x:v>
      </x:c>
      <x:c r="C7" s="18" t="n">
        <x:v>7051860.47</x:v>
      </x:c>
      <x:c r="D7" s="18" t="n">
        <x:v>7051860.47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972</x:v>
      </x:c>
      <x:c r="C9" s="18" t="n">
        <x:v>6888104.46</x:v>
      </x:c>
      <x:c r="D9" s="18" t="n">
        <x:v>6888104.46</x:v>
      </x:c>
    </x:row>
  </x:sheetData>
  <x:pageMargins left="0.7" right="0.7" top="0.75" bottom="0.75" header="0.3" footer="0.3"/>
</x:worksheet>
</file>