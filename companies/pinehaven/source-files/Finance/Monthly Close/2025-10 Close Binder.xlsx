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2025-10 Monthly Close Binder</x:v>
      </x:c>
      <x:c r="B1" s="3" t="str">
        <x:v>2025-10 Monthly Close Binder</x:v>
      </x:c>
      <x:c r="C1" s="3" t="str">
        <x:v>2025-10 Monthly Close Binder</x:v>
      </x:c>
      <x:c r="D1" s="3" t="str">
        <x:v>2025-10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2025-10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20360107.82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4130296.24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16692210.54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3336.02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156210.8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0.01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953036.19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741250.37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2223751.1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741250.37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2026955.47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635357.45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1549079358.86</x:v>
      </x:c>
      <x:c r="D2" s="18" t="n">
        <x:v>1536170328.31</x:v>
      </x:c>
      <x:c r="E2" s="18" t="n">
        <x:v>12909030.55</x:v>
      </x:c>
    </x:row>
    <x:row r="3">
      <x:c r="A3" s="17" t="str">
        <x:v>1100</x:v>
      </x:c>
      <x:c r="B3" s="17" t="str">
        <x:v>Accounts Receivable</x:v>
      </x:c>
      <x:c r="C3" s="18" t="n">
        <x:v>517584832.39</x:v>
      </x:c>
      <x:c r="D3" s="18" t="n">
        <x:v>481495858.94</x:v>
      </x:c>
      <x:c r="E3" s="18" t="n">
        <x:v>36088973.45</x:v>
      </x:c>
    </x:row>
    <x:row r="4">
      <x:c r="A4" s="17" t="str">
        <x:v>1200</x:v>
      </x:c>
      <x:c r="B4" s="17" t="str">
        <x:v>Raw Material Inventory</x:v>
      </x:c>
      <x:c r="C4" s="18" t="n">
        <x:v>451581098.78</x:v>
      </x:c>
      <x:c r="D4" s="18" t="n">
        <x:v>350656384.39</x:v>
      </x:c>
      <x:c r="E4" s="18" t="n">
        <x:v>100924714.39</x:v>
      </x:c>
    </x:row>
    <x:row r="5">
      <x:c r="A5" s="17" t="str">
        <x:v>1210</x:v>
      </x:c>
      <x:c r="B5" s="17" t="str">
        <x:v>Work in Process Inventory</x:v>
      </x:c>
      <x:c r="C5" s="18" t="n">
        <x:v>375313625.73</x:v>
      </x:c>
      <x:c r="D5" s="18" t="n">
        <x:v>374501141.69</x:v>
      </x:c>
      <x:c r="E5" s="18" t="n">
        <x:v>812484.04</x:v>
      </x:c>
    </x:row>
    <x:row r="6">
      <x:c r="A6" s="17" t="str">
        <x:v>1220</x:v>
      </x:c>
      <x:c r="B6" s="17" t="str">
        <x:v>Finished Goods Inventory</x:v>
      </x:c>
      <x:c r="C6" s="18" t="n">
        <x:v>340512804.14</x:v>
      </x:c>
      <x:c r="D6" s="18" t="n">
        <x:v>276328921.48</x:v>
      </x:c>
      <x:c r="E6" s="18" t="n">
        <x:v>64183882.66</x:v>
      </x:c>
    </x:row>
    <x:row r="7">
      <x:c r="A7" s="17" t="str">
        <x:v>1230</x:v>
      </x:c>
      <x:c r="B7" s="17" t="str">
        <x:v>Aftermarket Inventory</x:v>
      </x:c>
      <x:c r="C7" s="18" t="n">
        <x:v>95149331.45</x:v>
      </x:c>
      <x:c r="D7" s="18" t="n">
        <x:v>70825155.97</x:v>
      </x:c>
      <x:c r="E7" s="18" t="n">
        <x:v>24324175.48</x:v>
      </x:c>
    </x:row>
    <x:row r="8">
      <x:c r="A8" s="17" t="str">
        <x:v>1500</x:v>
      </x:c>
      <x:c r="B8" s="17" t="str">
        <x:v>Machinery &amp; Equipment</x:v>
      </x:c>
      <x:c r="C8" s="18" t="n">
        <x:v>154334000</x:v>
      </x:c>
      <x:c r="D8" s="18" t="n">
        <x:v>0</x:v>
      </x:c>
      <x:c r="E8" s="18" t="n">
        <x:v>154334000</x:v>
      </x:c>
    </x:row>
    <x:row r="9">
      <x:c r="A9" s="17" t="str">
        <x:v>1510</x:v>
      </x:c>
      <x:c r="B9" s="17" t="str">
        <x:v>Buildings &amp; Improvements</x:v>
      </x:c>
      <x:c r="C9" s="18" t="n">
        <x:v>133474000</x:v>
      </x:c>
      <x:c r="D9" s="18" t="n">
        <x:v>0</x:v>
      </x:c>
      <x:c r="E9" s="18" t="n">
        <x:v>133474000</x:v>
      </x:c>
    </x:row>
    <x:row r="10">
      <x:c r="A10" s="17" t="str">
        <x:v>1520</x:v>
      </x:c>
      <x:c r="B10" s="17" t="str">
        <x:v>Furniture, IT &amp; Other</x:v>
      </x:c>
      <x:c r="C10" s="18" t="n">
        <x:v>112820000</x:v>
      </x:c>
      <x:c r="D10" s="18" t="n">
        <x:v>0</x:v>
      </x:c>
      <x:c r="E10" s="18" t="n">
        <x:v>112820000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280549683.21</x:v>
      </x:c>
      <x:c r="E11" s="18" t="n">
        <x:v>-280549683.21</x:v>
      </x:c>
    </x:row>
    <x:row r="12">
      <x:c r="A12" s="17" t="str">
        <x:v>2000</x:v>
      </x:c>
      <x:c r="B12" s="17" t="str">
        <x:v>Accounts Payable</x:v>
      </x:c>
      <x:c r="C12" s="18" t="n">
        <x:v>135359082.84</x:v>
      </x:c>
      <x:c r="D12" s="18" t="n">
        <x:v>143268332.75</x:v>
      </x:c>
      <x:c r="E12" s="18" t="n">
        <x:v>-7909249.91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0</x:v>
      </x:c>
      <x:c r="D17" s="18" t="n">
        <x:v>115196005.49</x:v>
      </x:c>
      <x:c r="E17" s="18" t="n">
        <x:v>-115196005.49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1316485222.6</x:v>
      </x:c>
      <x:c r="E18" s="18" t="n">
        <x:v>-1316485222.6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105633109.71</x:v>
      </x:c>
      <x:c r="E19" s="18" t="n">
        <x:v>-105633109.71</x:v>
      </x:c>
    </x:row>
    <x:row r="20">
      <x:c r="A20" s="17" t="str">
        <x:v>5000</x:v>
      </x:c>
      <x:c r="B20" s="17" t="str">
        <x:v>Material Cost of Sales</x:v>
      </x:c>
      <x:c r="C20" s="18" t="n">
        <x:v>976803662.45</x:v>
      </x:c>
      <x:c r="D20" s="18" t="n">
        <x:v>0</x:v>
      </x:c>
      <x:c r="E20" s="18" t="n">
        <x:v>976803662.45</x:v>
      </x:c>
    </x:row>
    <x:row r="21">
      <x:c r="A21" s="17" t="str">
        <x:v>5100</x:v>
      </x:c>
      <x:c r="B21" s="17" t="str">
        <x:v>Purchase Price Variance</x:v>
      </x:c>
      <x:c r="C21" s="18" t="n">
        <x:v>2881600.64</x:v>
      </x:c>
      <x:c r="D21" s="18" t="n">
        <x:v>2586186.83</x:v>
      </x:c>
      <x:c r="E21" s="18" t="n">
        <x:v>295413.81</x:v>
      </x:c>
    </x:row>
    <x:row r="22">
      <x:c r="A22" s="17" t="str">
        <x:v>5110</x:v>
      </x:c>
      <x:c r="B22" s="17" t="str">
        <x:v>Material Usage Variance</x:v>
      </x:c>
      <x:c r="C22" s="18" t="n">
        <x:v>3105538.76</x:v>
      </x:c>
      <x:c r="D22" s="18" t="n">
        <x:v>372065.21</x:v>
      </x:c>
      <x:c r="E22" s="18" t="n">
        <x:v>2733473.55</x:v>
      </x:c>
    </x:row>
    <x:row r="23">
      <x:c r="A23" s="17" t="str">
        <x:v>5200</x:v>
      </x:c>
      <x:c r="B23" s="17" t="str">
        <x:v>Direct Labor Clearing</x:v>
      </x:c>
      <x:c r="C23" s="18" t="n">
        <x:v>11247202.48</x:v>
      </x:c>
      <x:c r="D23" s="18" t="n">
        <x:v>11247202.42</x:v>
      </x:c>
      <x:c r="E23" s="18" t="n">
        <x:v>0.06</x:v>
      </x:c>
    </x:row>
    <x:row r="24">
      <x:c r="A24" s="17" t="str">
        <x:v>5210</x:v>
      </x:c>
      <x:c r="B24" s="17" t="str">
        <x:v>Variable Overhead Absorption</x:v>
      </x:c>
      <x:c r="C24" s="18" t="n">
        <x:v>4054815.85</x:v>
      </x:c>
      <x:c r="D24" s="18" t="n">
        <x:v>4054815.85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8983157.8</x:v>
      </x:c>
      <x:c r="D25" s="18" t="n">
        <x:v>8983157.8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10156994.11</x:v>
      </x:c>
      <x:c r="D26" s="18" t="n">
        <x:v>0</x:v>
      </x:c>
      <x:c r="E26" s="18" t="n">
        <x:v>10156994.11</x:v>
      </x:c>
    </x:row>
    <x:row r="27">
      <x:c r="A27" s="17" t="str">
        <x:v>6100</x:v>
      </x:c>
      <x:c r="B27" s="17" t="str">
        <x:v>Research &amp; Development</x:v>
      </x:c>
      <x:c r="C27" s="18" t="n">
        <x:v>7899884.32</x:v>
      </x:c>
      <x:c r="D27" s="18" t="n">
        <x:v>0</x:v>
      </x:c>
      <x:c r="E27" s="18" t="n">
        <x:v>7899884.32</x:v>
      </x:c>
    </x:row>
    <x:row r="28">
      <x:c r="A28" s="17" t="str">
        <x:v>6200</x:v>
      </x:c>
      <x:c r="B28" s="17" t="str">
        <x:v>General &amp; Administrative</x:v>
      </x:c>
      <x:c r="C28" s="18" t="n">
        <x:v>184760483.87</x:v>
      </x:c>
      <x:c r="D28" s="18" t="n">
        <x:v>0</x:v>
      </x:c>
      <x:c r="E28" s="18" t="n">
        <x:v>184760483.87</x:v>
      </x:c>
    </x:row>
    <x:row r="29">
      <x:c r="A29" s="17" t="str">
        <x:v>6300</x:v>
      </x:c>
      <x:c r="B29" s="17" t="str">
        <x:v>Distribution &amp; Service</x:v>
      </x:c>
      <x:c r="C29" s="18" t="n">
        <x:v>7899884.32</x:v>
      </x:c>
      <x:c r="D29" s="18" t="n">
        <x:v>0</x:v>
      </x:c>
      <x:c r="E29" s="18" t="n">
        <x:v>7899884.32</x:v>
      </x:c>
    </x:row>
    <x:row r="30">
      <x:c r="A30" s="17" t="str">
        <x:v>6400</x:v>
      </x:c>
      <x:c r="B30" s="17" t="str">
        <x:v>Depreciation &amp; Amortization</x:v>
      </x:c>
      <x:c r="C30" s="18" t="n">
        <x:v>161111688.7</x:v>
      </x:c>
      <x:c r="D30" s="18" t="n">
        <x:v>0</x:v>
      </x:c>
      <x:c r="E30" s="18" t="n">
        <x:v>161111688.7</x:v>
      </x:c>
    </x:row>
    <x:row r="31">
      <x:c r="A31" s="17" t="str">
        <x:v>6500</x:v>
      </x:c>
      <x:c r="B31" s="17" t="str">
        <x:v>Maintenance Expense</x:v>
      </x:c>
      <x:c r="C31" s="18" t="n">
        <x:v>6771329.4</x:v>
      </x:c>
      <x:c r="D31" s="18" t="n">
        <x:v>0</x:v>
      </x:c>
      <x:c r="E31" s="18" t="n">
        <x:v>6771329.4</x:v>
      </x:c>
    </x:row>
    <x:row r="32">
      <x:c r="A32" s="17" t="str">
        <x:v>7000</x:v>
      </x:c>
      <x:c r="B32" s="17" t="str">
        <x:v>Interest Expense</x:v>
      </x:c>
      <x:c r="C32" s="18" t="n">
        <x:v>12019195.76</x:v>
      </x:c>
      <x:c r="D32" s="18" t="n">
        <x:v>0</x:v>
      </x:c>
      <x:c r="E32" s="18" t="n">
        <x:v>12019195.76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628</x:v>
      </x:c>
      <x:c r="C2" s="18" t="n">
        <x:v>25841896.07</x:v>
      </x:c>
      <x:c r="D2" s="18" t="n">
        <x:v>25841896.07</x:v>
      </x:c>
    </x:row>
    <x:row r="3">
      <x:c r="A3" s="17" t="str">
        <x:v>Fixed Assets</x:v>
      </x:c>
      <x:c r="B3" s="18" t="n">
        <x:v>10</x:v>
      </x:c>
      <x:c r="C3" s="18" t="n">
        <x:v>3382955.47</x:v>
      </x:c>
      <x:c r="D3" s="18" t="n">
        <x:v>3382955.47</x:v>
      </x:c>
    </x:row>
    <x:row r="4">
      <x:c r="A4" s="17" t="str">
        <x:v>Manufacturing</x:v>
      </x:c>
      <x:c r="B4" s="18" t="n">
        <x:v>32</x:v>
      </x:c>
      <x:c r="C4" s="18" t="n">
        <x:v>34359072.28</x:v>
      </x:c>
      <x:c r="D4" s="18" t="n">
        <x:v>34359072.28</x:v>
      </x:c>
    </x:row>
    <x:row r="5">
      <x:c r="A5" s="17" t="str">
        <x:v>Order to Cash</x:v>
      </x:c>
      <x:c r="B5" s="18" t="n">
        <x:v>1320</x:v>
      </x:c>
      <x:c r="C5" s="18" t="n">
        <x:v>41182614.6</x:v>
      </x:c>
      <x:c r="D5" s="18" t="n">
        <x:v>41182614.6</x:v>
      </x:c>
    </x:row>
    <x:row r="6">
      <x:c r="A6" s="17" t="str">
        <x:v>Payroll</x:v>
      </x:c>
      <x:c r="B6" s="18" t="n">
        <x:v>9</x:v>
      </x:c>
      <x:c r="C6" s="18" t="n">
        <x:v>6417796.8</x:v>
      </x:c>
      <x:c r="D6" s="18" t="n">
        <x:v>6417796.8</x:v>
      </x:c>
    </x:row>
    <x:row r="7">
      <x:c r="A7" s="17" t="str">
        <x:v>Procure to Pay</x:v>
      </x:c>
      <x:c r="B7" s="18" t="n">
        <x:v>1479</x:v>
      </x:c>
      <x:c r="C7" s="18" t="n">
        <x:v>7185664.88</x:v>
      </x:c>
      <x:c r="D7" s="18" t="n">
        <x:v>7185664.88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960</x:v>
      </x:c>
      <x:c r="C9" s="18" t="n">
        <x:v>6967000.27</x:v>
      </x:c>
      <x:c r="D9" s="18" t="n">
        <x:v>6967000.27</x:v>
      </x:c>
    </x:row>
  </x:sheetData>
  <x:pageMargins left="0.7" right="0.7" top="0.75" bottom="0.75" header="0.3" footer="0.3"/>
</x:worksheet>
</file>