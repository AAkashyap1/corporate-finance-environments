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2025-04 Monthly Close Binder</x:v>
      </x:c>
      <x:c r="B1" s="3" t="str">
        <x:v>2025-04 Monthly Close Binder</x:v>
      </x:c>
      <x:c r="C1" s="3" t="str">
        <x:v>2025-04 Monthly Close Binder</x:v>
      </x:c>
      <x:c r="D1" s="3" t="str">
        <x:v>2025-04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2025-04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20767533.61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5570925.12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17670117.76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-9236.88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124525.56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963380.75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749296.14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2247888.42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749296.14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2062055.46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642253.83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1389694310.62</x:v>
      </x:c>
      <x:c r="D2" s="18" t="n">
        <x:v>1441474155.96</x:v>
      </x:c>
      <x:c r="E2" s="18" t="n">
        <x:v>-51779845.34</x:v>
      </x:c>
    </x:row>
    <x:row r="3">
      <x:c r="A3" s="17" t="str">
        <x:v>1100</x:v>
      </x:c>
      <x:c r="B3" s="17" t="str">
        <x:v>Accounts Receivable</x:v>
      </x:c>
      <x:c r="C3" s="18" t="n">
        <x:v>362319639.95</x:v>
      </x:c>
      <x:c r="D3" s="18" t="n">
        <x:v>322110810.7</x:v>
      </x:c>
      <x:c r="E3" s="18" t="n">
        <x:v>40208829.25</x:v>
      </x:c>
    </x:row>
    <x:row r="4">
      <x:c r="A4" s="17" t="str">
        <x:v>1200</x:v>
      </x:c>
      <x:c r="B4" s="17" t="str">
        <x:v>Raw Material Inventory</x:v>
      </x:c>
      <x:c r="C4" s="18" t="n">
        <x:v>392588522.35</x:v>
      </x:c>
      <x:c r="D4" s="18" t="n">
        <x:v>255755205.13</x:v>
      </x:c>
      <x:c r="E4" s="18" t="n">
        <x:v>136833317.22</x:v>
      </x:c>
    </x:row>
    <x:row r="5">
      <x:c r="A5" s="17" t="str">
        <x:v>1210</x:v>
      </x:c>
      <x:c r="B5" s="17" t="str">
        <x:v>Work in Process Inventory</x:v>
      </x:c>
      <x:c r="C5" s="18" t="n">
        <x:v>273662190.25</x:v>
      </x:c>
      <x:c r="D5" s="18" t="n">
        <x:v>272168447.55</x:v>
      </x:c>
      <x:c r="E5" s="18" t="n">
        <x:v>1493742.7</x:v>
      </x:c>
    </x:row>
    <x:row r="6">
      <x:c r="A6" s="17" t="str">
        <x:v>1220</x:v>
      </x:c>
      <x:c r="B6" s="17" t="str">
        <x:v>Finished Goods Inventory</x:v>
      </x:c>
      <x:c r="C6" s="18" t="n">
        <x:v>272853447.23</x:v>
      </x:c>
      <x:c r="D6" s="18" t="n">
        <x:v>192044579.14</x:v>
      </x:c>
      <x:c r="E6" s="18" t="n">
        <x:v>80808868.09</x:v>
      </x:c>
    </x:row>
    <x:row r="7">
      <x:c r="A7" s="17" t="str">
        <x:v>1230</x:v>
      </x:c>
      <x:c r="B7" s="17" t="str">
        <x:v>Aftermarket Inventory</x:v>
      </x:c>
      <x:c r="C7" s="18" t="n">
        <x:v>77897330.71</x:v>
      </x:c>
      <x:c r="D7" s="18" t="n">
        <x:v>49763717.78</x:v>
      </x:c>
      <x:c r="E7" s="18" t="n">
        <x:v>28133612.93</x:v>
      </x:c>
    </x:row>
    <x:row r="8">
      <x:c r="A8" s="17" t="str">
        <x:v>1500</x:v>
      </x:c>
      <x:c r="B8" s="17" t="str">
        <x:v>Machinery &amp; Equipment</x:v>
      </x:c>
      <x:c r="C8" s="18" t="n">
        <x:v>152006000</x:v>
      </x:c>
      <x:c r="D8" s="18" t="n">
        <x:v>0</x:v>
      </x:c>
      <x:c r="E8" s="18" t="n">
        <x:v>152006000</x:v>
      </x:c>
    </x:row>
    <x:row r="9">
      <x:c r="A9" s="17" t="str">
        <x:v>1510</x:v>
      </x:c>
      <x:c r="B9" s="17" t="str">
        <x:v>Buildings &amp; Improvements</x:v>
      </x:c>
      <x:c r="C9" s="18" t="n">
        <x:v>130972000</x:v>
      </x:c>
      <x:c r="D9" s="18" t="n">
        <x:v>0</x:v>
      </x:c>
      <x:c r="E9" s="18" t="n">
        <x:v>130972000</x:v>
      </x:c>
    </x:row>
    <x:row r="10">
      <x:c r="A10" s="17" t="str">
        <x:v>1520</x:v>
      </x:c>
      <x:c r="B10" s="17" t="str">
        <x:v>Furniture, IT &amp; Other</x:v>
      </x:c>
      <x:c r="C10" s="18" t="n">
        <x:v>110492000</x:v>
      </x:c>
      <x:c r="D10" s="18" t="n">
        <x:v>0</x:v>
      </x:c>
      <x:c r="E10" s="18" t="n">
        <x:v>110492000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268413205.48</x:v>
      </x:c>
      <x:c r="E11" s="18" t="n">
        <x:v>-268413205.48</x:v>
      </x:c>
    </x:row>
    <x:row r="12">
      <x:c r="A12" s="17" t="str">
        <x:v>2000</x:v>
      </x:c>
      <x:c r="B12" s="17" t="str">
        <x:v>Accounts Payable</x:v>
      </x:c>
      <x:c r="C12" s="18" t="n">
        <x:v>92828659.4</x:v>
      </x:c>
      <x:c r="D12" s="18" t="n">
        <x:v>100827172.18</x:v>
      </x:c>
      <x:c r="E12" s="18" t="n">
        <x:v>-7998512.78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1192299479.87</x:v>
      </x:c>
      <x:c r="E18" s="18" t="n">
        <x:v>-1192299479.87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74553660</x:v>
      </x:c>
      <x:c r="E19" s="18" t="n">
        <x:v>-74553660</x:v>
      </x:c>
    </x:row>
    <x:row r="20">
      <x:c r="A20" s="17" t="str">
        <x:v>5000</x:v>
      </x:c>
      <x:c r="B20" s="17" t="str">
        <x:v>Material Cost of Sales</x:v>
      </x:c>
      <x:c r="C20" s="18" t="n">
        <x:v>871457881.92</x:v>
      </x:c>
      <x:c r="D20" s="18" t="n">
        <x:v>0</x:v>
      </x:c>
      <x:c r="E20" s="18" t="n">
        <x:v>871457881.92</x:v>
      </x:c>
    </x:row>
    <x:row r="21">
      <x:c r="A21" s="17" t="str">
        <x:v>5100</x:v>
      </x:c>
      <x:c r="B21" s="17" t="str">
        <x:v>Purchase Price Variance</x:v>
      </x:c>
      <x:c r="C21" s="18" t="n">
        <x:v>2029067.86</x:v>
      </x:c>
      <x:c r="D21" s="18" t="n">
        <x:v>1818559.51</x:v>
      </x:c>
      <x:c r="E21" s="18" t="n">
        <x:v>210508.35</x:v>
      </x:c>
    </x:row>
    <x:row r="22">
      <x:c r="A22" s="17" t="str">
        <x:v>5110</x:v>
      </x:c>
      <x:c r="B22" s="17" t="str">
        <x:v>Material Usage Variance</x:v>
      </x:c>
      <x:c r="C22" s="18" t="n">
        <x:v>2320523.57</x:v>
      </x:c>
      <x:c r="D22" s="18" t="n">
        <x:v>288446.63</x:v>
      </x:c>
      <x:c r="E22" s="18" t="n">
        <x:v>2032076.94</x:v>
      </x:c>
    </x:row>
    <x:row r="23">
      <x:c r="A23" s="17" t="str">
        <x:v>5200</x:v>
      </x:c>
      <x:c r="B23" s="17" t="str">
        <x:v>Direct Labor Clearing</x:v>
      </x:c>
      <x:c r="C23" s="18" t="n">
        <x:v>8159172.11</x:v>
      </x:c>
      <x:c r="D23" s="18" t="n">
        <x:v>8159172.03</x:v>
      </x:c>
      <x:c r="E23" s="18" t="n">
        <x:v>0.08</x:v>
      </x:c>
    </x:row>
    <x:row r="24">
      <x:c r="A24" s="17" t="str">
        <x:v>5210</x:v>
      </x:c>
      <x:c r="B24" s="17" t="str">
        <x:v>Variable Overhead Absorption</x:v>
      </x:c>
      <x:c r="C24" s="18" t="n">
        <x:v>2941674.63</x:v>
      </x:c>
      <x:c r="D24" s="18" t="n">
        <x:v>2941674.63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6517691.75</x:v>
      </x:c>
      <x:c r="D25" s="18" t="n">
        <x:v>6517691.75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3845627.33</x:v>
      </x:c>
      <x:c r="D26" s="18" t="n">
        <x:v>0</x:v>
      </x:c>
      <x:c r="E26" s="18" t="n">
        <x:v>3845627.33</x:v>
      </x:c>
    </x:row>
    <x:row r="27">
      <x:c r="A27" s="17" t="str">
        <x:v>6100</x:v>
      </x:c>
      <x:c r="B27" s="17" t="str">
        <x:v>Research &amp; Development</x:v>
      </x:c>
      <x:c r="C27" s="18" t="n">
        <x:v>2991043.49</x:v>
      </x:c>
      <x:c r="D27" s="18" t="n">
        <x:v>0</x:v>
      </x:c>
      <x:c r="E27" s="18" t="n">
        <x:v>2991043.49</x:v>
      </x:c>
    </x:row>
    <x:row r="28">
      <x:c r="A28" s="17" t="str">
        <x:v>6200</x:v>
      </x:c>
      <x:c r="B28" s="17" t="str">
        <x:v>General &amp; Administrative</x:v>
      </x:c>
      <x:c r="C28" s="18" t="n">
        <x:v>170033961.37</x:v>
      </x:c>
      <x:c r="D28" s="18" t="n">
        <x:v>0</x:v>
      </x:c>
      <x:c r="E28" s="18" t="n">
        <x:v>170033961.37</x:v>
      </x:c>
    </x:row>
    <x:row r="29">
      <x:c r="A29" s="17" t="str">
        <x:v>6300</x:v>
      </x:c>
      <x:c r="B29" s="17" t="str">
        <x:v>Distribution &amp; Service</x:v>
      </x:c>
      <x:c r="C29" s="18" t="n">
        <x:v>2991043.49</x:v>
      </x:c>
      <x:c r="D29" s="18" t="n">
        <x:v>0</x:v>
      </x:c>
      <x:c r="E29" s="18" t="n">
        <x:v>2991043.49</x:v>
      </x:c>
    </x:row>
    <x:row r="30">
      <x:c r="A30" s="17" t="str">
        <x:v>6400</x:v>
      </x:c>
      <x:c r="B30" s="17" t="str">
        <x:v>Depreciation &amp; Amortization</x:v>
      </x:c>
      <x:c r="C30" s="18" t="n">
        <x:v>148975210.97</x:v>
      </x:c>
      <x:c r="D30" s="18" t="n">
        <x:v>0</x:v>
      </x:c>
      <x:c r="E30" s="18" t="n">
        <x:v>148975210.97</x:v>
      </x:c>
    </x:row>
    <x:row r="31">
      <x:c r="A31" s="17" t="str">
        <x:v>6500</x:v>
      </x:c>
      <x:c r="B31" s="17" t="str">
        <x:v>Maintenance Expense</x:v>
      </x:c>
      <x:c r="C31" s="18" t="n">
        <x:v>2563751.55</x:v>
      </x:c>
      <x:c r="D31" s="18" t="n">
        <x:v>0</x:v>
      </x:c>
      <x:c r="E31" s="18" t="n">
        <x:v>2563751.55</x:v>
      </x:c>
    </x:row>
    <x:row r="32">
      <x:c r="A32" s="17" t="str">
        <x:v>7000</x:v>
      </x:c>
      <x:c r="B32" s="17" t="str">
        <x:v>Interest Expense</x:v>
      </x:c>
      <x:c r="C32" s="18" t="n">
        <x:v>8741233.28</x:v>
      </x:c>
      <x:c r="D32" s="18" t="n">
        <x:v>0</x:v>
      </x:c>
      <x:c r="E32" s="18" t="n">
        <x:v>8741233.28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616</x:v>
      </x:c>
      <x:c r="C2" s="18" t="n">
        <x:v>24659400.47</x:v>
      </x:c>
      <x:c r="D2" s="18" t="n">
        <x:v>24659400.47</x:v>
      </x:c>
    </x:row>
    <x:row r="3">
      <x:c r="A3" s="17" t="str">
        <x:v>Fixed Assets</x:v>
      </x:c>
      <x:c r="B3" s="18" t="n">
        <x:v>10</x:v>
      </x:c>
      <x:c r="C3" s="18" t="n">
        <x:v>3244055.46</x:v>
      </x:c>
      <x:c r="D3" s="18" t="n">
        <x:v>3244055.46</x:v>
      </x:c>
    </x:row>
    <x:row r="4">
      <x:c r="A4" s="17" t="str">
        <x:v>Manufacturing</x:v>
      </x:c>
      <x:c r="B4" s="18" t="n">
        <x:v>32</x:v>
      </x:c>
      <x:c r="C4" s="18" t="n">
        <x:v>33460491.4</x:v>
      </x:c>
      <x:c r="D4" s="18" t="n">
        <x:v>33460491.4</x:v>
      </x:c>
    </x:row>
    <x:row r="5">
      <x:c r="A5" s="17" t="str">
        <x:v>Order to Cash</x:v>
      </x:c>
      <x:c r="B5" s="18" t="n">
        <x:v>1288</x:v>
      </x:c>
      <x:c r="C5" s="18" t="n">
        <x:v>44008576.49</x:v>
      </x:c>
      <x:c r="D5" s="18" t="n">
        <x:v>44008576.49</x:v>
      </x:c>
    </x:row>
    <x:row r="6">
      <x:c r="A6" s="17" t="str">
        <x:v>Payroll</x:v>
      </x:c>
      <x:c r="B6" s="18" t="n">
        <x:v>9</x:v>
      </x:c>
      <x:c r="C6" s="18" t="n">
        <x:v>6419451.75</x:v>
      </x:c>
      <x:c r="D6" s="18" t="n">
        <x:v>6419451.75</x:v>
      </x:c>
    </x:row>
    <x:row r="7">
      <x:c r="A7" s="17" t="str">
        <x:v>Procure to Pay</x:v>
      </x:c>
      <x:c r="B7" s="18" t="n">
        <x:v>1404</x:v>
      </x:c>
      <x:c r="C7" s="18" t="n">
        <x:v>6985559.98</x:v>
      </x:c>
      <x:c r="D7" s="18" t="n">
        <x:v>6985559.98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948</x:v>
      </x:c>
      <x:c r="C9" s="18" t="n">
        <x:v>6953627.85</x:v>
      </x:c>
      <x:c r="D9" s="18" t="n">
        <x:v>6953627.85</x:v>
      </x:c>
    </x:row>
  </x:sheetData>
  <x:pageMargins left="0.7" right="0.7" top="0.75" bottom="0.75" header="0.3" footer="0.3"/>
</x:worksheet>
</file>