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2025-12 Monthly Close Binder</x:v>
      </x:c>
      <x:c r="B1" s="3" t="str">
        <x:v>2025-12 Monthly Close Binder</x:v>
      </x:c>
      <x:c r="C1" s="3" t="str">
        <x:v>2025-12 Monthly Close Binder</x:v>
      </x:c>
      <x:c r="D1" s="3" t="str">
        <x:v>2025-12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2025-12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9</x:v>
      </x:c>
      <x:c r="C13" s="23" t="n">
        <x:f>MAX(0,COUNTA('Journal Control'!A2:A10))</x:f>
        <x:v>9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19916548.54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5533231.94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17461013.38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21259.1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97191.04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1530786.62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1190611.82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3571835.45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1190611.82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1995055.45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1020524.41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1598046239.28</x:v>
      </x:c>
      <x:c r="D2" s="18" t="n">
        <x:v>1644860260.61</x:v>
      </x:c>
      <x:c r="E2" s="18" t="n">
        <x:v>-46814021.33</x:v>
      </x:c>
    </x:row>
    <x:row r="3">
      <x:c r="A3" s="17" t="str">
        <x:v>1100</x:v>
      </x:c>
      <x:c r="B3" s="17" t="str">
        <x:v>Accounts Receivable</x:v>
      </x:c>
      <x:c r="C3" s="18" t="n">
        <x:v>566397445.43</x:v>
      </x:c>
      <x:c r="D3" s="18" t="n">
        <x:v>530462739.36</x:v>
      </x:c>
      <x:c r="E3" s="18" t="n">
        <x:v>35934706.07</x:v>
      </x:c>
    </x:row>
    <x:row r="4">
      <x:c r="A4" s="17" t="str">
        <x:v>1200</x:v>
      </x:c>
      <x:c r="B4" s="17" t="str">
        <x:v>Raw Material Inventory</x:v>
      </x:c>
      <x:c r="C4" s="18" t="n">
        <x:v>471018182.39</x:v>
      </x:c>
      <x:c r="D4" s="18" t="n">
        <x:v>383683756.46</x:v>
      </x:c>
      <x:c r="E4" s="18" t="n">
        <x:v>87334425.93</x:v>
      </x:c>
    </x:row>
    <x:row r="5">
      <x:c r="A5" s="17" t="str">
        <x:v>1210</x:v>
      </x:c>
      <x:c r="B5" s="17" t="str">
        <x:v>Work in Process Inventory</x:v>
      </x:c>
      <x:c r="C5" s="18" t="n">
        <x:v>410654057.77</x:v>
      </x:c>
      <x:c r="D5" s="18" t="n">
        <x:v>409716753.87</x:v>
      </x:c>
      <x:c r="E5" s="18" t="n">
        <x:v>937303.9</x:v>
      </x:c>
    </x:row>
    <x:row r="6">
      <x:c r="A6" s="17" t="str">
        <x:v>1220</x:v>
      </x:c>
      <x:c r="B6" s="17" t="str">
        <x:v>Finished Goods Inventory</x:v>
      </x:c>
      <x:c r="C6" s="18" t="n">
        <x:v>363350126.34</x:v>
      </x:c>
      <x:c r="D6" s="18" t="n">
        <x:v>302179570.49</x:v>
      </x:c>
      <x:c r="E6" s="18" t="n">
        <x:v>61170555.85</x:v>
      </x:c>
    </x:row>
    <x:row r="7">
      <x:c r="A7" s="17" t="str">
        <x:v>1230</x:v>
      </x:c>
      <x:c r="B7" s="17" t="str">
        <x:v>Aftermarket Inventory</x:v>
      </x:c>
      <x:c r="C7" s="18" t="n">
        <x:v>101744903.18</x:v>
      </x:c>
      <x:c r="D7" s="18" t="n">
        <x:v>78461452.29</x:v>
      </x:c>
      <x:c r="E7" s="18" t="n">
        <x:v>23283450.89</x:v>
      </x:c>
    </x:row>
    <x:row r="8">
      <x:c r="A8" s="17" t="str">
        <x:v>1500</x:v>
      </x:c>
      <x:c r="B8" s="17" t="str">
        <x:v>Machinery &amp; Equipment</x:v>
      </x:c>
      <x:c r="C8" s="18" t="n">
        <x:v>155748000</x:v>
      </x:c>
      <x:c r="D8" s="18" t="n">
        <x:v>0</x:v>
      </x:c>
      <x:c r="E8" s="18" t="n">
        <x:v>155748000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284535561.11</x:v>
      </x:c>
      <x:c r="E11" s="18" t="n">
        <x:v>-284535561.11</x:v>
      </x:c>
    </x:row>
    <x:row r="12">
      <x:c r="A12" s="17" t="str">
        <x:v>2000</x:v>
      </x:c>
      <x:c r="B12" s="17" t="str">
        <x:v>Accounts Payable</x:v>
      </x:c>
      <x:c r="C12" s="18" t="n">
        <x:v>149173423.09</x:v>
      </x:c>
      <x:c r="D12" s="18" t="n">
        <x:v>157266613.71</x:v>
      </x:c>
      <x:c r="E12" s="18" t="n">
        <x:v>-8093190.62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75000000</x:v>
      </x:c>
      <x:c r="D17" s="18" t="n">
        <x:v>115196005.49</x:v>
      </x:c>
      <x:c r="E17" s="18" t="n">
        <x:v>-40196005.49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1354213034.32</x:v>
      </x:c>
      <x:c r="E18" s="18" t="n">
        <x:v>-1354213034.32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116717911.03</x:v>
      </x:c>
      <x:c r="E19" s="18" t="n">
        <x:v>-116717911.03</x:v>
      </x:c>
    </x:row>
    <x:row r="20">
      <x:c r="A20" s="17" t="str">
        <x:v>5000</x:v>
      </x:c>
      <x:c r="B20" s="17" t="str">
        <x:v>Material Cost of Sales</x:v>
      </x:c>
      <x:c r="C20" s="18" t="n">
        <x:v>1010290607.78</x:v>
      </x:c>
      <x:c r="D20" s="18" t="n">
        <x:v>0</x:v>
      </x:c>
      <x:c r="E20" s="18" t="n">
        <x:v>1010290607.78</x:v>
      </x:c>
    </x:row>
    <x:row r="21">
      <x:c r="A21" s="17" t="str">
        <x:v>5100</x:v>
      </x:c>
      <x:c r="B21" s="17" t="str">
        <x:v>Purchase Price Variance</x:v>
      </x:c>
      <x:c r="C21" s="18" t="n">
        <x:v>3164865.39</x:v>
      </x:c>
      <x:c r="D21" s="18" t="n">
        <x:v>2842509.1</x:v>
      </x:c>
      <x:c r="E21" s="18" t="n">
        <x:v>322356.29</x:v>
      </x:c>
    </x:row>
    <x:row r="22">
      <x:c r="A22" s="17" t="str">
        <x:v>5110</x:v>
      </x:c>
      <x:c r="B22" s="17" t="str">
        <x:v>Material Usage Variance</x:v>
      </x:c>
      <x:c r="C22" s="18" t="n">
        <x:v>3422511.89</x:v>
      </x:c>
      <x:c r="D22" s="18" t="n">
        <x:v>438419.41</x:v>
      </x:c>
      <x:c r="E22" s="18" t="n">
        <x:v>2984092.48</x:v>
      </x:c>
    </x:row>
    <x:row r="23">
      <x:c r="A23" s="17" t="str">
        <x:v>5200</x:v>
      </x:c>
      <x:c r="B23" s="17" t="str">
        <x:v>Direct Labor Clearing</x:v>
      </x:c>
      <x:c r="C23" s="18" t="n">
        <x:v>12287304.38</x:v>
      </x:c>
      <x:c r="D23" s="18" t="n">
        <x:v>12287304.33</x:v>
      </x:c>
      <x:c r="E23" s="18" t="n">
        <x:v>0.05</x:v>
      </x:c>
    </x:row>
    <x:row r="24">
      <x:c r="A24" s="17" t="str">
        <x:v>5210</x:v>
      </x:c>
      <x:c r="B24" s="17" t="str">
        <x:v>Variable Overhead Absorption</x:v>
      </x:c>
      <x:c r="C24" s="18" t="n">
        <x:v>4429816.84</x:v>
      </x:c>
      <x:c r="D24" s="18" t="n">
        <x:v>4429816.84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9814760.68</x:v>
      </x:c>
      <x:c r="D25" s="18" t="n">
        <x:v>9814760.68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12641395.89</x:v>
      </x:c>
      <x:c r="D26" s="18" t="n">
        <x:v>0</x:v>
      </x:c>
      <x:c r="E26" s="18" t="n">
        <x:v>12641395.89</x:v>
      </x:c>
    </x:row>
    <x:row r="27">
      <x:c r="A27" s="17" t="str">
        <x:v>6100</x:v>
      </x:c>
      <x:c r="B27" s="17" t="str">
        <x:v>Research &amp; Development</x:v>
      </x:c>
      <x:c r="C27" s="18" t="n">
        <x:v>9832196.82</x:v>
      </x:c>
      <x:c r="D27" s="18" t="n">
        <x:v>0</x:v>
      </x:c>
      <x:c r="E27" s="18" t="n">
        <x:v>9832196.82</x:v>
      </x:c>
    </x:row>
    <x:row r="28">
      <x:c r="A28" s="17" t="str">
        <x:v>6200</x:v>
      </x:c>
      <x:c r="B28" s="17" t="str">
        <x:v>General &amp; Administrative</x:v>
      </x:c>
      <x:c r="C28" s="18" t="n">
        <x:v>190557421.36</x:v>
      </x:c>
      <x:c r="D28" s="18" t="n">
        <x:v>0</x:v>
      </x:c>
      <x:c r="E28" s="18" t="n">
        <x:v>190557421.36</x:v>
      </x:c>
    </x:row>
    <x:row r="29">
      <x:c r="A29" s="17" t="str">
        <x:v>6300</x:v>
      </x:c>
      <x:c r="B29" s="17" t="str">
        <x:v>Distribution &amp; Service</x:v>
      </x:c>
      <x:c r="C29" s="18" t="n">
        <x:v>9832196.82</x:v>
      </x:c>
      <x:c r="D29" s="18" t="n">
        <x:v>0</x:v>
      </x:c>
      <x:c r="E29" s="18" t="n">
        <x:v>9832196.82</x:v>
      </x:c>
    </x:row>
    <x:row r="30">
      <x:c r="A30" s="17" t="str">
        <x:v>6400</x:v>
      </x:c>
      <x:c r="B30" s="17" t="str">
        <x:v>Depreciation &amp; Amortization</x:v>
      </x:c>
      <x:c r="C30" s="18" t="n">
        <x:v>165097566.6</x:v>
      </x:c>
      <x:c r="D30" s="18" t="n">
        <x:v>0</x:v>
      </x:c>
      <x:c r="E30" s="18" t="n">
        <x:v>165097566.6</x:v>
      </x:c>
    </x:row>
    <x:row r="31">
      <x:c r="A31" s="17" t="str">
        <x:v>6500</x:v>
      </x:c>
      <x:c r="B31" s="17" t="str">
        <x:v>Maintenance Expense</x:v>
      </x:c>
      <x:c r="C31" s="18" t="n">
        <x:v>8427597.25</x:v>
      </x:c>
      <x:c r="D31" s="18" t="n">
        <x:v>0</x:v>
      </x:c>
      <x:c r="E31" s="18" t="n">
        <x:v>8427597.25</x:v>
      </x:c>
    </x:row>
    <x:row r="32">
      <x:c r="A32" s="17" t="str">
        <x:v>7000</x:v>
      </x:c>
      <x:c r="B32" s="17" t="str">
        <x:v>Interest Expense</x:v>
      </x:c>
      <x:c r="C32" s="18" t="n">
        <x:v>13111849.92</x:v>
      </x:c>
      <x:c r="D32" s="18" t="n">
        <x:v>0</x:v>
      </x:c>
      <x:c r="E32" s="18" t="n">
        <x:v>13111849.92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640</x:v>
      </x:c>
      <x:c r="C2" s="18" t="n">
        <x:v>25702683.61</x:v>
      </x:c>
      <x:c r="D2" s="18" t="n">
        <x:v>25702683.61</x:v>
      </x:c>
    </x:row>
    <x:row r="3">
      <x:c r="A3" s="17" t="str">
        <x:v>Equity</x:v>
      </x:c>
      <x:c r="B3" s="18" t="n">
        <x:v>2</x:v>
      </x:c>
      <x:c r="C3" s="18" t="n">
        <x:v>75000000</x:v>
      </x:c>
      <x:c r="D3" s="18" t="n">
        <x:v>75000000</x:v>
      </x:c>
    </x:row>
    <x:row r="4">
      <x:c r="A4" s="17" t="str">
        <x:v>Fixed Assets</x:v>
      </x:c>
      <x:c r="B4" s="18" t="n">
        <x:v>10</x:v>
      </x:c>
      <x:c r="C4" s="18" t="n">
        <x:v>3409055.45</x:v>
      </x:c>
      <x:c r="D4" s="18" t="n">
        <x:v>3409055.45</x:v>
      </x:c>
    </x:row>
    <x:row r="5">
      <x:c r="A5" s="17" t="str">
        <x:v>Manufacturing</x:v>
      </x:c>
      <x:c r="B5" s="18" t="n">
        <x:v>32</x:v>
      </x:c>
      <x:c r="C5" s="18" t="n">
        <x:v>35412583.51</x:v>
      </x:c>
      <x:c r="D5" s="18" t="n">
        <x:v>35412583.51</x:v>
      </x:c>
    </x:row>
    <x:row r="6">
      <x:c r="A6" s="17" t="str">
        <x:v>Order to Cash</x:v>
      </x:c>
      <x:c r="B6" s="18" t="n">
        <x:v>1364</x:v>
      </x:c>
      <x:c r="C6" s="18" t="n">
        <x:v>42910793.86</x:v>
      </x:c>
      <x:c r="D6" s="18" t="n">
        <x:v>42910793.86</x:v>
      </x:c>
    </x:row>
    <x:row r="7">
      <x:c r="A7" s="17" t="str">
        <x:v>Payroll</x:v>
      </x:c>
      <x:c r="B7" s="18" t="n">
        <x:v>9</x:v>
      </x:c>
      <x:c r="C7" s="18" t="n">
        <x:v>9629604.68</x:v>
      </x:c>
      <x:c r="D7" s="18" t="n">
        <x:v>9629604.68</x:v>
      </x:c>
    </x:row>
    <x:row r="8">
      <x:c r="A8" s="17" t="str">
        <x:v>Procure to Pay</x:v>
      </x:c>
      <x:c r="B8" s="18" t="n">
        <x:v>1479</x:v>
      </x:c>
      <x:c r="C8" s="18" t="n">
        <x:v>7356065.12</x:v>
      </x:c>
      <x:c r="D8" s="18" t="n">
        <x:v>7356065.12</x:v>
      </x:c>
    </x:row>
    <x:row r="9">
      <x:c r="A9" s="17" t="str">
        <x:v>Treasury</x:v>
      </x:c>
      <x:c r="B9" s="18" t="n">
        <x:v>2</x:v>
      </x:c>
      <x:c r="C9" s="18" t="n">
        <x:v>546327.08</x:v>
      </x:c>
      <x:c r="D9" s="18" t="n">
        <x:v>546327.08</x:v>
      </x:c>
    </x:row>
    <x:row r="10">
      <x:c r="A10" s="17" t="str">
        <x:v>Vendor Payment</x:v>
      </x:c>
      <x:c r="B10" s="18" t="n">
        <x:v>976</x:v>
      </x:c>
      <x:c r="C10" s="18" t="n">
        <x:v>7102666.03</x:v>
      </x:c>
      <x:c r="D10" s="18" t="n">
        <x:v>7102666.03</x:v>
      </x:c>
    </x:row>
  </x:sheetData>
  <x:pageMargins left="0.7" right="0.7" top="0.75" bottom="0.75" header="0.3" footer="0.3"/>
</x:worksheet>
</file>