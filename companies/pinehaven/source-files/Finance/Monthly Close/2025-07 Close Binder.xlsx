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P&amp;L" sheetId="2" r:id="rId5"/>
    <x:sheet xmlns:r="http://schemas.openxmlformats.org/officeDocument/2006/relationships" name="Trial Balance" sheetId="3" r:id="rId6"/>
    <x:sheet xmlns:r="http://schemas.openxmlformats.org/officeDocument/2006/relationships" name="Journal Control" sheetId="4" r:id="rI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E4C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2025-07 Monthly Close Binder</x:v>
      </x:c>
      <x:c r="B1" s="3" t="str">
        <x:v>2025-07 Monthly Close Binder</x:v>
      </x:c>
      <x:c r="C1" s="3" t="str">
        <x:v>2025-07 Monthly Close Binder</x:v>
      </x:c>
      <x:c r="D1" s="3" t="str">
        <x:v>2025-07 Monthly Close Binder</x:v>
      </x:c>
    </x:row>
    <x:row r="2">
      <x:c r="A2" s="6" t="str">
        <x:v>PINEHAVEN MOTION SYSTEMS  •  MONTHLY CLOSE</x:v>
      </x:c>
      <x:c r="B2" s="6" t="str">
        <x:v>PINEHAVEN MOTION SYSTEMS  •  MONTHLY CLOSE</x:v>
      </x:c>
      <x:c r="C2" s="6" t="str">
        <x:v>PINEHAVEN MOTION SYSTEMS  •  MONTHLY CLOSE</x:v>
      </x:c>
      <x:c r="D2" s="6" t="str">
        <x:v>PINEHAVEN MOTION SYSTEMS  •  MONTHLY CLOSE</x:v>
      </x:c>
    </x:row>
    <x:row r="3">
      <x:c r="A3" s="9" t="str">
        <x:v>Period / As of</x:v>
      </x:c>
      <x:c r="B3" s="10" t="str">
        <x:v>2025-07</x:v>
      </x:c>
      <x:c r="C3" s="10"/>
      <x:c r="D3" s="10"/>
    </x:row>
    <x:row r="4">
      <x:c r="A4" s="9" t="str">
        <x:v>Prepared by</x:v>
      </x:c>
      <x:c r="B4" s="10" t="str">
        <x:v>Corporate Controller</x:v>
      </x:c>
      <x:c r="C4" s="10"/>
      <x:c r="D4" s="10"/>
    </x:row>
    <x:row r="5">
      <x:c r="A5" s="9" t="str">
        <x:v>Primary system</x:v>
      </x:c>
      <x:c r="B5" s="10" t="str">
        <x:v>ERP general ledger</x:v>
      </x:c>
      <x:c r="C5" s="10"/>
      <x:c r="D5" s="10"/>
    </x:row>
    <x:row r="6">
      <x:c r="A6" s="9" t="str">
        <x:v>Report status</x:v>
      </x:c>
      <x:c r="B6" s="10" t="str">
        <x:v>Closed</x:v>
      </x:c>
      <x:c r="C6" s="10"/>
      <x:c r="D6" s="10"/>
    </x:row>
    <x:row r="7">
      <x:c r="A7" s="9" t="str">
        <x:v>Distribution</x:v>
      </x:c>
      <x:c r="B7" s="10" t="str">
        <x:v>Corporate Accounting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P&amp;L</x:v>
      </x:c>
      <x:c r="B11" s="23" t="n">
        <x:v>15</x:v>
      </x:c>
      <x:c r="C11" s="23" t="n">
        <x:f>MAX(0,COUNTA('P&amp;L'!A2:A16))</x:f>
        <x:v>15</x:v>
      </x:c>
      <x:c r="D11" s="22" t="str">
        <x:f>IF(B11=C11,"OK","CHECK")</x:f>
        <x:v>OK</x:v>
      </x:c>
    </x:row>
    <x:row r="12">
      <x:c r="A12" s="22" t="str">
        <x:v>Trial Balance</x:v>
      </x:c>
      <x:c r="B12" s="23" t="n">
        <x:v>31</x:v>
      </x:c>
      <x:c r="C12" s="23" t="n">
        <x:f>MAX(0,COUNTA('Trial Balance'!A2:A32))</x:f>
        <x:v>31</x:v>
      </x:c>
      <x:c r="D12" s="22" t="str">
        <x:f>IF(B12=C12,"OK","CHECK")</x:f>
        <x:v>OK</x:v>
      </x:c>
    </x:row>
    <x:row r="13">
      <x:c r="A13" s="22" t="str">
        <x:v>Journal Control</x:v>
      </x:c>
      <x:c r="B13" s="23" t="n">
        <x:v>8</x:v>
      </x:c>
      <x:c r="C13" s="23" t="n">
        <x:f>MAX(0,COUNTA('Journal Control'!A2:A9))</x:f>
        <x:v>8</x:v>
      </x:c>
      <x:c r="D13" s="22" t="str">
        <x:f>IF(B13=C13,"OK","CHECK")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13" hidden="0" customWidth="1"/>
  </x:cols>
  <x:sheetData>
    <x:row r="1">
      <x:c r="A1" s="15" t="str">
        <x:v>account_code</x:v>
      </x:c>
      <x:c r="B1" s="15" t="str">
        <x:v>name</x:v>
      </x:c>
      <x:c r="C1" s="15" t="str">
        <x:v>account_type</x:v>
      </x:c>
      <x:c r="D1" s="15" t="str">
        <x:v>amount</x:v>
      </x:c>
    </x:row>
    <x:row r="2">
      <x:c r="A2" s="17" t="str">
        <x:v>4000</x:v>
      </x:c>
      <x:c r="B2" s="17" t="str">
        <x:v>Product Revenue</x:v>
      </x:c>
      <x:c r="C2" s="17" t="str">
        <x:v>Revenue</x:v>
      </x:c>
      <x:c r="D2" s="18" t="n">
        <x:v>22672632.02</x:v>
      </x:c>
    </x:row>
    <x:row r="3">
      <x:c r="A3" s="17" t="str">
        <x:v>4010</x:v>
      </x:c>
      <x:c r="B3" s="17" t="str">
        <x:v>Aftermarket Revenue</x:v>
      </x:c>
      <x:c r="C3" s="17" t="str">
        <x:v>Revenue</x:v>
      </x:c>
      <x:c r="D3" s="18" t="n">
        <x:v>5511472.66</x:v>
      </x:c>
    </x:row>
    <x:row r="4">
      <x:c r="A4" s="17" t="str">
        <x:v>5000</x:v>
      </x:c>
      <x:c r="B4" s="17" t="str">
        <x:v>Material Cost of Sales</x:v>
      </x:c>
      <x:c r="C4" s="17" t="str">
        <x:v>Expense</x:v>
      </x:c>
      <x:c r="D4" s="18" t="n">
        <x:v>19074000.45</x:v>
      </x:c>
    </x:row>
    <x:row r="5">
      <x:c r="A5" s="17" t="str">
        <x:v>5100</x:v>
      </x:c>
      <x:c r="B5" s="17" t="str">
        <x:v>Purchase Price Variance</x:v>
      </x:c>
      <x:c r="C5" s="17" t="str">
        <x:v>Expense</x:v>
      </x:c>
      <x:c r="D5" s="18" t="n">
        <x:v>20764.09</x:v>
      </x:c>
    </x:row>
    <x:row r="6">
      <x:c r="A6" s="17" t="str">
        <x:v>5110</x:v>
      </x:c>
      <x:c r="B6" s="17" t="str">
        <x:v>Material Usage Variance</x:v>
      </x:c>
      <x:c r="C6" s="17" t="str">
        <x:v>Expense</x:v>
      </x:c>
      <x:c r="D6" s="18" t="n">
        <x:v>102868.16</x:v>
      </x:c>
    </x:row>
    <x:row r="7">
      <x:c r="A7" s="17" t="str">
        <x:v>5200</x:v>
      </x:c>
      <x:c r="B7" s="17" t="str">
        <x:v>Direct Labor Clearing</x:v>
      </x:c>
      <x:c r="C7" s="17" t="str">
        <x:v>Expense</x:v>
      </x:c>
      <x:c r="D7" s="18" t="n">
        <x:v>0</x:v>
      </x:c>
    </x:row>
    <x:row r="8">
      <x:c r="A8" s="17" t="str">
        <x:v>5210</x:v>
      </x:c>
      <x:c r="B8" s="17" t="str">
        <x:v>Variable Overhead Absorption</x:v>
      </x:c>
      <x:c r="C8" s="17" t="str">
        <x:v>Expense</x:v>
      </x:c>
      <x:c r="D8" s="18" t="n">
        <x:v>0</x:v>
      </x:c>
    </x:row>
    <x:row r="9">
      <x:c r="A9" s="17" t="str">
        <x:v>5220</x:v>
      </x:c>
      <x:c r="B9" s="17" t="str">
        <x:v>Fixed Overhead Absorption</x:v>
      </x:c>
      <x:c r="C9" s="17" t="str">
        <x:v>Expense</x:v>
      </x:c>
      <x:c r="D9" s="18" t="n">
        <x:v>0</x:v>
      </x:c>
    </x:row>
    <x:row r="10">
      <x:c r="A10" s="17" t="str">
        <x:v>6000</x:v>
      </x:c>
      <x:c r="B10" s="17" t="str">
        <x:v>Sales &amp; Marketing</x:v>
      </x:c>
      <x:c r="C10" s="17" t="str">
        <x:v>Expense</x:v>
      </x:c>
      <x:c r="D10" s="18" t="n">
        <x:v>1530635.48</x:v>
      </x:c>
    </x:row>
    <x:row r="11">
      <x:c r="A11" s="17" t="str">
        <x:v>6100</x:v>
      </x:c>
      <x:c r="B11" s="17" t="str">
        <x:v>Research &amp; Development</x:v>
      </x:c>
      <x:c r="C11" s="17" t="str">
        <x:v>Expense</x:v>
      </x:c>
      <x:c r="D11" s="18" t="n">
        <x:v>1190494.26</x:v>
      </x:c>
    </x:row>
    <x:row r="12">
      <x:c r="A12" s="17" t="str">
        <x:v>6200</x:v>
      </x:c>
      <x:c r="B12" s="17" t="str">
        <x:v>General &amp; Administrative</x:v>
      </x:c>
      <x:c r="C12" s="17" t="str">
        <x:v>Expense</x:v>
      </x:c>
      <x:c r="D12" s="18" t="n">
        <x:v>3571482.79</x:v>
      </x:c>
    </x:row>
    <x:row r="13">
      <x:c r="A13" s="17" t="str">
        <x:v>6300</x:v>
      </x:c>
      <x:c r="B13" s="17" t="str">
        <x:v>Distribution &amp; Service</x:v>
      </x:c>
      <x:c r="C13" s="17" t="str">
        <x:v>Expense</x:v>
      </x:c>
      <x:c r="D13" s="18" t="n">
        <x:v>1190494.26</x:v>
      </x:c>
    </x:row>
    <x:row r="14">
      <x:c r="A14" s="17" t="str">
        <x:v>6400</x:v>
      </x:c>
      <x:c r="B14" s="17" t="str">
        <x:v>Depreciation &amp; Amortization</x:v>
      </x:c>
      <x:c r="C14" s="17" t="str">
        <x:v>Expense</x:v>
      </x:c>
      <x:c r="D14" s="18" t="n">
        <x:v>2017222.01</x:v>
      </x:c>
    </x:row>
    <x:row r="15">
      <x:c r="A15" s="17" t="str">
        <x:v>6500</x:v>
      </x:c>
      <x:c r="B15" s="17" t="str">
        <x:v>Maintenance Expense</x:v>
      </x:c>
      <x:c r="C15" s="17" t="str">
        <x:v>Expense</x:v>
      </x:c>
      <x:c r="D15" s="18" t="n">
        <x:v>1020423.67</x:v>
      </x:c>
    </x:row>
    <x:row r="16">
      <x:c r="A16" s="17" t="str">
        <x:v>7000</x:v>
      </x:c>
      <x:c r="B16" s="17" t="str">
        <x:v>Interest Expense</x:v>
      </x:c>
      <x:c r="C16" s="17" t="str">
        <x:v>Expense</x:v>
      </x:c>
      <x:c r="D16" s="18" t="n">
        <x:v>546327.08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5" hidden="0" customWidth="1"/>
    <x:col min="4" max="4" width="15" hidden="0" customWidth="1"/>
    <x:col min="5" max="5" width="19" hidden="0" customWidth="1"/>
  </x:cols>
  <x:sheetData>
    <x:row r="1">
      <x:c r="A1" s="15" t="str">
        <x:v>account_code</x:v>
      </x:c>
      <x:c r="B1" s="15" t="str">
        <x:v>name</x:v>
      </x:c>
      <x:c r="C1" s="15" t="str">
        <x:v>debits</x:v>
      </x:c>
      <x:c r="D1" s="15" t="str">
        <x:v>credits</x:v>
      </x:c>
      <x:c r="E1" s="15" t="str">
        <x:v>debit_less_credit</x:v>
      </x:c>
    </x:row>
    <x:row r="2">
      <x:c r="A2" s="17" t="str">
        <x:v>1000</x:v>
      </x:c>
      <x:c r="B2" s="17" t="str">
        <x:v>Operating Cash</x:v>
      </x:c>
      <x:c r="C2" s="18" t="n">
        <x:v>1468807327.25</x:v>
      </x:c>
      <x:c r="D2" s="18" t="n">
        <x:v>1490223859.07</x:v>
      </x:c>
      <x:c r="E2" s="18" t="n">
        <x:v>-21416531.82</x:v>
      </x:c>
    </x:row>
    <x:row r="3">
      <x:c r="A3" s="17" t="str">
        <x:v>1100</x:v>
      </x:c>
      <x:c r="B3" s="17" t="str">
        <x:v>Accounts Receivable</x:v>
      </x:c>
      <x:c r="C3" s="18" t="n">
        <x:v>440450687.87</x:v>
      </x:c>
      <x:c r="D3" s="18" t="n">
        <x:v>401223827.33</x:v>
      </x:c>
      <x:c r="E3" s="18" t="n">
        <x:v>39226860.54</x:v>
      </x:c>
    </x:row>
    <x:row r="4">
      <x:c r="A4" s="17" t="str">
        <x:v>1200</x:v>
      </x:c>
      <x:c r="B4" s="17" t="str">
        <x:v>Raw Material Inventory</x:v>
      </x:c>
      <x:c r="C4" s="18" t="n">
        <x:v>422201002.16</x:v>
      </x:c>
      <x:c r="D4" s="18" t="n">
        <x:v>303380384.36</x:v>
      </x:c>
      <x:c r="E4" s="18" t="n">
        <x:v>118820617.8</x:v>
      </x:c>
    </x:row>
    <x:row r="5">
      <x:c r="A5" s="17" t="str">
        <x:v>1210</x:v>
      </x:c>
      <x:c r="B5" s="17" t="str">
        <x:v>Work in Process Inventory</x:v>
      </x:c>
      <x:c r="C5" s="18" t="n">
        <x:v>324687573.48</x:v>
      </x:c>
      <x:c r="D5" s="18" t="n">
        <x:v>323874935.49</x:v>
      </x:c>
      <x:c r="E5" s="18" t="n">
        <x:v>812637.99</x:v>
      </x:c>
    </x:row>
    <x:row r="6">
      <x:c r="A6" s="17" t="str">
        <x:v>1220</x:v>
      </x:c>
      <x:c r="B6" s="17" t="str">
        <x:v>Finished Goods Inventory</x:v>
      </x:c>
      <x:c r="C6" s="18" t="n">
        <x:v>306814456.5</x:v>
      </x:c>
      <x:c r="D6" s="18" t="n">
        <x:v>234310774.54</x:v>
      </x:c>
      <x:c r="E6" s="18" t="n">
        <x:v>72503681.96</x:v>
      </x:c>
    </x:row>
    <x:row r="7">
      <x:c r="A7" s="17" t="str">
        <x:v>1230</x:v>
      </x:c>
      <x:c r="B7" s="17" t="str">
        <x:v>Aftermarket Inventory</x:v>
      </x:c>
      <x:c r="C7" s="18" t="n">
        <x:v>86804547.17</x:v>
      </x:c>
      <x:c r="D7" s="18" t="n">
        <x:v>60252459.22</x:v>
      </x:c>
      <x:c r="E7" s="18" t="n">
        <x:v>26552087.95</x:v>
      </x:c>
    </x:row>
    <x:row r="8">
      <x:c r="A8" s="17" t="str">
        <x:v>1500</x:v>
      </x:c>
      <x:c r="B8" s="17" t="str">
        <x:v>Machinery &amp; Equipment</x:v>
      </x:c>
      <x:c r="C8" s="18" t="n">
        <x:v>154334000</x:v>
      </x:c>
      <x:c r="D8" s="18" t="n">
        <x:v>0</x:v>
      </x:c>
      <x:c r="E8" s="18" t="n">
        <x:v>154334000</x:v>
      </x:c>
    </x:row>
    <x:row r="9">
      <x:c r="A9" s="17" t="str">
        <x:v>1510</x:v>
      </x:c>
      <x:c r="B9" s="17" t="str">
        <x:v>Buildings &amp; Improvements</x:v>
      </x:c>
      <x:c r="C9" s="18" t="n">
        <x:v>130972000</x:v>
      </x:c>
      <x:c r="D9" s="18" t="n">
        <x:v>0</x:v>
      </x:c>
      <x:c r="E9" s="18" t="n">
        <x:v>130972000</x:v>
      </x:c>
    </x:row>
    <x:row r="10">
      <x:c r="A10" s="17" t="str">
        <x:v>1520</x:v>
      </x:c>
      <x:c r="B10" s="17" t="str">
        <x:v>Furniture, IT &amp; Other</x:v>
      </x:c>
      <x:c r="C10" s="18" t="n">
        <x:v>111464000</x:v>
      </x:c>
      <x:c r="D10" s="18" t="n">
        <x:v>0</x:v>
      </x:c>
      <x:c r="E10" s="18" t="n">
        <x:v>111464000</x:v>
      </x:c>
    </x:row>
    <x:row r="11">
      <x:c r="A11" s="17" t="str">
        <x:v>1590</x:v>
      </x:c>
      <x:c r="B11" s="17" t="str">
        <x:v>Accumulated Depreciation</x:v>
      </x:c>
      <x:c r="C11" s="18" t="n">
        <x:v>0</x:v>
      </x:c>
      <x:c r="D11" s="18" t="n">
        <x:v>274489405.4</x:v>
      </x:c>
      <x:c r="E11" s="18" t="n">
        <x:v>-274489405.4</x:v>
      </x:c>
    </x:row>
    <x:row r="12">
      <x:c r="A12" s="17" t="str">
        <x:v>2000</x:v>
      </x:c>
      <x:c r="B12" s="17" t="str">
        <x:v>Accounts Payable</x:v>
      </x:c>
      <x:c r="C12" s="18" t="n">
        <x:v>114169470.86</x:v>
      </x:c>
      <x:c r="D12" s="18" t="n">
        <x:v>122019984.76</x:v>
      </x:c>
      <x:c r="E12" s="18" t="n">
        <x:v>-7850513.9</x:v>
      </x:c>
    </x:row>
    <x:row r="13">
      <x:c r="A13" s="17" t="str">
        <x:v>2100</x:v>
      </x:c>
      <x:c r="B13" s="17" t="str">
        <x:v>Current Debt</x:v>
      </x:c>
      <x:c r="C13" s="18" t="n">
        <x:v>0</x:v>
      </x:c>
      <x:c r="D13" s="18" t="n">
        <x:v>7800000</x:v>
      </x:c>
      <x:c r="E13" s="18" t="n">
        <x:v>-7800000</x:v>
      </x:c>
    </x:row>
    <x:row r="14">
      <x:c r="A14" s="17" t="str">
        <x:v>2200</x:v>
      </x:c>
      <x:c r="B14" s="17" t="str">
        <x:v>Term Debt</x:v>
      </x:c>
      <x:c r="C14" s="18" t="n">
        <x:v>0</x:v>
      </x:c>
      <x:c r="D14" s="18" t="n">
        <x:v>76500000</x:v>
      </x:c>
      <x:c r="E14" s="18" t="n">
        <x:v>-76500000</x:v>
      </x:c>
    </x:row>
    <x:row r="15">
      <x:c r="A15" s="17" t="str">
        <x:v>2210</x:v>
      </x:c>
      <x:c r="B15" s="17" t="str">
        <x:v>ABL Revolver</x:v>
      </x:c>
      <x:c r="C15" s="18" t="n">
        <x:v>0</x:v>
      </x:c>
      <x:c r="D15" s="18" t="n">
        <x:v>8250000</x:v>
      </x:c>
      <x:c r="E15" s="18" t="n">
        <x:v>-8250000</x:v>
      </x:c>
    </x:row>
    <x:row r="16">
      <x:c r="A16" s="17" t="str">
        <x:v>3000</x:v>
      </x:c>
      <x:c r="B16" s="17" t="str">
        <x:v>Common Equity</x:v>
      </x:c>
      <x:c r="C16" s="18" t="n">
        <x:v>0</x:v>
      </x:c>
      <x:c r="D16" s="18" t="n">
        <x:v>92000000</x:v>
      </x:c>
      <x:c r="E16" s="18" t="n">
        <x:v>-92000000</x:v>
      </x:c>
    </x:row>
    <x:row r="17">
      <x:c r="A17" s="17" t="str">
        <x:v>3100</x:v>
      </x:c>
      <x:c r="B17" s="17" t="str">
        <x:v>Retained Earnings</x:v>
      </x:c>
      <x:c r="C17" s="18" t="n">
        <x:v>0</x:v>
      </x:c>
      <x:c r="D17" s="18" t="n">
        <x:v>115196005.49</x:v>
      </x:c>
      <x:c r="E17" s="18" t="n">
        <x:v>-115196005.49</x:v>
      </x:c>
    </x:row>
    <x:row r="18">
      <x:c r="A18" s="17" t="str">
        <x:v>4000</x:v>
      </x:c>
      <x:c r="B18" s="17" t="str">
        <x:v>Product Revenue</x:v>
      </x:c>
      <x:c r="C18" s="18" t="n">
        <x:v>0</x:v>
      </x:c>
      <x:c r="D18" s="18" t="n">
        <x:v>1254906105.81</x:v>
      </x:c>
      <x:c r="E18" s="18" t="n">
        <x:v>-1254906105.81</x:v>
      </x:c>
    </x:row>
    <x:row r="19">
      <x:c r="A19" s="17" t="str">
        <x:v>4010</x:v>
      </x:c>
      <x:c r="B19" s="17" t="str">
        <x:v>Aftermarket Revenue</x:v>
      </x:c>
      <x:c r="C19" s="18" t="n">
        <x:v>0</x:v>
      </x:c>
      <x:c r="D19" s="18" t="n">
        <x:v>90078081.98</x:v>
      </x:c>
      <x:c r="E19" s="18" t="n">
        <x:v>-90078081.98</x:v>
      </x:c>
    </x:row>
    <x:row r="20">
      <x:c r="A20" s="17" t="str">
        <x:v>5000</x:v>
      </x:c>
      <x:c r="B20" s="17" t="str">
        <x:v>Material Cost of Sales</x:v>
      </x:c>
      <x:c r="C20" s="18" t="n">
        <x:v>924212818.76</x:v>
      </x:c>
      <x:c r="D20" s="18" t="n">
        <x:v>0</x:v>
      </x:c>
      <x:c r="E20" s="18" t="n">
        <x:v>924212818.76</x:v>
      </x:c>
    </x:row>
    <x:row r="21">
      <x:c r="A21" s="17" t="str">
        <x:v>5100</x:v>
      </x:c>
      <x:c r="B21" s="17" t="str">
        <x:v>Purchase Price Variance</x:v>
      </x:c>
      <x:c r="C21" s="18" t="n">
        <x:v>2442970.04</x:v>
      </x:c>
      <x:c r="D21" s="18" t="n">
        <x:v>2210600.51</x:v>
      </x:c>
      <x:c r="E21" s="18" t="n">
        <x:v>232369.53</x:v>
      </x:c>
    </x:row>
    <x:row r="22">
      <x:c r="A22" s="17" t="str">
        <x:v>5110</x:v>
      </x:c>
      <x:c r="B22" s="17" t="str">
        <x:v>Material Usage Variance</x:v>
      </x:c>
      <x:c r="C22" s="18" t="n">
        <x:v>2717257.38</x:v>
      </x:c>
      <x:c r="D22" s="18" t="n">
        <x:v>327246.67</x:v>
      </x:c>
      <x:c r="E22" s="18" t="n">
        <x:v>2390010.71</x:v>
      </x:c>
    </x:row>
    <x:row r="23">
      <x:c r="A23" s="17" t="str">
        <x:v>5200</x:v>
      </x:c>
      <x:c r="B23" s="17" t="str">
        <x:v>Direct Labor Clearing</x:v>
      </x:c>
      <x:c r="C23" s="18" t="n">
        <x:v>9716192</x:v>
      </x:c>
      <x:c r="D23" s="18" t="n">
        <x:v>9716191.93</x:v>
      </x:c>
      <x:c r="E23" s="18" t="n">
        <x:v>0.07</x:v>
      </x:c>
    </x:row>
    <x:row r="24">
      <x:c r="A24" s="17" t="str">
        <x:v>5210</x:v>
      </x:c>
      <x:c r="B24" s="17" t="str">
        <x:v>Variable Overhead Absorption</x:v>
      </x:c>
      <x:c r="C24" s="18" t="n">
        <x:v>3502785.16</x:v>
      </x:c>
      <x:c r="D24" s="18" t="n">
        <x:v>3502785.16</x:v>
      </x:c>
      <x:c r="E24" s="18" t="n">
        <x:v>0</x:v>
      </x:c>
    </x:row>
    <x:row r="25">
      <x:c r="A25" s="17" t="str">
        <x:v>5220</x:v>
      </x:c>
      <x:c r="B25" s="17" t="str">
        <x:v>Fixed Overhead Absorption</x:v>
      </x:c>
      <x:c r="C25" s="18" t="n">
        <x:v>7760965.29</x:v>
      </x:c>
      <x:c r="D25" s="18" t="n">
        <x:v>7760965.29</x:v>
      </x:c>
      <x:c r="E25" s="18" t="n">
        <x:v>0</x:v>
      </x:c>
    </x:row>
    <x:row r="26">
      <x:c r="A26" s="17" t="str">
        <x:v>6000</x:v>
      </x:c>
      <x:c r="B26" s="17" t="str">
        <x:v>Sales &amp; Marketing</x:v>
      </x:c>
      <x:c r="C26" s="18" t="n">
        <x:v>7285158.49</x:v>
      </x:c>
      <x:c r="D26" s="18" t="n">
        <x:v>0</x:v>
      </x:c>
      <x:c r="E26" s="18" t="n">
        <x:v>7285158.49</x:v>
      </x:c>
    </x:row>
    <x:row r="27">
      <x:c r="A27" s="17" t="str">
        <x:v>6100</x:v>
      </x:c>
      <x:c r="B27" s="17" t="str">
        <x:v>Research &amp; Development</x:v>
      </x:c>
      <x:c r="C27" s="18" t="n">
        <x:v>5666234.39</x:v>
      </x:c>
      <x:c r="D27" s="18" t="n">
        <x:v>0</x:v>
      </x:c>
      <x:c r="E27" s="18" t="n">
        <x:v>5666234.39</x:v>
      </x:c>
    </x:row>
    <x:row r="28">
      <x:c r="A28" s="17" t="str">
        <x:v>6200</x:v>
      </x:c>
      <x:c r="B28" s="17" t="str">
        <x:v>General &amp; Administrative</x:v>
      </x:c>
      <x:c r="C28" s="18" t="n">
        <x:v>178059534.08</x:v>
      </x:c>
      <x:c r="D28" s="18" t="n">
        <x:v>0</x:v>
      </x:c>
      <x:c r="E28" s="18" t="n">
        <x:v>178059534.08</x:v>
      </x:c>
    </x:row>
    <x:row r="29">
      <x:c r="A29" s="17" t="str">
        <x:v>6300</x:v>
      </x:c>
      <x:c r="B29" s="17" t="str">
        <x:v>Distribution &amp; Service</x:v>
      </x:c>
      <x:c r="C29" s="18" t="n">
        <x:v>5666234.39</x:v>
      </x:c>
      <x:c r="D29" s="18" t="n">
        <x:v>0</x:v>
      </x:c>
      <x:c r="E29" s="18" t="n">
        <x:v>5666234.39</x:v>
      </x:c>
    </x:row>
    <x:row r="30">
      <x:c r="A30" s="17" t="str">
        <x:v>6400</x:v>
      </x:c>
      <x:c r="B30" s="17" t="str">
        <x:v>Depreciation &amp; Amortization</x:v>
      </x:c>
      <x:c r="C30" s="18" t="n">
        <x:v>155051410.89</x:v>
      </x:c>
      <x:c r="D30" s="18" t="n">
        <x:v>0</x:v>
      </x:c>
      <x:c r="E30" s="18" t="n">
        <x:v>155051410.89</x:v>
      </x:c>
    </x:row>
    <x:row r="31">
      <x:c r="A31" s="17" t="str">
        <x:v>6500</x:v>
      </x:c>
      <x:c r="B31" s="17" t="str">
        <x:v>Maintenance Expense</x:v>
      </x:c>
      <x:c r="C31" s="18" t="n">
        <x:v>4856772.33</x:v>
      </x:c>
      <x:c r="D31" s="18" t="n">
        <x:v>0</x:v>
      </x:c>
      <x:c r="E31" s="18" t="n">
        <x:v>4856772.33</x:v>
      </x:c>
    </x:row>
    <x:row r="32">
      <x:c r="A32" s="17" t="str">
        <x:v>7000</x:v>
      </x:c>
      <x:c r="B32" s="17" t="str">
        <x:v>Interest Expense</x:v>
      </x:c>
      <x:c r="C32" s="18" t="n">
        <x:v>10380214.52</x:v>
      </x:c>
      <x:c r="D32" s="18" t="n">
        <x:v>0</x:v>
      </x:c>
      <x:c r="E32" s="18" t="n">
        <x:v>10380214.52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3" hidden="0" customWidth="1"/>
    <x:col min="4" max="4" width="13" hidden="0" customWidth="1"/>
  </x:cols>
  <x:sheetData>
    <x:row r="1">
      <x:c r="A1" s="15" t="str">
        <x:v>source</x:v>
      </x:c>
      <x:c r="B1" s="15" t="str">
        <x:v>journal_count</x:v>
      </x:c>
      <x:c r="C1" s="15" t="str">
        <x:v>debits</x:v>
      </x:c>
      <x:c r="D1" s="15" t="str">
        <x:v>credits</x:v>
      </x:c>
    </x:row>
    <x:row r="2">
      <x:c r="A2" s="17" t="str">
        <x:v>Cash Receipt</x:v>
      </x:c>
      <x:c r="B2" s="18" t="n">
        <x:v>648</x:v>
      </x:c>
      <x:c r="C2" s="18" t="n">
        <x:v>26066609.57</x:v>
      </x:c>
      <x:c r="D2" s="18" t="n">
        <x:v>26066609.57</x:v>
      </x:c>
    </x:row>
    <x:row r="3">
      <x:c r="A3" s="17" t="str">
        <x:v>Fixed Assets</x:v>
      </x:c>
      <x:c r="B3" s="18" t="n">
        <x:v>12</x:v>
      </x:c>
      <x:c r="C3" s="18" t="n">
        <x:v>3105222.01</x:v>
      </x:c>
      <x:c r="D3" s="18" t="n">
        <x:v>3105222.01</x:v>
      </x:c>
    </x:row>
    <x:row r="4">
      <x:c r="A4" s="17" t="str">
        <x:v>Manufacturing</x:v>
      </x:c>
      <x:c r="B4" s="18" t="n">
        <x:v>32</x:v>
      </x:c>
      <x:c r="C4" s="18" t="n">
        <x:v>35461082.28</x:v>
      </x:c>
      <x:c r="D4" s="18" t="n">
        <x:v>35461082.28</x:v>
      </x:c>
    </x:row>
    <x:row r="5">
      <x:c r="A5" s="17" t="str">
        <x:v>Order to Cash</x:v>
      </x:c>
      <x:c r="B5" s="18" t="n">
        <x:v>1344</x:v>
      </x:c>
      <x:c r="C5" s="18" t="n">
        <x:v>47258105.13</x:v>
      </x:c>
      <x:c r="D5" s="18" t="n">
        <x:v>47258105.13</x:v>
      </x:c>
    </x:row>
    <x:row r="6">
      <x:c r="A6" s="17" t="str">
        <x:v>Payroll</x:v>
      </x:c>
      <x:c r="B6" s="18" t="n">
        <x:v>9</x:v>
      </x:c>
      <x:c r="C6" s="18" t="n">
        <x:v>9629486.14</x:v>
      </x:c>
      <x:c r="D6" s="18" t="n">
        <x:v>9629486.14</x:v>
      </x:c>
    </x:row>
    <x:row r="7">
      <x:c r="A7" s="17" t="str">
        <x:v>Procure to Pay</x:v>
      </x:c>
      <x:c r="B7" s="18" t="n">
        <x:v>1467</x:v>
      </x:c>
      <x:c r="C7" s="18" t="n">
        <x:v>7093040.53</x:v>
      </x:c>
      <x:c r="D7" s="18" t="n">
        <x:v>7093040.53</x:v>
      </x:c>
    </x:row>
    <x:row r="8">
      <x:c r="A8" s="17" t="str">
        <x:v>Treasury</x:v>
      </x:c>
      <x:c r="B8" s="18" t="n">
        <x:v>2</x:v>
      </x:c>
      <x:c r="C8" s="18" t="n">
        <x:v>546327.08</x:v>
      </x:c>
      <x:c r="D8" s="18" t="n">
        <x:v>546327.08</x:v>
      </x:c>
    </x:row>
    <x:row r="9">
      <x:c r="A9" s="17" t="str">
        <x:v>Vendor Payment</x:v>
      </x:c>
      <x:c r="B9" s="18" t="n">
        <x:v>992</x:v>
      </x:c>
      <x:c r="C9" s="18" t="n">
        <x:v>7285567.37</x:v>
      </x:c>
      <x:c r="D9" s="18" t="n">
        <x:v>7285567.37</x:v>
      </x:c>
    </x:row>
  </x:sheetData>
  <x:pageMargins left="0.7" right="0.7" top="0.75" bottom="0.75" header="0.3" footer="0.3"/>
</x:worksheet>
</file>