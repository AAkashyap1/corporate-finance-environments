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2025-02 Monthly Close Binder</x:v>
      </x:c>
      <x:c r="B1" s="3" t="str">
        <x:v>2025-02 Monthly Close Binder</x:v>
      </x:c>
      <x:c r="C1" s="3" t="str">
        <x:v>2025-02 Monthly Close Binder</x:v>
      </x:c>
      <x:c r="D1" s="3" t="str">
        <x:v>2025-02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2025-02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17418301.05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4425823.69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14562931.19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14419.11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140110.6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974352.7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757829.88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2273489.63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757829.88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2051055.77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649568.45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1340204595.63</x:v>
      </x:c>
      <x:c r="D2" s="18" t="n">
        <x:v>1411980390.55</x:v>
      </x:c>
      <x:c r="E2" s="18" t="n">
        <x:v>-71775794.92</x:v>
      </x:c>
    </x:row>
    <x:row r="3">
      <x:c r="A3" s="17" t="str">
        <x:v>1100</x:v>
      </x:c>
      <x:c r="B3" s="17" t="str">
        <x:v>Accounts Receivable</x:v>
      </x:c>
      <x:c r="C3" s="18" t="n">
        <x:v>308545074.49</x:v>
      </x:c>
      <x:c r="D3" s="18" t="n">
        <x:v>272621095.71</x:v>
      </x:c>
      <x:c r="E3" s="18" t="n">
        <x:v>35923978.78</x:v>
      </x:c>
    </x:row>
    <x:row r="4">
      <x:c r="A4" s="17" t="str">
        <x:v>1200</x:v>
      </x:c>
      <x:c r="B4" s="17" t="str">
        <x:v>Raw Material Inventory</x:v>
      </x:c>
      <x:c r="C4" s="18" t="n">
        <x:v>373174495.22</x:v>
      </x:c>
      <x:c r="D4" s="18" t="n">
        <x:v>223567906.4</x:v>
      </x:c>
      <x:c r="E4" s="18" t="n">
        <x:v>149606588.82</x:v>
      </x:c>
    </x:row>
    <x:row r="5">
      <x:c r="A5" s="17" t="str">
        <x:v>1210</x:v>
      </x:c>
      <x:c r="B5" s="17" t="str">
        <x:v>Work in Process Inventory</x:v>
      </x:c>
      <x:c r="C5" s="18" t="n">
        <x:v>239247820.91</x:v>
      </x:c>
      <x:c r="D5" s="18" t="n">
        <x:v>238465428.09</x:v>
      </x:c>
      <x:c r="E5" s="18" t="n">
        <x:v>782392.82</x:v>
      </x:c>
    </x:row>
    <x:row r="6">
      <x:c r="A6" s="17" t="str">
        <x:v>1220</x:v>
      </x:c>
      <x:c r="B6" s="17" t="str">
        <x:v>Finished Goods Inventory</x:v>
      </x:c>
      <x:c r="C6" s="18" t="n">
        <x:v>250658204.73</x:v>
      </x:c>
      <x:c r="D6" s="18" t="n">
        <x:v>164292140.37</x:v>
      </x:c>
      <x:c r="E6" s="18" t="n">
        <x:v>86366064.36</x:v>
      </x:c>
    </x:row>
    <x:row r="7">
      <x:c r="A7" s="17" t="str">
        <x:v>1230</x:v>
      </x:c>
      <x:c r="B7" s="17" t="str">
        <x:v>Aftermarket Inventory</x:v>
      </x:c>
      <x:c r="C7" s="18" t="n">
        <x:v>72011236.85</x:v>
      </x:c>
      <x:c r="D7" s="18" t="n">
        <x:v>41550984.71</x:v>
      </x:c>
      <x:c r="E7" s="18" t="n">
        <x:v>30460252.14</x:v>
      </x:c>
    </x:row>
    <x:row r="8">
      <x:c r="A8" s="17" t="str">
        <x:v>1500</x:v>
      </x:c>
      <x:c r="B8" s="17" t="str">
        <x:v>Machinery &amp; Equipment</x:v>
      </x:c>
      <x:c r="C8" s="18" t="n">
        <x:v>152006000</x:v>
      </x:c>
      <x:c r="D8" s="18" t="n">
        <x:v>0</x:v>
      </x:c>
      <x:c r="E8" s="18" t="n">
        <x:v>152006000</x:v>
      </x:c>
    </x:row>
    <x:row r="9">
      <x:c r="A9" s="17" t="str">
        <x:v>1510</x:v>
      </x:c>
      <x:c r="B9" s="17" t="str">
        <x:v>Buildings &amp; Improvements</x:v>
      </x:c>
      <x:c r="C9" s="18" t="n">
        <x:v>130116000</x:v>
      </x:c>
      <x:c r="D9" s="18" t="n">
        <x:v>0</x:v>
      </x:c>
      <x:c r="E9" s="18" t="n">
        <x:v>130116000</x:v>
      </x:c>
    </x:row>
    <x:row r="10">
      <x:c r="A10" s="17" t="str">
        <x:v>1520</x:v>
      </x:c>
      <x:c r="B10" s="17" t="str">
        <x:v>Furniture, IT &amp; Other</x:v>
      </x:c>
      <x:c r="C10" s="18" t="n">
        <x:v>109310000</x:v>
      </x:c>
      <x:c r="D10" s="18" t="n">
        <x:v>0</x:v>
      </x:c>
      <x:c r="E10" s="18" t="n">
        <x:v>109310000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264293850.09</x:v>
      </x:c>
      <x:c r="E11" s="18" t="n">
        <x:v>-264293850.09</x:v>
      </x:c>
    </x:row>
    <x:row r="12">
      <x:c r="A12" s="17" t="str">
        <x:v>2000</x:v>
      </x:c>
      <x:c r="B12" s="17" t="str">
        <x:v>Accounts Payable</x:v>
      </x:c>
      <x:c r="C12" s="18" t="n">
        <x:v>79303013.98</x:v>
      </x:c>
      <x:c r="D12" s="18" t="n">
        <x:v>86744542.1</x:v>
      </x:c>
      <x:c r="E12" s="18" t="n">
        <x:v>-7441528.12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1150793686.71</x:v>
      </x:c>
      <x:c r="E18" s="18" t="n">
        <x:v>-1150793686.71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62284887.7</x:v>
      </x:c>
      <x:c r="E19" s="18" t="n">
        <x:v>-62284887.7</x:v>
      </x:c>
    </x:row>
    <x:row r="20">
      <x:c r="A20" s="17" t="str">
        <x:v>5000</x:v>
      </x:c>
      <x:c r="B20" s="17" t="str">
        <x:v>Material Cost of Sales</x:v>
      </x:c>
      <x:c r="C20" s="18" t="n">
        <x:v>835492710.08</x:v>
      </x:c>
      <x:c r="D20" s="18" t="n">
        <x:v>0</x:v>
      </x:c>
      <x:c r="E20" s="18" t="n">
        <x:v>835492710.08</x:v>
      </x:c>
    </x:row>
    <x:row r="21">
      <x:c r="A21" s="17" t="str">
        <x:v>5100</x:v>
      </x:c>
      <x:c r="B21" s="17" t="str">
        <x:v>Purchase Price Variance</x:v>
      </x:c>
      <x:c r="C21" s="18" t="n">
        <x:v>1754375.56</x:v>
      </x:c>
      <x:c r="D21" s="18" t="n">
        <x:v>1552204.31</x:v>
      </x:c>
      <x:c r="E21" s="18" t="n">
        <x:v>202171.25</x:v>
      </x:c>
    </x:row>
    <x:row r="22">
      <x:c r="A22" s="17" t="str">
        <x:v>5110</x:v>
      </x:c>
      <x:c r="B22" s="17" t="str">
        <x:v>Material Usage Variance</x:v>
      </x:c>
      <x:c r="C22" s="18" t="n">
        <x:v>2038574.63</x:v>
      </x:c>
      <x:c r="D22" s="18" t="n">
        <x:v>249503.71</x:v>
      </x:c>
      <x:c r="E22" s="18" t="n">
        <x:v>1789070.92</x:v>
      </x:c>
    </x:row>
    <x:row r="23">
      <x:c r="A23" s="17" t="str">
        <x:v>5200</x:v>
      </x:c>
      <x:c r="B23" s="17" t="str">
        <x:v>Direct Labor Clearing</x:v>
      </x:c>
      <x:c r="C23" s="18" t="n">
        <x:v>7145781.24</x:v>
      </x:c>
      <x:c r="D23" s="18" t="n">
        <x:v>7145781.17</x:v>
      </x:c>
      <x:c r="E23" s="18" t="n">
        <x:v>0.07</x:v>
      </x:c>
    </x:row>
    <x:row r="24">
      <x:c r="A24" s="17" t="str">
        <x:v>5210</x:v>
      </x:c>
      <x:c r="B24" s="17" t="str">
        <x:v>Variable Overhead Absorption</x:v>
      </x:c>
      <x:c r="C24" s="18" t="n">
        <x:v>2576157.95</x:v>
      </x:c>
      <x:c r="D24" s="18" t="n">
        <x:v>2576157.95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5708471.61</x:v>
      </x:c>
      <x:c r="D25" s="18" t="n">
        <x:v>5708471.61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1928746.47</x:v>
      </x:c>
      <x:c r="D26" s="18" t="n">
        <x:v>0</x:v>
      </x:c>
      <x:c r="E26" s="18" t="n">
        <x:v>1928746.47</x:v>
      </x:c>
    </x:row>
    <x:row r="27">
      <x:c r="A27" s="17" t="str">
        <x:v>6100</x:v>
      </x:c>
      <x:c r="B27" s="17" t="str">
        <x:v>Research &amp; Development</x:v>
      </x:c>
      <x:c r="C27" s="18" t="n">
        <x:v>1500136.15</x:v>
      </x:c>
      <x:c r="D27" s="18" t="n">
        <x:v>0</x:v>
      </x:c>
      <x:c r="E27" s="18" t="n">
        <x:v>1500136.15</x:v>
      </x:c>
    </x:row>
    <x:row r="28">
      <x:c r="A28" s="17" t="str">
        <x:v>6200</x:v>
      </x:c>
      <x:c r="B28" s="17" t="str">
        <x:v>General &amp; Administrative</x:v>
      </x:c>
      <x:c r="C28" s="18" t="n">
        <x:v>165561239.35</x:v>
      </x:c>
      <x:c r="D28" s="18" t="n">
        <x:v>0</x:v>
      </x:c>
      <x:c r="E28" s="18" t="n">
        <x:v>165561239.35</x:v>
      </x:c>
    </x:row>
    <x:row r="29">
      <x:c r="A29" s="17" t="str">
        <x:v>6300</x:v>
      </x:c>
      <x:c r="B29" s="17" t="str">
        <x:v>Distribution &amp; Service</x:v>
      </x:c>
      <x:c r="C29" s="18" t="n">
        <x:v>1500136.15</x:v>
      </x:c>
      <x:c r="D29" s="18" t="n">
        <x:v>0</x:v>
      </x:c>
      <x:c r="E29" s="18" t="n">
        <x:v>1500136.15</x:v>
      </x:c>
    </x:row>
    <x:row r="30">
      <x:c r="A30" s="17" t="str">
        <x:v>6400</x:v>
      </x:c>
      <x:c r="B30" s="17" t="str">
        <x:v>Depreciation &amp; Amortization</x:v>
      </x:c>
      <x:c r="C30" s="18" t="n">
        <x:v>144855855.58</x:v>
      </x:c>
      <x:c r="D30" s="18" t="n">
        <x:v>0</x:v>
      </x:c>
      <x:c r="E30" s="18" t="n">
        <x:v>144855855.58</x:v>
      </x:c>
    </x:row>
    <x:row r="31">
      <x:c r="A31" s="17" t="str">
        <x:v>6500</x:v>
      </x:c>
      <x:c r="B31" s="17" t="str">
        <x:v>Maintenance Expense</x:v>
      </x:c>
      <x:c r="C31" s="18" t="n">
        <x:v>1285830.97</x:v>
      </x:c>
      <x:c r="D31" s="18" t="n">
        <x:v>0</x:v>
      </x:c>
      <x:c r="E31" s="18" t="n">
        <x:v>1285830.97</x:v>
      </x:c>
    </x:row>
    <x:row r="32">
      <x:c r="A32" s="17" t="str">
        <x:v>7000</x:v>
      </x:c>
      <x:c r="B32" s="17" t="str">
        <x:v>Interest Expense</x:v>
      </x:c>
      <x:c r="C32" s="18" t="n">
        <x:v>7648579.12</x:v>
      </x:c>
      <x:c r="D32" s="18" t="n">
        <x:v>0</x:v>
      </x:c>
      <x:c r="E32" s="18" t="n">
        <x:v>7648579.12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592</x:v>
      </x:c>
      <x:c r="C2" s="18" t="n">
        <x:v>23582538.62</x:v>
      </x:c>
      <x:c r="D2" s="18" t="n">
        <x:v>23582538.62</x:v>
      </x:c>
    </x:row>
    <x:row r="3">
      <x:c r="A3" s="17" t="str">
        <x:v>Fixed Assets</x:v>
      </x:c>
      <x:c r="B3" s="18" t="n">
        <x:v>10</x:v>
      </x:c>
      <x:c r="C3" s="18" t="n">
        <x:v>3175055.77</x:v>
      </x:c>
      <x:c r="D3" s="18" t="n">
        <x:v>3175055.77</x:v>
      </x:c>
    </x:row>
    <x:row r="4">
      <x:c r="A4" s="17" t="str">
        <x:v>Manufacturing</x:v>
      </x:c>
      <x:c r="B4" s="18" t="n">
        <x:v>32</x:v>
      </x:c>
      <x:c r="C4" s="18" t="n">
        <x:v>31698341.54</x:v>
      </x:c>
      <x:c r="D4" s="18" t="n">
        <x:v>31698341.54</x:v>
      </x:c>
    </x:row>
    <x:row r="5">
      <x:c r="A5" s="17" t="str">
        <x:v>Order to Cash</x:v>
      </x:c>
      <x:c r="B5" s="18" t="n">
        <x:v>1208</x:v>
      </x:c>
      <x:c r="C5" s="18" t="n">
        <x:v>36407055.93</x:v>
      </x:c>
      <x:c r="D5" s="18" t="n">
        <x:v>36407055.93</x:v>
      </x:c>
    </x:row>
    <x:row r="6">
      <x:c r="A6" s="17" t="str">
        <x:v>Payroll</x:v>
      </x:c>
      <x:c r="B6" s="18" t="n">
        <x:v>9</x:v>
      </x:c>
      <x:c r="C6" s="18" t="n">
        <x:v>6420951.91</x:v>
      </x:c>
      <x:c r="D6" s="18" t="n">
        <x:v>6420951.91</x:v>
      </x:c>
    </x:row>
    <x:row r="7">
      <x:c r="A7" s="17" t="str">
        <x:v>Procure to Pay</x:v>
      </x:c>
      <x:c r="B7" s="18" t="n">
        <x:v>1347</x:v>
      </x:c>
      <x:c r="C7" s="18" t="n">
        <x:v>6063106.43</x:v>
      </x:c>
      <x:c r="D7" s="18" t="n">
        <x:v>6063106.43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882</x:v>
      </x:c>
      <x:c r="C9" s="18" t="n">
        <x:v>6338468.81</x:v>
      </x:c>
      <x:c r="D9" s="18" t="n">
        <x:v>6338468.81</x:v>
      </x:c>
    </x:row>
  </x:sheetData>
  <x:pageMargins left="0.7" right="0.7" top="0.75" bottom="0.75" header="0.3" footer="0.3"/>
</x:worksheet>
</file>