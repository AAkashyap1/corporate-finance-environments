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" sheetId="1" r:id="rId4"/>
    <x:sheet xmlns:r="http://schemas.openxmlformats.org/officeDocument/2006/relationships" name="P&amp;L" sheetId="2" r:id="rId5"/>
    <x:sheet xmlns:r="http://schemas.openxmlformats.org/officeDocument/2006/relationships" name="Trial Balance" sheetId="3" r:id="rId6"/>
    <x:sheet xmlns:r="http://schemas.openxmlformats.org/officeDocument/2006/relationships" name="Journal Control" sheetId="4" r:id="rI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(#,##0.00)"/>
    <x:numFmt numFmtId="201" formatCode="0"/>
  </x:numFmts>
  <x:fonts count="5">
    <x:font>
      <x:sz val="11"/>
      <x:name val="Carlito"/>
    </x:font>
    <x:font>
      <x:b/>
      <x:sz val="18"/>
      <x:color rgb="FFFFFFFF"/>
      <x:name val="Carlito"/>
    </x:font>
    <x:font>
      <x:b/>
      <x:sz val="10"/>
      <x:color rgb="FF163E4C"/>
      <x:name val="Carlito"/>
    </x:font>
    <x:font>
      <x:b/>
      <x:sz val="11"/>
      <x:color rgb="FF163E4C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63E4C"/>
      </x:patternFill>
    </x:fill>
    <x:fill>
      <x:patternFill patternType="solid">
        <x:fgColor rgb="FFF3F5F5"/>
      </x:patternFill>
    </x:fill>
    <x:fill>
      <x:patternFill patternType="solid">
        <x:fgColor rgb="FFE4EFF1"/>
      </x:patternFill>
    </x:fill>
  </x:fills>
  <x:borders count="3">
    <x:border/>
    <x:border>
      <x:left style="thin">
        <x:color rgb="FFC8D0D3"/>
      </x:left>
      <x:right style="thin">
        <x:color rgb="FFC8D0D3"/>
      </x:right>
      <x:top style="thin">
        <x:color rgb="FFC8D0D3"/>
      </x:top>
      <x:bottom style="thin">
        <x:color rgb="FFC8D0D3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0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0" fontId="4" fillId="2" borderId="1" xfId="0" applyNumberFormat="1" applyFont="1" applyFill="1" applyBorder="1"/>
    <x:xf numFmtId="201" fontId="0" fillId="0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theme" Target="/xl/theme/theme1.xml" Id="rId3" /><Relationship Type="http://schemas.openxmlformats.org/officeDocument/2006/relationships/sharedStrings" Target="/xl/sharedStrings.xml" Id="rId1" /><Relationship Type="http://schemas.openxmlformats.org/officeDocument/2006/relationships/worksheet" Target="/xl/worksheets/sheet1.xml" Id="rId4" /><Relationship Type="http://schemas.openxmlformats.org/officeDocument/2006/relationships/worksheet" Target="/xl/worksheets/sheet2.xml" Id="rId5" /><Relationship Type="http://schemas.openxmlformats.org/officeDocument/2006/relationships/worksheet" Target="/xl/worksheets/sheet3.xml" Id="rId6" /><Relationship Type="http://schemas.openxmlformats.org/officeDocument/2006/relationships/worksheet" Target="/xl/worksheets/sheet4.xml" Id="rId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2" hidden="0" customWidth="1"/>
  </x:cols>
  <x:sheetData>
    <x:row r="1" ht="32" customHeight="1">
      <x:c r="A1" s="3" t="str">
        <x:v>2025-08 Monthly Close Binder</x:v>
      </x:c>
      <x:c r="B1" s="3" t="str">
        <x:v>2025-08 Monthly Close Binder</x:v>
      </x:c>
      <x:c r="C1" s="3" t="str">
        <x:v>2025-08 Monthly Close Binder</x:v>
      </x:c>
      <x:c r="D1" s="3" t="str">
        <x:v>2025-08 Monthly Close Binder</x:v>
      </x:c>
    </x:row>
    <x:row r="2">
      <x:c r="A2" s="6" t="str">
        <x:v>PINEHAVEN MOTION SYSTEMS  •  MONTHLY CLOSE</x:v>
      </x:c>
      <x:c r="B2" s="6" t="str">
        <x:v>PINEHAVEN MOTION SYSTEMS  •  MONTHLY CLOSE</x:v>
      </x:c>
      <x:c r="C2" s="6" t="str">
        <x:v>PINEHAVEN MOTION SYSTEMS  •  MONTHLY CLOSE</x:v>
      </x:c>
      <x:c r="D2" s="6" t="str">
        <x:v>PINEHAVEN MOTION SYSTEMS  •  MONTHLY CLOSE</x:v>
      </x:c>
    </x:row>
    <x:row r="3">
      <x:c r="A3" s="9" t="str">
        <x:v>Period / As of</x:v>
      </x:c>
      <x:c r="B3" s="10" t="str">
        <x:v>2025-08</x:v>
      </x:c>
      <x:c r="C3" s="10"/>
      <x:c r="D3" s="10"/>
    </x:row>
    <x:row r="4">
      <x:c r="A4" s="9" t="str">
        <x:v>Prepared by</x:v>
      </x:c>
      <x:c r="B4" s="10" t="str">
        <x:v>Corporate Controller</x:v>
      </x:c>
      <x:c r="C4" s="10"/>
      <x:c r="D4" s="10"/>
    </x:row>
    <x:row r="5">
      <x:c r="A5" s="9" t="str">
        <x:v>Primary system</x:v>
      </x:c>
      <x:c r="B5" s="10" t="str">
        <x:v>ERP general ledger</x:v>
      </x:c>
      <x:c r="C5" s="10"/>
      <x:c r="D5" s="10"/>
    </x:row>
    <x:row r="6">
      <x:c r="A6" s="9" t="str">
        <x:v>Report status</x:v>
      </x:c>
      <x:c r="B6" s="10" t="str">
        <x:v>Closed</x:v>
      </x:c>
      <x:c r="C6" s="10"/>
      <x:c r="D6" s="10"/>
    </x:row>
    <x:row r="7">
      <x:c r="A7" s="9" t="str">
        <x:v>Distribution</x:v>
      </x:c>
      <x:c r="B7" s="10" t="str">
        <x:v>Corporate Accounting</x:v>
      </x:c>
      <x:c r="C7" s="10"/>
      <x:c r="D7" s="10"/>
    </x:row>
    <x:row r="8">
      <x:c r="A8" s="9" t="str">
        <x:v>Last refreshed</x:v>
      </x:c>
      <x:c r="B8" s="10" t="str">
        <x:v>June 30, 2026</x:v>
      </x:c>
      <x:c r="C8" s="10"/>
      <x:c r="D8" s="10"/>
    </x:row>
    <x:row r="10">
      <x:c r="A10" s="21" t="str">
        <x:v>Worksheet</x:v>
      </x:c>
      <x:c r="B10" s="21" t="str">
        <x:v>Reported rows</x:v>
      </x:c>
      <x:c r="C10" s="21" t="str">
        <x:v>Counted rows</x:v>
      </x:c>
      <x:c r="D10" s="21" t="str">
        <x:v>Check</x:v>
      </x:c>
    </x:row>
    <x:row r="11">
      <x:c r="A11" s="22" t="str">
        <x:v>P&amp;L</x:v>
      </x:c>
      <x:c r="B11" s="23" t="n">
        <x:v>15</x:v>
      </x:c>
      <x:c r="C11" s="23" t="n">
        <x:f>MAX(0,COUNTA('P&amp;L'!A2:A16))</x:f>
        <x:v>15</x:v>
      </x:c>
      <x:c r="D11" s="22" t="str">
        <x:f>IF(B11=C11,"OK","CHECK")</x:f>
        <x:v>OK</x:v>
      </x:c>
    </x:row>
    <x:row r="12">
      <x:c r="A12" s="22" t="str">
        <x:v>Trial Balance</x:v>
      </x:c>
      <x:c r="B12" s="23" t="n">
        <x:v>31</x:v>
      </x:c>
      <x:c r="C12" s="23" t="n">
        <x:f>MAX(0,COUNTA('Trial Balance'!A2:A32))</x:f>
        <x:v>31</x:v>
      </x:c>
      <x:c r="D12" s="22" t="str">
        <x:f>IF(B12=C12,"OK","CHECK")</x:f>
        <x:v>OK</x:v>
      </x:c>
    </x:row>
    <x:row r="13">
      <x:c r="A13" s="22" t="str">
        <x:v>Journal Control</x:v>
      </x:c>
      <x:c r="B13" s="23" t="n">
        <x:v>8</x:v>
      </x:c>
      <x:c r="C13" s="23" t="n">
        <x:f>MAX(0,COUNTA('Journal Control'!A2:A9))</x:f>
        <x:v>8</x:v>
      </x:c>
      <x:c r="D13" s="22" t="str">
        <x:f>IF(B13=C13,"OK","CHECK")</x:f>
        <x:v>OK</x:v>
      </x:c>
    </x:row>
  </x:sheetData>
  <x:mergeCells>
    <x:mergeCell ref="A1:D1"/>
    <x:mergeCell ref="A2:D2"/>
    <x:mergeCell ref="B3:D3"/>
    <x:mergeCell ref="B4:D4"/>
    <x:mergeCell ref="B5:D5"/>
    <x:mergeCell ref="B6:D6"/>
    <x:mergeCell ref="B7:D7"/>
    <x:mergeCell ref="B8:D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0" hidden="0" customWidth="1"/>
    <x:col min="3" max="3" width="14" hidden="0" customWidth="1"/>
    <x:col min="4" max="4" width="12" hidden="0" customWidth="1"/>
  </x:cols>
  <x:sheetData>
    <x:row r="1">
      <x:c r="A1" s="15" t="str">
        <x:v>account_code</x:v>
      </x:c>
      <x:c r="B1" s="15" t="str">
        <x:v>name</x:v>
      </x:c>
      <x:c r="C1" s="15" t="str">
        <x:v>account_type</x:v>
      </x:c>
      <x:c r="D1" s="15" t="str">
        <x:v>amount</x:v>
      </x:c>
    </x:row>
    <x:row r="2">
      <x:c r="A2" s="17" t="str">
        <x:v>4000</x:v>
      </x:c>
      <x:c r="B2" s="17" t="str">
        <x:v>Product Revenue</x:v>
      </x:c>
      <x:c r="C2" s="17" t="str">
        <x:v>Revenue</x:v>
      </x:c>
      <x:c r="D2" s="18" t="n">
        <x:v>21353780.6</x:v>
      </x:c>
    </x:row>
    <x:row r="3">
      <x:c r="A3" s="17" t="str">
        <x:v>4010</x:v>
      </x:c>
      <x:c r="B3" s="17" t="str">
        <x:v>Aftermarket Revenue</x:v>
      </x:c>
      <x:c r="C3" s="17" t="str">
        <x:v>Revenue</x:v>
      </x:c>
      <x:c r="D3" s="18" t="n">
        <x:v>6061662.6</x:v>
      </x:c>
    </x:row>
    <x:row r="4">
      <x:c r="A4" s="17" t="str">
        <x:v>5000</x:v>
      </x:c>
      <x:c r="B4" s="17" t="str">
        <x:v>Material Cost of Sales</x:v>
      </x:c>
      <x:c r="C4" s="17" t="str">
        <x:v>Expense</x:v>
      </x:c>
      <x:c r="D4" s="18" t="n">
        <x:v>18665113.2</x:v>
      </x:c>
    </x:row>
    <x:row r="5">
      <x:c r="A5" s="17" t="str">
        <x:v>5100</x:v>
      </x:c>
      <x:c r="B5" s="17" t="str">
        <x:v>Purchase Price Variance</x:v>
      </x:c>
      <x:c r="C5" s="17" t="str">
        <x:v>Expense</x:v>
      </x:c>
      <x:c r="D5" s="18" t="n">
        <x:v>26571.86</x:v>
      </x:c>
    </x:row>
    <x:row r="6">
      <x:c r="A6" s="17" t="str">
        <x:v>5110</x:v>
      </x:c>
      <x:c r="B6" s="17" t="str">
        <x:v>Material Usage Variance</x:v>
      </x:c>
      <x:c r="C6" s="17" t="str">
        <x:v>Expense</x:v>
      </x:c>
      <x:c r="D6" s="18" t="n">
        <x:v>78826.81</x:v>
      </x:c>
    </x:row>
    <x:row r="7">
      <x:c r="A7" s="17" t="str">
        <x:v>5200</x:v>
      </x:c>
      <x:c r="B7" s="17" t="str">
        <x:v>Direct Labor Clearing</x:v>
      </x:c>
      <x:c r="C7" s="17" t="str">
        <x:v>Expense</x:v>
      </x:c>
      <x:c r="D7" s="18" t="n">
        <x:v>-0.01</x:v>
      </x:c>
    </x:row>
    <x:row r="8">
      <x:c r="A8" s="17" t="str">
        <x:v>5210</x:v>
      </x:c>
      <x:c r="B8" s="17" t="str">
        <x:v>Variable Overhead Absorption</x:v>
      </x:c>
      <x:c r="C8" s="17" t="str">
        <x:v>Expense</x:v>
      </x:c>
      <x:c r="D8" s="18" t="n">
        <x:v>0</x:v>
      </x:c>
    </x:row>
    <x:row r="9">
      <x:c r="A9" s="17" t="str">
        <x:v>5220</x:v>
      </x:c>
      <x:c r="B9" s="17" t="str">
        <x:v>Fixed Overhead Absorption</x:v>
      </x:c>
      <x:c r="C9" s="17" t="str">
        <x:v>Expense</x:v>
      </x:c>
      <x:c r="D9" s="18" t="n">
        <x:v>0</x:v>
      </x:c>
    </x:row>
    <x:row r="10">
      <x:c r="A10" s="17" t="str">
        <x:v>6000</x:v>
      </x:c>
      <x:c r="B10" s="17" t="str">
        <x:v>Sales &amp; Marketing</x:v>
      </x:c>
      <x:c r="C10" s="17" t="str">
        <x:v>Expense</x:v>
      </x:c>
      <x:c r="D10" s="18" t="n">
        <x:v>954003.97</x:v>
      </x:c>
    </x:row>
    <x:row r="11">
      <x:c r="A11" s="17" t="str">
        <x:v>6100</x:v>
      </x:c>
      <x:c r="B11" s="17" t="str">
        <x:v>Research &amp; Development</x:v>
      </x:c>
      <x:c r="C11" s="17" t="str">
        <x:v>Expense</x:v>
      </x:c>
      <x:c r="D11" s="18" t="n">
        <x:v>742003.09</x:v>
      </x:c>
    </x:row>
    <x:row r="12">
      <x:c r="A12" s="17" t="str">
        <x:v>6200</x:v>
      </x:c>
      <x:c r="B12" s="17" t="str">
        <x:v>General &amp; Administrative</x:v>
      </x:c>
      <x:c r="C12" s="17" t="str">
        <x:v>Expense</x:v>
      </x:c>
      <x:c r="D12" s="18" t="n">
        <x:v>2226009.27</x:v>
      </x:c>
    </x:row>
    <x:row r="13">
      <x:c r="A13" s="17" t="str">
        <x:v>6300</x:v>
      </x:c>
      <x:c r="B13" s="17" t="str">
        <x:v>Distribution &amp; Service</x:v>
      </x:c>
      <x:c r="C13" s="17" t="str">
        <x:v>Expense</x:v>
      </x:c>
      <x:c r="D13" s="18" t="n">
        <x:v>742003.09</x:v>
      </x:c>
    </x:row>
    <x:row r="14">
      <x:c r="A14" s="17" t="str">
        <x:v>6400</x:v>
      </x:c>
      <x:c r="B14" s="17" t="str">
        <x:v>Depreciation &amp; Amortization</x:v>
      </x:c>
      <x:c r="C14" s="17" t="str">
        <x:v>Expense</x:v>
      </x:c>
      <x:c r="D14" s="18" t="n">
        <x:v>2013055.82</x:v>
      </x:c>
    </x:row>
    <x:row r="15">
      <x:c r="A15" s="17" t="str">
        <x:v>6500</x:v>
      </x:c>
      <x:c r="B15" s="17" t="str">
        <x:v>Maintenance Expense</x:v>
      </x:c>
      <x:c r="C15" s="17" t="str">
        <x:v>Expense</x:v>
      </x:c>
      <x:c r="D15" s="18" t="n">
        <x:v>636002.64</x:v>
      </x:c>
    </x:row>
    <x:row r="16">
      <x:c r="A16" s="17" t="str">
        <x:v>7000</x:v>
      </x:c>
      <x:c r="B16" s="17" t="str">
        <x:v>Interest Expense</x:v>
      </x:c>
      <x:c r="C16" s="17" t="str">
        <x:v>Expense</x:v>
      </x:c>
      <x:c r="D16" s="18" t="n">
        <x:v>546327.08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0" hidden="0" customWidth="1"/>
    <x:col min="3" max="3" width="15" hidden="0" customWidth="1"/>
    <x:col min="4" max="4" width="15" hidden="0" customWidth="1"/>
    <x:col min="5" max="5" width="19" hidden="0" customWidth="1"/>
  </x:cols>
  <x:sheetData>
    <x:row r="1">
      <x:c r="A1" s="15" t="str">
        <x:v>account_code</x:v>
      </x:c>
      <x:c r="B1" s="15" t="str">
        <x:v>name</x:v>
      </x:c>
      <x:c r="C1" s="15" t="str">
        <x:v>debits</x:v>
      </x:c>
      <x:c r="D1" s="15" t="str">
        <x:v>credits</x:v>
      </x:c>
      <x:c r="E1" s="15" t="str">
        <x:v>debit_less_credit</x:v>
      </x:c>
    </x:row>
    <x:row r="2">
      <x:c r="A2" s="17" t="str">
        <x:v>1000</x:v>
      </x:c>
      <x:c r="B2" s="17" t="str">
        <x:v>Operating Cash</x:v>
      </x:c>
      <x:c r="C2" s="18" t="n">
        <x:v>1495340808.45</x:v>
      </x:c>
      <x:c r="D2" s="18" t="n">
        <x:v>1505469193.47</x:v>
      </x:c>
      <x:c r="E2" s="18" t="n">
        <x:v>-10128385.02</x:v>
      </x:c>
    </x:row>
    <x:row r="3">
      <x:c r="A3" s="17" t="str">
        <x:v>1100</x:v>
      </x:c>
      <x:c r="B3" s="17" t="str">
        <x:v>Accounts Receivable</x:v>
      </x:c>
      <x:c r="C3" s="18" t="n">
        <x:v>467866131.07</x:v>
      </x:c>
      <x:c r="D3" s="18" t="n">
        <x:v>427757308.53</x:v>
      </x:c>
      <x:c r="E3" s="18" t="n">
        <x:v>40108822.54</x:v>
      </x:c>
    </x:row>
    <x:row r="4">
      <x:c r="A4" s="17" t="str">
        <x:v>1200</x:v>
      </x:c>
      <x:c r="B4" s="17" t="str">
        <x:v>Raw Material Inventory</x:v>
      </x:c>
      <x:c r="C4" s="18" t="n">
        <x:v>432272860.07</x:v>
      </x:c>
      <x:c r="D4" s="18" t="n">
        <x:v>319493596.41</x:v>
      </x:c>
      <x:c r="E4" s="18" t="n">
        <x:v>112779263.66</x:v>
      </x:c>
    </x:row>
    <x:row r="5">
      <x:c r="A5" s="17" t="str">
        <x:v>1210</x:v>
      </x:c>
      <x:c r="B5" s="17" t="str">
        <x:v>Work in Process Inventory</x:v>
      </x:c>
      <x:c r="C5" s="18" t="n">
        <x:v>341954736.27</x:v>
      </x:c>
      <x:c r="D5" s="18" t="n">
        <x:v>341211368.58</x:v>
      </x:c>
      <x:c r="E5" s="18" t="n">
        <x:v>743367.69</x:v>
      </x:c>
    </x:row>
    <x:row r="6">
      <x:c r="A6" s="17" t="str">
        <x:v>1220</x:v>
      </x:c>
      <x:c r="B6" s="17" t="str">
        <x:v>Finished Goods Inventory</x:v>
      </x:c>
      <x:c r="C6" s="18" t="n">
        <x:v>318415885.02</x:v>
      </x:c>
      <x:c r="D6" s="18" t="n">
        <x:v>248878925.89</x:v>
      </x:c>
      <x:c r="E6" s="18" t="n">
        <x:v>69536959.13</x:v>
      </x:c>
    </x:row>
    <x:row r="7">
      <x:c r="A7" s="17" t="str">
        <x:v>1230</x:v>
      </x:c>
      <x:c r="B7" s="17" t="str">
        <x:v>Aftermarket Inventory</x:v>
      </x:c>
      <x:c r="C7" s="18" t="n">
        <x:v>89635914.43</x:v>
      </x:c>
      <x:c r="D7" s="18" t="n">
        <x:v>64349421.07</x:v>
      </x:c>
      <x:c r="E7" s="18" t="n">
        <x:v>25286493.36</x:v>
      </x:c>
    </x:row>
    <x:row r="8">
      <x:c r="A8" s="17" t="str">
        <x:v>1500</x:v>
      </x:c>
      <x:c r="B8" s="17" t="str">
        <x:v>Machinery &amp; Equipment</x:v>
      </x:c>
      <x:c r="C8" s="18" t="n">
        <x:v>154334000</x:v>
      </x:c>
      <x:c r="D8" s="18" t="n">
        <x:v>0</x:v>
      </x:c>
      <x:c r="E8" s="18" t="n">
        <x:v>154334000</x:v>
      </x:c>
    </x:row>
    <x:row r="9">
      <x:c r="A9" s="17" t="str">
        <x:v>1510</x:v>
      </x:c>
      <x:c r="B9" s="17" t="str">
        <x:v>Buildings &amp; Improvements</x:v>
      </x:c>
      <x:c r="C9" s="18" t="n">
        <x:v>132270000</x:v>
      </x:c>
      <x:c r="D9" s="18" t="n">
        <x:v>0</x:v>
      </x:c>
      <x:c r="E9" s="18" t="n">
        <x:v>132270000</x:v>
      </x:c>
    </x:row>
    <x:row r="10">
      <x:c r="A10" s="17" t="str">
        <x:v>1520</x:v>
      </x:c>
      <x:c r="B10" s="17" t="str">
        <x:v>Furniture, IT &amp; Other</x:v>
      </x:c>
      <x:c r="C10" s="18" t="n">
        <x:v>111464000</x:v>
      </x:c>
      <x:c r="D10" s="18" t="n">
        <x:v>0</x:v>
      </x:c>
      <x:c r="E10" s="18" t="n">
        <x:v>111464000</x:v>
      </x:c>
    </x:row>
    <x:row r="11">
      <x:c r="A11" s="17" t="str">
        <x:v>1590</x:v>
      </x:c>
      <x:c r="B11" s="17" t="str">
        <x:v>Accumulated Depreciation</x:v>
      </x:c>
      <x:c r="C11" s="18" t="n">
        <x:v>0</x:v>
      </x:c>
      <x:c r="D11" s="18" t="n">
        <x:v>276502461.22</x:v>
      </x:c>
      <x:c r="E11" s="18" t="n">
        <x:v>-276502461.22</x:v>
      </x:c>
    </x:row>
    <x:row r="12">
      <x:c r="A12" s="17" t="str">
        <x:v>2000</x:v>
      </x:c>
      <x:c r="B12" s="17" t="str">
        <x:v>Accounts Payable</x:v>
      </x:c>
      <x:c r="C12" s="18" t="n">
        <x:v>121151026.43</x:v>
      </x:c>
      <x:c r="D12" s="18" t="n">
        <x:v>129328125.07</x:v>
      </x:c>
      <x:c r="E12" s="18" t="n">
        <x:v>-8177098.64</x:v>
      </x:c>
    </x:row>
    <x:row r="13">
      <x:c r="A13" s="17" t="str">
        <x:v>2100</x:v>
      </x:c>
      <x:c r="B13" s="17" t="str">
        <x:v>Current Debt</x:v>
      </x:c>
      <x:c r="C13" s="18" t="n">
        <x:v>0</x:v>
      </x:c>
      <x:c r="D13" s="18" t="n">
        <x:v>7800000</x:v>
      </x:c>
      <x:c r="E13" s="18" t="n">
        <x:v>-7800000</x:v>
      </x:c>
    </x:row>
    <x:row r="14">
      <x:c r="A14" s="17" t="str">
        <x:v>2200</x:v>
      </x:c>
      <x:c r="B14" s="17" t="str">
        <x:v>Term Debt</x:v>
      </x:c>
      <x:c r="C14" s="18" t="n">
        <x:v>0</x:v>
      </x:c>
      <x:c r="D14" s="18" t="n">
        <x:v>76500000</x:v>
      </x:c>
      <x:c r="E14" s="18" t="n">
        <x:v>-76500000</x:v>
      </x:c>
    </x:row>
    <x:row r="15">
      <x:c r="A15" s="17" t="str">
        <x:v>2210</x:v>
      </x:c>
      <x:c r="B15" s="17" t="str">
        <x:v>ABL Revolver</x:v>
      </x:c>
      <x:c r="C15" s="18" t="n">
        <x:v>0</x:v>
      </x:c>
      <x:c r="D15" s="18" t="n">
        <x:v>8250000</x:v>
      </x:c>
      <x:c r="E15" s="18" t="n">
        <x:v>-8250000</x:v>
      </x:c>
    </x:row>
    <x:row r="16">
      <x:c r="A16" s="17" t="str">
        <x:v>3000</x:v>
      </x:c>
      <x:c r="B16" s="17" t="str">
        <x:v>Common Equity</x:v>
      </x:c>
      <x:c r="C16" s="18" t="n">
        <x:v>0</x:v>
      </x:c>
      <x:c r="D16" s="18" t="n">
        <x:v>92000000</x:v>
      </x:c>
      <x:c r="E16" s="18" t="n">
        <x:v>-92000000</x:v>
      </x:c>
    </x:row>
    <x:row r="17">
      <x:c r="A17" s="17" t="str">
        <x:v>3100</x:v>
      </x:c>
      <x:c r="B17" s="17" t="str">
        <x:v>Retained Earnings</x:v>
      </x:c>
      <x:c r="C17" s="18" t="n">
        <x:v>0</x:v>
      </x:c>
      <x:c r="D17" s="18" t="n">
        <x:v>115196005.49</x:v>
      </x:c>
      <x:c r="E17" s="18" t="n">
        <x:v>-115196005.49</x:v>
      </x:c>
    </x:row>
    <x:row r="18">
      <x:c r="A18" s="17" t="str">
        <x:v>4000</x:v>
      </x:c>
      <x:c r="B18" s="17" t="str">
        <x:v>Product Revenue</x:v>
      </x:c>
      <x:c r="C18" s="18" t="n">
        <x:v>0</x:v>
      </x:c>
      <x:c r="D18" s="18" t="n">
        <x:v>1276259886.41</x:v>
      </x:c>
      <x:c r="E18" s="18" t="n">
        <x:v>-1276259886.41</x:v>
      </x:c>
    </x:row>
    <x:row r="19">
      <x:c r="A19" s="17" t="str">
        <x:v>4010</x:v>
      </x:c>
      <x:c r="B19" s="17" t="str">
        <x:v>Aftermarket Revenue</x:v>
      </x:c>
      <x:c r="C19" s="18" t="n">
        <x:v>0</x:v>
      </x:c>
      <x:c r="D19" s="18" t="n">
        <x:v>96139744.58</x:v>
      </x:c>
      <x:c r="E19" s="18" t="n">
        <x:v>-96139744.58</x:v>
      </x:c>
    </x:row>
    <x:row r="20">
      <x:c r="A20" s="17" t="str">
        <x:v>5000</x:v>
      </x:c>
      <x:c r="B20" s="17" t="str">
        <x:v>Material Cost of Sales</x:v>
      </x:c>
      <x:c r="C20" s="18" t="n">
        <x:v>942877931.96</x:v>
      </x:c>
      <x:c r="D20" s="18" t="n">
        <x:v>0</x:v>
      </x:c>
      <x:c r="E20" s="18" t="n">
        <x:v>942877931.96</x:v>
      </x:c>
    </x:row>
    <x:row r="21">
      <x:c r="A21" s="17" t="str">
        <x:v>5100</x:v>
      </x:c>
      <x:c r="B21" s="17" t="str">
        <x:v>Purchase Price Variance</x:v>
      </x:c>
      <x:c r="C21" s="18" t="n">
        <x:v>2595312.74</x:v>
      </x:c>
      <x:c r="D21" s="18" t="n">
        <x:v>2336371.35</x:v>
      </x:c>
      <x:c r="E21" s="18" t="n">
        <x:v>258941.39</x:v>
      </x:c>
    </x:row>
    <x:row r="22">
      <x:c r="A22" s="17" t="str">
        <x:v>5110</x:v>
      </x:c>
      <x:c r="B22" s="17" t="str">
        <x:v>Material Usage Variance</x:v>
      </x:c>
      <x:c r="C22" s="18" t="n">
        <x:v>2830605.24</x:v>
      </x:c>
      <x:c r="D22" s="18" t="n">
        <x:v>361767.72</x:v>
      </x:c>
      <x:c r="E22" s="18" t="n">
        <x:v>2468837.52</x:v>
      </x:c>
    </x:row>
    <x:row r="23">
      <x:c r="A23" s="17" t="str">
        <x:v>5200</x:v>
      </x:c>
      <x:c r="B23" s="17" t="str">
        <x:v>Direct Labor Clearing</x:v>
      </x:c>
      <x:c r="C23" s="18" t="n">
        <x:v>10234052.11</x:v>
      </x:c>
      <x:c r="D23" s="18" t="n">
        <x:v>10234052.05</x:v>
      </x:c>
      <x:c r="E23" s="18" t="n">
        <x:v>0.06</x:v>
      </x:c>
    </x:row>
    <x:row r="24">
      <x:c r="A24" s="17" t="str">
        <x:v>5210</x:v>
      </x:c>
      <x:c r="B24" s="17" t="str">
        <x:v>Variable Overhead Absorption</x:v>
      </x:c>
      <x:c r="C24" s="18" t="n">
        <x:v>3689568.08</x:v>
      </x:c>
      <x:c r="D24" s="18" t="n">
        <x:v>3689568.08</x:v>
      </x:c>
      <x:c r="E24" s="18" t="n">
        <x:v>0</x:v>
      </x:c>
    </x:row>
    <x:row r="25">
      <x:c r="A25" s="17" t="str">
        <x:v>5220</x:v>
      </x:c>
      <x:c r="B25" s="17" t="str">
        <x:v>Fixed Overhead Absorption</x:v>
      </x:c>
      <x:c r="C25" s="18" t="n">
        <x:v>8175751.95</x:v>
      </x:c>
      <x:c r="D25" s="18" t="n">
        <x:v>8175751.95</x:v>
      </x:c>
      <x:c r="E25" s="18" t="n">
        <x:v>0</x:v>
      </x:c>
    </x:row>
    <x:row r="26">
      <x:c r="A26" s="17" t="str">
        <x:v>6000</x:v>
      </x:c>
      <x:c r="B26" s="17" t="str">
        <x:v>Sales &amp; Marketing</x:v>
      </x:c>
      <x:c r="C26" s="18" t="n">
        <x:v>8239162.46</x:v>
      </x:c>
      <x:c r="D26" s="18" t="n">
        <x:v>0</x:v>
      </x:c>
      <x:c r="E26" s="18" t="n">
        <x:v>8239162.46</x:v>
      </x:c>
    </x:row>
    <x:row r="27">
      <x:c r="A27" s="17" t="str">
        <x:v>6100</x:v>
      </x:c>
      <x:c r="B27" s="17" t="str">
        <x:v>Research &amp; Development</x:v>
      </x:c>
      <x:c r="C27" s="18" t="n">
        <x:v>6408237.48</x:v>
      </x:c>
      <x:c r="D27" s="18" t="n">
        <x:v>0</x:v>
      </x:c>
      <x:c r="E27" s="18" t="n">
        <x:v>6408237.48</x:v>
      </x:c>
    </x:row>
    <x:row r="28">
      <x:c r="A28" s="17" t="str">
        <x:v>6200</x:v>
      </x:c>
      <x:c r="B28" s="17" t="str">
        <x:v>General &amp; Administrative</x:v>
      </x:c>
      <x:c r="C28" s="18" t="n">
        <x:v>180285543.35</x:v>
      </x:c>
      <x:c r="D28" s="18" t="n">
        <x:v>0</x:v>
      </x:c>
      <x:c r="E28" s="18" t="n">
        <x:v>180285543.35</x:v>
      </x:c>
    </x:row>
    <x:row r="29">
      <x:c r="A29" s="17" t="str">
        <x:v>6300</x:v>
      </x:c>
      <x:c r="B29" s="17" t="str">
        <x:v>Distribution &amp; Service</x:v>
      </x:c>
      <x:c r="C29" s="18" t="n">
        <x:v>6408237.48</x:v>
      </x:c>
      <x:c r="D29" s="18" t="n">
        <x:v>0</x:v>
      </x:c>
      <x:c r="E29" s="18" t="n">
        <x:v>6408237.48</x:v>
      </x:c>
    </x:row>
    <x:row r="30">
      <x:c r="A30" s="17" t="str">
        <x:v>6400</x:v>
      </x:c>
      <x:c r="B30" s="17" t="str">
        <x:v>Depreciation &amp; Amortization</x:v>
      </x:c>
      <x:c r="C30" s="18" t="n">
        <x:v>157064466.71</x:v>
      </x:c>
      <x:c r="D30" s="18" t="n">
        <x:v>0</x:v>
      </x:c>
      <x:c r="E30" s="18" t="n">
        <x:v>157064466.71</x:v>
      </x:c>
    </x:row>
    <x:row r="31">
      <x:c r="A31" s="17" t="str">
        <x:v>6500</x:v>
      </x:c>
      <x:c r="B31" s="17" t="str">
        <x:v>Maintenance Expense</x:v>
      </x:c>
      <x:c r="C31" s="18" t="n">
        <x:v>5492774.97</x:v>
      </x:c>
      <x:c r="D31" s="18" t="n">
        <x:v>0</x:v>
      </x:c>
      <x:c r="E31" s="18" t="n">
        <x:v>5492774.97</x:v>
      </x:c>
    </x:row>
    <x:row r="32">
      <x:c r="A32" s="17" t="str">
        <x:v>7000</x:v>
      </x:c>
      <x:c r="B32" s="17" t="str">
        <x:v>Interest Expense</x:v>
      </x:c>
      <x:c r="C32" s="18" t="n">
        <x:v>10926541.6</x:v>
      </x:c>
      <x:c r="D32" s="18" t="n">
        <x:v>0</x:v>
      </x:c>
      <x:c r="E32" s="18" t="n">
        <x:v>10926541.6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5" hidden="0" customWidth="1"/>
    <x:col min="3" max="3" width="13" hidden="0" customWidth="1"/>
    <x:col min="4" max="4" width="13" hidden="0" customWidth="1"/>
  </x:cols>
  <x:sheetData>
    <x:row r="1">
      <x:c r="A1" s="15" t="str">
        <x:v>source</x:v>
      </x:c>
      <x:c r="B1" s="15" t="str">
        <x:v>journal_count</x:v>
      </x:c>
      <x:c r="C1" s="15" t="str">
        <x:v>debits</x:v>
      </x:c>
      <x:c r="D1" s="15" t="str">
        <x:v>credits</x:v>
      </x:c>
    </x:row>
    <x:row r="2">
      <x:c r="A2" s="17" t="str">
        <x:v>Cash Receipt</x:v>
      </x:c>
      <x:c r="B2" s="18" t="n">
        <x:v>640</x:v>
      </x:c>
      <x:c r="C2" s="18" t="n">
        <x:v>26533481.2</x:v>
      </x:c>
      <x:c r="D2" s="18" t="n">
        <x:v>26533481.2</x:v>
      </x:c>
    </x:row>
    <x:row r="3">
      <x:c r="A3" s="17" t="str">
        <x:v>Fixed Assets</x:v>
      </x:c>
      <x:c r="B3" s="18" t="n">
        <x:v>10</x:v>
      </x:c>
      <x:c r="C3" s="18" t="n">
        <x:v>3311055.82</x:v>
      </x:c>
      <x:c r="D3" s="18" t="n">
        <x:v>3311055.82</x:v>
      </x:c>
    </x:row>
    <x:row r="4">
      <x:c r="A4" s="17" t="str">
        <x:v>Manufacturing</x:v>
      </x:c>
      <x:c r="B4" s="18" t="n">
        <x:v>32</x:v>
      </x:c>
      <x:c r="C4" s="18" t="n">
        <x:v>34603595.89</x:v>
      </x:c>
      <x:c r="D4" s="18" t="n">
        <x:v>34603595.89</x:v>
      </x:c>
    </x:row>
    <x:row r="5">
      <x:c r="A5" s="17" t="str">
        <x:v>Order to Cash</x:v>
      </x:c>
      <x:c r="B5" s="18" t="n">
        <x:v>1356</x:v>
      </x:c>
      <x:c r="C5" s="18" t="n">
        <x:v>46080556.4</x:v>
      </x:c>
      <x:c r="D5" s="18" t="n">
        <x:v>46080556.4</x:v>
      </x:c>
    </x:row>
    <x:row r="6">
      <x:c r="A6" s="17" t="str">
        <x:v>Payroll</x:v>
      </x:c>
      <x:c r="B6" s="18" t="n">
        <x:v>9</x:v>
      </x:c>
      <x:c r="C6" s="18" t="n">
        <x:v>6419451.75</x:v>
      </x:c>
      <x:c r="D6" s="18" t="n">
        <x:v>6419451.75</x:v>
      </x:c>
    </x:row>
    <x:row r="7">
      <x:c r="A7" s="17" t="str">
        <x:v>Procure to Pay</x:v>
      </x:c>
      <x:c r="B7" s="18" t="n">
        <x:v>1452</x:v>
      </x:c>
      <x:c r="C7" s="18" t="n">
        <x:v>7433911.15</x:v>
      </x:c>
      <x:c r="D7" s="18" t="n">
        <x:v>7433911.15</x:v>
      </x:c>
    </x:row>
    <x:row r="8">
      <x:c r="A8" s="17" t="str">
        <x:v>Treasury</x:v>
      </x:c>
      <x:c r="B8" s="18" t="n">
        <x:v>2</x:v>
      </x:c>
      <x:c r="C8" s="18" t="n">
        <x:v>546327.08</x:v>
      </x:c>
      <x:c r="D8" s="18" t="n">
        <x:v>546327.08</x:v>
      </x:c>
    </x:row>
    <x:row r="9">
      <x:c r="A9" s="17" t="str">
        <x:v>Vendor Payment</x:v>
      </x:c>
      <x:c r="B9" s="18" t="n">
        <x:v>974</x:v>
      </x:c>
      <x:c r="C9" s="18" t="n">
        <x:v>6981555.57</x:v>
      </x:c>
      <x:c r="D9" s="18" t="n">
        <x:v>6981555.57</x:v>
      </x:c>
    </x:row>
  </x:sheetData>
  <x:pageMargins left="0.7" right="0.7" top="0.75" bottom="0.75" header="0.3" footer="0.3"/>
</x:worksheet>
</file>