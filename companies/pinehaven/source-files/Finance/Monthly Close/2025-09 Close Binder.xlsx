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2025-09 Monthly Close Binder</x:v>
      </x:c>
      <x:c r="B1" s="3" t="str">
        <x:v>2025-09 Monthly Close Binder</x:v>
      </x:c>
      <x:c r="C1" s="3" t="str">
        <x:v>2025-09 Monthly Close Binder</x:v>
      </x:c>
      <x:c r="D1" s="3" t="str">
        <x:v>2025-09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2025-09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19865228.37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5363068.89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17233519.95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33136.4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108425.23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964795.46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750396.47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2251189.42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750396.47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2020266.52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643196.98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1523237462.79</x:v>
      </x:c>
      <x:c r="D2" s="18" t="n">
        <x:v>1520883204.16</x:v>
      </x:c>
      <x:c r="E2" s="18" t="n">
        <x:v>2354258.63</x:v>
      </x:c>
    </x:row>
    <x:row r="3">
      <x:c r="A3" s="17" t="str">
        <x:v>1100</x:v>
      </x:c>
      <x:c r="B3" s="17" t="str">
        <x:v>Accounts Receivable</x:v>
      </x:c>
      <x:c r="C3" s="18" t="n">
        <x:v>493094428.33</x:v>
      </x:c>
      <x:c r="D3" s="18" t="n">
        <x:v>455653962.87</x:v>
      </x:c>
      <x:c r="E3" s="18" t="n">
        <x:v>37440465.46</x:v>
      </x:c>
    </x:row>
    <x:row r="4">
      <x:c r="A4" s="17" t="str">
        <x:v>1200</x:v>
      </x:c>
      <x:c r="B4" s="17" t="str">
        <x:v>Raw Material Inventory</x:v>
      </x:c>
      <x:c r="C4" s="18" t="n">
        <x:v>441708620.25</x:v>
      </x:c>
      <x:c r="D4" s="18" t="n">
        <x:v>334633885.63</x:v>
      </x:c>
      <x:c r="E4" s="18" t="n">
        <x:v>107074734.62</x:v>
      </x:c>
    </x:row>
    <x:row r="5">
      <x:c r="A5" s="17" t="str">
        <x:v>1210</x:v>
      </x:c>
      <x:c r="B5" s="17" t="str">
        <x:v>Work in Process Inventory</x:v>
      </x:c>
      <x:c r="C5" s="18" t="n">
        <x:v>358159117.87</x:v>
      </x:c>
      <x:c r="D5" s="18" t="n">
        <x:v>357296577.26</x:v>
      </x:c>
      <x:c r="E5" s="18" t="n">
        <x:v>862540.61</x:v>
      </x:c>
    </x:row>
    <x:row r="6">
      <x:c r="A6" s="17" t="str">
        <x:v>1220</x:v>
      </x:c>
      <x:c r="B6" s="17" t="str">
        <x:v>Finished Goods Inventory</x:v>
      </x:c>
      <x:c r="C6" s="18" t="n">
        <x:v>329108446.95</x:v>
      </x:c>
      <x:c r="D6" s="18" t="n">
        <x:v>262468829.93</x:v>
      </x:c>
      <x:c r="E6" s="18" t="n">
        <x:v>66639617.02</x:v>
      </x:c>
    </x:row>
    <x:row r="7">
      <x:c r="A7" s="17" t="str">
        <x:v>1230</x:v>
      </x:c>
      <x:c r="B7" s="17" t="str">
        <x:v>Aftermarket Inventory</x:v>
      </x:c>
      <x:c r="C7" s="18" t="n">
        <x:v>92338605.86</x:v>
      </x:c>
      <x:c r="D7" s="18" t="n">
        <x:v>67993036.98</x:v>
      </x:c>
      <x:c r="E7" s="18" t="n">
        <x:v>24345568.88</x:v>
      </x:c>
    </x:row>
    <x:row r="8">
      <x:c r="A8" s="17" t="str">
        <x:v>1500</x:v>
      </x:c>
      <x:c r="B8" s="17" t="str">
        <x:v>Machinery &amp; Equipment</x:v>
      </x:c>
      <x:c r="C8" s="18" t="n">
        <x:v>154334000</x:v>
      </x:c>
      <x:c r="D8" s="18" t="n">
        <x:v>0</x:v>
      </x:c>
      <x:c r="E8" s="18" t="n">
        <x:v>154334000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111464000</x:v>
      </x:c>
      <x:c r="D10" s="18" t="n">
        <x:v>0</x:v>
      </x:c>
      <x:c r="E10" s="18" t="n">
        <x:v>111464000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278522727.74</x:v>
      </x:c>
      <x:c r="E11" s="18" t="n">
        <x:v>-278522727.74</x:v>
      </x:c>
    </x:row>
    <x:row r="12">
      <x:c r="A12" s="17" t="str">
        <x:v>2000</x:v>
      </x:c>
      <x:c r="B12" s="17" t="str">
        <x:v>Accounts Payable</x:v>
      </x:c>
      <x:c r="C12" s="18" t="n">
        <x:v>128392082.57</x:v>
      </x:c>
      <x:c r="D12" s="18" t="n">
        <x:v>136216931.26</x:v>
      </x:c>
      <x:c r="E12" s="18" t="n">
        <x:v>-7824848.69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1296125114.78</x:v>
      </x:c>
      <x:c r="E18" s="18" t="n">
        <x:v>-1296125114.78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101502813.47</x:v>
      </x:c>
      <x:c r="E19" s="18" t="n">
        <x:v>-101502813.47</x:v>
      </x:c>
    </x:row>
    <x:row r="20">
      <x:c r="A20" s="17" t="str">
        <x:v>5000</x:v>
      </x:c>
      <x:c r="B20" s="17" t="str">
        <x:v>Material Cost of Sales</x:v>
      </x:c>
      <x:c r="C20" s="18" t="n">
        <x:v>960111451.91</x:v>
      </x:c>
      <x:c r="D20" s="18" t="n">
        <x:v>0</x:v>
      </x:c>
      <x:c r="E20" s="18" t="n">
        <x:v>960111451.91</x:v>
      </x:c>
    </x:row>
    <x:row r="21">
      <x:c r="A21" s="17" t="str">
        <x:v>5100</x:v>
      </x:c>
      <x:c r="B21" s="17" t="str">
        <x:v>Purchase Price Variance</x:v>
      </x:c>
      <x:c r="C21" s="18" t="n">
        <x:v>2744001.23</x:v>
      </x:c>
      <x:c r="D21" s="18" t="n">
        <x:v>2451923.44</x:v>
      </x:c>
      <x:c r="E21" s="18" t="n">
        <x:v>292077.79</x:v>
      </x:c>
    </x:row>
    <x:row r="22">
      <x:c r="A22" s="17" t="str">
        <x:v>5110</x:v>
      </x:c>
      <x:c r="B22" s="17" t="str">
        <x:v>Material Usage Variance</x:v>
      </x:c>
      <x:c r="C22" s="18" t="n">
        <x:v>2940470.18</x:v>
      </x:c>
      <x:c r="D22" s="18" t="n">
        <x:v>363207.43</x:v>
      </x:c>
      <x:c r="E22" s="18" t="n">
        <x:v>2577262.75</x:v>
      </x:c>
    </x:row>
    <x:row r="23">
      <x:c r="A23" s="17" t="str">
        <x:v>5200</x:v>
      </x:c>
      <x:c r="B23" s="17" t="str">
        <x:v>Direct Labor Clearing</x:v>
      </x:c>
      <x:c r="C23" s="18" t="n">
        <x:v>10726856.61</x:v>
      </x:c>
      <x:c r="D23" s="18" t="n">
        <x:v>10726856.56</x:v>
      </x:c>
      <x:c r="E23" s="18" t="n">
        <x:v>0.05</x:v>
      </x:c>
    </x:row>
    <x:row r="24">
      <x:c r="A24" s="17" t="str">
        <x:v>5210</x:v>
      </x:c>
      <x:c r="B24" s="17" t="str">
        <x:v>Variable Overhead Absorption</x:v>
      </x:c>
      <x:c r="C24" s="18" t="n">
        <x:v>3867502.8</x:v>
      </x:c>
      <x:c r="D24" s="18" t="n">
        <x:v>3867502.8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8567665.4</x:v>
      </x:c>
      <x:c r="D25" s="18" t="n">
        <x:v>8567665.4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9203957.92</x:v>
      </x:c>
      <x:c r="D26" s="18" t="n">
        <x:v>0</x:v>
      </x:c>
      <x:c r="E26" s="18" t="n">
        <x:v>9203957.92</x:v>
      </x:c>
    </x:row>
    <x:row r="27">
      <x:c r="A27" s="17" t="str">
        <x:v>6100</x:v>
      </x:c>
      <x:c r="B27" s="17" t="str">
        <x:v>Research &amp; Development</x:v>
      </x:c>
      <x:c r="C27" s="18" t="n">
        <x:v>7158633.95</x:v>
      </x:c>
      <x:c r="D27" s="18" t="n">
        <x:v>0</x:v>
      </x:c>
      <x:c r="E27" s="18" t="n">
        <x:v>7158633.95</x:v>
      </x:c>
    </x:row>
    <x:row r="28">
      <x:c r="A28" s="17" t="str">
        <x:v>6200</x:v>
      </x:c>
      <x:c r="B28" s="17" t="str">
        <x:v>General &amp; Administrative</x:v>
      </x:c>
      <x:c r="C28" s="18" t="n">
        <x:v>182536732.77</x:v>
      </x:c>
      <x:c r="D28" s="18" t="n">
        <x:v>0</x:v>
      </x:c>
      <x:c r="E28" s="18" t="n">
        <x:v>182536732.77</x:v>
      </x:c>
    </x:row>
    <x:row r="29">
      <x:c r="A29" s="17" t="str">
        <x:v>6300</x:v>
      </x:c>
      <x:c r="B29" s="17" t="str">
        <x:v>Distribution &amp; Service</x:v>
      </x:c>
      <x:c r="C29" s="18" t="n">
        <x:v>7158633.95</x:v>
      </x:c>
      <x:c r="D29" s="18" t="n">
        <x:v>0</x:v>
      </x:c>
      <x:c r="E29" s="18" t="n">
        <x:v>7158633.95</x:v>
      </x:c>
    </x:row>
    <x:row r="30">
      <x:c r="A30" s="17" t="str">
        <x:v>6400</x:v>
      </x:c>
      <x:c r="B30" s="17" t="str">
        <x:v>Depreciation &amp; Amortization</x:v>
      </x:c>
      <x:c r="C30" s="18" t="n">
        <x:v>159084733.23</x:v>
      </x:c>
      <x:c r="D30" s="18" t="n">
        <x:v>0</x:v>
      </x:c>
      <x:c r="E30" s="18" t="n">
        <x:v>159084733.23</x:v>
      </x:c>
    </x:row>
    <x:row r="31">
      <x:c r="A31" s="17" t="str">
        <x:v>6500</x:v>
      </x:c>
      <x:c r="B31" s="17" t="str">
        <x:v>Maintenance Expense</x:v>
      </x:c>
      <x:c r="C31" s="18" t="n">
        <x:v>6135971.95</x:v>
      </x:c>
      <x:c r="D31" s="18" t="n">
        <x:v>0</x:v>
      </x:c>
      <x:c r="E31" s="18" t="n">
        <x:v>6135971.95</x:v>
      </x:c>
    </x:row>
    <x:row r="32">
      <x:c r="A32" s="17" t="str">
        <x:v>7000</x:v>
      </x:c>
      <x:c r="B32" s="17" t="str">
        <x:v>Interest Expense</x:v>
      </x:c>
      <x:c r="C32" s="18" t="n">
        <x:v>11472868.68</x:v>
      </x:c>
      <x:c r="D32" s="18" t="n">
        <x:v>0</x:v>
      </x:c>
      <x:c r="E32" s="18" t="n">
        <x:v>11472868.68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624</x:v>
      </x:c>
      <x:c r="C2" s="18" t="n">
        <x:v>27896654.34</x:v>
      </x:c>
      <x:c r="D2" s="18" t="n">
        <x:v>27896654.34</x:v>
      </x:c>
    </x:row>
    <x:row r="3">
      <x:c r="A3" s="17" t="str">
        <x:v>Fixed Assets</x:v>
      </x:c>
      <x:c r="B3" s="18" t="n">
        <x:v>12</x:v>
      </x:c>
      <x:c r="C3" s="18" t="n">
        <x:v>3224266.52</x:v>
      </x:c>
      <x:c r="D3" s="18" t="n">
        <x:v>3224266.52</x:v>
      </x:c>
    </x:row>
    <x:row r="4">
      <x:c r="A4" s="17" t="str">
        <x:v>Manufacturing</x:v>
      </x:c>
      <x:c r="B4" s="18" t="n">
        <x:v>32</x:v>
      </x:c>
      <x:c r="C4" s="18" t="n">
        <x:v>32289590.29</x:v>
      </x:c>
      <x:c r="D4" s="18" t="n">
        <x:v>32289590.29</x:v>
      </x:c>
    </x:row>
    <x:row r="5">
      <x:c r="A5" s="17" t="str">
        <x:v>Order to Cash</x:v>
      </x:c>
      <x:c r="B5" s="18" t="n">
        <x:v>1300</x:v>
      </x:c>
      <x:c r="C5" s="18" t="n">
        <x:v>42461817.21</x:v>
      </x:c>
      <x:c r="D5" s="18" t="n">
        <x:v>42461817.21</x:v>
      </x:c>
    </x:row>
    <x:row r="6">
      <x:c r="A6" s="17" t="str">
        <x:v>Payroll</x:v>
      </x:c>
      <x:c r="B6" s="18" t="n">
        <x:v>9</x:v>
      </x:c>
      <x:c r="C6" s="18" t="n">
        <x:v>6422627.47</x:v>
      </x:c>
      <x:c r="D6" s="18" t="n">
        <x:v>6422627.47</x:v>
      </x:c>
    </x:row>
    <x:row r="7">
      <x:c r="A7" s="17" t="str">
        <x:v>Procure to Pay</x:v>
      </x:c>
      <x:c r="B7" s="18" t="n">
        <x:v>1413</x:v>
      </x:c>
      <x:c r="C7" s="18" t="n">
        <x:v>7004358.28</x:v>
      </x:c>
      <x:c r="D7" s="18" t="n">
        <x:v>7004358.28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948</x:v>
      </x:c>
      <x:c r="C9" s="18" t="n">
        <x:v>7241056.14</x:v>
      </x:c>
      <x:c r="D9" s="18" t="n">
        <x:v>7241056.14</x:v>
      </x:c>
    </x:row>
  </x:sheetData>
  <x:pageMargins left="0.7" right="0.7" top="0.75" bottom="0.75" header="0.3" footer="0.3"/>
</x:worksheet>
</file>