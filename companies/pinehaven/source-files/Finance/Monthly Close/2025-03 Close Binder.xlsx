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2025-03 Monthly Close Binder</x:v>
      </x:c>
      <x:c r="B1" s="3" t="str">
        <x:v>2025-03 Monthly Close Binder</x:v>
      </x:c>
      <x:c r="C1" s="3" t="str">
        <x:v>2025-03 Monthly Close Binder</x:v>
      </x:c>
      <x:c r="D1" s="3" t="str">
        <x:v>2025-03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2025-03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20738259.55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6697847.18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18295054.08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17573.98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118480.46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953500.11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741611.2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2224833.6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741611.2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2057299.93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635666.75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1365034910.15</x:v>
      </x:c>
      <x:c r="D2" s="18" t="n">
        <x:v>1426372749.28</x:v>
      </x:c>
      <x:c r="E2" s="18" t="n">
        <x:v>-61337839.13</x:v>
      </x:c>
    </x:row>
    <x:row r="3">
      <x:c r="A3" s="17" t="str">
        <x:v>1100</x:v>
      </x:c>
      <x:c r="B3" s="17" t="str">
        <x:v>Accounts Receivable</x:v>
      </x:c>
      <x:c r="C3" s="18" t="n">
        <x:v>335981181.22</x:v>
      </x:c>
      <x:c r="D3" s="18" t="n">
        <x:v>297451410.23</x:v>
      </x:c>
      <x:c r="E3" s="18" t="n">
        <x:v>38529770.99</x:v>
      </x:c>
    </x:row>
    <x:row r="4">
      <x:c r="A4" s="17" t="str">
        <x:v>1200</x:v>
      </x:c>
      <x:c r="B4" s="17" t="str">
        <x:v>Raw Material Inventory</x:v>
      </x:c>
      <x:c r="C4" s="18" t="n">
        <x:v>383097906.02</x:v>
      </x:c>
      <x:c r="D4" s="18" t="n">
        <x:v>239663861.6</x:v>
      </x:c>
      <x:c r="E4" s="18" t="n">
        <x:v>143434044.42</x:v>
      </x:c>
    </x:row>
    <x:row r="5">
      <x:c r="A5" s="17" t="str">
        <x:v>1210</x:v>
      </x:c>
      <x:c r="B5" s="17" t="str">
        <x:v>Work in Process Inventory</x:v>
      </x:c>
      <x:c r="C5" s="18" t="n">
        <x:v>256493502.61</x:v>
      </x:c>
      <x:c r="D5" s="18" t="n">
        <x:v>255876643.78</x:v>
      </x:c>
      <x:c r="E5" s="18" t="n">
        <x:v>616858.83</x:v>
      </x:c>
    </x:row>
    <x:row r="6">
      <x:c r="A6" s="17" t="str">
        <x:v>1220</x:v>
      </x:c>
      <x:c r="B6" s="17" t="str">
        <x:v>Finished Goods Inventory</x:v>
      </x:c>
      <x:c r="C6" s="18" t="n">
        <x:v>262268309.34</x:v>
      </x:c>
      <x:c r="D6" s="18" t="n">
        <x:v>178124225.77</x:v>
      </x:c>
      <x:c r="E6" s="18" t="n">
        <x:v>84144083.57</x:v>
      </x:c>
    </x:row>
    <x:row r="7">
      <x:c r="A7" s="17" t="str">
        <x:v>1230</x:v>
      </x:c>
      <x:c r="B7" s="17" t="str">
        <x:v>Aftermarket Inventory</x:v>
      </x:c>
      <x:c r="C7" s="18" t="n">
        <x:v>74956546.88</x:v>
      </x:c>
      <x:c r="D7" s="18" t="n">
        <x:v>46013953.39</x:v>
      </x:c>
      <x:c r="E7" s="18" t="n">
        <x:v>28942593.49</x:v>
      </x:c>
    </x:row>
    <x:row r="8">
      <x:c r="A8" s="17" t="str">
        <x:v>1500</x:v>
      </x:c>
      <x:c r="B8" s="17" t="str">
        <x:v>Machinery &amp; Equipment</x:v>
      </x:c>
      <x:c r="C8" s="18" t="n">
        <x:v>152006000</x:v>
      </x:c>
      <x:c r="D8" s="18" t="n">
        <x:v>0</x:v>
      </x:c>
      <x:c r="E8" s="18" t="n">
        <x:v>152006000</x:v>
      </x:c>
    </x:row>
    <x:row r="9">
      <x:c r="A9" s="17" t="str">
        <x:v>1510</x:v>
      </x:c>
      <x:c r="B9" s="17" t="str">
        <x:v>Buildings &amp; Improvements</x:v>
      </x:c>
      <x:c r="C9" s="18" t="n">
        <x:v>130972000</x:v>
      </x:c>
      <x:c r="D9" s="18" t="n">
        <x:v>0</x:v>
      </x:c>
      <x:c r="E9" s="18" t="n">
        <x:v>130972000</x:v>
      </x:c>
    </x:row>
    <x:row r="10">
      <x:c r="A10" s="17" t="str">
        <x:v>1520</x:v>
      </x:c>
      <x:c r="B10" s="17" t="str">
        <x:v>Furniture, IT &amp; Other</x:v>
      </x:c>
      <x:c r="C10" s="18" t="n">
        <x:v>109310000</x:v>
      </x:c>
      <x:c r="D10" s="18" t="n">
        <x:v>0</x:v>
      </x:c>
      <x:c r="E10" s="18" t="n">
        <x:v>109310000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266351150.02</x:v>
      </x:c>
      <x:c r="E11" s="18" t="n">
        <x:v>-266351150.02</x:v>
      </x:c>
    </x:row>
    <x:row r="12">
      <x:c r="A12" s="17" t="str">
        <x:v>2000</x:v>
      </x:c>
      <x:c r="B12" s="17" t="str">
        <x:v>Accounts Payable</x:v>
      </x:c>
      <x:c r="C12" s="18" t="n">
        <x:v>85875031.55</x:v>
      </x:c>
      <x:c r="D12" s="18" t="n">
        <x:v>93977141.57</x:v>
      </x:c>
      <x:c r="E12" s="18" t="n">
        <x:v>-8102110.02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1171531946.26</x:v>
      </x:c>
      <x:c r="E18" s="18" t="n">
        <x:v>-1171531946.26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68982734.88</x:v>
      </x:c>
      <x:c r="E19" s="18" t="n">
        <x:v>-68982734.88</x:v>
      </x:c>
    </x:row>
    <x:row r="20">
      <x:c r="A20" s="17" t="str">
        <x:v>5000</x:v>
      </x:c>
      <x:c r="B20" s="17" t="str">
        <x:v>Material Cost of Sales</x:v>
      </x:c>
      <x:c r="C20" s="18" t="n">
        <x:v>853787764.16</x:v>
      </x:c>
      <x:c r="D20" s="18" t="n">
        <x:v>0</x:v>
      </x:c>
      <x:c r="E20" s="18" t="n">
        <x:v>853787764.16</x:v>
      </x:c>
    </x:row>
    <x:row r="21">
      <x:c r="A21" s="17" t="str">
        <x:v>5100</x:v>
      </x:c>
      <x:c r="B21" s="17" t="str">
        <x:v>Purchase Price Variance</x:v>
      </x:c>
      <x:c r="C21" s="18" t="n">
        <x:v>1902775.37</x:v>
      </x:c>
      <x:c r="D21" s="18" t="n">
        <x:v>1683030.14</x:v>
      </x:c>
      <x:c r="E21" s="18" t="n">
        <x:v>219745.23</x:v>
      </x:c>
    </x:row>
    <x:row r="22">
      <x:c r="A22" s="17" t="str">
        <x:v>5110</x:v>
      </x:c>
      <x:c r="B22" s="17" t="str">
        <x:v>Material Usage Variance</x:v>
      </x:c>
      <x:c r="C22" s="18" t="n">
        <x:v>2185990.37</x:v>
      </x:c>
      <x:c r="D22" s="18" t="n">
        <x:v>278438.99</x:v>
      </x:c>
      <x:c r="E22" s="18" t="n">
        <x:v>1907551.38</x:v>
      </x:c>
    </x:row>
    <x:row r="23">
      <x:c r="A23" s="17" t="str">
        <x:v>5200</x:v>
      </x:c>
      <x:c r="B23" s="17" t="str">
        <x:v>Direct Labor Clearing</x:v>
      </x:c>
      <x:c r="C23" s="18" t="n">
        <x:v>7664371.26</x:v>
      </x:c>
      <x:c r="D23" s="18" t="n">
        <x:v>7664371.19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2763160.31</x:v>
      </x:c>
      <x:c r="D24" s="18" t="n">
        <x:v>2763160.31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6123670.45</x:v>
      </x:c>
      <x:c r="D25" s="18" t="n">
        <x:v>6123670.45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2882246.58</x:v>
      </x:c>
      <x:c r="D26" s="18" t="n">
        <x:v>0</x:v>
      </x:c>
      <x:c r="E26" s="18" t="n">
        <x:v>2882246.58</x:v>
      </x:c>
    </x:row>
    <x:row r="27">
      <x:c r="A27" s="17" t="str">
        <x:v>6100</x:v>
      </x:c>
      <x:c r="B27" s="17" t="str">
        <x:v>Research &amp; Development</x:v>
      </x:c>
      <x:c r="C27" s="18" t="n">
        <x:v>2241747.35</x:v>
      </x:c>
      <x:c r="D27" s="18" t="n">
        <x:v>0</x:v>
      </x:c>
      <x:c r="E27" s="18" t="n">
        <x:v>2241747.35</x:v>
      </x:c>
    </x:row>
    <x:row r="28">
      <x:c r="A28" s="17" t="str">
        <x:v>6200</x:v>
      </x:c>
      <x:c r="B28" s="17" t="str">
        <x:v>General &amp; Administrative</x:v>
      </x:c>
      <x:c r="C28" s="18" t="n">
        <x:v>167786072.95</x:v>
      </x:c>
      <x:c r="D28" s="18" t="n">
        <x:v>0</x:v>
      </x:c>
      <x:c r="E28" s="18" t="n">
        <x:v>167786072.95</x:v>
      </x:c>
    </x:row>
    <x:row r="29">
      <x:c r="A29" s="17" t="str">
        <x:v>6300</x:v>
      </x:c>
      <x:c r="B29" s="17" t="str">
        <x:v>Distribution &amp; Service</x:v>
      </x:c>
      <x:c r="C29" s="18" t="n">
        <x:v>2241747.35</x:v>
      </x:c>
      <x:c r="D29" s="18" t="n">
        <x:v>0</x:v>
      </x:c>
      <x:c r="E29" s="18" t="n">
        <x:v>2241747.35</x:v>
      </x:c>
    </x:row>
    <x:row r="30">
      <x:c r="A30" s="17" t="str">
        <x:v>6400</x:v>
      </x:c>
      <x:c r="B30" s="17" t="str">
        <x:v>Depreciation &amp; Amortization</x:v>
      </x:c>
      <x:c r="C30" s="18" t="n">
        <x:v>146913155.51</x:v>
      </x:c>
      <x:c r="D30" s="18" t="n">
        <x:v>0</x:v>
      </x:c>
      <x:c r="E30" s="18" t="n">
        <x:v>146913155.51</x:v>
      </x:c>
    </x:row>
    <x:row r="31">
      <x:c r="A31" s="17" t="str">
        <x:v>6500</x:v>
      </x:c>
      <x:c r="B31" s="17" t="str">
        <x:v>Maintenance Expense</x:v>
      </x:c>
      <x:c r="C31" s="18" t="n">
        <x:v>1921497.72</x:v>
      </x:c>
      <x:c r="D31" s="18" t="n">
        <x:v>0</x:v>
      </x:c>
      <x:c r="E31" s="18" t="n">
        <x:v>1921497.72</x:v>
      </x:c>
    </x:row>
    <x:row r="32">
      <x:c r="A32" s="17" t="str">
        <x:v>7000</x:v>
      </x:c>
      <x:c r="B32" s="17" t="str">
        <x:v>Interest Expense</x:v>
      </x:c>
      <x:c r="C32" s="18" t="n">
        <x:v>8194906.2</x:v>
      </x:c>
      <x:c r="D32" s="18" t="n">
        <x:v>0</x:v>
      </x:c>
      <x:c r="E32" s="18" t="n">
        <x:v>8194906.2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638</x:v>
      </x:c>
      <x:c r="C2" s="18" t="n">
        <x:v>24830314.52</x:v>
      </x:c>
      <x:c r="D2" s="18" t="n">
        <x:v>24830314.52</x:v>
      </x:c>
    </x:row>
    <x:row r="3">
      <x:c r="A3" s="17" t="str">
        <x:v>Fixed Assets</x:v>
      </x:c>
      <x:c r="B3" s="18" t="n">
        <x:v>12</x:v>
      </x:c>
      <x:c r="C3" s="18" t="n">
        <x:v>2913299.93</x:v>
      </x:c>
      <x:c r="D3" s="18" t="n">
        <x:v>2913299.93</x:v>
      </x:c>
    </x:row>
    <x:row r="4">
      <x:c r="A4" s="17" t="str">
        <x:v>Manufacturing</x:v>
      </x:c>
      <x:c r="B4" s="18" t="n">
        <x:v>32</x:v>
      </x:c>
      <x:c r="C4" s="18" t="n">
        <x:v>34656897.39</x:v>
      </x:c>
      <x:c r="D4" s="18" t="n">
        <x:v>34656897.39</x:v>
      </x:c>
    </x:row>
    <x:row r="5">
      <x:c r="A5" s="17" t="str">
        <x:v>Order to Cash</x:v>
      </x:c>
      <x:c r="B5" s="18" t="n">
        <x:v>1354</x:v>
      </x:c>
      <x:c r="C5" s="18" t="n">
        <x:v>45731160.81</x:v>
      </x:c>
      <x:c r="D5" s="18" t="n">
        <x:v>45731160.81</x:v>
      </x:c>
    </x:row>
    <x:row r="6">
      <x:c r="A6" s="17" t="str">
        <x:v>Payroll</x:v>
      </x:c>
      <x:c r="B6" s="18" t="n">
        <x:v>9</x:v>
      </x:c>
      <x:c r="C6" s="18" t="n">
        <x:v>6418014.08</x:v>
      </x:c>
      <x:c r="D6" s="18" t="n">
        <x:v>6418014.08</x:v>
      </x:c>
    </x:row>
    <x:row r="7">
      <x:c r="A7" s="17" t="str">
        <x:v>Procure to Pay</x:v>
      </x:c>
      <x:c r="B7" s="18" t="n">
        <x:v>1455</x:v>
      </x:c>
      <x:c r="C7" s="18" t="n">
        <x:v>7363425.3</x:v>
      </x:c>
      <x:c r="D7" s="18" t="n">
        <x:v>7363425.3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976</x:v>
      </x:c>
      <x:c r="C9" s="18" t="n">
        <x:v>6572017.57</x:v>
      </x:c>
      <x:c r="D9" s="18" t="n">
        <x:v>6572017.57</x:v>
      </x:c>
    </x:row>
  </x:sheetData>
  <x:pageMargins left="0.7" right="0.7" top="0.75" bottom="0.75" header="0.3" footer="0.3"/>
</x:worksheet>
</file>