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2026-04 Monthly Close Binder</x:v>
      </x:c>
      <x:c r="B1" s="3" t="str">
        <x:v>2026-04 Monthly Close Binder</x:v>
      </x:c>
      <x:c r="C1" s="3" t="str">
        <x:v>2026-04 Monthly Close Binder</x:v>
      </x:c>
      <x:c r="D1" s="3" t="str">
        <x:v>2026-04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2026-04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21113210.72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4803540.3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17730127.39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10182.35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172340.41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963393.97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749306.42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2247919.27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749306.42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1959260.92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642262.65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1696889591.21</x:v>
      </x:c>
      <x:c r="D2" s="18" t="n">
        <x:v>1701756598.54</x:v>
      </x:c>
      <x:c r="E2" s="18" t="n">
        <x:v>-4867007.33</x:v>
      </x:c>
    </x:row>
    <x:row r="3">
      <x:c r="A3" s="17" t="str">
        <x:v>1100</x:v>
      </x:c>
      <x:c r="B3" s="17" t="str">
        <x:v>Accounts Receivable</x:v>
      </x:c>
      <x:c r="C3" s="18" t="n">
        <x:v>668044199.54</x:v>
      </x:c>
      <x:c r="D3" s="18" t="n">
        <x:v>629306091.29</x:v>
      </x:c>
      <x:c r="E3" s="18" t="n">
        <x:v>38738108.25</x:v>
      </x:c>
    </x:row>
    <x:row r="4">
      <x:c r="A4" s="17" t="str">
        <x:v>1200</x:v>
      </x:c>
      <x:c r="B4" s="17" t="str">
        <x:v>Raw Material Inventory</x:v>
      </x:c>
      <x:c r="C4" s="18" t="n">
        <x:v>508991067</x:v>
      </x:c>
      <x:c r="D4" s="18" t="n">
        <x:v>446282382.42</x:v>
      </x:c>
      <x:c r="E4" s="18" t="n">
        <x:v>62708684.58</x:v>
      </x:c>
    </x:row>
    <x:row r="5">
      <x:c r="A5" s="17" t="str">
        <x:v>1210</x:v>
      </x:c>
      <x:c r="B5" s="17" t="str">
        <x:v>Work in Process Inventory</x:v>
      </x:c>
      <x:c r="C5" s="18" t="n">
        <x:v>477615349.72</x:v>
      </x:c>
      <x:c r="D5" s="18" t="n">
        <x:v>476694490.28</x:v>
      </x:c>
      <x:c r="E5" s="18" t="n">
        <x:v>920859.44</x:v>
      </x:c>
    </x:row>
    <x:row r="6">
      <x:c r="A6" s="17" t="str">
        <x:v>1220</x:v>
      </x:c>
      <x:c r="B6" s="17" t="str">
        <x:v>Finished Goods Inventory</x:v>
      </x:c>
      <x:c r="C6" s="18" t="n">
        <x:v>407524206.75</x:v>
      </x:c>
      <x:c r="D6" s="18" t="n">
        <x:v>357765990.99</x:v>
      </x:c>
      <x:c r="E6" s="18" t="n">
        <x:v>49758215.76</x:v>
      </x:c>
    </x:row>
    <x:row r="7">
      <x:c r="A7" s="17" t="str">
        <x:v>1230</x:v>
      </x:c>
      <x:c r="B7" s="17" t="str">
        <x:v>Aftermarket Inventory</x:v>
      </x:c>
      <x:c r="C7" s="18" t="n">
        <x:v>113326589.33</x:v>
      </x:c>
      <x:c r="D7" s="18" t="n">
        <x:v>92336873.15</x:v>
      </x:c>
      <x:c r="E7" s="18" t="n">
        <x:v>20989716.18</x:v>
      </x:c>
    </x:row>
    <x:row r="8">
      <x:c r="A8" s="17" t="str">
        <x:v>1500</x:v>
      </x:c>
      <x:c r="B8" s="17" t="str">
        <x:v>Machinery &amp; Equipment</x:v>
      </x:c>
      <x:c r="C8" s="18" t="n">
        <x:v>157184000</x:v>
      </x:c>
      <x:c r="D8" s="18" t="n">
        <x:v>0</x:v>
      </x:c>
      <x:c r="E8" s="18" t="n">
        <x:v>157184000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292410255.4</x:v>
      </x:c>
      <x:c r="E11" s="18" t="n">
        <x:v>-292410255.4</x:v>
      </x:c>
    </x:row>
    <x:row r="12">
      <x:c r="A12" s="17" t="str">
        <x:v>2000</x:v>
      </x:c>
      <x:c r="B12" s="17" t="str">
        <x:v>Accounts Payable</x:v>
      </x:c>
      <x:c r="C12" s="18" t="n">
        <x:v>176765910.29</x:v>
      </x:c>
      <x:c r="D12" s="18" t="n">
        <x:v>184760160.3</x:v>
      </x:c>
      <x:c r="E12" s="18" t="n">
        <x:v>-7994250.01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75000000</x:v>
      </x:c>
      <x:c r="D17" s="18" t="n">
        <x:v>115196005.49</x:v>
      </x:c>
      <x:c r="E17" s="18" t="n">
        <x:v>-40196005.49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1435516364.21</x:v>
      </x:c>
      <x:c r="E18" s="18" t="n">
        <x:v>-1435516364.21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137061335.25</x:v>
      </x:c>
      <x:c r="E19" s="18" t="n">
        <x:v>-137061335.25</x:v>
      </x:c>
    </x:row>
    <x:row r="20">
      <x:c r="A20" s="17" t="str">
        <x:v>5000</x:v>
      </x:c>
      <x:c r="B20" s="17" t="str">
        <x:v>Material Cost of Sales</x:v>
      </x:c>
      <x:c r="C20" s="18" t="n">
        <x:v>1079752449.14</x:v>
      </x:c>
      <x:c r="D20" s="18" t="n">
        <x:v>0</x:v>
      </x:c>
      <x:c r="E20" s="18" t="n">
        <x:v>1079752449.14</x:v>
      </x:c>
    </x:row>
    <x:row r="21">
      <x:c r="A21" s="17" t="str">
        <x:v>5100</x:v>
      </x:c>
      <x:c r="B21" s="17" t="str">
        <x:v>Purchase Price Variance</x:v>
      </x:c>
      <x:c r="C21" s="18" t="n">
        <x:v>3720200.6</x:v>
      </x:c>
      <x:c r="D21" s="18" t="n">
        <x:v>3335244.42</x:v>
      </x:c>
      <x:c r="E21" s="18" t="n">
        <x:v>384956.18</x:v>
      </x:c>
    </x:row>
    <x:row r="22">
      <x:c r="A22" s="17" t="str">
        <x:v>5110</x:v>
      </x:c>
      <x:c r="B22" s="17" t="str">
        <x:v>Material Usage Variance</x:v>
      </x:c>
      <x:c r="C22" s="18" t="n">
        <x:v>4102543.81</x:v>
      </x:c>
      <x:c r="D22" s="18" t="n">
        <x:v>483504.51</x:v>
      </x:c>
      <x:c r="E22" s="18" t="n">
        <x:v>3619039.3</x:v>
      </x:c>
    </x:row>
    <x:row r="23">
      <x:c r="A23" s="17" t="str">
        <x:v>5200</x:v>
      </x:c>
      <x:c r="B23" s="17" t="str">
        <x:v>Direct Labor Clearing</x:v>
      </x:c>
      <x:c r="C23" s="18" t="n">
        <x:v>14287474.87</x:v>
      </x:c>
      <x:c r="D23" s="18" t="n">
        <x:v>14287474.8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5150685.24</x:v>
      </x:c>
      <x:c r="D24" s="18" t="n">
        <x:v>5150685.24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11411302.68</x:v>
      </x:c>
      <x:c r="D25" s="18" t="n">
        <x:v>11411302.68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16487088.97</x:v>
      </x:c>
      <x:c r="D26" s="18" t="n">
        <x:v>0</x:v>
      </x:c>
      <x:c r="E26" s="18" t="n">
        <x:v>16487088.97</x:v>
      </x:c>
    </x:row>
    <x:row r="27">
      <x:c r="A27" s="17" t="str">
        <x:v>6100</x:v>
      </x:c>
      <x:c r="B27" s="17" t="str">
        <x:v>Research &amp; Development</x:v>
      </x:c>
      <x:c r="C27" s="18" t="n">
        <x:v>12823291.43</x:v>
      </x:c>
      <x:c r="D27" s="18" t="n">
        <x:v>0</x:v>
      </x:c>
      <x:c r="E27" s="18" t="n">
        <x:v>12823291.43</x:v>
      </x:c>
    </x:row>
    <x:row r="28">
      <x:c r="A28" s="17" t="str">
        <x:v>6200</x:v>
      </x:c>
      <x:c r="B28" s="17" t="str">
        <x:v>General &amp; Administrative</x:v>
      </x:c>
      <x:c r="C28" s="18" t="n">
        <x:v>199530705.2</x:v>
      </x:c>
      <x:c r="D28" s="18" t="n">
        <x:v>0</x:v>
      </x:c>
      <x:c r="E28" s="18" t="n">
        <x:v>199530705.2</x:v>
      </x:c>
    </x:row>
    <x:row r="29">
      <x:c r="A29" s="17" t="str">
        <x:v>6300</x:v>
      </x:c>
      <x:c r="B29" s="17" t="str">
        <x:v>Distribution &amp; Service</x:v>
      </x:c>
      <x:c r="C29" s="18" t="n">
        <x:v>12823291.43</x:v>
      </x:c>
      <x:c r="D29" s="18" t="n">
        <x:v>0</x:v>
      </x:c>
      <x:c r="E29" s="18" t="n">
        <x:v>12823291.43</x:v>
      </x:c>
    </x:row>
    <x:row r="30">
      <x:c r="A30" s="17" t="str">
        <x:v>6400</x:v>
      </x:c>
      <x:c r="B30" s="17" t="str">
        <x:v>Depreciation &amp; Amortization</x:v>
      </x:c>
      <x:c r="C30" s="18" t="n">
        <x:v>172972260.89</x:v>
      </x:c>
      <x:c r="D30" s="18" t="n">
        <x:v>0</x:v>
      </x:c>
      <x:c r="E30" s="18" t="n">
        <x:v>172972260.89</x:v>
      </x:c>
    </x:row>
    <x:row r="31">
      <x:c r="A31" s="17" t="str">
        <x:v>6500</x:v>
      </x:c>
      <x:c r="B31" s="17" t="str">
        <x:v>Maintenance Expense</x:v>
      </x:c>
      <x:c r="C31" s="18" t="n">
        <x:v>10991392.63</x:v>
      </x:c>
      <x:c r="D31" s="18" t="n">
        <x:v>0</x:v>
      </x:c>
      <x:c r="E31" s="18" t="n">
        <x:v>10991392.63</x:v>
      </x:c>
    </x:row>
    <x:row r="32">
      <x:c r="A32" s="17" t="str">
        <x:v>7000</x:v>
      </x:c>
      <x:c r="B32" s="17" t="str">
        <x:v>Interest Expense</x:v>
      </x:c>
      <x:c r="C32" s="18" t="n">
        <x:v>15297158.24</x:v>
      </x:c>
      <x:c r="D32" s="18" t="n">
        <x:v>0</x:v>
      </x:c>
      <x:c r="E32" s="18" t="n">
        <x:v>15297158.24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616</x:v>
      </x:c>
      <x:c r="C2" s="18" t="n">
        <x:v>25004929.12</x:v>
      </x:c>
      <x:c r="D2" s="18" t="n">
        <x:v>25004929.12</x:v>
      </x:c>
    </x:row>
    <x:row r="3">
      <x:c r="A3" s="17" t="str">
        <x:v>Fixed Assets</x:v>
      </x:c>
      <x:c r="B3" s="18" t="n">
        <x:v>8</x:v>
      </x:c>
      <x:c r="C3" s="18" t="n">
        <x:v>1959260.92</x:v>
      </x:c>
      <x:c r="D3" s="18" t="n">
        <x:v>1959260.92</x:v>
      </x:c>
    </x:row>
    <x:row r="4">
      <x:c r="A4" s="17" t="str">
        <x:v>Manufacturing</x:v>
      </x:c>
      <x:c r="B4" s="18" t="n">
        <x:v>32</x:v>
      </x:c>
      <x:c r="C4" s="18" t="n">
        <x:v>33937696.23</x:v>
      </x:c>
      <x:c r="D4" s="18" t="n">
        <x:v>33937696.23</x:v>
      </x:c>
    </x:row>
    <x:row r="5">
      <x:c r="A5" s="17" t="str">
        <x:v>Order to Cash</x:v>
      </x:c>
      <x:c r="B5" s="18" t="n">
        <x:v>1300</x:v>
      </x:c>
      <x:c r="C5" s="18" t="n">
        <x:v>43646878.41</x:v>
      </x:c>
      <x:c r="D5" s="18" t="n">
        <x:v>43646878.41</x:v>
      </x:c>
    </x:row>
    <x:row r="6">
      <x:c r="A6" s="17" t="str">
        <x:v>Payroll</x:v>
      </x:c>
      <x:c r="B6" s="18" t="n">
        <x:v>9</x:v>
      </x:c>
      <x:c r="C6" s="18" t="n">
        <x:v>6422784.93</x:v>
      </x:c>
      <x:c r="D6" s="18" t="n">
        <x:v>6422784.93</x:v>
      </x:c>
    </x:row>
    <x:row r="7">
      <x:c r="A7" s="17" t="str">
        <x:v>Procure to Pay</x:v>
      </x:c>
      <x:c r="B7" s="18" t="n">
        <x:v>1401</x:v>
      </x:c>
      <x:c r="C7" s="18" t="n">
        <x:v>6923553.23</x:v>
      </x:c>
      <x:c r="D7" s="18" t="n">
        <x:v>6923553.23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938</x:v>
      </x:c>
      <x:c r="C9" s="18" t="n">
        <x:v>6939048.96</x:v>
      </x:c>
      <x:c r="D9" s="18" t="n">
        <x:v>6939048.96</x:v>
      </x:c>
    </x:row>
  </x:sheetData>
  <x:pageMargins left="0.7" right="0.7" top="0.75" bottom="0.75" header="0.3" footer="0.3"/>
</x:worksheet>
</file>