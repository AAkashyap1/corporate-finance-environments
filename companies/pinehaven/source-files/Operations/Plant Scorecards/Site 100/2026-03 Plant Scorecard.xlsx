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100 Plant Scorecard</x:v>
      </x:c>
      <x:c r="B1" s="3" t="str">
        <x:v>Site 100 Plant Scorecard</x:v>
      </x:c>
      <x:c r="C1" s="3" t="str">
        <x:v>Site 100 Plant Scorecard</x:v>
      </x:c>
      <x:c r="D1" s="3" t="str">
        <x:v>Site 100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2026-03</x:v>
      </x:c>
      <x:c r="C3" s="10"/>
      <x:c r="D3" s="10"/>
    </x:row>
    <x:row r="4">
      <x:c r="A4" s="9" t="str">
        <x:v>Prepared by</x:v>
      </x:c>
      <x:c r="B4" s="10" t="str">
        <x:v>Plant 100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5</x:v>
      </x:c>
      <x:c r="C11" s="23" t="n">
        <x:f>MAX(0,COUNTA('Production'!A2:A6))</x:f>
        <x:v>5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84</x:v>
      </x:c>
      <x:c r="C2" s="18" t="n">
        <x:v>1081.42</x:v>
      </x:c>
      <x:c r="D2" s="18" t="n">
        <x:v>17.58</x:v>
      </x:c>
      <x:c r="E2" s="18" t="n">
        <x:v>1933839.92</x:v>
      </x:c>
      <x:c r="F2" s="18" t="n">
        <x:v>37090.34</x:v>
      </x:c>
    </x:row>
    <x:row r="3">
      <x:c r="A3" s="17" t="str">
        <x:v>AFT</x:v>
      </x:c>
      <x:c r="B3" s="18" t="n">
        <x:v>118</x:v>
      </x:c>
      <x:c r="C3" s="18" t="n">
        <x:v>1694.43</x:v>
      </x:c>
      <x:c r="D3" s="18" t="n">
        <x:v>25.57</x:v>
      </x:c>
      <x:c r="E3" s="18" t="n">
        <x:v>1719967.67</x:v>
      </x:c>
      <x:c r="F3" s="18" t="n">
        <x:v>31770.26</x:v>
      </x:c>
    </x:row>
    <x:row r="4">
      <x:c r="A4" s="17" t="str">
        <x:v>ACT</x:v>
      </x:c>
      <x:c r="B4" s="18" t="n">
        <x:v>88</x:v>
      </x:c>
      <x:c r="C4" s="18" t="n">
        <x:v>1162.91</x:v>
      </x:c>
      <x:c r="D4" s="18" t="n">
        <x:v>17.09</x:v>
      </x:c>
      <x:c r="E4" s="18" t="n">
        <x:v>1544804.76</x:v>
      </x:c>
      <x:c r="F4" s="18" t="n">
        <x:v>41757.11</x:v>
      </x:c>
    </x:row>
    <x:row r="5">
      <x:c r="A5" s="17" t="str">
        <x:v>Subassembly</x:v>
      </x:c>
      <x:c r="B5" s="18" t="n">
        <x:v>96</x:v>
      </x:c>
      <x:c r="C5" s="18" t="n">
        <x:v>1283.2</x:v>
      </x:c>
      <x:c r="D5" s="18" t="n">
        <x:v>19.8</x:v>
      </x:c>
      <x:c r="E5" s="18" t="n">
        <x:v>906696.21</x:v>
      </x:c>
      <x:c r="F5" s="18" t="n">
        <x:v>-44406.73</x:v>
      </x:c>
    </x:row>
    <x:row r="6">
      <x:c r="A6" s="17" t="str">
        <x:v>SYS</x:v>
      </x:c>
      <x:c r="B6" s="18" t="n">
        <x:v>42</x:v>
      </x:c>
      <x:c r="C6" s="18" t="n">
        <x:v>554.86</x:v>
      </x:c>
      <x:c r="D6" s="18" t="n">
        <x:v>7.14</x:v>
      </x:c>
      <x:c r="E6" s="18" t="n">
        <x:v>744632.78</x:v>
      </x:c>
      <x:c r="F6" s="18" t="n">
        <x:v>17274.66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8</x:v>
      </x:c>
      <x:c r="C2" s="18" t="n">
        <x:v>40</x:v>
      </x:c>
      <x:c r="D2" s="18" t="n">
        <x:v>0</x:v>
      </x:c>
      <x:c r="E2" s="1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Preventive</x:v>
      </x:c>
      <x:c r="B2" s="18" t="n">
        <x:v>12</x:v>
      </x:c>
      <x:c r="C2" s="18" t="n">
        <x:v>0</x:v>
      </x:c>
      <x:c r="D2" s="18" t="n">
        <x:v>48695</x:v>
      </x:c>
    </x:row>
    <x:row r="3">
      <x:c r="A3" s="17" t="str">
        <x:v>Inspection</x:v>
      </x:c>
      <x:c r="B3" s="18" t="n">
        <x:v>9</x:v>
      </x:c>
      <x:c r="C3" s="18" t="n">
        <x:v>0</x:v>
      </x:c>
      <x:c r="D3" s="18" t="n">
        <x:v>34470</x:v>
      </x:c>
    </x:row>
    <x:row r="4">
      <x:c r="A4" s="17" t="str">
        <x:v>Calibration</x:v>
      </x:c>
      <x:c r="B4" s="18" t="n">
        <x:v>6</x:v>
      </x:c>
      <x:c r="C4" s="18" t="n">
        <x:v>39.75</x:v>
      </x:c>
      <x:c r="D4" s="18" t="n">
        <x:v>22505</x:v>
      </x:c>
    </x:row>
    <x:row r="5">
      <x:c r="A5" s="17" t="str">
        <x:v>Corrective</x:v>
      </x:c>
      <x:c r="B5" s="18" t="n">
        <x:v>6</x:v>
      </x:c>
      <x:c r="C5" s="18" t="n">
        <x:v>48.75</x:v>
      </x:c>
      <x:c r="D5" s="18" t="n">
        <x:v>22460</x:v>
      </x:c>
    </x:row>
  </x:sheetData>
  <x:pageMargins left="0.7" right="0.7" top="0.75" bottom="0.75" header="0.3" footer="0.3"/>
</x:worksheet>
</file>