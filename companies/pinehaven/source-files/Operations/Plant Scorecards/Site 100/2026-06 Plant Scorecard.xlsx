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100 Plant Scorecard</x:v>
      </x:c>
      <x:c r="B1" s="3" t="str">
        <x:v>Site 100 Plant Scorecard</x:v>
      </x:c>
      <x:c r="C1" s="3" t="str">
        <x:v>Site 100 Plant Scorecard</x:v>
      </x:c>
      <x:c r="D1" s="3" t="str">
        <x:v>Site 100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2026-06</x:v>
      </x:c>
      <x:c r="C3" s="10"/>
      <x:c r="D3" s="10"/>
    </x:row>
    <x:row r="4">
      <x:c r="A4" s="9" t="str">
        <x:v>Prepared by</x:v>
      </x:c>
      <x:c r="B4" s="10" t="str">
        <x:v>Plant 100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June pre-close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5</x:v>
      </x:c>
      <x:c r="C11" s="23" t="n">
        <x:f>MAX(0,COUNTA('Production'!A2:A6))</x:f>
        <x:v>5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81</x:v>
      </x:c>
      <x:c r="C2" s="18" t="n">
        <x:v>818.79</x:v>
      </x:c>
      <x:c r="D2" s="18" t="n">
        <x:v>10.63</x:v>
      </x:c>
      <x:c r="E2" s="18" t="n">
        <x:v>1280737.03</x:v>
      </x:c>
      <x:c r="F2" s="18" t="n">
        <x:v>205075</x:v>
      </x:c>
    </x:row>
    <x:row r="3">
      <x:c r="A3" s="17" t="str">
        <x:v>ACT</x:v>
      </x:c>
      <x:c r="B3" s="18" t="n">
        <x:v>83</x:v>
      </x:c>
      <x:c r="C3" s="18" t="n">
        <x:v>857.73</x:v>
      </x:c>
      <x:c r="D3" s="18" t="n">
        <x:v>11.4</x:v>
      </x:c>
      <x:c r="E3" s="18" t="n">
        <x:v>1233919.67</x:v>
      </x:c>
      <x:c r="F3" s="18" t="n">
        <x:v>197413.15</x:v>
      </x:c>
    </x:row>
    <x:row r="4">
      <x:c r="A4" s="17" t="str">
        <x:v>AFT</x:v>
      </x:c>
      <x:c r="B4" s="18" t="n">
        <x:v>112</x:v>
      </x:c>
      <x:c r="C4" s="18" t="n">
        <x:v>1263.61</x:v>
      </x:c>
      <x:c r="D4" s="18" t="n">
        <x:v>18.88</x:v>
      </x:c>
      <x:c r="E4" s="18" t="n">
        <x:v>1181823.53</x:v>
      </x:c>
      <x:c r="F4" s="18" t="n">
        <x:v>168705.42</x:v>
      </x:c>
    </x:row>
    <x:row r="5">
      <x:c r="A5" s="17" t="str">
        <x:v>Subassembly</x:v>
      </x:c>
      <x:c r="B5" s="18" t="n">
        <x:v>92</x:v>
      </x:c>
      <x:c r="C5" s="18" t="n">
        <x:v>1062.33</x:v>
      </x:c>
      <x:c r="D5" s="18" t="n">
        <x:v>15.27</x:v>
      </x:c>
      <x:c r="E5" s="18" t="n">
        <x:v>745968.52</x:v>
      </x:c>
      <x:c r="F5" s="18" t="n">
        <x:v>4476.61</x:v>
      </x:c>
    </x:row>
    <x:row r="6">
      <x:c r="A6" s="17" t="str">
        <x:v>SYS</x:v>
      </x:c>
      <x:c r="B6" s="18" t="n">
        <x:v>42</x:v>
      </x:c>
      <x:c r="C6" s="18" t="n">
        <x:v>439.96</x:v>
      </x:c>
      <x:c r="D6" s="18" t="n">
        <x:v>6.72</x:v>
      </x:c>
      <x:c r="E6" s="18" t="n">
        <x:v>714860.51</x:v>
      </x:c>
      <x:c r="F6" s="18" t="n">
        <x:v>112940.88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9</x:v>
      </x:c>
      <x:c r="C2" s="18" t="n">
        <x:v>45</x:v>
      </x:c>
      <x:c r="D2" s="18" t="n">
        <x:v>0</x:v>
      </x:c>
      <x:c r="E2" s="1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Calibration</x:v>
      </x:c>
      <x:c r="B2" s="18" t="n">
        <x:v>9</x:v>
      </x:c>
      <x:c r="C2" s="18" t="n">
        <x:v>58.5</x:v>
      </x:c>
      <x:c r="D2" s="18" t="n">
        <x:v>38315</x:v>
      </x:c>
    </x:row>
    <x:row r="3">
      <x:c r="A3" s="17" t="str">
        <x:v>Corrective</x:v>
      </x:c>
      <x:c r="B3" s="18" t="n">
        <x:v>6</x:v>
      </x:c>
      <x:c r="C3" s="18" t="n">
        <x:v>44.25</x:v>
      </x:c>
      <x:c r="D3" s="18" t="n">
        <x:v>28430</x:v>
      </x:c>
    </x:row>
    <x:row r="4">
      <x:c r="A4" s="17" t="str">
        <x:v>Preventive</x:v>
      </x:c>
      <x:c r="B4" s="18" t="n">
        <x:v>6</x:v>
      </x:c>
      <x:c r="C4" s="18" t="n">
        <x:v>0</x:v>
      </x:c>
      <x:c r="D4" s="18" t="n">
        <x:v>25100</x:v>
      </x:c>
    </x:row>
    <x:row r="5">
      <x:c r="A5" s="17" t="str">
        <x:v>Inspection</x:v>
      </x:c>
      <x:c r="B5" s="18" t="n">
        <x:v>6</x:v>
      </x:c>
      <x:c r="C5" s="18" t="n">
        <x:v>0</x:v>
      </x:c>
      <x:c r="D5" s="18" t="n">
        <x:v>21625</x:v>
      </x:c>
    </x:row>
  </x:sheetData>
  <x:pageMargins left="0.7" right="0.7" top="0.75" bottom="0.75" header="0.3" footer="0.3"/>
</x:worksheet>
</file>