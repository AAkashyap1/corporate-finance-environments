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roduction" sheetId="2" r:id="rId5"/>
    <x:sheet xmlns:r="http://schemas.openxmlformats.org/officeDocument/2006/relationships" name="Quality" sheetId="3" r:id="rId6"/>
    <x:sheet xmlns:r="http://schemas.openxmlformats.org/officeDocument/2006/relationships" name="Maintenance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B7A78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Site 300 Plant Scorecard</x:v>
      </x:c>
      <x:c r="B1" s="3" t="str">
        <x:v>Site 300 Plant Scorecard</x:v>
      </x:c>
      <x:c r="C1" s="3" t="str">
        <x:v>Site 300 Plant Scorecard</x:v>
      </x:c>
      <x:c r="D1" s="3" t="str">
        <x:v>Site 300 Plant Scorecard</x:v>
      </x:c>
    </x:row>
    <x:row r="2">
      <x:c r="A2" s="6" t="str">
        <x:v>PINEHAVEN MOTION SYSTEMS  •  PLANT PERFORMANCE</x:v>
      </x:c>
      <x:c r="B2" s="6" t="str">
        <x:v>PINEHAVEN MOTION SYSTEMS  •  PLANT PERFORMANCE</x:v>
      </x:c>
      <x:c r="C2" s="6" t="str">
        <x:v>PINEHAVEN MOTION SYSTEMS  •  PLANT PERFORMANCE</x:v>
      </x:c>
      <x:c r="D2" s="6" t="str">
        <x:v>PINEHAVEN MOTION SYSTEMS  •  PLANT PERFORMANCE</x:v>
      </x:c>
    </x:row>
    <x:row r="3">
      <x:c r="A3" s="9" t="str">
        <x:v>Period / As of</x:v>
      </x:c>
      <x:c r="B3" s="10" t="str">
        <x:v>2026-05</x:v>
      </x:c>
      <x:c r="C3" s="10"/>
      <x:c r="D3" s="10"/>
    </x:row>
    <x:row r="4">
      <x:c r="A4" s="9" t="str">
        <x:v>Prepared by</x:v>
      </x:c>
      <x:c r="B4" s="10" t="str">
        <x:v>Plant 300 Controller</x:v>
      </x:c>
      <x:c r="C4" s="10"/>
      <x:c r="D4" s="10"/>
    </x:row>
    <x:row r="5">
      <x:c r="A5" s="9" t="str">
        <x:v>Primary system</x:v>
      </x:c>
      <x:c r="B5" s="10" t="str">
        <x:v>ERP production, quality, and maintenance modules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Plant leadership and Operations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Production</x:v>
      </x:c>
      <x:c r="B11" s="23" t="n">
        <x:v>4</x:v>
      </x:c>
      <x:c r="C11" s="23" t="n">
        <x:f>MAX(0,COUNTA('Production'!A2:A5))</x:f>
        <x:v>4</x:v>
      </x:c>
      <x:c r="D11" s="22" t="str">
        <x:f>IF(B11=C11,"OK","CHECK")</x:f>
        <x:v>OK</x:v>
      </x:c>
    </x:row>
    <x:row r="12">
      <x:c r="A12" s="22" t="str">
        <x:v>Quality</x:v>
      </x:c>
      <x:c r="B12" s="23" t="n">
        <x:v>1</x:v>
      </x:c>
      <x:c r="C12" s="23" t="n">
        <x:f>MAX(0,COUNTA('Quality'!A2:A2))</x:f>
        <x:v>1</x:v>
      </x:c>
      <x:c r="D12" s="22" t="str">
        <x:f>IF(B12=C12,"OK","CHECK")</x:f>
        <x:v>OK</x:v>
      </x:c>
    </x:row>
    <x:row r="13">
      <x:c r="A13" s="22" t="str">
        <x:v>Maintenance</x:v>
      </x:c>
      <x:c r="B13" s="23" t="n">
        <x:v>4</x:v>
      </x:c>
      <x:c r="C13" s="23" t="n">
        <x:f>MAX(0,COUNTA('Maintenance'!A2:A5))</x:f>
        <x:v>4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3" hidden="0" customWidth="1"/>
    <x:col min="5" max="5" width="17" hidden="0" customWidth="1"/>
    <x:col min="6" max="6" width="16" hidden="0" customWidth="1"/>
  </x:cols>
  <x:sheetData>
    <x:row r="1">
      <x:c r="A1" s="15" t="str">
        <x:v>product_family</x:v>
      </x:c>
      <x:c r="B1" s="15" t="str">
        <x:v>production_orders</x:v>
      </x:c>
      <x:c r="C1" s="15" t="str">
        <x:v>completed_units</x:v>
      </x:c>
      <x:c r="D1" s="15" t="str">
        <x:v>scrap_units</x:v>
      </x:c>
      <x:c r="E1" s="15" t="str">
        <x:v>standard_output</x:v>
      </x:c>
      <x:c r="F1" s="15" t="str">
        <x:v>total_variance</x:v>
      </x:c>
    </x:row>
    <x:row r="2">
      <x:c r="A2" s="17" t="str">
        <x:v>CTL</x:v>
      </x:c>
      <x:c r="B2" s="18" t="n">
        <x:v>118</x:v>
      </x:c>
      <x:c r="C2" s="18" t="n">
        <x:v>1713.44</x:v>
      </x:c>
      <x:c r="D2" s="18" t="n">
        <x:v>25.56</x:v>
      </x:c>
      <x:c r="E2" s="18" t="n">
        <x:v>2912165.15</x:v>
      </x:c>
      <x:c r="F2" s="18" t="n">
        <x:v>29465.37</x:v>
      </x:c>
    </x:row>
    <x:row r="3">
      <x:c r="A3" s="17" t="str">
        <x:v>SYS</x:v>
      </x:c>
      <x:c r="B3" s="18" t="n">
        <x:v>42</x:v>
      </x:c>
      <x:c r="C3" s="18" t="n">
        <x:v>688.87</x:v>
      </x:c>
      <x:c r="D3" s="18" t="n">
        <x:v>10.13</x:v>
      </x:c>
      <x:c r="E3" s="18" t="n">
        <x:v>1243338.88</x:v>
      </x:c>
      <x:c r="F3" s="18" t="n">
        <x:v>2631.32</x:v>
      </x:c>
    </x:row>
    <x:row r="4">
      <x:c r="A4" s="17" t="str">
        <x:v>AFT</x:v>
      </x:c>
      <x:c r="B4" s="18" t="n">
        <x:v>59</x:v>
      </x:c>
      <x:c r="C4" s="18" t="n">
        <x:v>851.46</x:v>
      </x:c>
      <x:c r="D4" s="18" t="n">
        <x:v>13.54</x:v>
      </x:c>
      <x:c r="E4" s="18" t="n">
        <x:v>1234519.56</x:v>
      </x:c>
      <x:c r="F4" s="18" t="n">
        <x:v>-7630.14</x:v>
      </x:c>
    </x:row>
    <x:row r="5">
      <x:c r="A5" s="17" t="str">
        <x:v>Subassembly</x:v>
      </x:c>
      <x:c r="B5" s="18" t="n">
        <x:v>95</x:v>
      </x:c>
      <x:c r="C5" s="18" t="n">
        <x:v>1344.13</x:v>
      </x:c>
      <x:c r="D5" s="18" t="n">
        <x:v>20.87</x:v>
      </x:c>
      <x:c r="E5" s="18" t="n">
        <x:v>845884.51</x:v>
      </x:c>
      <x:c r="F5" s="18" t="n">
        <x:v>21920.45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7" hidden="0" customWidth="1"/>
    <x:col min="5" max="5" width="10" hidden="0" customWidth="1"/>
  </x:cols>
  <x:sheetData>
    <x:row r="1">
      <x:c r="A1" s="15" t="str">
        <x:v>status</x:v>
      </x:c>
      <x:c r="B1" s="15" t="str">
        <x:v>quality_orders</x:v>
      </x:c>
      <x:c r="C1" s="15" t="str">
        <x:v>inspected_quantity</x:v>
      </x:c>
      <x:c r="D1" s="15" t="str">
        <x:v>failed_quantity</x:v>
      </x:c>
      <x:c r="E1" s="15" t="str">
        <x:v>exposure</x:v>
      </x:c>
    </x:row>
    <x:row r="2">
      <x:c r="A2" s="17" t="str">
        <x:v>Closed</x:v>
      </x:c>
      <x:c r="B2" s="18" t="n">
        <x:v>9</x:v>
      </x:c>
      <x:c r="C2" s="18" t="n">
        <x:v>180</x:v>
      </x:c>
      <x:c r="D2" s="18" t="n">
        <x:v>2</x:v>
      </x:c>
      <x:c r="E2" s="18" t="n">
        <x:v>900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0" hidden="0" customWidth="1"/>
  </x:cols>
  <x:sheetData>
    <x:row r="1">
      <x:c r="A1" s="15" t="str">
        <x:v>work_type</x:v>
      </x:c>
      <x:c r="B1" s="15" t="str">
        <x:v>work_orders</x:v>
      </x:c>
      <x:c r="C1" s="15" t="str">
        <x:v>downtime_hours</x:v>
      </x:c>
      <x:c r="D1" s="15" t="str">
        <x:v>cost</x:v>
      </x:c>
    </x:row>
    <x:row r="2">
      <x:c r="A2" s="17" t="str">
        <x:v>Inspection</x:v>
      </x:c>
      <x:c r="B2" s="18" t="n">
        <x:v>10</x:v>
      </x:c>
      <x:c r="C2" s="18" t="n">
        <x:v>0</x:v>
      </x:c>
      <x:c r="D2" s="18" t="n">
        <x:v>46320</x:v>
      </x:c>
    </x:row>
    <x:row r="3">
      <x:c r="A3" s="17" t="str">
        <x:v>Preventive</x:v>
      </x:c>
      <x:c r="B3" s="18" t="n">
        <x:v>9</x:v>
      </x:c>
      <x:c r="C3" s="18" t="n">
        <x:v>0</x:v>
      </x:c>
      <x:c r="D3" s="18" t="n">
        <x:v>35725</x:v>
      </x:c>
    </x:row>
    <x:row r="4">
      <x:c r="A4" s="17" t="str">
        <x:v>Calibration</x:v>
      </x:c>
      <x:c r="B4" s="18" t="n">
        <x:v>7</x:v>
      </x:c>
      <x:c r="C4" s="18" t="n">
        <x:v>42.25</x:v>
      </x:c>
      <x:c r="D4" s="18" t="n">
        <x:v>34465</x:v>
      </x:c>
    </x:row>
    <x:row r="5">
      <x:c r="A5" s="17" t="str">
        <x:v>Corrective</x:v>
      </x:c>
      <x:c r="B5" s="18" t="n">
        <x:v>6</x:v>
      </x:c>
      <x:c r="C5" s="18" t="n">
        <x:v>48.75</x:v>
      </x:c>
      <x:c r="D5" s="18" t="n">
        <x:v>27505</x:v>
      </x:c>
    </x:row>
  </x:sheetData>
  <x:pageMargins left="0.7" right="0.7" top="0.75" bottom="0.75" header="0.3" footer="0.3"/>
</x:worksheet>
</file>