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300 Plant Scorecard</x:v>
      </x:c>
      <x:c r="B1" s="3" t="str">
        <x:v>Site 300 Plant Scorecard</x:v>
      </x:c>
      <x:c r="C1" s="3" t="str">
        <x:v>Site 300 Plant Scorecard</x:v>
      </x:c>
      <x:c r="D1" s="3" t="str">
        <x:v>Site 300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2026-04</x:v>
      </x:c>
      <x:c r="C3" s="10"/>
      <x:c r="D3" s="10"/>
    </x:row>
    <x:row r="4">
      <x:c r="A4" s="9" t="str">
        <x:v>Prepared by</x:v>
      </x:c>
      <x:c r="B4" s="10" t="str">
        <x:v>Plant 300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4</x:v>
      </x:c>
      <x:c r="C11" s="23" t="n">
        <x:f>MAX(0,COUNTA('Production'!A2:A5))</x:f>
        <x:v>4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CTL</x:v>
      </x:c>
      <x:c r="B2" s="18" t="n">
        <x:v>111</x:v>
      </x:c>
      <x:c r="C2" s="18" t="n">
        <x:v>1633.06</x:v>
      </x:c>
      <x:c r="D2" s="18" t="n">
        <x:v>24.94</x:v>
      </x:c>
      <x:c r="E2" s="18" t="n">
        <x:v>3043397.41</x:v>
      </x:c>
      <x:c r="F2" s="18" t="n">
        <x:v>46263.86</x:v>
      </x:c>
    </x:row>
    <x:row r="3">
      <x:c r="A3" s="17" t="str">
        <x:v>AFT</x:v>
      </x:c>
      <x:c r="B3" s="18" t="n">
        <x:v>55</x:v>
      </x:c>
      <x:c r="C3" s="18" t="n">
        <x:v>802.2</x:v>
      </x:c>
      <x:c r="D3" s="18" t="n">
        <x:v>11.8</x:v>
      </x:c>
      <x:c r="E3" s="18" t="n">
        <x:v>1542049.73</x:v>
      </x:c>
      <x:c r="F3" s="18" t="n">
        <x:v>-16208.17</x:v>
      </x:c>
    </x:row>
    <x:row r="4">
      <x:c r="A4" s="17" t="str">
        <x:v>SYS</x:v>
      </x:c>
      <x:c r="B4" s="18" t="n">
        <x:v>43</x:v>
      </x:c>
      <x:c r="C4" s="18" t="n">
        <x:v>715.58</x:v>
      </x:c>
      <x:c r="D4" s="18" t="n">
        <x:v>12.43</x:v>
      </x:c>
      <x:c r="E4" s="18" t="n">
        <x:v>1359419.96</x:v>
      </x:c>
      <x:c r="F4" s="18" t="n">
        <x:v>23287.74</x:v>
      </x:c>
    </x:row>
    <x:row r="5">
      <x:c r="A5" s="17" t="str">
        <x:v>Subassembly</x:v>
      </x:c>
      <x:c r="B5" s="18" t="n">
        <x:v>92</x:v>
      </x:c>
      <x:c r="C5" s="18" t="n">
        <x:v>1207.39</x:v>
      </x:c>
      <x:c r="D5" s="18" t="n">
        <x:v>17.61</x:v>
      </x:c>
      <x:c r="E5" s="18" t="n">
        <x:v>790337.1</x:v>
      </x:c>
      <x:c r="F5" s="18" t="n">
        <x:v>22550.06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8</x:v>
      </x:c>
      <x:c r="C2" s="18" t="n">
        <x:v>160</x:v>
      </x:c>
      <x:c r="D2" s="18" t="n">
        <x:v>5</x:v>
      </x:c>
      <x:c r="E2" s="18" t="n">
        <x:v>7050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Preventive</x:v>
      </x:c>
      <x:c r="B2" s="18" t="n">
        <x:v>10</x:v>
      </x:c>
      <x:c r="C2" s="18" t="n">
        <x:v>0</x:v>
      </x:c>
      <x:c r="D2" s="18" t="n">
        <x:v>46595</x:v>
      </x:c>
    </x:row>
    <x:row r="3">
      <x:c r="A3" s="17" t="str">
        <x:v>Inspection</x:v>
      </x:c>
      <x:c r="B3" s="18" t="n">
        <x:v>10</x:v>
      </x:c>
      <x:c r="C3" s="18" t="n">
        <x:v>0</x:v>
      </x:c>
      <x:c r="D3" s="18" t="n">
        <x:v>39540</x:v>
      </x:c>
    </x:row>
    <x:row r="4">
      <x:c r="A4" s="17" t="str">
        <x:v>Corrective</x:v>
      </x:c>
      <x:c r="B4" s="18" t="n">
        <x:v>7</x:v>
      </x:c>
      <x:c r="C4" s="18" t="n">
        <x:v>44.5</x:v>
      </x:c>
      <x:c r="D4" s="18" t="n">
        <x:v>29915</x:v>
      </x:c>
    </x:row>
    <x:row r="5">
      <x:c r="A5" s="17" t="str">
        <x:v>Calibration</x:v>
      </x:c>
      <x:c r="B5" s="18" t="n">
        <x:v>7</x:v>
      </x:c>
      <x:c r="C5" s="18" t="n">
        <x:v>59.5</x:v>
      </x:c>
      <x:c r="D5" s="18" t="n">
        <x:v>27005</x:v>
      </x:c>
    </x:row>
  </x:sheetData>
  <x:pageMargins left="0.7" right="0.7" top="0.75" bottom="0.75" header="0.3" footer="0.3"/>
</x:worksheet>
</file>