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300 Plant Scorecard</x:v>
      </x:c>
      <x:c r="B1" s="3" t="str">
        <x:v>Site 300 Plant Scorecard</x:v>
      </x:c>
      <x:c r="C1" s="3" t="str">
        <x:v>Site 300 Plant Scorecard</x:v>
      </x:c>
      <x:c r="D1" s="3" t="str">
        <x:v>Site 300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2026-03</x:v>
      </x:c>
      <x:c r="C3" s="10"/>
      <x:c r="D3" s="10"/>
    </x:row>
    <x:row r="4">
      <x:c r="A4" s="9" t="str">
        <x:v>Prepared by</x:v>
      </x:c>
      <x:c r="B4" s="10" t="str">
        <x:v>Plant 300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4</x:v>
      </x:c>
      <x:c r="C11" s="23" t="n">
        <x:f>MAX(0,COUNTA('Production'!A2:A5))</x:f>
        <x:v>4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CTL</x:v>
      </x:c>
      <x:c r="B2" s="18" t="n">
        <x:v>115</x:v>
      </x:c>
      <x:c r="C2" s="18" t="n">
        <x:v>1686.47</x:v>
      </x:c>
      <x:c r="D2" s="18" t="n">
        <x:v>26.52</x:v>
      </x:c>
      <x:c r="E2" s="18" t="n">
        <x:v>2840030.37</x:v>
      </x:c>
      <x:c r="F2" s="18" t="n">
        <x:v>55356.85</x:v>
      </x:c>
    </x:row>
    <x:row r="3">
      <x:c r="A3" s="17" t="str">
        <x:v>SYS</x:v>
      </x:c>
      <x:c r="B3" s="18" t="n">
        <x:v>44</x:v>
      </x:c>
      <x:c r="C3" s="18" t="n">
        <x:v>704.74</x:v>
      </x:c>
      <x:c r="D3" s="18" t="n">
        <x:v>10.27</x:v>
      </x:c>
      <x:c r="E3" s="18" t="n">
        <x:v>1630136.05</x:v>
      </x:c>
      <x:c r="F3" s="18" t="n">
        <x:v>16537.5</x:v>
      </x:c>
    </x:row>
    <x:row r="4">
      <x:c r="A4" s="17" t="str">
        <x:v>AFT</x:v>
      </x:c>
      <x:c r="B4" s="18" t="n">
        <x:v>58</x:v>
      </x:c>
      <x:c r="C4" s="18" t="n">
        <x:v>862.83</x:v>
      </x:c>
      <x:c r="D4" s="18" t="n">
        <x:v>13.18</x:v>
      </x:c>
      <x:c r="E4" s="18" t="n">
        <x:v>1470151.26</x:v>
      </x:c>
      <x:c r="F4" s="18" t="n">
        <x:v>-857.21</x:v>
      </x:c>
    </x:row>
    <x:row r="5">
      <x:c r="A5" s="17" t="str">
        <x:v>Subassembly</x:v>
      </x:c>
      <x:c r="B5" s="18" t="n">
        <x:v>96</x:v>
      </x:c>
      <x:c r="C5" s="18" t="n">
        <x:v>1316.88</x:v>
      </x:c>
      <x:c r="D5" s="18" t="n">
        <x:v>20.12</x:v>
      </x:c>
      <x:c r="E5" s="18" t="n">
        <x:v>875175.09</x:v>
      </x:c>
      <x:c r="F5" s="18" t="n">
        <x:v>25252.99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9</x:v>
      </x:c>
      <x:c r="C2" s="18" t="n">
        <x:v>180</x:v>
      </x:c>
      <x:c r="D2" s="18" t="n">
        <x:v>4</x:v>
      </x:c>
      <x:c r="E2" s="18" t="n">
        <x:v>6300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Calibration</x:v>
      </x:c>
      <x:c r="B2" s="18" t="n">
        <x:v>15</x:v>
      </x:c>
      <x:c r="C2" s="18" t="n">
        <x:v>108.75</x:v>
      </x:c>
      <x:c r="D2" s="18" t="n">
        <x:v>72450</x:v>
      </x:c>
    </x:row>
    <x:row r="3">
      <x:c r="A3" s="17" t="str">
        <x:v>Corrective</x:v>
      </x:c>
      <x:c r="B3" s="18" t="n">
        <x:v>11</x:v>
      </x:c>
      <x:c r="C3" s="18" t="n">
        <x:v>81.5</x:v>
      </x:c>
      <x:c r="D3" s="18" t="n">
        <x:v>46395</x:v>
      </x:c>
    </x:row>
    <x:row r="4">
      <x:c r="A4" s="17" t="str">
        <x:v>Preventive</x:v>
      </x:c>
      <x:c r="B4" s="18" t="n">
        <x:v>7</x:v>
      </x:c>
      <x:c r="C4" s="18" t="n">
        <x:v>0</x:v>
      </x:c>
      <x:c r="D4" s="18" t="n">
        <x:v>36650</x:v>
      </x:c>
    </x:row>
    <x:row r="5">
      <x:c r="A5" s="17" t="str">
        <x:v>Inspection</x:v>
      </x:c>
      <x:c r="B5" s="18" t="n">
        <x:v>8</x:v>
      </x:c>
      <x:c r="C5" s="18" t="n">
        <x:v>0</x:v>
      </x:c>
      <x:c r="D5" s="18" t="n">
        <x:v>31140</x:v>
      </x:c>
    </x:row>
  </x:sheetData>
  <x:pageMargins left="0.7" right="0.7" top="0.75" bottom="0.75" header="0.3" footer="0.3"/>
</x:worksheet>
</file>