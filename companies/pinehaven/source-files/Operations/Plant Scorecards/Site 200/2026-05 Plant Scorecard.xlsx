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Production" sheetId="2" r:id="rId5"/>
    <x:sheet xmlns:r="http://schemas.openxmlformats.org/officeDocument/2006/relationships" name="Quality" sheetId="3" r:id="rId6"/>
    <x:sheet xmlns:r="http://schemas.openxmlformats.org/officeDocument/2006/relationships" name="Maintenance" sheetId="4" r:id="r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B7A78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Site 200 Plant Scorecard</x:v>
      </x:c>
      <x:c r="B1" s="3" t="str">
        <x:v>Site 200 Plant Scorecard</x:v>
      </x:c>
      <x:c r="C1" s="3" t="str">
        <x:v>Site 200 Plant Scorecard</x:v>
      </x:c>
      <x:c r="D1" s="3" t="str">
        <x:v>Site 200 Plant Scorecard</x:v>
      </x:c>
    </x:row>
    <x:row r="2">
      <x:c r="A2" s="6" t="str">
        <x:v>PINEHAVEN MOTION SYSTEMS  •  PLANT PERFORMANCE</x:v>
      </x:c>
      <x:c r="B2" s="6" t="str">
        <x:v>PINEHAVEN MOTION SYSTEMS  •  PLANT PERFORMANCE</x:v>
      </x:c>
      <x:c r="C2" s="6" t="str">
        <x:v>PINEHAVEN MOTION SYSTEMS  •  PLANT PERFORMANCE</x:v>
      </x:c>
      <x:c r="D2" s="6" t="str">
        <x:v>PINEHAVEN MOTION SYSTEMS  •  PLANT PERFORMANCE</x:v>
      </x:c>
    </x:row>
    <x:row r="3">
      <x:c r="A3" s="9" t="str">
        <x:v>Period / As of</x:v>
      </x:c>
      <x:c r="B3" s="10" t="str">
        <x:v>2026-05</x:v>
      </x:c>
      <x:c r="C3" s="10"/>
      <x:c r="D3" s="10"/>
    </x:row>
    <x:row r="4">
      <x:c r="A4" s="9" t="str">
        <x:v>Prepared by</x:v>
      </x:c>
      <x:c r="B4" s="10" t="str">
        <x:v>Plant 200 Controller</x:v>
      </x:c>
      <x:c r="C4" s="10"/>
      <x:c r="D4" s="10"/>
    </x:row>
    <x:row r="5">
      <x:c r="A5" s="9" t="str">
        <x:v>Primary system</x:v>
      </x:c>
      <x:c r="B5" s="10" t="str">
        <x:v>ERP production, quality, and maintenance modules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Plant leadership and Operations Finance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Production</x:v>
      </x:c>
      <x:c r="B11" s="23" t="n">
        <x:v>3</x:v>
      </x:c>
      <x:c r="C11" s="23" t="n">
        <x:f>MAX(0,COUNTA('Production'!A2:A4))</x:f>
        <x:v>3</x:v>
      </x:c>
      <x:c r="D11" s="22" t="str">
        <x:f>IF(B11=C11,"OK","CHECK")</x:f>
        <x:v>OK</x:v>
      </x:c>
    </x:row>
    <x:row r="12">
      <x:c r="A12" s="22" t="str">
        <x:v>Quality</x:v>
      </x:c>
      <x:c r="B12" s="23" t="n">
        <x:v>1</x:v>
      </x:c>
      <x:c r="C12" s="23" t="n">
        <x:f>MAX(0,COUNTA('Quality'!A2:A2))</x:f>
        <x:v>1</x:v>
      </x:c>
      <x:c r="D12" s="22" t="str">
        <x:f>IF(B12=C12,"OK","CHECK")</x:f>
        <x:v>OK</x:v>
      </x:c>
    </x:row>
    <x:row r="13">
      <x:c r="A13" s="22" t="str">
        <x:v>Maintenance</x:v>
      </x:c>
      <x:c r="B13" s="23" t="n">
        <x:v>4</x:v>
      </x:c>
      <x:c r="C13" s="23" t="n">
        <x:f>MAX(0,COUNTA('Maintenance'!A2:A5))</x:f>
        <x:v>4</x:v>
      </x:c>
      <x:c r="D13" s="22" t="str">
        <x:f>IF(B13=C13,"OK","CHECK")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13" hidden="0" customWidth="1"/>
    <x:col min="5" max="5" width="17" hidden="0" customWidth="1"/>
    <x:col min="6" max="6" width="16" hidden="0" customWidth="1"/>
  </x:cols>
  <x:sheetData>
    <x:row r="1">
      <x:c r="A1" s="15" t="str">
        <x:v>product_family</x:v>
      </x:c>
      <x:c r="B1" s="15" t="str">
        <x:v>production_orders</x:v>
      </x:c>
      <x:c r="C1" s="15" t="str">
        <x:v>completed_units</x:v>
      </x:c>
      <x:c r="D1" s="15" t="str">
        <x:v>scrap_units</x:v>
      </x:c>
      <x:c r="E1" s="15" t="str">
        <x:v>standard_output</x:v>
      </x:c>
      <x:c r="F1" s="15" t="str">
        <x:v>total_variance</x:v>
      </x:c>
    </x:row>
    <x:row r="2">
      <x:c r="A2" s="17" t="str">
        <x:v>DRV</x:v>
      </x:c>
      <x:c r="B2" s="18" t="n">
        <x:v>84</x:v>
      </x:c>
      <x:c r="C2" s="18" t="n">
        <x:v>1349</x:v>
      </x:c>
      <x:c r="D2" s="18" t="n">
        <x:v>20</x:v>
      </x:c>
      <x:c r="E2" s="18" t="n">
        <x:v>1534856.26</x:v>
      </x:c>
      <x:c r="F2" s="18" t="n">
        <x:v>-5283.15</x:v>
      </x:c>
    </x:row>
    <x:row r="3">
      <x:c r="A3" s="17" t="str">
        <x:v>ACT</x:v>
      </x:c>
      <x:c r="B3" s="18" t="n">
        <x:v>88</x:v>
      </x:c>
      <x:c r="C3" s="18" t="n">
        <x:v>1410.53</x:v>
      </x:c>
      <x:c r="D3" s="18" t="n">
        <x:v>19.48</x:v>
      </x:c>
      <x:c r="E3" s="18" t="n">
        <x:v>1012040.71</x:v>
      </x:c>
      <x:c r="F3" s="18" t="n">
        <x:v>-25640.87</x:v>
      </x:c>
    </x:row>
    <x:row r="4">
      <x:c r="A4" s="17" t="str">
        <x:v>Subassembly</x:v>
      </x:c>
      <x:c r="B4" s="18" t="n">
        <x:v>98</x:v>
      </x:c>
      <x:c r="C4" s="18" t="n">
        <x:v>1352.92</x:v>
      </x:c>
      <x:c r="D4" s="18" t="n">
        <x:v>21.08</x:v>
      </x:c>
      <x:c r="E4" s="18" t="n">
        <x:v>771015.96</x:v>
      </x:c>
      <x:c r="F4" s="18" t="n">
        <x:v>11427.21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0" hidden="0" customWidth="1"/>
    <x:col min="4" max="4" width="17" hidden="0" customWidth="1"/>
    <x:col min="5" max="5" width="10" hidden="0" customWidth="1"/>
  </x:cols>
  <x:sheetData>
    <x:row r="1">
      <x:c r="A1" s="15" t="str">
        <x:v>status</x:v>
      </x:c>
      <x:c r="B1" s="15" t="str">
        <x:v>quality_orders</x:v>
      </x:c>
      <x:c r="C1" s="15" t="str">
        <x:v>inspected_quantity</x:v>
      </x:c>
      <x:c r="D1" s="15" t="str">
        <x:v>failed_quantity</x:v>
      </x:c>
      <x:c r="E1" s="15" t="str">
        <x:v>exposure</x:v>
      </x:c>
    </x:row>
    <x:row r="2">
      <x:c r="A2" s="17" t="str">
        <x:v>Closed</x:v>
      </x:c>
      <x:c r="B2" s="18" t="n">
        <x:v>8</x:v>
      </x:c>
      <x:c r="C2" s="18" t="n">
        <x:v>80</x:v>
      </x:c>
      <x:c r="D2" s="18" t="n">
        <x:v>0</x:v>
      </x:c>
      <x:c r="E2" s="18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10" hidden="0" customWidth="1"/>
  </x:cols>
  <x:sheetData>
    <x:row r="1">
      <x:c r="A1" s="15" t="str">
        <x:v>work_type</x:v>
      </x:c>
      <x:c r="B1" s="15" t="str">
        <x:v>work_orders</x:v>
      </x:c>
      <x:c r="C1" s="15" t="str">
        <x:v>downtime_hours</x:v>
      </x:c>
      <x:c r="D1" s="15" t="str">
        <x:v>cost</x:v>
      </x:c>
    </x:row>
    <x:row r="2">
      <x:c r="A2" s="17" t="str">
        <x:v>Preventive</x:v>
      </x:c>
      <x:c r="B2" s="18" t="n">
        <x:v>11</x:v>
      </x:c>
      <x:c r="C2" s="18" t="n">
        <x:v>0</x:v>
      </x:c>
      <x:c r="D2" s="18" t="n">
        <x:v>50675</x:v>
      </x:c>
    </x:row>
    <x:row r="3">
      <x:c r="A3" s="17" t="str">
        <x:v>Calibration</x:v>
      </x:c>
      <x:c r="B3" s="18" t="n">
        <x:v>10</x:v>
      </x:c>
      <x:c r="C3" s="18" t="n">
        <x:v>73</x:v>
      </x:c>
      <x:c r="D3" s="18" t="n">
        <x:v>40650</x:v>
      </x:c>
    </x:row>
    <x:row r="4">
      <x:c r="A4" s="17" t="str">
        <x:v>Corrective</x:v>
      </x:c>
      <x:c r="B4" s="18" t="n">
        <x:v>7</x:v>
      </x:c>
      <x:c r="C4" s="18" t="n">
        <x:v>38.5</x:v>
      </x:c>
      <x:c r="D4" s="18" t="n">
        <x:v>32140</x:v>
      </x:c>
    </x:row>
    <x:row r="5">
      <x:c r="A5" s="17" t="str">
        <x:v>Inspection</x:v>
      </x:c>
      <x:c r="B5" s="18" t="n">
        <x:v>7</x:v>
      </x:c>
      <x:c r="C5" s="18" t="n">
        <x:v>0</x:v>
      </x:c>
      <x:c r="D5" s="18" t="n">
        <x:v>27450</x:v>
      </x:c>
    </x:row>
  </x:sheetData>
  <x:pageMargins left="0.7" right="0.7" top="0.75" bottom="0.75" header="0.3" footer="0.3"/>
</x:worksheet>
</file>