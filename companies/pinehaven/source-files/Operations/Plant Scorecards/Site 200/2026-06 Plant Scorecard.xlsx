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Id4"/>
    <x:sheet xmlns:r="http://schemas.openxmlformats.org/officeDocument/2006/relationships" name="Production" sheetId="2" r:id="rId5"/>
    <x:sheet xmlns:r="http://schemas.openxmlformats.org/officeDocument/2006/relationships" name="Quality" sheetId="3" r:id="rId6"/>
    <x:sheet xmlns:r="http://schemas.openxmlformats.org/officeDocument/2006/relationships" name="Maintenance" sheetId="4" r:id="rI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"/>
    <x:numFmt numFmtId="201" formatCode="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63E4C"/>
      <x:name val="Carlito"/>
    </x:font>
    <x:font>
      <x:b/>
      <x:sz val="11"/>
      <x:color rgb="FF163E4C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B7A78"/>
      </x:patternFill>
    </x:fill>
    <x:fill>
      <x:patternFill patternType="solid">
        <x:fgColor rgb="FFF3F5F5"/>
      </x:patternFill>
    </x:fill>
    <x:fill>
      <x:patternFill patternType="solid">
        <x:fgColor rgb="FFE4EFF1"/>
      </x:patternFill>
    </x:fill>
  </x:fills>
  <x:borders count="3">
    <x:border/>
    <x:border>
      <x:left style="thin">
        <x:color rgb="FFC8D0D3"/>
      </x:left>
      <x:right style="thin">
        <x:color rgb="FFC8D0D3"/>
      </x:right>
      <x:top style="thin">
        <x:color rgb="FFC8D0D3"/>
      </x:top>
      <x:bottom style="thin">
        <x:color rgb="FFC8D0D3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0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0" fontId="4" fillId="2" borderId="1" xfId="0" applyNumberFormat="1" applyFont="1" applyFill="1" applyBorder="1"/>
    <x:xf numFmtId="201" fontId="0" fillId="0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sharedStrings" Target="/xl/sharedStrings.xml" Id="rId1" /><Relationship Type="http://schemas.openxmlformats.org/officeDocument/2006/relationships/worksheet" Target="/xl/worksheets/sheet1.xml" Id="rId4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6" /><Relationship Type="http://schemas.openxmlformats.org/officeDocument/2006/relationships/worksheet" Target="/xl/worksheets/sheet4.xml" Id="rI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2" hidden="0" customWidth="1"/>
  </x:cols>
  <x:sheetData>
    <x:row r="1" ht="32" customHeight="1">
      <x:c r="A1" s="3" t="str">
        <x:v>Site 200 Plant Scorecard</x:v>
      </x:c>
      <x:c r="B1" s="3" t="str">
        <x:v>Site 200 Plant Scorecard</x:v>
      </x:c>
      <x:c r="C1" s="3" t="str">
        <x:v>Site 200 Plant Scorecard</x:v>
      </x:c>
      <x:c r="D1" s="3" t="str">
        <x:v>Site 200 Plant Scorecard</x:v>
      </x:c>
    </x:row>
    <x:row r="2">
      <x:c r="A2" s="6" t="str">
        <x:v>PINEHAVEN MOTION SYSTEMS  •  PLANT PERFORMANCE</x:v>
      </x:c>
      <x:c r="B2" s="6" t="str">
        <x:v>PINEHAVEN MOTION SYSTEMS  •  PLANT PERFORMANCE</x:v>
      </x:c>
      <x:c r="C2" s="6" t="str">
        <x:v>PINEHAVEN MOTION SYSTEMS  •  PLANT PERFORMANCE</x:v>
      </x:c>
      <x:c r="D2" s="6" t="str">
        <x:v>PINEHAVEN MOTION SYSTEMS  •  PLANT PERFORMANCE</x:v>
      </x:c>
    </x:row>
    <x:row r="3">
      <x:c r="A3" s="9" t="str">
        <x:v>Period / As of</x:v>
      </x:c>
      <x:c r="B3" s="10" t="str">
        <x:v>2026-06</x:v>
      </x:c>
      <x:c r="C3" s="10"/>
      <x:c r="D3" s="10"/>
    </x:row>
    <x:row r="4">
      <x:c r="A4" s="9" t="str">
        <x:v>Prepared by</x:v>
      </x:c>
      <x:c r="B4" s="10" t="str">
        <x:v>Plant 200 Controller</x:v>
      </x:c>
      <x:c r="C4" s="10"/>
      <x:c r="D4" s="10"/>
    </x:row>
    <x:row r="5">
      <x:c r="A5" s="9" t="str">
        <x:v>Primary system</x:v>
      </x:c>
      <x:c r="B5" s="10" t="str">
        <x:v>ERP production, quality, and maintenance modules</x:v>
      </x:c>
      <x:c r="C5" s="10"/>
      <x:c r="D5" s="10"/>
    </x:row>
    <x:row r="6">
      <x:c r="A6" s="9" t="str">
        <x:v>Report status</x:v>
      </x:c>
      <x:c r="B6" s="10" t="str">
        <x:v>June pre-close</x:v>
      </x:c>
      <x:c r="C6" s="10"/>
      <x:c r="D6" s="10"/>
    </x:row>
    <x:row r="7">
      <x:c r="A7" s="9" t="str">
        <x:v>Distribution</x:v>
      </x:c>
      <x:c r="B7" s="10" t="str">
        <x:v>Plant leadership and Operations Finance</x:v>
      </x:c>
      <x:c r="C7" s="10"/>
      <x:c r="D7" s="10"/>
    </x:row>
    <x:row r="8">
      <x:c r="A8" s="9" t="str">
        <x:v>Last refreshed</x:v>
      </x:c>
      <x:c r="B8" s="10" t="str">
        <x:v>June 30, 2026</x:v>
      </x:c>
      <x:c r="C8" s="10"/>
      <x:c r="D8" s="10"/>
    </x:row>
    <x:row r="10">
      <x:c r="A10" s="21" t="str">
        <x:v>Worksheet</x:v>
      </x:c>
      <x:c r="B10" s="21" t="str">
        <x:v>Reported rows</x:v>
      </x:c>
      <x:c r="C10" s="21" t="str">
        <x:v>Counted rows</x:v>
      </x:c>
      <x:c r="D10" s="21" t="str">
        <x:v>Check</x:v>
      </x:c>
    </x:row>
    <x:row r="11">
      <x:c r="A11" s="22" t="str">
        <x:v>Production</x:v>
      </x:c>
      <x:c r="B11" s="23" t="n">
        <x:v>3</x:v>
      </x:c>
      <x:c r="C11" s="23" t="n">
        <x:f>MAX(0,COUNTA('Production'!A2:A4))</x:f>
        <x:v>3</x:v>
      </x:c>
      <x:c r="D11" s="22" t="str">
        <x:f>IF(B11=C11,"OK","CHECK")</x:f>
        <x:v>OK</x:v>
      </x:c>
    </x:row>
    <x:row r="12">
      <x:c r="A12" s="22" t="str">
        <x:v>Quality</x:v>
      </x:c>
      <x:c r="B12" s="23" t="n">
        <x:v>2</x:v>
      </x:c>
      <x:c r="C12" s="23" t="n">
        <x:f>MAX(0,COUNTA('Quality'!A2:A3))</x:f>
        <x:v>2</x:v>
      </x:c>
      <x:c r="D12" s="22" t="str">
        <x:f>IF(B12=C12,"OK","CHECK")</x:f>
        <x:v>OK</x:v>
      </x:c>
    </x:row>
    <x:row r="13">
      <x:c r="A13" s="22" t="str">
        <x:v>Maintenance</x:v>
      </x:c>
      <x:c r="B13" s="23" t="n">
        <x:v>4</x:v>
      </x:c>
      <x:c r="C13" s="23" t="n">
        <x:f>MAX(0,COUNTA('Maintenance'!A2:A5))</x:f>
        <x:v>4</x:v>
      </x:c>
      <x:c r="D13" s="22" t="str">
        <x:f>IF(B13=C13,"OK","CHECK")</x:f>
        <x:v>OK</x:v>
      </x:c>
    </x:row>
  </x:sheetData>
  <x:mergeCells>
    <x:mergeCell ref="A1:D1"/>
    <x:mergeCell ref="A2:D2"/>
    <x:mergeCell ref="B3:D3"/>
    <x:mergeCell ref="B4:D4"/>
    <x:mergeCell ref="B5:D5"/>
    <x:mergeCell ref="B6:D6"/>
    <x:mergeCell ref="B7:D7"/>
    <x:mergeCell ref="B8:D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17" hidden="0" customWidth="1"/>
    <x:col min="4" max="4" width="13" hidden="0" customWidth="1"/>
    <x:col min="5" max="5" width="17" hidden="0" customWidth="1"/>
    <x:col min="6" max="6" width="16" hidden="0" customWidth="1"/>
  </x:cols>
  <x:sheetData>
    <x:row r="1">
      <x:c r="A1" s="15" t="str">
        <x:v>product_family</x:v>
      </x:c>
      <x:c r="B1" s="15" t="str">
        <x:v>production_orders</x:v>
      </x:c>
      <x:c r="C1" s="15" t="str">
        <x:v>completed_units</x:v>
      </x:c>
      <x:c r="D1" s="15" t="str">
        <x:v>scrap_units</x:v>
      </x:c>
      <x:c r="E1" s="15" t="str">
        <x:v>standard_output</x:v>
      </x:c>
      <x:c r="F1" s="15" t="str">
        <x:v>total_variance</x:v>
      </x:c>
    </x:row>
    <x:row r="2">
      <x:c r="A2" s="17" t="str">
        <x:v>DRV</x:v>
      </x:c>
      <x:c r="B2" s="18" t="n">
        <x:v>83</x:v>
      </x:c>
      <x:c r="C2" s="18" t="n">
        <x:v>1116.62</x:v>
      </x:c>
      <x:c r="D2" s="18" t="n">
        <x:v>17.7</x:v>
      </x:c>
      <x:c r="E2" s="18" t="n">
        <x:v>1343533.05</x:v>
      </x:c>
      <x:c r="F2" s="18" t="n">
        <x:v>75728.83</x:v>
      </x:c>
    </x:row>
    <x:row r="3">
      <x:c r="A3" s="17" t="str">
        <x:v>ACT</x:v>
      </x:c>
      <x:c r="B3" s="18" t="n">
        <x:v>87</x:v>
      </x:c>
      <x:c r="C3" s="18" t="n">
        <x:v>1095.77</x:v>
      </x:c>
      <x:c r="D3" s="18" t="n">
        <x:v>15.08</x:v>
      </x:c>
      <x:c r="E3" s="18" t="n">
        <x:v>961390.25</x:v>
      </x:c>
      <x:c r="F3" s="18" t="n">
        <x:v>78859.25</x:v>
      </x:c>
    </x:row>
    <x:row r="4">
      <x:c r="A4" s="17" t="str">
        <x:v>Subassembly</x:v>
      </x:c>
      <x:c r="B4" s="18" t="n">
        <x:v>95</x:v>
      </x:c>
      <x:c r="C4" s="18" t="n">
        <x:v>1025.89</x:v>
      </x:c>
      <x:c r="D4" s="18" t="n">
        <x:v>14.48</x:v>
      </x:c>
      <x:c r="E4" s="18" t="n">
        <x:v>634008.66</x:v>
      </x:c>
      <x:c r="F4" s="18" t="n">
        <x:v>67171.8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20" hidden="0" customWidth="1"/>
    <x:col min="4" max="4" width="17" hidden="0" customWidth="1"/>
    <x:col min="5" max="5" width="10" hidden="0" customWidth="1"/>
  </x:cols>
  <x:sheetData>
    <x:row r="1">
      <x:c r="A1" s="15" t="str">
        <x:v>status</x:v>
      </x:c>
      <x:c r="B1" s="15" t="str">
        <x:v>quality_orders</x:v>
      </x:c>
      <x:c r="C1" s="15" t="str">
        <x:v>inspected_quantity</x:v>
      </x:c>
      <x:c r="D1" s="15" t="str">
        <x:v>failed_quantity</x:v>
      </x:c>
      <x:c r="E1" s="15" t="str">
        <x:v>exposure</x:v>
      </x:c>
    </x:row>
    <x:row r="2">
      <x:c r="A2" s="17" t="str">
        <x:v>Closed</x:v>
      </x:c>
      <x:c r="B2" s="18" t="n">
        <x:v>3</x:v>
      </x:c>
      <x:c r="C2" s="18" t="n">
        <x:v>30</x:v>
      </x:c>
      <x:c r="D2" s="18" t="n">
        <x:v>0</x:v>
      </x:c>
      <x:c r="E2" s="18" t="n">
        <x:v>0</x:v>
      </x:c>
    </x:row>
    <x:row r="3">
      <x:c r="A3" s="17" t="str">
        <x:v>Open</x:v>
      </x:c>
      <x:c r="B3" s="18" t="n">
        <x:v>6</x:v>
      </x:c>
      <x:c r="C3" s="18" t="n">
        <x:v>60</x:v>
      </x:c>
      <x:c r="D3" s="18" t="n">
        <x:v>0</x:v>
      </x:c>
      <x:c r="E3" s="18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0" hidden="0" customWidth="1"/>
  </x:cols>
  <x:sheetData>
    <x:row r="1">
      <x:c r="A1" s="15" t="str">
        <x:v>work_type</x:v>
      </x:c>
      <x:c r="B1" s="15" t="str">
        <x:v>work_orders</x:v>
      </x:c>
      <x:c r="C1" s="15" t="str">
        <x:v>downtime_hours</x:v>
      </x:c>
      <x:c r="D1" s="15" t="str">
        <x:v>cost</x:v>
      </x:c>
    </x:row>
    <x:row r="2">
      <x:c r="A2" s="17" t="str">
        <x:v>Inspection</x:v>
      </x:c>
      <x:c r="B2" s="18" t="n">
        <x:v>15</x:v>
      </x:c>
      <x:c r="C2" s="18" t="n">
        <x:v>0</x:v>
      </x:c>
      <x:c r="D2" s="18" t="n">
        <x:v>58245</x:v>
      </x:c>
    </x:row>
    <x:row r="3">
      <x:c r="A3" s="17" t="str">
        <x:v>Preventive</x:v>
      </x:c>
      <x:c r="B3" s="18" t="n">
        <x:v>11</x:v>
      </x:c>
      <x:c r="C3" s="18" t="n">
        <x:v>0</x:v>
      </x:c>
      <x:c r="D3" s="18" t="n">
        <x:v>48090</x:v>
      </x:c>
    </x:row>
    <x:row r="4">
      <x:c r="A4" s="17" t="str">
        <x:v>Calibration</x:v>
      </x:c>
      <x:c r="B4" s="18" t="n">
        <x:v>7</x:v>
      </x:c>
      <x:c r="C4" s="18" t="n">
        <x:v>49</x:v>
      </x:c>
      <x:c r="D4" s="18" t="n">
        <x:v>33470</x:v>
      </x:c>
    </x:row>
    <x:row r="5">
      <x:c r="A5" s="17" t="str">
        <x:v>Corrective</x:v>
      </x:c>
      <x:c r="B5" s="18" t="n">
        <x:v>8</x:v>
      </x:c>
      <x:c r="C5" s="18" t="n">
        <x:v>48.5</x:v>
      </x:c>
      <x:c r="D5" s="18" t="n">
        <x:v>27740</x:v>
      </x:c>
    </x:row>
  </x:sheetData>
  <x:pageMargins left="0.7" right="0.7" top="0.75" bottom="0.75" header="0.3" footer="0.3"/>
</x:worksheet>
</file>