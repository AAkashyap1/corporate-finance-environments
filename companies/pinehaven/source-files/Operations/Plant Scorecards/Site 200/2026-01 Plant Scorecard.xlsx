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200 Plant Scorecard</x:v>
      </x:c>
      <x:c r="B1" s="3" t="str">
        <x:v>Site 200 Plant Scorecard</x:v>
      </x:c>
      <x:c r="C1" s="3" t="str">
        <x:v>Site 200 Plant Scorecard</x:v>
      </x:c>
      <x:c r="D1" s="3" t="str">
        <x:v>Site 200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2026-01</x:v>
      </x:c>
      <x:c r="C3" s="10"/>
      <x:c r="D3" s="10"/>
    </x:row>
    <x:row r="4">
      <x:c r="A4" s="9" t="str">
        <x:v>Prepared by</x:v>
      </x:c>
      <x:c r="B4" s="10" t="str">
        <x:v>Plant 200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3</x:v>
      </x:c>
      <x:c r="C11" s="23" t="n">
        <x:f>MAX(0,COUNTA('Production'!A2:A4))</x:f>
        <x:v>3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83</x:v>
      </x:c>
      <x:c r="C2" s="18" t="n">
        <x:v>1328.41</x:v>
      </x:c>
      <x:c r="D2" s="18" t="n">
        <x:v>19.59</x:v>
      </x:c>
      <x:c r="E2" s="18" t="n">
        <x:v>1535674.42</x:v>
      </x:c>
      <x:c r="F2" s="18" t="n">
        <x:v>-6334.62</x:v>
      </x:c>
    </x:row>
    <x:row r="3">
      <x:c r="A3" s="17" t="str">
        <x:v>ACT</x:v>
      </x:c>
      <x:c r="B3" s="18" t="n">
        <x:v>90</x:v>
      </x:c>
      <x:c r="C3" s="18" t="n">
        <x:v>1409.25</x:v>
      </x:c>
      <x:c r="D3" s="18" t="n">
        <x:v>19.75</x:v>
      </x:c>
      <x:c r="E3" s="18" t="n">
        <x:v>1174435.62</x:v>
      </x:c>
      <x:c r="F3" s="18" t="n">
        <x:v>-31316.68</x:v>
      </x:c>
    </x:row>
    <x:row r="4">
      <x:c r="A4" s="17" t="str">
        <x:v>Subassembly</x:v>
      </x:c>
      <x:c r="B4" s="18" t="n">
        <x:v>99</x:v>
      </x:c>
      <x:c r="C4" s="18" t="n">
        <x:v>1344.86</x:v>
      </x:c>
      <x:c r="D4" s="18" t="n">
        <x:v>21.14</x:v>
      </x:c>
      <x:c r="E4" s="18" t="n">
        <x:v>840819.24</x:v>
      </x:c>
      <x:c r="F4" s="18" t="n">
        <x:v>9854.65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80</x:v>
      </x:c>
      <x:c r="D2" s="18" t="n">
        <x:v>2</x:v>
      </x:c>
      <x:c r="E2" s="18" t="n">
        <x:v>1650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Preventive</x:v>
      </x:c>
      <x:c r="B2" s="18" t="n">
        <x:v>9</x:v>
      </x:c>
      <x:c r="C2" s="18" t="n">
        <x:v>0</x:v>
      </x:c>
      <x:c r="D2" s="18" t="n">
        <x:v>37980</x:v>
      </x:c>
    </x:row>
    <x:row r="3">
      <x:c r="A3" s="17" t="str">
        <x:v>Calibration</x:v>
      </x:c>
      <x:c r="B3" s="18" t="n">
        <x:v>9</x:v>
      </x:c>
      <x:c r="C3" s="18" t="n">
        <x:v>65.25</x:v>
      </x:c>
      <x:c r="D3" s="18" t="n">
        <x:v>35495</x:v>
      </x:c>
    </x:row>
    <x:row r="4">
      <x:c r="A4" s="17" t="str">
        <x:v>Corrective</x:v>
      </x:c>
      <x:c r="B4" s="18" t="n">
        <x:v>6</x:v>
      </x:c>
      <x:c r="C4" s="18" t="n">
        <x:v>48.75</x:v>
      </x:c>
      <x:c r="D4" s="18" t="n">
        <x:v>33390</x:v>
      </x:c>
    </x:row>
    <x:row r="5">
      <x:c r="A5" s="17" t="str">
        <x:v>Inspection</x:v>
      </x:c>
      <x:c r="B5" s="18" t="n">
        <x:v>6</x:v>
      </x:c>
      <x:c r="C5" s="18" t="n">
        <x:v>0</x:v>
      </x:c>
      <x:c r="D5" s="18" t="n">
        <x:v>19545</x:v>
      </x:c>
    </x:row>
  </x:sheetData>
  <x:pageMargins left="0.7" right="0.7" top="0.75" bottom="0.75" header="0.3" footer="0.3"/>
</x:worksheet>
</file>